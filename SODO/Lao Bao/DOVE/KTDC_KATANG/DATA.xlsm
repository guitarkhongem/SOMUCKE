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Google Driver\DOVE\LAOBAO\KTDC_KATANG\"/>
    </mc:Choice>
  </mc:AlternateContent>
  <bookViews>
    <workbookView xWindow="0" yWindow="0" windowWidth="24000" windowHeight="8835" activeTab="3"/>
  </bookViews>
  <sheets>
    <sheet name="Sheet1 (4)" sheetId="7" r:id="rId1"/>
    <sheet name="Sheet1 (3)" sheetId="6" r:id="rId2"/>
    <sheet name="Sheet1 (2)" sheetId="5" r:id="rId3"/>
    <sheet name="DATA" sheetId="2" r:id="rId4"/>
    <sheet name="Sheet1" sheetId="3" r:id="rId5"/>
  </sheets>
  <definedNames>
    <definedName name="_xlnm._FilterDatabase" localSheetId="3" hidden="1">DATA!$A$1:$BZ$1</definedName>
    <definedName name="_xlnm._FilterDatabase" localSheetId="4" hidden="1">Sheet1!$A$4:$J$4</definedName>
    <definedName name="_xlnm.Print_Titles" localSheetId="2">'Sheet1 (2)'!$3:$4</definedName>
    <definedName name="_xlnm.Print_Titles" localSheetId="1">'Sheet1 (3)'!$3:$4</definedName>
    <definedName name="_xlnm.Print_Titles" localSheetId="0">'Sheet1 (4)'!$3:$4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" i="3"/>
  <c r="I6" i="3"/>
  <c r="E6" i="3" s="1"/>
  <c r="I7" i="3"/>
  <c r="E7" i="3" s="1"/>
  <c r="I8" i="3"/>
  <c r="E8" i="3" s="1"/>
  <c r="I9" i="3"/>
  <c r="E9" i="3" s="1"/>
  <c r="I10" i="3"/>
  <c r="E10" i="3" s="1"/>
  <c r="I11" i="3"/>
  <c r="E11" i="3" s="1"/>
  <c r="I12" i="3"/>
  <c r="E12" i="3" s="1"/>
  <c r="I13" i="3"/>
  <c r="E13" i="3" s="1"/>
  <c r="I14" i="3"/>
  <c r="E14" i="3" s="1"/>
  <c r="I15" i="3"/>
  <c r="E15" i="3" s="1"/>
  <c r="I16" i="3"/>
  <c r="E16" i="3" s="1"/>
  <c r="I17" i="3"/>
  <c r="E17" i="3" s="1"/>
  <c r="I18" i="3"/>
  <c r="E18" i="3" s="1"/>
  <c r="I19" i="3"/>
  <c r="E19" i="3" s="1"/>
  <c r="I20" i="3"/>
  <c r="E20" i="3" s="1"/>
  <c r="I21" i="3"/>
  <c r="E21" i="3" s="1"/>
  <c r="I22" i="3"/>
  <c r="E22" i="3" s="1"/>
  <c r="I23" i="3"/>
  <c r="E23" i="3" s="1"/>
  <c r="I24" i="3"/>
  <c r="E24" i="3" s="1"/>
  <c r="I25" i="3"/>
  <c r="E25" i="3" s="1"/>
  <c r="I26" i="3"/>
  <c r="E26" i="3" s="1"/>
  <c r="I27" i="3"/>
  <c r="E27" i="3" s="1"/>
  <c r="I28" i="3"/>
  <c r="E28" i="3" s="1"/>
  <c r="I29" i="3"/>
  <c r="E29" i="3" s="1"/>
  <c r="I30" i="3"/>
  <c r="E30" i="3" s="1"/>
  <c r="I31" i="3"/>
  <c r="E31" i="3" s="1"/>
  <c r="I32" i="3"/>
  <c r="E32" i="3" s="1"/>
  <c r="I33" i="3"/>
  <c r="E33" i="3" s="1"/>
  <c r="I34" i="3"/>
  <c r="E34" i="3" s="1"/>
  <c r="I35" i="3"/>
  <c r="E35" i="3" s="1"/>
  <c r="I36" i="3"/>
  <c r="E36" i="3" s="1"/>
  <c r="I37" i="3"/>
  <c r="E37" i="3" s="1"/>
  <c r="I38" i="3"/>
  <c r="E38" i="3" s="1"/>
  <c r="I39" i="3"/>
  <c r="E39" i="3" s="1"/>
  <c r="I40" i="3"/>
  <c r="E40" i="3" s="1"/>
  <c r="I41" i="3"/>
  <c r="E41" i="3" s="1"/>
  <c r="I42" i="3"/>
  <c r="E42" i="3" s="1"/>
  <c r="I43" i="3"/>
  <c r="E43" i="3" s="1"/>
  <c r="I44" i="3"/>
  <c r="E44" i="3" s="1"/>
  <c r="I45" i="3"/>
  <c r="E45" i="3" s="1"/>
  <c r="I46" i="3"/>
  <c r="E46" i="3" s="1"/>
  <c r="I47" i="3"/>
  <c r="E47" i="3" s="1"/>
  <c r="I48" i="3"/>
  <c r="E48" i="3" s="1"/>
  <c r="I49" i="3"/>
  <c r="E49" i="3" s="1"/>
  <c r="I50" i="3"/>
  <c r="E50" i="3" s="1"/>
  <c r="I51" i="3"/>
  <c r="E51" i="3" s="1"/>
  <c r="I52" i="3"/>
  <c r="E52" i="3" s="1"/>
  <c r="I53" i="3"/>
  <c r="E53" i="3" s="1"/>
  <c r="I54" i="3"/>
  <c r="E54" i="3" s="1"/>
  <c r="I55" i="3"/>
  <c r="E55" i="3" s="1"/>
  <c r="I56" i="3"/>
  <c r="E56" i="3" s="1"/>
  <c r="I5" i="3"/>
  <c r="E5" i="3" s="1"/>
  <c r="C6" i="3"/>
  <c r="C7" i="3"/>
  <c r="B8" i="3"/>
  <c r="C9" i="3"/>
  <c r="C10" i="3"/>
  <c r="C11" i="3"/>
  <c r="C12" i="3"/>
  <c r="C13" i="3"/>
  <c r="C14" i="3"/>
  <c r="C15" i="3"/>
  <c r="C16" i="3"/>
  <c r="C17" i="3"/>
  <c r="B18" i="3"/>
  <c r="C19" i="3"/>
  <c r="C20" i="3"/>
  <c r="C21" i="3"/>
  <c r="C22" i="3"/>
  <c r="C23" i="3"/>
  <c r="C24" i="3"/>
  <c r="C25" i="3"/>
  <c r="C26" i="3"/>
  <c r="C27" i="3"/>
  <c r="C28" i="3"/>
  <c r="C29" i="3"/>
  <c r="B30" i="3"/>
  <c r="B31" i="3"/>
  <c r="C32" i="3"/>
  <c r="B33" i="3"/>
  <c r="C34" i="3"/>
  <c r="C35" i="3"/>
  <c r="C36" i="3"/>
  <c r="C37" i="3"/>
  <c r="C38" i="3"/>
  <c r="B39" i="3"/>
  <c r="C40" i="3"/>
  <c r="C41" i="3"/>
  <c r="C42" i="3"/>
  <c r="C43" i="3"/>
  <c r="C44" i="3"/>
  <c r="B45" i="3"/>
  <c r="C46" i="3"/>
  <c r="C47" i="3"/>
  <c r="C48" i="3"/>
  <c r="C49" i="3"/>
  <c r="C50" i="3"/>
  <c r="C51" i="3"/>
  <c r="C52" i="3"/>
  <c r="C53" i="3"/>
  <c r="C54" i="3"/>
  <c r="C55" i="3"/>
  <c r="C56" i="3"/>
  <c r="C5" i="3"/>
  <c r="B6" i="3"/>
  <c r="B7" i="3"/>
  <c r="B9" i="3"/>
  <c r="B10" i="3"/>
  <c r="B11" i="3"/>
  <c r="B12" i="3"/>
  <c r="B13" i="3"/>
  <c r="B14" i="3"/>
  <c r="B15" i="3"/>
  <c r="B16" i="3"/>
  <c r="B17" i="3"/>
  <c r="B19" i="3"/>
  <c r="B20" i="3"/>
  <c r="B21" i="3"/>
  <c r="B22" i="3"/>
  <c r="B23" i="3"/>
  <c r="B24" i="3"/>
  <c r="B25" i="3"/>
  <c r="B26" i="3"/>
  <c r="B27" i="3"/>
  <c r="B28" i="3"/>
  <c r="B29" i="3"/>
  <c r="B32" i="3"/>
  <c r="B34" i="3"/>
  <c r="B35" i="3"/>
  <c r="B36" i="3"/>
  <c r="B37" i="3"/>
  <c r="B38" i="3"/>
  <c r="B40" i="3"/>
  <c r="B41" i="3"/>
  <c r="B42" i="3"/>
  <c r="B43" i="3"/>
  <c r="B44" i="3"/>
  <c r="B46" i="3"/>
  <c r="B47" i="3"/>
  <c r="B48" i="3"/>
  <c r="B49" i="3"/>
  <c r="B50" i="3"/>
  <c r="B51" i="3"/>
  <c r="B52" i="3"/>
  <c r="B53" i="3"/>
  <c r="B54" i="3"/>
  <c r="B55" i="3"/>
  <c r="B56" i="3"/>
  <c r="B5" i="3"/>
  <c r="AX27" i="2" l="1"/>
  <c r="AX14" i="2"/>
  <c r="AX28" i="2"/>
  <c r="AX31" i="2"/>
  <c r="AX26" i="2"/>
  <c r="AX12" i="2"/>
</calcChain>
</file>

<file path=xl/sharedStrings.xml><?xml version="1.0" encoding="utf-8"?>
<sst xmlns="http://schemas.openxmlformats.org/spreadsheetml/2006/main" count="1424" uniqueCount="245">
  <si>
    <t>Hồ Văn Quốc</t>
  </si>
  <si>
    <t>Ka Tăng</t>
  </si>
  <si>
    <t>Hồ Văn Đà</t>
  </si>
  <si>
    <t>Hồ Văn Pổ</t>
  </si>
  <si>
    <t>Hồ Thị Ta Lư</t>
  </si>
  <si>
    <t>Hồ Văn Heng</t>
  </si>
  <si>
    <t>Hồ Văn Phĩ</t>
  </si>
  <si>
    <t>Hồ Văn Víc</t>
  </si>
  <si>
    <t>Hồ Văn Sô</t>
  </si>
  <si>
    <t>Hồ Văn Lô</t>
  </si>
  <si>
    <t>Hồ Văn La</t>
  </si>
  <si>
    <t>Hồ Văn Sơn</t>
  </si>
  <si>
    <t>Hồ Văn Khon</t>
  </si>
  <si>
    <t>Hồ Thị Ly</t>
  </si>
  <si>
    <t>Y Ra Lăng</t>
  </si>
  <si>
    <t>Hồ Văn Pông</t>
  </si>
  <si>
    <t>Hồ Văn Mỹ</t>
  </si>
  <si>
    <t>Hồ Văn Lai</t>
  </si>
  <si>
    <t>Hồ Văn Sưng</t>
  </si>
  <si>
    <t>Hồ Văn Thay</t>
  </si>
  <si>
    <t>Hồ Văn Nhọc</t>
  </si>
  <si>
    <t>Hồ Văn Phét</t>
  </si>
  <si>
    <t>Hồ Văn Lợi</t>
  </si>
  <si>
    <t>Hồ Ta Vất</t>
  </si>
  <si>
    <t>Hồ Thị Xâng</t>
  </si>
  <si>
    <t>Hồ Thị Thiệu</t>
  </si>
  <si>
    <t>Hồ Văn Sen</t>
  </si>
  <si>
    <t>Hồ Thị Nga</t>
  </si>
  <si>
    <t>Hồ Thị Thu Hiền</t>
  </si>
  <si>
    <t>Hồ A Lư</t>
  </si>
  <si>
    <t>Hồ Văn Mặt</t>
  </si>
  <si>
    <t>Hồ Văn Tuar</t>
  </si>
  <si>
    <t>Hồ Thị Dong</t>
  </si>
  <si>
    <t>Hồ Văn Ưng</t>
  </si>
  <si>
    <t>Hồ Thị Pheng</t>
  </si>
  <si>
    <t>Hồ Thị Hề</t>
  </si>
  <si>
    <t>Hồ Thị Nguyệt</t>
  </si>
  <si>
    <t>Hồ Thị Ca Rinh</t>
  </si>
  <si>
    <t>Hồ Văn Vinh</t>
  </si>
  <si>
    <t>Hồ Văn Păng</t>
  </si>
  <si>
    <t>Hồ Văn Thắng</t>
  </si>
  <si>
    <t>Hồ Văn Bang</t>
  </si>
  <si>
    <t>Hồ Văn Tài</t>
  </si>
  <si>
    <t>Hồ Văn Thỏa</t>
  </si>
  <si>
    <t>Hồ Văn Lê</t>
  </si>
  <si>
    <t>Hồ Văn Liêu</t>
  </si>
  <si>
    <t>Hồ Văn Viêng</t>
  </si>
  <si>
    <t>Hồ Văn Yên</t>
  </si>
  <si>
    <t>SỐ 1 CỬA 1</t>
  </si>
  <si>
    <t>THÔN 2</t>
  </si>
  <si>
    <t>XÃ 3</t>
  </si>
  <si>
    <t>GCN mới 4</t>
  </si>
  <si>
    <t>TÊN CHỒNG CHUYỂN 5</t>
  </si>
  <si>
    <t>TÊN VỢ CHUYỂN 6</t>
  </si>
  <si>
    <t>TÊN CHỒNG NHẬN 7</t>
  </si>
  <si>
    <t>TÊN VỢ NHẬN 8</t>
  </si>
  <si>
    <t>ODT 9</t>
  </si>
  <si>
    <t>ONT 10</t>
  </si>
  <si>
    <t>CLN 11</t>
  </si>
  <si>
    <t>LUC 12</t>
  </si>
  <si>
    <t>RST, RSM 13</t>
  </si>
  <si>
    <t>TSN 14</t>
  </si>
  <si>
    <t>HNK 15</t>
  </si>
  <si>
    <t>SKC 16</t>
  </si>
  <si>
    <t>Ngày nhận 17</t>
  </si>
  <si>
    <t>Thửa cũ 18</t>
  </si>
  <si>
    <t>Thửa mới 19</t>
  </si>
  <si>
    <t>Tờ cũ 20</t>
  </si>
  <si>
    <t>Tờ mới 21</t>
  </si>
  <si>
    <t>GCN cũ 22</t>
  </si>
  <si>
    <t>Tỷ lệ 23</t>
  </si>
  <si>
    <t>Năm sinh chồng 24</t>
  </si>
  <si>
    <t>Năm sinh vợ 25</t>
  </si>
  <si>
    <t>Số chồng nhận 26</t>
  </si>
  <si>
    <t>Ngày cấp chồng nhận 27</t>
  </si>
  <si>
    <t>Nơi cấp chồng nhận 28</t>
  </si>
  <si>
    <t>số vợ nhận 29</t>
  </si>
  <si>
    <t>Ngày cấp vợ nhận 30</t>
  </si>
  <si>
    <t>Nơi cấp vợ nhận 31</t>
  </si>
  <si>
    <t>Biến động 32</t>
  </si>
  <si>
    <t>thôn thường trú 33</t>
  </si>
  <si>
    <t>xã thường trú 34</t>
  </si>
  <si>
    <t>ngày ký 35</t>
  </si>
  <si>
    <t>số 36</t>
  </si>
  <si>
    <t>Quyển số 37</t>
  </si>
  <si>
    <t>số 38</t>
  </si>
  <si>
    <t>Ngày cấp 39</t>
  </si>
  <si>
    <t>Nơi cấp 40</t>
  </si>
  <si>
    <t>Nhận ONT 41</t>
  </si>
  <si>
    <t>Chuyển ONT 42</t>
  </si>
  <si>
    <t>Biên bản họp xét 43</t>
  </si>
  <si>
    <t>Nguồn gốc khai hoang và sử dụng 44</t>
  </si>
  <si>
    <t>Năm chết 45</t>
  </si>
  <si>
    <t>Số điện thoại 46</t>
  </si>
  <si>
    <t>Người lập hồ sơ 47</t>
  </si>
  <si>
    <t>Loại Hồ Sơ 48</t>
  </si>
  <si>
    <t>Ngày ký 49</t>
  </si>
  <si>
    <t>LINK 50</t>
  </si>
  <si>
    <t>Thời hạn SD 51</t>
  </si>
  <si>
    <t>Khu vực 52</t>
  </si>
  <si>
    <t>Vị trí 53</t>
  </si>
  <si>
    <t>Nguồn gốc sử dụng 54</t>
  </si>
  <si>
    <t>ODT 55</t>
  </si>
  <si>
    <t>ONT 56</t>
  </si>
  <si>
    <t>CLN 57</t>
  </si>
  <si>
    <t>LUC 58</t>
  </si>
  <si>
    <t>RST, RSM 59</t>
  </si>
  <si>
    <t>TSN 60</t>
  </si>
  <si>
    <t>HNK 61</t>
  </si>
  <si>
    <t>SKC 62</t>
  </si>
  <si>
    <t>Ngày sinh 63</t>
  </si>
  <si>
    <t>Tháng sinh 64</t>
  </si>
  <si>
    <t>Ngày sinh 65</t>
  </si>
  <si>
    <t>Tháng sinh 66</t>
  </si>
  <si>
    <t>Ngày sinh 67</t>
  </si>
  <si>
    <t>Tháng sinh 68</t>
  </si>
  <si>
    <t>Năm sinh 69</t>
  </si>
  <si>
    <t>Ngày sinh 70</t>
  </si>
  <si>
    <t>Tháng sinh 71</t>
  </si>
  <si>
    <t>Năm sinh 72</t>
  </si>
  <si>
    <t>CMND 73</t>
  </si>
  <si>
    <t>Ngày cấp 74</t>
  </si>
  <si>
    <t>Nơi cấp 75</t>
  </si>
  <si>
    <t>Ngày ký 76
GCN</t>
  </si>
  <si>
    <t>Số vào sổ 77</t>
  </si>
  <si>
    <t>Lao Bảo</t>
  </si>
  <si>
    <t>CK 463521</t>
  </si>
  <si>
    <t/>
  </si>
  <si>
    <t>Hồ Thị Hà</t>
  </si>
  <si>
    <t>CK 463522</t>
  </si>
  <si>
    <t>CK 463524</t>
  </si>
  <si>
    <t>CK 463525</t>
  </si>
  <si>
    <t>CK 463526</t>
  </si>
  <si>
    <t>CK 463527</t>
  </si>
  <si>
    <t>CK 463528</t>
  </si>
  <si>
    <t>CK 463529</t>
  </si>
  <si>
    <t>CK 463530</t>
  </si>
  <si>
    <t>CK 463531</t>
  </si>
  <si>
    <t>CK 463532</t>
  </si>
  <si>
    <t>CK 463533</t>
  </si>
  <si>
    <t>CK 463534</t>
  </si>
  <si>
    <t>CK 463535</t>
  </si>
  <si>
    <t>CK 463536</t>
  </si>
  <si>
    <t>CK 463537</t>
  </si>
  <si>
    <t>CK 463538</t>
  </si>
  <si>
    <t>CK 463539</t>
  </si>
  <si>
    <t>CK 463540</t>
  </si>
  <si>
    <t>CK 463541</t>
  </si>
  <si>
    <t>CK 463542</t>
  </si>
  <si>
    <t>CK 463543</t>
  </si>
  <si>
    <t>CK 463544</t>
  </si>
  <si>
    <t>CK 463545</t>
  </si>
  <si>
    <t>CK 463546</t>
  </si>
  <si>
    <t>CK 463547</t>
  </si>
  <si>
    <t>CK 463548</t>
  </si>
  <si>
    <t>CK 463549</t>
  </si>
  <si>
    <t>CK 463550</t>
  </si>
  <si>
    <t>CK 463551</t>
  </si>
  <si>
    <t>CK 463552</t>
  </si>
  <si>
    <t>CK 463553</t>
  </si>
  <si>
    <t>CK 463554</t>
  </si>
  <si>
    <t>CK 463555</t>
  </si>
  <si>
    <t>CK 463556</t>
  </si>
  <si>
    <t>CK 463557</t>
  </si>
  <si>
    <t>CK 463558</t>
  </si>
  <si>
    <t>CK 463559</t>
  </si>
  <si>
    <t>CK 463560</t>
  </si>
  <si>
    <t>CK 463561</t>
  </si>
  <si>
    <t>CK 463562</t>
  </si>
  <si>
    <t>CK 463563</t>
  </si>
  <si>
    <t>CK 463564</t>
  </si>
  <si>
    <t>CK 463565</t>
  </si>
  <si>
    <t>CK 463566</t>
  </si>
  <si>
    <t>CK 463568</t>
  </si>
  <si>
    <t>CK 463569</t>
  </si>
  <si>
    <t>CK 463570</t>
  </si>
  <si>
    <t>CK 463571</t>
  </si>
  <si>
    <t>CK 463573</t>
  </si>
  <si>
    <t>Hồ Thị Ếch</t>
  </si>
  <si>
    <t>01/7/2064</t>
  </si>
  <si>
    <t>1/7/2064</t>
  </si>
  <si>
    <t>Hồ Thị Nu</t>
  </si>
  <si>
    <t>Hồ Văn Nghỉ</t>
  </si>
  <si>
    <t>Hồ Thị Nông</t>
  </si>
  <si>
    <t>Hồ Thị Biu</t>
  </si>
  <si>
    <t>Hồ Thị Bùi</t>
  </si>
  <si>
    <t>Hồ Thị Bơn</t>
  </si>
  <si>
    <t>Hồ Thị Lai</t>
  </si>
  <si>
    <t>Hồ Thị Căng</t>
  </si>
  <si>
    <t>Hồ Thị Chưn</t>
  </si>
  <si>
    <t>Hồ Thị Nhứt</t>
  </si>
  <si>
    <t>Hồ Thị Hoạt</t>
  </si>
  <si>
    <t>Hồ Thị Dua</t>
  </si>
  <si>
    <t>Hồ Thị Hiếu</t>
  </si>
  <si>
    <t>Hồ Thị Pa Lô</t>
  </si>
  <si>
    <t>Hồ Xuân Đang</t>
  </si>
  <si>
    <t>Hồ Thị Hơn</t>
  </si>
  <si>
    <t>Hồ Thị Mom</t>
  </si>
  <si>
    <t>Hồ Thị Sưa</t>
  </si>
  <si>
    <t>Hồ Văn Doán</t>
  </si>
  <si>
    <t>Hồ Thị Mĩa</t>
  </si>
  <si>
    <t>Hồ Thị Tham</t>
  </si>
  <si>
    <t>Hồ Thị Tưng</t>
  </si>
  <si>
    <t>Hồ Thị Láo</t>
  </si>
  <si>
    <t>Hồ Văn Lăng</t>
  </si>
  <si>
    <t>Hồ Thị Chung</t>
  </si>
  <si>
    <t>Hồ Văn Tâm</t>
  </si>
  <si>
    <t>Hồ Văn Bài</t>
  </si>
  <si>
    <t>Hồ Văn Thời</t>
  </si>
  <si>
    <t>Hồ Thị Dép</t>
  </si>
  <si>
    <t>Hồ Thị Hương</t>
  </si>
  <si>
    <t>Hồ Thị Phuôm</t>
  </si>
  <si>
    <t>Hồ Thị Nam</t>
  </si>
  <si>
    <t>Hồ Thị Hằng</t>
  </si>
  <si>
    <t>Hồ Thị Chương</t>
  </si>
  <si>
    <t>Hồ Thị Rang</t>
  </si>
  <si>
    <t>Hồ Ta Bây</t>
  </si>
  <si>
    <t>Khóm Ka Tăng, thị trấn Lao Bảo, huyện Hướng Hóa, tỉnh Quảng Trị</t>
  </si>
  <si>
    <t>1/7/2065</t>
  </si>
  <si>
    <t>CK 463574</t>
  </si>
  <si>
    <t>STT</t>
  </si>
  <si>
    <t>Họ và tên</t>
  </si>
  <si>
    <t>Địa chỉ</t>
  </si>
  <si>
    <t>Diện tích
(m2)</t>
  </si>
  <si>
    <t>Số tờ</t>
  </si>
  <si>
    <t>Số thửa</t>
  </si>
  <si>
    <t>ODT</t>
  </si>
  <si>
    <t>CLN</t>
  </si>
  <si>
    <t>Loại đất</t>
  </si>
  <si>
    <t>Nguồn gốc và thời điểm sử dụng</t>
  </si>
  <si>
    <t>Tên chủ sử dụng đất</t>
  </si>
  <si>
    <t>Tên vợ/chồng</t>
  </si>
  <si>
    <t>Đất bố trí Tái định cư</t>
  </si>
  <si>
    <t>Hồ Văn A Xing</t>
  </si>
  <si>
    <t>DANH SÁCH CÁC HỘ GIA ĐÌNH CÁ NHÂN ĐƯỢC GIAO ĐẤT VÀ CẤP GIẤY CHỨNG NHẬN 
TẠI KHU TÁI ĐỊNH CƯ KHÓM KA TĂNG, THỊ TRẤN LAO BẢO</t>
  </si>
  <si>
    <t>Kèm theo tờ trình số:          /TTr-CNVP ngày        tháng         năm 2017 của Chi nhánh Văn phòng đăng ký đất đai Hướng Hóa</t>
  </si>
  <si>
    <t>Số tờ 
bản đồ</t>
  </si>
  <si>
    <t>Tổng</t>
  </si>
  <si>
    <t>Tổng số 52 hộ gia đình, cá nhân với tổng diện tích 38000 m2, trong đó 15600 m2 đất ở tại đô thị và 22400 m2 đất trồng cây lâu năm</t>
  </si>
  <si>
    <t>Số phát hành Giấy chứng nhận</t>
  </si>
  <si>
    <t>52 Giấy</t>
  </si>
  <si>
    <t>CK 463567</t>
  </si>
  <si>
    <t>Kèm theo tờ trình số:          /TTr-TNMT ngày        tháng         năm 2017 của Phòng Tài nguyên và Môi trường huyện Hướng Hóa</t>
  </si>
  <si>
    <t>Kèm theo Quyết định số:          /QĐ-UBND ngày        tháng         năm 2017 của Ủy ban nhân dân huyện Hướng Hóa</t>
  </si>
  <si>
    <t>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</si>
</sst>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3"/>
      <color theme="1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7">
    <xf numFmtId="0" fontId="0" fillId="0" borderId="0" xfId="0"/>
    <xf numFmtId="0" fontId="1" fillId="2" borderId="0" xfId="1" applyAlignment="1">
      <alignment horizontal="center" vertical="center"/>
    </xf>
    <xf numFmtId="14" fontId="1" fillId="2" borderId="0" xfId="1" applyNumberFormat="1" applyAlignment="1">
      <alignment horizontal="center" vertical="center"/>
    </xf>
    <xf numFmtId="49" fontId="1" fillId="2" borderId="0" xfId="1" applyNumberFormat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0" fillId="0" borderId="0" xfId="0" quotePrefix="1"/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2" fillId="0" borderId="3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49" fontId="2" fillId="0" borderId="1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2">
    <cellStyle name="40% - Accent6" xfId="1" builtinId="5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9"/>
  <sheetViews>
    <sheetView showZeros="0" view="pageBreakPreview" zoomScaleNormal="100" zoomScaleSheetLayoutView="100" workbookViewId="0">
      <selection activeCell="A3" sqref="A3:A4"/>
    </sheetView>
  </sheetViews>
  <sheetFormatPr defaultRowHeight="15" x14ac:dyDescent="0.25"/>
  <cols>
    <col min="2" max="2" width="25" style="6" customWidth="1"/>
    <col min="3" max="3" width="21.85546875" style="7" customWidth="1"/>
    <col min="4" max="4" width="15.42578125" customWidth="1"/>
    <col min="10" max="10" width="33.140625" bestFit="1" customWidth="1"/>
  </cols>
  <sheetData>
    <row r="1" spans="1:10" ht="56.25" customHeight="1" x14ac:dyDescent="0.25">
      <c r="A1" s="44" t="s">
        <v>234</v>
      </c>
      <c r="B1" s="44"/>
      <c r="C1" s="44"/>
      <c r="D1" s="44"/>
      <c r="E1" s="44"/>
      <c r="F1" s="44"/>
      <c r="G1" s="44"/>
      <c r="H1" s="44"/>
      <c r="I1" s="44"/>
      <c r="J1" s="44"/>
    </row>
    <row r="2" spans="1:10" ht="23.25" customHeight="1" thickBot="1" x14ac:dyDescent="0.3">
      <c r="A2" s="45" t="s">
        <v>243</v>
      </c>
      <c r="B2" s="45"/>
      <c r="C2" s="45"/>
      <c r="D2" s="45"/>
      <c r="E2" s="45"/>
      <c r="F2" s="45"/>
      <c r="G2" s="45"/>
      <c r="H2" s="45"/>
      <c r="I2" s="45"/>
      <c r="J2" s="45"/>
    </row>
    <row r="3" spans="1:10" ht="30" customHeight="1" x14ac:dyDescent="0.25">
      <c r="A3" s="46" t="s">
        <v>220</v>
      </c>
      <c r="B3" s="48" t="s">
        <v>221</v>
      </c>
      <c r="C3" s="48"/>
      <c r="D3" s="49" t="s">
        <v>222</v>
      </c>
      <c r="E3" s="51" t="s">
        <v>223</v>
      </c>
      <c r="F3" s="51" t="s">
        <v>236</v>
      </c>
      <c r="G3" s="49" t="s">
        <v>225</v>
      </c>
      <c r="H3" s="49" t="s">
        <v>228</v>
      </c>
      <c r="I3" s="49"/>
      <c r="J3" s="53" t="s">
        <v>239</v>
      </c>
    </row>
    <row r="4" spans="1:10" ht="30" customHeight="1" x14ac:dyDescent="0.25">
      <c r="A4" s="47"/>
      <c r="B4" s="8" t="s">
        <v>230</v>
      </c>
      <c r="C4" s="8" t="s">
        <v>231</v>
      </c>
      <c r="D4" s="50"/>
      <c r="E4" s="52"/>
      <c r="F4" s="50"/>
      <c r="G4" s="50"/>
      <c r="H4" s="20" t="s">
        <v>226</v>
      </c>
      <c r="I4" s="20" t="s">
        <v>227</v>
      </c>
      <c r="J4" s="54"/>
    </row>
    <row r="5" spans="1:10" ht="30" customHeight="1" x14ac:dyDescent="0.25">
      <c r="A5" s="19">
        <v>1</v>
      </c>
      <c r="B5" s="8" t="s">
        <v>17</v>
      </c>
      <c r="C5" s="10" t="s">
        <v>192</v>
      </c>
      <c r="D5" s="20" t="s">
        <v>1</v>
      </c>
      <c r="E5" s="20">
        <v>719</v>
      </c>
      <c r="F5" s="20">
        <v>2</v>
      </c>
      <c r="G5" s="20">
        <v>9</v>
      </c>
      <c r="H5" s="20">
        <v>300</v>
      </c>
      <c r="I5" s="20">
        <v>419</v>
      </c>
      <c r="J5" s="18" t="s">
        <v>144</v>
      </c>
    </row>
    <row r="6" spans="1:10" ht="30" customHeight="1" x14ac:dyDescent="0.25">
      <c r="A6" s="19">
        <v>2</v>
      </c>
      <c r="B6" s="8" t="s">
        <v>7</v>
      </c>
      <c r="C6" s="10" t="s">
        <v>185</v>
      </c>
      <c r="D6" s="20" t="s">
        <v>1</v>
      </c>
      <c r="E6" s="20">
        <v>719</v>
      </c>
      <c r="F6" s="20">
        <v>2</v>
      </c>
      <c r="G6" s="20">
        <v>10</v>
      </c>
      <c r="H6" s="20">
        <v>300</v>
      </c>
      <c r="I6" s="20">
        <v>419</v>
      </c>
      <c r="J6" s="18" t="s">
        <v>134</v>
      </c>
    </row>
    <row r="7" spans="1:10" ht="30" customHeight="1" x14ac:dyDescent="0.25">
      <c r="A7" s="19">
        <v>3</v>
      </c>
      <c r="B7" s="8" t="s">
        <v>29</v>
      </c>
      <c r="C7" s="10" t="s">
        <v>200</v>
      </c>
      <c r="D7" s="20" t="s">
        <v>1</v>
      </c>
      <c r="E7" s="20">
        <v>719</v>
      </c>
      <c r="F7" s="20">
        <v>2</v>
      </c>
      <c r="G7" s="20">
        <v>12</v>
      </c>
      <c r="H7" s="20">
        <v>300</v>
      </c>
      <c r="I7" s="20">
        <v>419</v>
      </c>
      <c r="J7" s="18" t="s">
        <v>157</v>
      </c>
    </row>
    <row r="8" spans="1:10" ht="30" customHeight="1" x14ac:dyDescent="0.25">
      <c r="A8" s="19">
        <v>4</v>
      </c>
      <c r="B8" s="10" t="s">
        <v>23</v>
      </c>
      <c r="C8" s="37" t="s">
        <v>197</v>
      </c>
      <c r="D8" s="20" t="s">
        <v>1</v>
      </c>
      <c r="E8" s="20">
        <v>719</v>
      </c>
      <c r="F8" s="20">
        <v>2</v>
      </c>
      <c r="G8" s="20">
        <v>13</v>
      </c>
      <c r="H8" s="20">
        <v>300</v>
      </c>
      <c r="I8" s="20">
        <v>419</v>
      </c>
      <c r="J8" s="18" t="s">
        <v>151</v>
      </c>
    </row>
    <row r="9" spans="1:10" ht="30" customHeight="1" x14ac:dyDescent="0.25">
      <c r="A9" s="19">
        <v>5</v>
      </c>
      <c r="B9" s="8" t="s">
        <v>21</v>
      </c>
      <c r="C9" s="10" t="s">
        <v>194</v>
      </c>
      <c r="D9" s="20" t="s">
        <v>1</v>
      </c>
      <c r="E9" s="20">
        <v>719</v>
      </c>
      <c r="F9" s="20">
        <v>2</v>
      </c>
      <c r="G9" s="20">
        <v>14</v>
      </c>
      <c r="H9" s="20">
        <v>300</v>
      </c>
      <c r="I9" s="20">
        <v>419</v>
      </c>
      <c r="J9" s="18" t="s">
        <v>148</v>
      </c>
    </row>
    <row r="10" spans="1:10" ht="30" customHeight="1" x14ac:dyDescent="0.25">
      <c r="A10" s="19">
        <v>6</v>
      </c>
      <c r="B10" s="8"/>
      <c r="C10" s="10" t="s">
        <v>25</v>
      </c>
      <c r="D10" s="20" t="s">
        <v>1</v>
      </c>
      <c r="E10" s="20">
        <v>735</v>
      </c>
      <c r="F10" s="20">
        <v>2</v>
      </c>
      <c r="G10" s="20">
        <v>16</v>
      </c>
      <c r="H10" s="20">
        <v>300</v>
      </c>
      <c r="I10" s="20">
        <v>435</v>
      </c>
      <c r="J10" s="18" t="s">
        <v>153</v>
      </c>
    </row>
    <row r="11" spans="1:10" ht="30" customHeight="1" x14ac:dyDescent="0.25">
      <c r="A11" s="19">
        <v>7</v>
      </c>
      <c r="B11" s="8" t="s">
        <v>199</v>
      </c>
      <c r="C11" s="10" t="s">
        <v>28</v>
      </c>
      <c r="D11" s="20" t="s">
        <v>1</v>
      </c>
      <c r="E11" s="20">
        <v>735</v>
      </c>
      <c r="F11" s="20">
        <v>2</v>
      </c>
      <c r="G11" s="20">
        <v>17</v>
      </c>
      <c r="H11" s="20">
        <v>300</v>
      </c>
      <c r="I11" s="20">
        <v>435</v>
      </c>
      <c r="J11" s="18" t="s">
        <v>156</v>
      </c>
    </row>
    <row r="12" spans="1:10" ht="30" customHeight="1" x14ac:dyDescent="0.25">
      <c r="A12" s="19">
        <v>8</v>
      </c>
      <c r="B12" s="8" t="s">
        <v>216</v>
      </c>
      <c r="C12" s="10"/>
      <c r="D12" s="20" t="s">
        <v>1</v>
      </c>
      <c r="E12" s="20">
        <v>861</v>
      </c>
      <c r="F12" s="20">
        <v>2</v>
      </c>
      <c r="G12" s="20">
        <v>19</v>
      </c>
      <c r="H12" s="20">
        <v>300</v>
      </c>
      <c r="I12" s="20">
        <v>561</v>
      </c>
      <c r="J12" s="18" t="s">
        <v>175</v>
      </c>
    </row>
    <row r="13" spans="1:10" ht="30" customHeight="1" x14ac:dyDescent="0.25">
      <c r="A13" s="19">
        <v>9</v>
      </c>
      <c r="B13" s="8" t="s">
        <v>208</v>
      </c>
      <c r="C13" s="10" t="s">
        <v>36</v>
      </c>
      <c r="D13" s="20" t="s">
        <v>1</v>
      </c>
      <c r="E13" s="20">
        <v>721</v>
      </c>
      <c r="F13" s="20">
        <v>2</v>
      </c>
      <c r="G13" s="20">
        <v>20</v>
      </c>
      <c r="H13" s="20">
        <v>300</v>
      </c>
      <c r="I13" s="20">
        <v>421</v>
      </c>
      <c r="J13" s="18" t="s">
        <v>166</v>
      </c>
    </row>
    <row r="14" spans="1:10" ht="30" customHeight="1" x14ac:dyDescent="0.25">
      <c r="A14" s="19">
        <v>10</v>
      </c>
      <c r="B14" s="8" t="s">
        <v>42</v>
      </c>
      <c r="C14" s="10" t="s">
        <v>213</v>
      </c>
      <c r="D14" s="20" t="s">
        <v>1</v>
      </c>
      <c r="E14" s="20">
        <v>726</v>
      </c>
      <c r="F14" s="20">
        <v>2</v>
      </c>
      <c r="G14" s="20">
        <v>21</v>
      </c>
      <c r="H14" s="20">
        <v>300</v>
      </c>
      <c r="I14" s="20">
        <v>426</v>
      </c>
      <c r="J14" s="18" t="s">
        <v>241</v>
      </c>
    </row>
    <row r="15" spans="1:10" ht="30" customHeight="1" x14ac:dyDescent="0.25">
      <c r="A15" s="19">
        <v>11</v>
      </c>
      <c r="B15" s="8" t="s">
        <v>9</v>
      </c>
      <c r="C15" s="10" t="s">
        <v>187</v>
      </c>
      <c r="D15" s="20" t="s">
        <v>1</v>
      </c>
      <c r="E15" s="20">
        <v>694</v>
      </c>
      <c r="F15" s="20">
        <v>2</v>
      </c>
      <c r="G15" s="20">
        <v>22</v>
      </c>
      <c r="H15" s="20">
        <v>300</v>
      </c>
      <c r="I15" s="20">
        <v>394</v>
      </c>
      <c r="J15" s="18" t="s">
        <v>136</v>
      </c>
    </row>
    <row r="16" spans="1:10" ht="30" customHeight="1" x14ac:dyDescent="0.25">
      <c r="A16" s="19">
        <v>12</v>
      </c>
      <c r="B16" s="8" t="s">
        <v>31</v>
      </c>
      <c r="C16" s="10" t="s">
        <v>203</v>
      </c>
      <c r="D16" s="20" t="s">
        <v>1</v>
      </c>
      <c r="E16" s="20">
        <v>736</v>
      </c>
      <c r="F16" s="20">
        <v>2</v>
      </c>
      <c r="G16" s="20">
        <v>23</v>
      </c>
      <c r="H16" s="20">
        <v>300</v>
      </c>
      <c r="I16" s="20">
        <v>436</v>
      </c>
      <c r="J16" s="18" t="s">
        <v>160</v>
      </c>
    </row>
    <row r="17" spans="1:10" ht="30" customHeight="1" x14ac:dyDescent="0.25">
      <c r="A17" s="19">
        <v>13</v>
      </c>
      <c r="B17" s="8" t="s">
        <v>5</v>
      </c>
      <c r="C17" s="10"/>
      <c r="D17" s="20" t="s">
        <v>1</v>
      </c>
      <c r="E17" s="20">
        <v>714</v>
      </c>
      <c r="F17" s="20">
        <v>2</v>
      </c>
      <c r="G17" s="20">
        <v>24</v>
      </c>
      <c r="H17" s="20">
        <v>300</v>
      </c>
      <c r="I17" s="20">
        <v>414</v>
      </c>
      <c r="J17" s="18" t="s">
        <v>131</v>
      </c>
    </row>
    <row r="18" spans="1:10" ht="30" customHeight="1" x14ac:dyDescent="0.25">
      <c r="A18" s="19">
        <v>14</v>
      </c>
      <c r="B18" s="10" t="s">
        <v>233</v>
      </c>
      <c r="C18" s="10" t="s">
        <v>202</v>
      </c>
      <c r="D18" s="20" t="s">
        <v>1</v>
      </c>
      <c r="E18" s="20">
        <v>710</v>
      </c>
      <c r="F18" s="20">
        <v>2</v>
      </c>
      <c r="G18" s="20">
        <v>25</v>
      </c>
      <c r="H18" s="20">
        <v>300</v>
      </c>
      <c r="I18" s="20">
        <v>410</v>
      </c>
      <c r="J18" s="18" t="s">
        <v>159</v>
      </c>
    </row>
    <row r="19" spans="1:10" ht="30" customHeight="1" x14ac:dyDescent="0.25">
      <c r="A19" s="19">
        <v>15</v>
      </c>
      <c r="B19" s="8" t="s">
        <v>30</v>
      </c>
      <c r="C19" s="10" t="s">
        <v>201</v>
      </c>
      <c r="D19" s="20" t="s">
        <v>1</v>
      </c>
      <c r="E19" s="20">
        <v>717</v>
      </c>
      <c r="F19" s="20">
        <v>2</v>
      </c>
      <c r="G19" s="20">
        <v>26</v>
      </c>
      <c r="H19" s="20">
        <v>300</v>
      </c>
      <c r="I19" s="20">
        <v>417</v>
      </c>
      <c r="J19" s="18" t="s">
        <v>158</v>
      </c>
    </row>
    <row r="20" spans="1:10" ht="30" customHeight="1" x14ac:dyDescent="0.25">
      <c r="A20" s="19">
        <v>16</v>
      </c>
      <c r="B20" s="8"/>
      <c r="C20" s="10" t="s">
        <v>4</v>
      </c>
      <c r="D20" s="20" t="s">
        <v>1</v>
      </c>
      <c r="E20" s="20">
        <v>723</v>
      </c>
      <c r="F20" s="20">
        <v>2</v>
      </c>
      <c r="G20" s="20">
        <v>27</v>
      </c>
      <c r="H20" s="20">
        <v>300</v>
      </c>
      <c r="I20" s="20">
        <v>423</v>
      </c>
      <c r="J20" s="18" t="s">
        <v>130</v>
      </c>
    </row>
    <row r="21" spans="1:10" ht="30" customHeight="1" x14ac:dyDescent="0.25">
      <c r="A21" s="19">
        <v>17</v>
      </c>
      <c r="B21" s="8" t="s">
        <v>3</v>
      </c>
      <c r="C21" s="10" t="s">
        <v>181</v>
      </c>
      <c r="D21" s="20" t="s">
        <v>1</v>
      </c>
      <c r="E21" s="20">
        <v>723</v>
      </c>
      <c r="F21" s="20">
        <v>2</v>
      </c>
      <c r="G21" s="20">
        <v>28</v>
      </c>
      <c r="H21" s="20">
        <v>300</v>
      </c>
      <c r="I21" s="20">
        <v>423</v>
      </c>
      <c r="J21" s="18" t="s">
        <v>219</v>
      </c>
    </row>
    <row r="22" spans="1:10" ht="30" customHeight="1" x14ac:dyDescent="0.25">
      <c r="A22" s="19">
        <v>18</v>
      </c>
      <c r="B22" s="8"/>
      <c r="C22" s="10" t="s">
        <v>13</v>
      </c>
      <c r="D22" s="20" t="s">
        <v>1</v>
      </c>
      <c r="E22" s="20">
        <v>721</v>
      </c>
      <c r="F22" s="20">
        <v>2</v>
      </c>
      <c r="G22" s="20">
        <v>29</v>
      </c>
      <c r="H22" s="20">
        <v>300</v>
      </c>
      <c r="I22" s="20">
        <v>421</v>
      </c>
      <c r="J22" s="18" t="s">
        <v>140</v>
      </c>
    </row>
    <row r="23" spans="1:10" ht="30" customHeight="1" x14ac:dyDescent="0.25">
      <c r="A23" s="19">
        <v>19</v>
      </c>
      <c r="B23" s="8" t="s">
        <v>12</v>
      </c>
      <c r="C23" s="10" t="s">
        <v>190</v>
      </c>
      <c r="D23" s="20" t="s">
        <v>1</v>
      </c>
      <c r="E23" s="20">
        <v>721</v>
      </c>
      <c r="F23" s="20">
        <v>2</v>
      </c>
      <c r="G23" s="20">
        <v>30</v>
      </c>
      <c r="H23" s="20">
        <v>300</v>
      </c>
      <c r="I23" s="20">
        <v>421</v>
      </c>
      <c r="J23" s="18" t="s">
        <v>139</v>
      </c>
    </row>
    <row r="24" spans="1:10" ht="30" customHeight="1" x14ac:dyDescent="0.25">
      <c r="A24" s="19">
        <v>20</v>
      </c>
      <c r="B24" s="8" t="s">
        <v>0</v>
      </c>
      <c r="C24" s="10" t="s">
        <v>128</v>
      </c>
      <c r="D24" s="20" t="s">
        <v>1</v>
      </c>
      <c r="E24" s="20">
        <v>849</v>
      </c>
      <c r="F24" s="20">
        <v>2</v>
      </c>
      <c r="G24" s="20">
        <v>31</v>
      </c>
      <c r="H24" s="20">
        <v>300</v>
      </c>
      <c r="I24" s="20">
        <v>549</v>
      </c>
      <c r="J24" s="18" t="s">
        <v>126</v>
      </c>
    </row>
    <row r="25" spans="1:10" ht="30" customHeight="1" x14ac:dyDescent="0.25">
      <c r="A25" s="19">
        <v>21</v>
      </c>
      <c r="B25" s="8" t="s">
        <v>26</v>
      </c>
      <c r="C25" s="10" t="s">
        <v>198</v>
      </c>
      <c r="D25" s="20" t="s">
        <v>1</v>
      </c>
      <c r="E25" s="20">
        <v>749</v>
      </c>
      <c r="F25" s="20">
        <v>2</v>
      </c>
      <c r="G25" s="20">
        <v>32</v>
      </c>
      <c r="H25" s="20">
        <v>300</v>
      </c>
      <c r="I25" s="20">
        <v>449</v>
      </c>
      <c r="J25" s="18" t="s">
        <v>154</v>
      </c>
    </row>
    <row r="26" spans="1:10" ht="30" customHeight="1" x14ac:dyDescent="0.25">
      <c r="A26" s="19">
        <v>22</v>
      </c>
      <c r="B26" s="8"/>
      <c r="C26" s="10" t="s">
        <v>24</v>
      </c>
      <c r="D26" s="20" t="s">
        <v>1</v>
      </c>
      <c r="E26" s="20">
        <v>756</v>
      </c>
      <c r="F26" s="20">
        <v>2</v>
      </c>
      <c r="G26" s="20">
        <v>33</v>
      </c>
      <c r="H26" s="20">
        <v>300</v>
      </c>
      <c r="I26" s="20">
        <v>456</v>
      </c>
      <c r="J26" s="18" t="s">
        <v>152</v>
      </c>
    </row>
    <row r="27" spans="1:10" ht="30" customHeight="1" x14ac:dyDescent="0.25">
      <c r="A27" s="19">
        <v>23</v>
      </c>
      <c r="B27" s="8" t="s">
        <v>18</v>
      </c>
      <c r="C27" s="10" t="s">
        <v>193</v>
      </c>
      <c r="D27" s="20" t="s">
        <v>1</v>
      </c>
      <c r="E27" s="20">
        <v>752</v>
      </c>
      <c r="F27" s="20">
        <v>2</v>
      </c>
      <c r="G27" s="20">
        <v>34</v>
      </c>
      <c r="H27" s="20">
        <v>300</v>
      </c>
      <c r="I27" s="20">
        <v>452</v>
      </c>
      <c r="J27" s="18" t="s">
        <v>145</v>
      </c>
    </row>
    <row r="28" spans="1:10" ht="30" customHeight="1" x14ac:dyDescent="0.25">
      <c r="A28" s="19">
        <v>24</v>
      </c>
      <c r="B28" s="8" t="s">
        <v>33</v>
      </c>
      <c r="C28" s="10" t="s">
        <v>205</v>
      </c>
      <c r="D28" s="20" t="s">
        <v>1</v>
      </c>
      <c r="E28" s="20">
        <v>737</v>
      </c>
      <c r="F28" s="20">
        <v>2</v>
      </c>
      <c r="G28" s="20">
        <v>35</v>
      </c>
      <c r="H28" s="20">
        <v>300</v>
      </c>
      <c r="I28" s="20">
        <v>437</v>
      </c>
      <c r="J28" s="18" t="s">
        <v>163</v>
      </c>
    </row>
    <row r="29" spans="1:10" ht="30" customHeight="1" x14ac:dyDescent="0.25">
      <c r="A29" s="19">
        <v>25</v>
      </c>
      <c r="B29" s="8" t="s">
        <v>8</v>
      </c>
      <c r="C29" s="10" t="s">
        <v>186</v>
      </c>
      <c r="D29" s="20" t="s">
        <v>1</v>
      </c>
      <c r="E29" s="20">
        <v>730</v>
      </c>
      <c r="F29" s="20">
        <v>2</v>
      </c>
      <c r="G29" s="20">
        <v>36</v>
      </c>
      <c r="H29" s="20">
        <v>300</v>
      </c>
      <c r="I29" s="20">
        <v>430</v>
      </c>
      <c r="J29" s="18" t="s">
        <v>135</v>
      </c>
    </row>
    <row r="30" spans="1:10" ht="30" customHeight="1" x14ac:dyDescent="0.25">
      <c r="A30" s="19">
        <v>26</v>
      </c>
      <c r="B30" s="10" t="s">
        <v>2</v>
      </c>
      <c r="C30" s="10" t="s">
        <v>178</v>
      </c>
      <c r="D30" s="20" t="s">
        <v>1</v>
      </c>
      <c r="E30" s="20">
        <v>759</v>
      </c>
      <c r="F30" s="20">
        <v>2</v>
      </c>
      <c r="G30" s="20">
        <v>37</v>
      </c>
      <c r="H30" s="20">
        <v>300</v>
      </c>
      <c r="I30" s="20">
        <v>459</v>
      </c>
      <c r="J30" s="18" t="s">
        <v>129</v>
      </c>
    </row>
    <row r="31" spans="1:10" ht="30" customHeight="1" x14ac:dyDescent="0.25">
      <c r="A31" s="19">
        <v>27</v>
      </c>
      <c r="B31" s="10" t="s">
        <v>182</v>
      </c>
      <c r="C31" s="10" t="s">
        <v>183</v>
      </c>
      <c r="D31" s="20" t="s">
        <v>1</v>
      </c>
      <c r="E31" s="20">
        <v>948</v>
      </c>
      <c r="F31" s="20">
        <v>2</v>
      </c>
      <c r="G31" s="20">
        <v>38</v>
      </c>
      <c r="H31" s="20">
        <v>300</v>
      </c>
      <c r="I31" s="20">
        <v>648</v>
      </c>
      <c r="J31" s="18" t="s">
        <v>132</v>
      </c>
    </row>
    <row r="32" spans="1:10" ht="30" customHeight="1" x14ac:dyDescent="0.25">
      <c r="A32" s="19">
        <v>28</v>
      </c>
      <c r="B32" s="8"/>
      <c r="C32" s="10" t="s">
        <v>25</v>
      </c>
      <c r="D32" s="20" t="s">
        <v>1</v>
      </c>
      <c r="E32" s="20">
        <v>793</v>
      </c>
      <c r="F32" s="20">
        <v>2</v>
      </c>
      <c r="G32" s="20">
        <v>39</v>
      </c>
      <c r="H32" s="20">
        <v>300</v>
      </c>
      <c r="I32" s="20">
        <v>493</v>
      </c>
      <c r="J32" s="18" t="s">
        <v>161</v>
      </c>
    </row>
    <row r="33" spans="1:10" ht="30" customHeight="1" x14ac:dyDescent="0.25">
      <c r="A33" s="19">
        <v>29</v>
      </c>
      <c r="B33" s="10" t="s">
        <v>11</v>
      </c>
      <c r="C33" s="38" t="s">
        <v>189</v>
      </c>
      <c r="D33" s="20" t="s">
        <v>1</v>
      </c>
      <c r="E33" s="20">
        <v>807</v>
      </c>
      <c r="F33" s="20">
        <v>2</v>
      </c>
      <c r="G33" s="20">
        <v>40</v>
      </c>
      <c r="H33" s="20">
        <v>300</v>
      </c>
      <c r="I33" s="20">
        <v>507</v>
      </c>
      <c r="J33" s="18" t="s">
        <v>138</v>
      </c>
    </row>
    <row r="34" spans="1:10" ht="30" customHeight="1" x14ac:dyDescent="0.25">
      <c r="A34" s="19">
        <v>30</v>
      </c>
      <c r="B34" s="8" t="s">
        <v>6</v>
      </c>
      <c r="C34" s="10" t="s">
        <v>184</v>
      </c>
      <c r="D34" s="20" t="s">
        <v>1</v>
      </c>
      <c r="E34" s="20">
        <v>713</v>
      </c>
      <c r="F34" s="20">
        <v>2</v>
      </c>
      <c r="G34" s="20">
        <v>41</v>
      </c>
      <c r="H34" s="20">
        <v>300</v>
      </c>
      <c r="I34" s="20">
        <v>413</v>
      </c>
      <c r="J34" s="18" t="s">
        <v>133</v>
      </c>
    </row>
    <row r="35" spans="1:10" ht="30" customHeight="1" x14ac:dyDescent="0.25">
      <c r="A35" s="19">
        <v>31</v>
      </c>
      <c r="B35" s="8" t="s">
        <v>46</v>
      </c>
      <c r="C35" s="10"/>
      <c r="D35" s="20" t="s">
        <v>1</v>
      </c>
      <c r="E35" s="20">
        <v>708</v>
      </c>
      <c r="F35" s="20">
        <v>2</v>
      </c>
      <c r="G35" s="20">
        <v>42</v>
      </c>
      <c r="H35" s="20">
        <v>300</v>
      </c>
      <c r="I35" s="20">
        <v>408</v>
      </c>
      <c r="J35" s="18" t="s">
        <v>176</v>
      </c>
    </row>
    <row r="36" spans="1:10" ht="30" customHeight="1" x14ac:dyDescent="0.25">
      <c r="A36" s="19">
        <v>32</v>
      </c>
      <c r="B36" s="8" t="s">
        <v>14</v>
      </c>
      <c r="C36" s="10"/>
      <c r="D36" s="20" t="s">
        <v>1</v>
      </c>
      <c r="E36" s="20">
        <v>758</v>
      </c>
      <c r="F36" s="20">
        <v>2</v>
      </c>
      <c r="G36" s="20">
        <v>43</v>
      </c>
      <c r="H36" s="20">
        <v>300</v>
      </c>
      <c r="I36" s="20">
        <v>458</v>
      </c>
      <c r="J36" s="18" t="s">
        <v>141</v>
      </c>
    </row>
    <row r="37" spans="1:10" ht="30" customHeight="1" x14ac:dyDescent="0.25">
      <c r="A37" s="19">
        <v>33</v>
      </c>
      <c r="B37" s="8" t="s">
        <v>207</v>
      </c>
      <c r="C37" s="10" t="s">
        <v>35</v>
      </c>
      <c r="D37" s="20" t="s">
        <v>1</v>
      </c>
      <c r="E37" s="20">
        <v>707</v>
      </c>
      <c r="F37" s="20">
        <v>2</v>
      </c>
      <c r="G37" s="20">
        <v>44</v>
      </c>
      <c r="H37" s="20">
        <v>300</v>
      </c>
      <c r="I37" s="20">
        <v>407</v>
      </c>
      <c r="J37" s="18" t="s">
        <v>165</v>
      </c>
    </row>
    <row r="38" spans="1:10" ht="30" customHeight="1" x14ac:dyDescent="0.25">
      <c r="A38" s="19">
        <v>34</v>
      </c>
      <c r="B38" s="8" t="s">
        <v>10</v>
      </c>
      <c r="C38" s="10" t="s">
        <v>188</v>
      </c>
      <c r="D38" s="20" t="s">
        <v>1</v>
      </c>
      <c r="E38" s="20">
        <v>799</v>
      </c>
      <c r="F38" s="20">
        <v>2</v>
      </c>
      <c r="G38" s="20">
        <v>45</v>
      </c>
      <c r="H38" s="20">
        <v>300</v>
      </c>
      <c r="I38" s="20">
        <v>499</v>
      </c>
      <c r="J38" s="18" t="s">
        <v>137</v>
      </c>
    </row>
    <row r="39" spans="1:10" ht="30" customHeight="1" x14ac:dyDescent="0.25">
      <c r="A39" s="19">
        <v>35</v>
      </c>
      <c r="B39" s="10"/>
      <c r="C39" s="38" t="s">
        <v>37</v>
      </c>
      <c r="D39" s="20" t="s">
        <v>1</v>
      </c>
      <c r="E39" s="20">
        <v>697</v>
      </c>
      <c r="F39" s="20">
        <v>2</v>
      </c>
      <c r="G39" s="20">
        <v>47</v>
      </c>
      <c r="H39" s="20">
        <v>300</v>
      </c>
      <c r="I39" s="20">
        <v>397</v>
      </c>
      <c r="J39" s="18" t="s">
        <v>167</v>
      </c>
    </row>
    <row r="40" spans="1:10" ht="30" customHeight="1" x14ac:dyDescent="0.25">
      <c r="A40" s="19">
        <v>36</v>
      </c>
      <c r="B40" s="8" t="s">
        <v>19</v>
      </c>
      <c r="C40" s="10"/>
      <c r="D40" s="20" t="s">
        <v>1</v>
      </c>
      <c r="E40" s="20">
        <v>675</v>
      </c>
      <c r="F40" s="20">
        <v>2</v>
      </c>
      <c r="G40" s="20">
        <v>48</v>
      </c>
      <c r="H40" s="20">
        <v>300</v>
      </c>
      <c r="I40" s="20">
        <v>375</v>
      </c>
      <c r="J40" s="18" t="s">
        <v>146</v>
      </c>
    </row>
    <row r="41" spans="1:10" ht="30" customHeight="1" x14ac:dyDescent="0.25">
      <c r="A41" s="19">
        <v>37</v>
      </c>
      <c r="B41" s="8" t="s">
        <v>15</v>
      </c>
      <c r="C41" s="10" t="s">
        <v>191</v>
      </c>
      <c r="D41" s="20" t="s">
        <v>1</v>
      </c>
      <c r="E41" s="20">
        <v>668</v>
      </c>
      <c r="F41" s="20">
        <v>2</v>
      </c>
      <c r="G41" s="20">
        <v>49</v>
      </c>
      <c r="H41" s="20">
        <v>300</v>
      </c>
      <c r="I41" s="20">
        <v>368</v>
      </c>
      <c r="J41" s="18" t="s">
        <v>142</v>
      </c>
    </row>
    <row r="42" spans="1:10" ht="30" customHeight="1" x14ac:dyDescent="0.25">
      <c r="A42" s="19">
        <v>38</v>
      </c>
      <c r="B42" s="8" t="s">
        <v>20</v>
      </c>
      <c r="C42" s="10"/>
      <c r="D42" s="20" t="s">
        <v>1</v>
      </c>
      <c r="E42" s="20">
        <v>672</v>
      </c>
      <c r="F42" s="20">
        <v>2</v>
      </c>
      <c r="G42" s="20">
        <v>50</v>
      </c>
      <c r="H42" s="20">
        <v>300</v>
      </c>
      <c r="I42" s="20">
        <v>372</v>
      </c>
      <c r="J42" s="18" t="s">
        <v>147</v>
      </c>
    </row>
    <row r="43" spans="1:10" ht="30" customHeight="1" x14ac:dyDescent="0.25">
      <c r="A43" s="19">
        <v>39</v>
      </c>
      <c r="B43" s="8" t="s">
        <v>16</v>
      </c>
      <c r="C43" s="10"/>
      <c r="D43" s="20" t="s">
        <v>1</v>
      </c>
      <c r="E43" s="20">
        <v>715</v>
      </c>
      <c r="F43" s="20">
        <v>2</v>
      </c>
      <c r="G43" s="20">
        <v>51</v>
      </c>
      <c r="H43" s="20">
        <v>300</v>
      </c>
      <c r="I43" s="20">
        <v>415</v>
      </c>
      <c r="J43" s="18" t="s">
        <v>143</v>
      </c>
    </row>
    <row r="44" spans="1:10" ht="30" customHeight="1" x14ac:dyDescent="0.25">
      <c r="A44" s="19">
        <v>40</v>
      </c>
      <c r="B44" s="8" t="s">
        <v>204</v>
      </c>
      <c r="C44" s="10" t="s">
        <v>32</v>
      </c>
      <c r="D44" s="20" t="s">
        <v>1</v>
      </c>
      <c r="E44" s="20">
        <v>671</v>
      </c>
      <c r="F44" s="20">
        <v>2</v>
      </c>
      <c r="G44" s="20">
        <v>53</v>
      </c>
      <c r="H44" s="20">
        <v>300</v>
      </c>
      <c r="I44" s="20">
        <v>371</v>
      </c>
      <c r="J44" s="18" t="s">
        <v>162</v>
      </c>
    </row>
    <row r="45" spans="1:10" ht="30" customHeight="1" x14ac:dyDescent="0.25">
      <c r="A45" s="19">
        <v>41</v>
      </c>
      <c r="B45" s="10" t="s">
        <v>22</v>
      </c>
      <c r="C45" s="38"/>
      <c r="D45" s="20" t="s">
        <v>1</v>
      </c>
      <c r="E45" s="20">
        <v>686</v>
      </c>
      <c r="F45" s="20">
        <v>2</v>
      </c>
      <c r="G45" s="20">
        <v>54</v>
      </c>
      <c r="H45" s="20">
        <v>300</v>
      </c>
      <c r="I45" s="20">
        <v>386</v>
      </c>
      <c r="J45" s="18" t="s">
        <v>150</v>
      </c>
    </row>
    <row r="46" spans="1:10" ht="30" customHeight="1" x14ac:dyDescent="0.25">
      <c r="A46" s="19">
        <v>42</v>
      </c>
      <c r="B46" s="8" t="s">
        <v>43</v>
      </c>
      <c r="C46" s="10" t="s">
        <v>214</v>
      </c>
      <c r="D46" s="20" t="s">
        <v>1</v>
      </c>
      <c r="E46" s="20">
        <v>691</v>
      </c>
      <c r="F46" s="20">
        <v>2</v>
      </c>
      <c r="G46" s="20">
        <v>56</v>
      </c>
      <c r="H46" s="20">
        <v>300</v>
      </c>
      <c r="I46" s="20">
        <v>391</v>
      </c>
      <c r="J46" s="18" t="s">
        <v>172</v>
      </c>
    </row>
    <row r="47" spans="1:10" ht="30" customHeight="1" x14ac:dyDescent="0.25">
      <c r="A47" s="19">
        <v>43</v>
      </c>
      <c r="B47" s="8" t="s">
        <v>206</v>
      </c>
      <c r="C47" s="10" t="s">
        <v>34</v>
      </c>
      <c r="D47" s="20" t="s">
        <v>1</v>
      </c>
      <c r="E47" s="20">
        <v>692</v>
      </c>
      <c r="F47" s="20">
        <v>2</v>
      </c>
      <c r="G47" s="20">
        <v>57</v>
      </c>
      <c r="H47" s="20">
        <v>300</v>
      </c>
      <c r="I47" s="20">
        <v>392</v>
      </c>
      <c r="J47" s="18" t="s">
        <v>164</v>
      </c>
    </row>
    <row r="48" spans="1:10" ht="30" customHeight="1" x14ac:dyDescent="0.25">
      <c r="A48" s="19">
        <v>44</v>
      </c>
      <c r="B48" s="8" t="s">
        <v>195</v>
      </c>
      <c r="C48" s="10" t="s">
        <v>196</v>
      </c>
      <c r="D48" s="20" t="s">
        <v>1</v>
      </c>
      <c r="E48" s="20">
        <v>762</v>
      </c>
      <c r="F48" s="20">
        <v>2</v>
      </c>
      <c r="G48" s="20">
        <v>58</v>
      </c>
      <c r="H48" s="20">
        <v>300</v>
      </c>
      <c r="I48" s="20">
        <v>462</v>
      </c>
      <c r="J48" s="18" t="s">
        <v>149</v>
      </c>
    </row>
    <row r="49" spans="1:10" ht="30" customHeight="1" x14ac:dyDescent="0.25">
      <c r="A49" s="19">
        <v>45</v>
      </c>
      <c r="B49" s="8" t="s">
        <v>44</v>
      </c>
      <c r="C49" s="10" t="s">
        <v>215</v>
      </c>
      <c r="D49" s="20" t="s">
        <v>1</v>
      </c>
      <c r="E49" s="20">
        <v>724</v>
      </c>
      <c r="F49" s="20">
        <v>2</v>
      </c>
      <c r="G49" s="20">
        <v>62</v>
      </c>
      <c r="H49" s="20">
        <v>300</v>
      </c>
      <c r="I49" s="20">
        <v>424</v>
      </c>
      <c r="J49" s="18" t="s">
        <v>173</v>
      </c>
    </row>
    <row r="50" spans="1:10" ht="30" customHeight="1" x14ac:dyDescent="0.25">
      <c r="A50" s="19">
        <v>46</v>
      </c>
      <c r="B50" s="8" t="s">
        <v>45</v>
      </c>
      <c r="C50" s="10"/>
      <c r="D50" s="20" t="s">
        <v>1</v>
      </c>
      <c r="E50" s="20">
        <v>706</v>
      </c>
      <c r="F50" s="20">
        <v>2</v>
      </c>
      <c r="G50" s="20">
        <v>63</v>
      </c>
      <c r="H50" s="20">
        <v>300</v>
      </c>
      <c r="I50" s="20">
        <v>406</v>
      </c>
      <c r="J50" s="18" t="s">
        <v>174</v>
      </c>
    </row>
    <row r="51" spans="1:10" ht="30" customHeight="1" x14ac:dyDescent="0.25">
      <c r="A51" s="19">
        <v>47</v>
      </c>
      <c r="B51" s="8" t="s">
        <v>47</v>
      </c>
      <c r="C51" s="10"/>
      <c r="D51" s="20" t="s">
        <v>1</v>
      </c>
      <c r="E51" s="20">
        <v>689</v>
      </c>
      <c r="F51" s="20">
        <v>2</v>
      </c>
      <c r="G51" s="20">
        <v>64</v>
      </c>
      <c r="H51" s="20">
        <v>300</v>
      </c>
      <c r="I51" s="20">
        <v>389</v>
      </c>
      <c r="J51" s="18" t="s">
        <v>177</v>
      </c>
    </row>
    <row r="52" spans="1:10" ht="30" customHeight="1" x14ac:dyDescent="0.25">
      <c r="A52" s="19">
        <v>48</v>
      </c>
      <c r="B52" s="8" t="s">
        <v>38</v>
      </c>
      <c r="C52" s="10" t="s">
        <v>209</v>
      </c>
      <c r="D52" s="20" t="s">
        <v>1</v>
      </c>
      <c r="E52" s="20">
        <v>699</v>
      </c>
      <c r="F52" s="20">
        <v>2</v>
      </c>
      <c r="G52" s="20">
        <v>65</v>
      </c>
      <c r="H52" s="20">
        <v>300</v>
      </c>
      <c r="I52" s="20">
        <v>399</v>
      </c>
      <c r="J52" s="18" t="s">
        <v>168</v>
      </c>
    </row>
    <row r="53" spans="1:10" ht="30" customHeight="1" x14ac:dyDescent="0.25">
      <c r="A53" s="19">
        <v>49</v>
      </c>
      <c r="B53" s="8" t="s">
        <v>41</v>
      </c>
      <c r="C53" s="10" t="s">
        <v>212</v>
      </c>
      <c r="D53" s="20" t="s">
        <v>1</v>
      </c>
      <c r="E53" s="20">
        <v>706</v>
      </c>
      <c r="F53" s="20">
        <v>2</v>
      </c>
      <c r="G53" s="20">
        <v>66</v>
      </c>
      <c r="H53" s="20">
        <v>300</v>
      </c>
      <c r="I53" s="20">
        <v>406</v>
      </c>
      <c r="J53" s="18" t="s">
        <v>171</v>
      </c>
    </row>
    <row r="54" spans="1:10" ht="30" customHeight="1" x14ac:dyDescent="0.25">
      <c r="A54" s="19">
        <v>50</v>
      </c>
      <c r="B54" s="8"/>
      <c r="C54" s="10" t="s">
        <v>27</v>
      </c>
      <c r="D54" s="20" t="s">
        <v>1</v>
      </c>
      <c r="E54" s="20">
        <v>717</v>
      </c>
      <c r="F54" s="20">
        <v>2</v>
      </c>
      <c r="G54" s="20">
        <v>67</v>
      </c>
      <c r="H54" s="20">
        <v>300</v>
      </c>
      <c r="I54" s="20">
        <v>417</v>
      </c>
      <c r="J54" s="18" t="s">
        <v>155</v>
      </c>
    </row>
    <row r="55" spans="1:10" ht="30" customHeight="1" x14ac:dyDescent="0.25">
      <c r="A55" s="19">
        <v>51</v>
      </c>
      <c r="B55" s="8" t="s">
        <v>40</v>
      </c>
      <c r="C55" s="10" t="s">
        <v>211</v>
      </c>
      <c r="D55" s="20" t="s">
        <v>1</v>
      </c>
      <c r="E55" s="20">
        <v>714</v>
      </c>
      <c r="F55" s="20">
        <v>2</v>
      </c>
      <c r="G55" s="20">
        <v>68</v>
      </c>
      <c r="H55" s="20">
        <v>300</v>
      </c>
      <c r="I55" s="20">
        <v>414</v>
      </c>
      <c r="J55" s="18" t="s">
        <v>170</v>
      </c>
    </row>
    <row r="56" spans="1:10" ht="30" customHeight="1" x14ac:dyDescent="0.25">
      <c r="A56" s="19">
        <v>52</v>
      </c>
      <c r="B56" s="21" t="s">
        <v>39</v>
      </c>
      <c r="C56" s="22" t="s">
        <v>210</v>
      </c>
      <c r="D56" s="23" t="s">
        <v>1</v>
      </c>
      <c r="E56" s="23">
        <v>719</v>
      </c>
      <c r="F56" s="23">
        <v>2</v>
      </c>
      <c r="G56" s="23">
        <v>69</v>
      </c>
      <c r="H56" s="23">
        <v>300</v>
      </c>
      <c r="I56" s="23">
        <v>419</v>
      </c>
      <c r="J56" s="24" t="s">
        <v>169</v>
      </c>
    </row>
    <row r="57" spans="1:10" ht="23.25" customHeight="1" thickBot="1" x14ac:dyDescent="0.3">
      <c r="A57" s="39" t="s">
        <v>237</v>
      </c>
      <c r="B57" s="40"/>
      <c r="C57" s="40"/>
      <c r="D57" s="41"/>
      <c r="E57" s="27">
        <v>38000</v>
      </c>
      <c r="F57" s="26"/>
      <c r="G57" s="26"/>
      <c r="H57" s="27">
        <v>15600</v>
      </c>
      <c r="I57" s="27">
        <v>22400</v>
      </c>
      <c r="J57" s="27" t="s">
        <v>240</v>
      </c>
    </row>
    <row r="58" spans="1:10" x14ac:dyDescent="0.25">
      <c r="A58" s="42" t="s">
        <v>238</v>
      </c>
      <c r="B58" s="42"/>
      <c r="C58" s="42"/>
      <c r="D58" s="42"/>
      <c r="E58" s="42"/>
      <c r="F58" s="42"/>
      <c r="G58" s="42"/>
      <c r="H58" s="42"/>
      <c r="I58" s="42"/>
      <c r="J58" s="42"/>
    </row>
    <row r="59" spans="1:10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</row>
  </sheetData>
  <mergeCells count="12">
    <mergeCell ref="A57:D57"/>
    <mergeCell ref="A58:J59"/>
    <mergeCell ref="A1:J1"/>
    <mergeCell ref="A2:J2"/>
    <mergeCell ref="A3:A4"/>
    <mergeCell ref="B3:C3"/>
    <mergeCell ref="D3:D4"/>
    <mergeCell ref="E3:E4"/>
    <mergeCell ref="F3:F4"/>
    <mergeCell ref="G3:G4"/>
    <mergeCell ref="H3:I3"/>
    <mergeCell ref="J3:J4"/>
  </mergeCells>
  <pageMargins left="0.7" right="0.7" top="0.75" bottom="0.75" header="0.3" footer="0.3"/>
  <pageSetup paperSize="9" scale="87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59"/>
  <sheetViews>
    <sheetView showZeros="0" view="pageBreakPreview" topLeftCell="A52" zoomScaleNormal="100" zoomScaleSheetLayoutView="100" workbookViewId="0">
      <selection activeCell="D68" sqref="D68"/>
    </sheetView>
  </sheetViews>
  <sheetFormatPr defaultRowHeight="15" x14ac:dyDescent="0.25"/>
  <cols>
    <col min="2" max="2" width="25" style="6" customWidth="1"/>
    <col min="3" max="3" width="21.85546875" style="7" customWidth="1"/>
    <col min="4" max="4" width="15.42578125" customWidth="1"/>
    <col min="10" max="10" width="33.140625" bestFit="1" customWidth="1"/>
  </cols>
  <sheetData>
    <row r="1" spans="1:10" ht="56.25" customHeight="1" x14ac:dyDescent="0.25">
      <c r="A1" s="44" t="s">
        <v>234</v>
      </c>
      <c r="B1" s="44"/>
      <c r="C1" s="44"/>
      <c r="D1" s="44"/>
      <c r="E1" s="44"/>
      <c r="F1" s="44"/>
      <c r="G1" s="44"/>
      <c r="H1" s="44"/>
      <c r="I1" s="44"/>
      <c r="J1" s="44"/>
    </row>
    <row r="2" spans="1:10" ht="23.25" customHeight="1" thickBot="1" x14ac:dyDescent="0.3">
      <c r="A2" s="45" t="s">
        <v>242</v>
      </c>
      <c r="B2" s="45"/>
      <c r="C2" s="45"/>
      <c r="D2" s="45"/>
      <c r="E2" s="45"/>
      <c r="F2" s="45"/>
      <c r="G2" s="45"/>
      <c r="H2" s="45"/>
      <c r="I2" s="45"/>
      <c r="J2" s="45"/>
    </row>
    <row r="3" spans="1:10" ht="30" customHeight="1" x14ac:dyDescent="0.25">
      <c r="A3" s="46" t="s">
        <v>220</v>
      </c>
      <c r="B3" s="48" t="s">
        <v>221</v>
      </c>
      <c r="C3" s="48"/>
      <c r="D3" s="49" t="s">
        <v>222</v>
      </c>
      <c r="E3" s="51" t="s">
        <v>223</v>
      </c>
      <c r="F3" s="51" t="s">
        <v>236</v>
      </c>
      <c r="G3" s="49" t="s">
        <v>225</v>
      </c>
      <c r="H3" s="49" t="s">
        <v>228</v>
      </c>
      <c r="I3" s="49"/>
      <c r="J3" s="53" t="s">
        <v>239</v>
      </c>
    </row>
    <row r="4" spans="1:10" ht="30" customHeight="1" x14ac:dyDescent="0.25">
      <c r="A4" s="47"/>
      <c r="B4" s="8" t="s">
        <v>230</v>
      </c>
      <c r="C4" s="8" t="s">
        <v>231</v>
      </c>
      <c r="D4" s="50"/>
      <c r="E4" s="52"/>
      <c r="F4" s="50"/>
      <c r="G4" s="50"/>
      <c r="H4" s="20" t="s">
        <v>226</v>
      </c>
      <c r="I4" s="20" t="s">
        <v>227</v>
      </c>
      <c r="J4" s="54"/>
    </row>
    <row r="5" spans="1:10" ht="30" customHeight="1" x14ac:dyDescent="0.25">
      <c r="A5" s="19">
        <v>1</v>
      </c>
      <c r="B5" s="8" t="s">
        <v>17</v>
      </c>
      <c r="C5" s="10" t="s">
        <v>192</v>
      </c>
      <c r="D5" s="20" t="s">
        <v>1</v>
      </c>
      <c r="E5" s="20">
        <v>719</v>
      </c>
      <c r="F5" s="20">
        <v>2</v>
      </c>
      <c r="G5" s="20">
        <v>9</v>
      </c>
      <c r="H5" s="20">
        <v>300</v>
      </c>
      <c r="I5" s="20">
        <v>419</v>
      </c>
      <c r="J5" s="18" t="s">
        <v>144</v>
      </c>
    </row>
    <row r="6" spans="1:10" ht="30" customHeight="1" x14ac:dyDescent="0.25">
      <c r="A6" s="19">
        <v>2</v>
      </c>
      <c r="B6" s="8" t="s">
        <v>7</v>
      </c>
      <c r="C6" s="10" t="s">
        <v>185</v>
      </c>
      <c r="D6" s="20" t="s">
        <v>1</v>
      </c>
      <c r="E6" s="20">
        <v>719</v>
      </c>
      <c r="F6" s="20">
        <v>2</v>
      </c>
      <c r="G6" s="20">
        <v>10</v>
      </c>
      <c r="H6" s="20">
        <v>300</v>
      </c>
      <c r="I6" s="20">
        <v>419</v>
      </c>
      <c r="J6" s="18" t="s">
        <v>134</v>
      </c>
    </row>
    <row r="7" spans="1:10" ht="30" customHeight="1" x14ac:dyDescent="0.25">
      <c r="A7" s="19">
        <v>3</v>
      </c>
      <c r="B7" s="8" t="s">
        <v>29</v>
      </c>
      <c r="C7" s="10" t="s">
        <v>200</v>
      </c>
      <c r="D7" s="20" t="s">
        <v>1</v>
      </c>
      <c r="E7" s="20">
        <v>719</v>
      </c>
      <c r="F7" s="20">
        <v>2</v>
      </c>
      <c r="G7" s="20">
        <v>12</v>
      </c>
      <c r="H7" s="20">
        <v>300</v>
      </c>
      <c r="I7" s="20">
        <v>419</v>
      </c>
      <c r="J7" s="18" t="s">
        <v>157</v>
      </c>
    </row>
    <row r="8" spans="1:10" ht="30" customHeight="1" x14ac:dyDescent="0.25">
      <c r="A8" s="19">
        <v>4</v>
      </c>
      <c r="B8" s="10" t="s">
        <v>23</v>
      </c>
      <c r="C8" s="37" t="s">
        <v>197</v>
      </c>
      <c r="D8" s="20" t="s">
        <v>1</v>
      </c>
      <c r="E8" s="20">
        <v>719</v>
      </c>
      <c r="F8" s="20">
        <v>2</v>
      </c>
      <c r="G8" s="20">
        <v>13</v>
      </c>
      <c r="H8" s="20">
        <v>300</v>
      </c>
      <c r="I8" s="20">
        <v>419</v>
      </c>
      <c r="J8" s="18" t="s">
        <v>151</v>
      </c>
    </row>
    <row r="9" spans="1:10" ht="30" customHeight="1" x14ac:dyDescent="0.25">
      <c r="A9" s="19">
        <v>5</v>
      </c>
      <c r="B9" s="8" t="s">
        <v>21</v>
      </c>
      <c r="C9" s="10" t="s">
        <v>194</v>
      </c>
      <c r="D9" s="20" t="s">
        <v>1</v>
      </c>
      <c r="E9" s="20">
        <v>719</v>
      </c>
      <c r="F9" s="20">
        <v>2</v>
      </c>
      <c r="G9" s="20">
        <v>14</v>
      </c>
      <c r="H9" s="20">
        <v>300</v>
      </c>
      <c r="I9" s="20">
        <v>419</v>
      </c>
      <c r="J9" s="18" t="s">
        <v>148</v>
      </c>
    </row>
    <row r="10" spans="1:10" ht="30" customHeight="1" x14ac:dyDescent="0.25">
      <c r="A10" s="19">
        <v>6</v>
      </c>
      <c r="B10" s="8"/>
      <c r="C10" s="10" t="s">
        <v>25</v>
      </c>
      <c r="D10" s="20" t="s">
        <v>1</v>
      </c>
      <c r="E10" s="20">
        <v>735</v>
      </c>
      <c r="F10" s="20">
        <v>2</v>
      </c>
      <c r="G10" s="20">
        <v>16</v>
      </c>
      <c r="H10" s="20">
        <v>300</v>
      </c>
      <c r="I10" s="20">
        <v>435</v>
      </c>
      <c r="J10" s="18" t="s">
        <v>153</v>
      </c>
    </row>
    <row r="11" spans="1:10" ht="30" customHeight="1" x14ac:dyDescent="0.25">
      <c r="A11" s="19">
        <v>7</v>
      </c>
      <c r="B11" s="8" t="s">
        <v>199</v>
      </c>
      <c r="C11" s="10" t="s">
        <v>28</v>
      </c>
      <c r="D11" s="20" t="s">
        <v>1</v>
      </c>
      <c r="E11" s="20">
        <v>735</v>
      </c>
      <c r="F11" s="20">
        <v>2</v>
      </c>
      <c r="G11" s="20">
        <v>17</v>
      </c>
      <c r="H11" s="20">
        <v>300</v>
      </c>
      <c r="I11" s="20">
        <v>435</v>
      </c>
      <c r="J11" s="18" t="s">
        <v>156</v>
      </c>
    </row>
    <row r="12" spans="1:10" ht="30" customHeight="1" x14ac:dyDescent="0.25">
      <c r="A12" s="19">
        <v>8</v>
      </c>
      <c r="B12" s="8" t="s">
        <v>216</v>
      </c>
      <c r="C12" s="10"/>
      <c r="D12" s="20" t="s">
        <v>1</v>
      </c>
      <c r="E12" s="20">
        <v>861</v>
      </c>
      <c r="F12" s="20">
        <v>2</v>
      </c>
      <c r="G12" s="20">
        <v>19</v>
      </c>
      <c r="H12" s="20">
        <v>300</v>
      </c>
      <c r="I12" s="20">
        <v>561</v>
      </c>
      <c r="J12" s="18" t="s">
        <v>175</v>
      </c>
    </row>
    <row r="13" spans="1:10" ht="30" customHeight="1" x14ac:dyDescent="0.25">
      <c r="A13" s="19">
        <v>9</v>
      </c>
      <c r="B13" s="8" t="s">
        <v>208</v>
      </c>
      <c r="C13" s="10" t="s">
        <v>36</v>
      </c>
      <c r="D13" s="20" t="s">
        <v>1</v>
      </c>
      <c r="E13" s="20">
        <v>721</v>
      </c>
      <c r="F13" s="20">
        <v>2</v>
      </c>
      <c r="G13" s="20">
        <v>20</v>
      </c>
      <c r="H13" s="20">
        <v>300</v>
      </c>
      <c r="I13" s="20">
        <v>421</v>
      </c>
      <c r="J13" s="18" t="s">
        <v>166</v>
      </c>
    </row>
    <row r="14" spans="1:10" ht="30" customHeight="1" x14ac:dyDescent="0.25">
      <c r="A14" s="19">
        <v>10</v>
      </c>
      <c r="B14" s="8" t="s">
        <v>42</v>
      </c>
      <c r="C14" s="10" t="s">
        <v>213</v>
      </c>
      <c r="D14" s="20" t="s">
        <v>1</v>
      </c>
      <c r="E14" s="20">
        <v>726</v>
      </c>
      <c r="F14" s="20">
        <v>2</v>
      </c>
      <c r="G14" s="20">
        <v>21</v>
      </c>
      <c r="H14" s="20">
        <v>300</v>
      </c>
      <c r="I14" s="20">
        <v>426</v>
      </c>
      <c r="J14" s="18" t="s">
        <v>241</v>
      </c>
    </row>
    <row r="15" spans="1:10" ht="30" customHeight="1" x14ac:dyDescent="0.25">
      <c r="A15" s="19">
        <v>11</v>
      </c>
      <c r="B15" s="8" t="s">
        <v>9</v>
      </c>
      <c r="C15" s="10" t="s">
        <v>187</v>
      </c>
      <c r="D15" s="20" t="s">
        <v>1</v>
      </c>
      <c r="E15" s="20">
        <v>694</v>
      </c>
      <c r="F15" s="20">
        <v>2</v>
      </c>
      <c r="G15" s="20">
        <v>22</v>
      </c>
      <c r="H15" s="20">
        <v>300</v>
      </c>
      <c r="I15" s="20">
        <v>394</v>
      </c>
      <c r="J15" s="18" t="s">
        <v>136</v>
      </c>
    </row>
    <row r="16" spans="1:10" ht="30" customHeight="1" x14ac:dyDescent="0.25">
      <c r="A16" s="19">
        <v>12</v>
      </c>
      <c r="B16" s="8" t="s">
        <v>31</v>
      </c>
      <c r="C16" s="10" t="s">
        <v>203</v>
      </c>
      <c r="D16" s="20" t="s">
        <v>1</v>
      </c>
      <c r="E16" s="20">
        <v>736</v>
      </c>
      <c r="F16" s="20">
        <v>2</v>
      </c>
      <c r="G16" s="20">
        <v>23</v>
      </c>
      <c r="H16" s="20">
        <v>300</v>
      </c>
      <c r="I16" s="20">
        <v>436</v>
      </c>
      <c r="J16" s="18" t="s">
        <v>160</v>
      </c>
    </row>
    <row r="17" spans="1:10" ht="30" customHeight="1" x14ac:dyDescent="0.25">
      <c r="A17" s="19">
        <v>13</v>
      </c>
      <c r="B17" s="8" t="s">
        <v>5</v>
      </c>
      <c r="C17" s="10"/>
      <c r="D17" s="20" t="s">
        <v>1</v>
      </c>
      <c r="E17" s="20">
        <v>714</v>
      </c>
      <c r="F17" s="20">
        <v>2</v>
      </c>
      <c r="G17" s="20">
        <v>24</v>
      </c>
      <c r="H17" s="20">
        <v>300</v>
      </c>
      <c r="I17" s="20">
        <v>414</v>
      </c>
      <c r="J17" s="18" t="s">
        <v>131</v>
      </c>
    </row>
    <row r="18" spans="1:10" ht="30" customHeight="1" x14ac:dyDescent="0.25">
      <c r="A18" s="19">
        <v>14</v>
      </c>
      <c r="B18" s="10" t="s">
        <v>233</v>
      </c>
      <c r="C18" s="10" t="s">
        <v>202</v>
      </c>
      <c r="D18" s="20" t="s">
        <v>1</v>
      </c>
      <c r="E18" s="20">
        <v>710</v>
      </c>
      <c r="F18" s="20">
        <v>2</v>
      </c>
      <c r="G18" s="20">
        <v>25</v>
      </c>
      <c r="H18" s="20">
        <v>300</v>
      </c>
      <c r="I18" s="20">
        <v>410</v>
      </c>
      <c r="J18" s="18" t="s">
        <v>159</v>
      </c>
    </row>
    <row r="19" spans="1:10" ht="30" customHeight="1" x14ac:dyDescent="0.25">
      <c r="A19" s="19">
        <v>15</v>
      </c>
      <c r="B19" s="8" t="s">
        <v>30</v>
      </c>
      <c r="C19" s="10" t="s">
        <v>201</v>
      </c>
      <c r="D19" s="20" t="s">
        <v>1</v>
      </c>
      <c r="E19" s="20">
        <v>717</v>
      </c>
      <c r="F19" s="20">
        <v>2</v>
      </c>
      <c r="G19" s="20">
        <v>26</v>
      </c>
      <c r="H19" s="20">
        <v>300</v>
      </c>
      <c r="I19" s="20">
        <v>417</v>
      </c>
      <c r="J19" s="18" t="s">
        <v>158</v>
      </c>
    </row>
    <row r="20" spans="1:10" ht="30" customHeight="1" x14ac:dyDescent="0.25">
      <c r="A20" s="19">
        <v>16</v>
      </c>
      <c r="B20" s="8"/>
      <c r="C20" s="10" t="s">
        <v>4</v>
      </c>
      <c r="D20" s="20" t="s">
        <v>1</v>
      </c>
      <c r="E20" s="20">
        <v>723</v>
      </c>
      <c r="F20" s="20">
        <v>2</v>
      </c>
      <c r="G20" s="20">
        <v>27</v>
      </c>
      <c r="H20" s="20">
        <v>300</v>
      </c>
      <c r="I20" s="20">
        <v>423</v>
      </c>
      <c r="J20" s="18" t="s">
        <v>130</v>
      </c>
    </row>
    <row r="21" spans="1:10" ht="30" customHeight="1" x14ac:dyDescent="0.25">
      <c r="A21" s="19">
        <v>17</v>
      </c>
      <c r="B21" s="8" t="s">
        <v>3</v>
      </c>
      <c r="C21" s="10" t="s">
        <v>181</v>
      </c>
      <c r="D21" s="20" t="s">
        <v>1</v>
      </c>
      <c r="E21" s="20">
        <v>723</v>
      </c>
      <c r="F21" s="20">
        <v>2</v>
      </c>
      <c r="G21" s="20">
        <v>28</v>
      </c>
      <c r="H21" s="20">
        <v>300</v>
      </c>
      <c r="I21" s="20">
        <v>423</v>
      </c>
      <c r="J21" s="18" t="s">
        <v>219</v>
      </c>
    </row>
    <row r="22" spans="1:10" ht="30" customHeight="1" x14ac:dyDescent="0.25">
      <c r="A22" s="19">
        <v>18</v>
      </c>
      <c r="B22" s="8"/>
      <c r="C22" s="10" t="s">
        <v>13</v>
      </c>
      <c r="D22" s="20" t="s">
        <v>1</v>
      </c>
      <c r="E22" s="20">
        <v>721</v>
      </c>
      <c r="F22" s="20">
        <v>2</v>
      </c>
      <c r="G22" s="20">
        <v>29</v>
      </c>
      <c r="H22" s="20">
        <v>300</v>
      </c>
      <c r="I22" s="20">
        <v>421</v>
      </c>
      <c r="J22" s="18" t="s">
        <v>140</v>
      </c>
    </row>
    <row r="23" spans="1:10" ht="30" customHeight="1" x14ac:dyDescent="0.25">
      <c r="A23" s="19">
        <v>19</v>
      </c>
      <c r="B23" s="8" t="s">
        <v>12</v>
      </c>
      <c r="C23" s="10" t="s">
        <v>190</v>
      </c>
      <c r="D23" s="20" t="s">
        <v>1</v>
      </c>
      <c r="E23" s="20">
        <v>721</v>
      </c>
      <c r="F23" s="20">
        <v>2</v>
      </c>
      <c r="G23" s="20">
        <v>30</v>
      </c>
      <c r="H23" s="20">
        <v>300</v>
      </c>
      <c r="I23" s="20">
        <v>421</v>
      </c>
      <c r="J23" s="18" t="s">
        <v>139</v>
      </c>
    </row>
    <row r="24" spans="1:10" ht="30" customHeight="1" x14ac:dyDescent="0.25">
      <c r="A24" s="19">
        <v>20</v>
      </c>
      <c r="B24" s="8" t="s">
        <v>0</v>
      </c>
      <c r="C24" s="10" t="s">
        <v>128</v>
      </c>
      <c r="D24" s="20" t="s">
        <v>1</v>
      </c>
      <c r="E24" s="20">
        <v>849</v>
      </c>
      <c r="F24" s="20">
        <v>2</v>
      </c>
      <c r="G24" s="20">
        <v>31</v>
      </c>
      <c r="H24" s="20">
        <v>300</v>
      </c>
      <c r="I24" s="20">
        <v>549</v>
      </c>
      <c r="J24" s="18" t="s">
        <v>126</v>
      </c>
    </row>
    <row r="25" spans="1:10" ht="30" customHeight="1" x14ac:dyDescent="0.25">
      <c r="A25" s="19">
        <v>21</v>
      </c>
      <c r="B25" s="8" t="s">
        <v>26</v>
      </c>
      <c r="C25" s="10" t="s">
        <v>198</v>
      </c>
      <c r="D25" s="20" t="s">
        <v>1</v>
      </c>
      <c r="E25" s="20">
        <v>749</v>
      </c>
      <c r="F25" s="20">
        <v>2</v>
      </c>
      <c r="G25" s="20">
        <v>32</v>
      </c>
      <c r="H25" s="20">
        <v>300</v>
      </c>
      <c r="I25" s="20">
        <v>449</v>
      </c>
      <c r="J25" s="18" t="s">
        <v>154</v>
      </c>
    </row>
    <row r="26" spans="1:10" ht="30" customHeight="1" x14ac:dyDescent="0.25">
      <c r="A26" s="19">
        <v>22</v>
      </c>
      <c r="B26" s="8"/>
      <c r="C26" s="10" t="s">
        <v>24</v>
      </c>
      <c r="D26" s="20" t="s">
        <v>1</v>
      </c>
      <c r="E26" s="20">
        <v>756</v>
      </c>
      <c r="F26" s="20">
        <v>2</v>
      </c>
      <c r="G26" s="20">
        <v>33</v>
      </c>
      <c r="H26" s="20">
        <v>300</v>
      </c>
      <c r="I26" s="20">
        <v>456</v>
      </c>
      <c r="J26" s="18" t="s">
        <v>152</v>
      </c>
    </row>
    <row r="27" spans="1:10" ht="30" customHeight="1" x14ac:dyDescent="0.25">
      <c r="A27" s="19">
        <v>23</v>
      </c>
      <c r="B27" s="8" t="s">
        <v>18</v>
      </c>
      <c r="C27" s="10" t="s">
        <v>193</v>
      </c>
      <c r="D27" s="20" t="s">
        <v>1</v>
      </c>
      <c r="E27" s="20">
        <v>752</v>
      </c>
      <c r="F27" s="20">
        <v>2</v>
      </c>
      <c r="G27" s="20">
        <v>34</v>
      </c>
      <c r="H27" s="20">
        <v>300</v>
      </c>
      <c r="I27" s="20">
        <v>452</v>
      </c>
      <c r="J27" s="18" t="s">
        <v>145</v>
      </c>
    </row>
    <row r="28" spans="1:10" ht="30" customHeight="1" x14ac:dyDescent="0.25">
      <c r="A28" s="19">
        <v>24</v>
      </c>
      <c r="B28" s="8" t="s">
        <v>33</v>
      </c>
      <c r="C28" s="10" t="s">
        <v>205</v>
      </c>
      <c r="D28" s="20" t="s">
        <v>1</v>
      </c>
      <c r="E28" s="20">
        <v>737</v>
      </c>
      <c r="F28" s="20">
        <v>2</v>
      </c>
      <c r="G28" s="20">
        <v>35</v>
      </c>
      <c r="H28" s="20">
        <v>300</v>
      </c>
      <c r="I28" s="20">
        <v>437</v>
      </c>
      <c r="J28" s="18" t="s">
        <v>163</v>
      </c>
    </row>
    <row r="29" spans="1:10" ht="30" customHeight="1" x14ac:dyDescent="0.25">
      <c r="A29" s="19">
        <v>25</v>
      </c>
      <c r="B29" s="8" t="s">
        <v>8</v>
      </c>
      <c r="C29" s="10" t="s">
        <v>186</v>
      </c>
      <c r="D29" s="20" t="s">
        <v>1</v>
      </c>
      <c r="E29" s="20">
        <v>730</v>
      </c>
      <c r="F29" s="20">
        <v>2</v>
      </c>
      <c r="G29" s="20">
        <v>36</v>
      </c>
      <c r="H29" s="20">
        <v>300</v>
      </c>
      <c r="I29" s="20">
        <v>430</v>
      </c>
      <c r="J29" s="18" t="s">
        <v>135</v>
      </c>
    </row>
    <row r="30" spans="1:10" ht="30" customHeight="1" x14ac:dyDescent="0.25">
      <c r="A30" s="19">
        <v>26</v>
      </c>
      <c r="B30" s="10" t="s">
        <v>2</v>
      </c>
      <c r="C30" s="10" t="s">
        <v>178</v>
      </c>
      <c r="D30" s="20" t="s">
        <v>1</v>
      </c>
      <c r="E30" s="20">
        <v>759</v>
      </c>
      <c r="F30" s="20">
        <v>2</v>
      </c>
      <c r="G30" s="20">
        <v>37</v>
      </c>
      <c r="H30" s="20">
        <v>300</v>
      </c>
      <c r="I30" s="20">
        <v>459</v>
      </c>
      <c r="J30" s="18" t="s">
        <v>129</v>
      </c>
    </row>
    <row r="31" spans="1:10" ht="30" customHeight="1" x14ac:dyDescent="0.25">
      <c r="A31" s="19">
        <v>27</v>
      </c>
      <c r="B31" s="10" t="s">
        <v>182</v>
      </c>
      <c r="C31" s="10" t="s">
        <v>183</v>
      </c>
      <c r="D31" s="20" t="s">
        <v>1</v>
      </c>
      <c r="E31" s="20">
        <v>948</v>
      </c>
      <c r="F31" s="20">
        <v>2</v>
      </c>
      <c r="G31" s="20">
        <v>38</v>
      </c>
      <c r="H31" s="20">
        <v>300</v>
      </c>
      <c r="I31" s="20">
        <v>648</v>
      </c>
      <c r="J31" s="18" t="s">
        <v>132</v>
      </c>
    </row>
    <row r="32" spans="1:10" ht="30" customHeight="1" x14ac:dyDescent="0.25">
      <c r="A32" s="19">
        <v>28</v>
      </c>
      <c r="B32" s="8"/>
      <c r="C32" s="10" t="s">
        <v>25</v>
      </c>
      <c r="D32" s="20" t="s">
        <v>1</v>
      </c>
      <c r="E32" s="20">
        <v>793</v>
      </c>
      <c r="F32" s="20">
        <v>2</v>
      </c>
      <c r="G32" s="20">
        <v>39</v>
      </c>
      <c r="H32" s="20">
        <v>300</v>
      </c>
      <c r="I32" s="20">
        <v>493</v>
      </c>
      <c r="J32" s="18" t="s">
        <v>161</v>
      </c>
    </row>
    <row r="33" spans="1:10" ht="30" customHeight="1" x14ac:dyDescent="0.25">
      <c r="A33" s="19">
        <v>29</v>
      </c>
      <c r="B33" s="10" t="s">
        <v>11</v>
      </c>
      <c r="C33" s="38" t="s">
        <v>189</v>
      </c>
      <c r="D33" s="20" t="s">
        <v>1</v>
      </c>
      <c r="E33" s="20">
        <v>807</v>
      </c>
      <c r="F33" s="20">
        <v>2</v>
      </c>
      <c r="G33" s="20">
        <v>40</v>
      </c>
      <c r="H33" s="20">
        <v>300</v>
      </c>
      <c r="I33" s="20">
        <v>507</v>
      </c>
      <c r="J33" s="18" t="s">
        <v>138</v>
      </c>
    </row>
    <row r="34" spans="1:10" ht="30" customHeight="1" x14ac:dyDescent="0.25">
      <c r="A34" s="19">
        <v>30</v>
      </c>
      <c r="B34" s="8" t="s">
        <v>6</v>
      </c>
      <c r="C34" s="10" t="s">
        <v>184</v>
      </c>
      <c r="D34" s="20" t="s">
        <v>1</v>
      </c>
      <c r="E34" s="20">
        <v>713</v>
      </c>
      <c r="F34" s="20">
        <v>2</v>
      </c>
      <c r="G34" s="20">
        <v>41</v>
      </c>
      <c r="H34" s="20">
        <v>300</v>
      </c>
      <c r="I34" s="20">
        <v>413</v>
      </c>
      <c r="J34" s="18" t="s">
        <v>133</v>
      </c>
    </row>
    <row r="35" spans="1:10" ht="30" customHeight="1" x14ac:dyDescent="0.25">
      <c r="A35" s="19">
        <v>31</v>
      </c>
      <c r="B35" s="8" t="s">
        <v>46</v>
      </c>
      <c r="C35" s="10"/>
      <c r="D35" s="20" t="s">
        <v>1</v>
      </c>
      <c r="E35" s="20">
        <v>708</v>
      </c>
      <c r="F35" s="20">
        <v>2</v>
      </c>
      <c r="G35" s="20">
        <v>42</v>
      </c>
      <c r="H35" s="20">
        <v>300</v>
      </c>
      <c r="I35" s="20">
        <v>408</v>
      </c>
      <c r="J35" s="18" t="s">
        <v>176</v>
      </c>
    </row>
    <row r="36" spans="1:10" ht="30" customHeight="1" x14ac:dyDescent="0.25">
      <c r="A36" s="19">
        <v>32</v>
      </c>
      <c r="B36" s="8" t="s">
        <v>14</v>
      </c>
      <c r="C36" s="10"/>
      <c r="D36" s="20" t="s">
        <v>1</v>
      </c>
      <c r="E36" s="20">
        <v>758</v>
      </c>
      <c r="F36" s="20">
        <v>2</v>
      </c>
      <c r="G36" s="20">
        <v>43</v>
      </c>
      <c r="H36" s="20">
        <v>300</v>
      </c>
      <c r="I36" s="20">
        <v>458</v>
      </c>
      <c r="J36" s="18" t="s">
        <v>141</v>
      </c>
    </row>
    <row r="37" spans="1:10" ht="30" customHeight="1" x14ac:dyDescent="0.25">
      <c r="A37" s="19">
        <v>33</v>
      </c>
      <c r="B37" s="8" t="s">
        <v>207</v>
      </c>
      <c r="C37" s="10" t="s">
        <v>35</v>
      </c>
      <c r="D37" s="20" t="s">
        <v>1</v>
      </c>
      <c r="E37" s="20">
        <v>707</v>
      </c>
      <c r="F37" s="20">
        <v>2</v>
      </c>
      <c r="G37" s="20">
        <v>44</v>
      </c>
      <c r="H37" s="20">
        <v>300</v>
      </c>
      <c r="I37" s="20">
        <v>407</v>
      </c>
      <c r="J37" s="18" t="s">
        <v>165</v>
      </c>
    </row>
    <row r="38" spans="1:10" ht="30" customHeight="1" x14ac:dyDescent="0.25">
      <c r="A38" s="19">
        <v>34</v>
      </c>
      <c r="B38" s="8" t="s">
        <v>10</v>
      </c>
      <c r="C38" s="10" t="s">
        <v>188</v>
      </c>
      <c r="D38" s="20" t="s">
        <v>1</v>
      </c>
      <c r="E38" s="20">
        <v>799</v>
      </c>
      <c r="F38" s="20">
        <v>2</v>
      </c>
      <c r="G38" s="20">
        <v>45</v>
      </c>
      <c r="H38" s="20">
        <v>300</v>
      </c>
      <c r="I38" s="20">
        <v>499</v>
      </c>
      <c r="J38" s="18" t="s">
        <v>137</v>
      </c>
    </row>
    <row r="39" spans="1:10" ht="30" customHeight="1" x14ac:dyDescent="0.25">
      <c r="A39" s="19">
        <v>35</v>
      </c>
      <c r="B39" s="10"/>
      <c r="C39" s="38" t="s">
        <v>37</v>
      </c>
      <c r="D39" s="20" t="s">
        <v>1</v>
      </c>
      <c r="E39" s="20">
        <v>697</v>
      </c>
      <c r="F39" s="20">
        <v>2</v>
      </c>
      <c r="G39" s="20">
        <v>47</v>
      </c>
      <c r="H39" s="20">
        <v>300</v>
      </c>
      <c r="I39" s="20">
        <v>397</v>
      </c>
      <c r="J39" s="18" t="s">
        <v>167</v>
      </c>
    </row>
    <row r="40" spans="1:10" ht="30" customHeight="1" x14ac:dyDescent="0.25">
      <c r="A40" s="19">
        <v>36</v>
      </c>
      <c r="B40" s="8" t="s">
        <v>19</v>
      </c>
      <c r="C40" s="10"/>
      <c r="D40" s="20" t="s">
        <v>1</v>
      </c>
      <c r="E40" s="20">
        <v>675</v>
      </c>
      <c r="F40" s="20">
        <v>2</v>
      </c>
      <c r="G40" s="20">
        <v>48</v>
      </c>
      <c r="H40" s="20">
        <v>300</v>
      </c>
      <c r="I40" s="20">
        <v>375</v>
      </c>
      <c r="J40" s="18" t="s">
        <v>146</v>
      </c>
    </row>
    <row r="41" spans="1:10" ht="30" customHeight="1" x14ac:dyDescent="0.25">
      <c r="A41" s="19">
        <v>37</v>
      </c>
      <c r="B41" s="8" t="s">
        <v>15</v>
      </c>
      <c r="C41" s="10" t="s">
        <v>191</v>
      </c>
      <c r="D41" s="20" t="s">
        <v>1</v>
      </c>
      <c r="E41" s="20">
        <v>668</v>
      </c>
      <c r="F41" s="20">
        <v>2</v>
      </c>
      <c r="G41" s="20">
        <v>49</v>
      </c>
      <c r="H41" s="20">
        <v>300</v>
      </c>
      <c r="I41" s="20">
        <v>368</v>
      </c>
      <c r="J41" s="18" t="s">
        <v>142</v>
      </c>
    </row>
    <row r="42" spans="1:10" ht="30" customHeight="1" x14ac:dyDescent="0.25">
      <c r="A42" s="19">
        <v>38</v>
      </c>
      <c r="B42" s="8" t="s">
        <v>20</v>
      </c>
      <c r="C42" s="10"/>
      <c r="D42" s="20" t="s">
        <v>1</v>
      </c>
      <c r="E42" s="20">
        <v>672</v>
      </c>
      <c r="F42" s="20">
        <v>2</v>
      </c>
      <c r="G42" s="20">
        <v>50</v>
      </c>
      <c r="H42" s="20">
        <v>300</v>
      </c>
      <c r="I42" s="20">
        <v>372</v>
      </c>
      <c r="J42" s="18" t="s">
        <v>147</v>
      </c>
    </row>
    <row r="43" spans="1:10" ht="30" customHeight="1" x14ac:dyDescent="0.25">
      <c r="A43" s="19">
        <v>39</v>
      </c>
      <c r="B43" s="8" t="s">
        <v>16</v>
      </c>
      <c r="C43" s="10"/>
      <c r="D43" s="20" t="s">
        <v>1</v>
      </c>
      <c r="E43" s="20">
        <v>715</v>
      </c>
      <c r="F43" s="20">
        <v>2</v>
      </c>
      <c r="G43" s="20">
        <v>51</v>
      </c>
      <c r="H43" s="20">
        <v>300</v>
      </c>
      <c r="I43" s="20">
        <v>415</v>
      </c>
      <c r="J43" s="18" t="s">
        <v>143</v>
      </c>
    </row>
    <row r="44" spans="1:10" ht="30" customHeight="1" x14ac:dyDescent="0.25">
      <c r="A44" s="19">
        <v>40</v>
      </c>
      <c r="B44" s="8" t="s">
        <v>204</v>
      </c>
      <c r="C44" s="10" t="s">
        <v>32</v>
      </c>
      <c r="D44" s="20" t="s">
        <v>1</v>
      </c>
      <c r="E44" s="20">
        <v>671</v>
      </c>
      <c r="F44" s="20">
        <v>2</v>
      </c>
      <c r="G44" s="20">
        <v>53</v>
      </c>
      <c r="H44" s="20">
        <v>300</v>
      </c>
      <c r="I44" s="20">
        <v>371</v>
      </c>
      <c r="J44" s="18" t="s">
        <v>162</v>
      </c>
    </row>
    <row r="45" spans="1:10" ht="30" customHeight="1" x14ac:dyDescent="0.25">
      <c r="A45" s="19">
        <v>41</v>
      </c>
      <c r="B45" s="10" t="s">
        <v>22</v>
      </c>
      <c r="C45" s="38"/>
      <c r="D45" s="20" t="s">
        <v>1</v>
      </c>
      <c r="E45" s="20">
        <v>686</v>
      </c>
      <c r="F45" s="20">
        <v>2</v>
      </c>
      <c r="G45" s="20">
        <v>54</v>
      </c>
      <c r="H45" s="20">
        <v>300</v>
      </c>
      <c r="I45" s="20">
        <v>386</v>
      </c>
      <c r="J45" s="18" t="s">
        <v>150</v>
      </c>
    </row>
    <row r="46" spans="1:10" ht="30" customHeight="1" x14ac:dyDescent="0.25">
      <c r="A46" s="19">
        <v>42</v>
      </c>
      <c r="B46" s="8" t="s">
        <v>43</v>
      </c>
      <c r="C46" s="10" t="s">
        <v>214</v>
      </c>
      <c r="D46" s="20" t="s">
        <v>1</v>
      </c>
      <c r="E46" s="20">
        <v>691</v>
      </c>
      <c r="F46" s="20">
        <v>2</v>
      </c>
      <c r="G46" s="20">
        <v>56</v>
      </c>
      <c r="H46" s="20">
        <v>300</v>
      </c>
      <c r="I46" s="20">
        <v>391</v>
      </c>
      <c r="J46" s="18" t="s">
        <v>172</v>
      </c>
    </row>
    <row r="47" spans="1:10" ht="30" customHeight="1" x14ac:dyDescent="0.25">
      <c r="A47" s="19">
        <v>43</v>
      </c>
      <c r="B47" s="8" t="s">
        <v>206</v>
      </c>
      <c r="C47" s="10" t="s">
        <v>34</v>
      </c>
      <c r="D47" s="20" t="s">
        <v>1</v>
      </c>
      <c r="E47" s="20">
        <v>692</v>
      </c>
      <c r="F47" s="20">
        <v>2</v>
      </c>
      <c r="G47" s="20">
        <v>57</v>
      </c>
      <c r="H47" s="20">
        <v>300</v>
      </c>
      <c r="I47" s="20">
        <v>392</v>
      </c>
      <c r="J47" s="18" t="s">
        <v>164</v>
      </c>
    </row>
    <row r="48" spans="1:10" ht="30" customHeight="1" x14ac:dyDescent="0.25">
      <c r="A48" s="19">
        <v>44</v>
      </c>
      <c r="B48" s="8" t="s">
        <v>195</v>
      </c>
      <c r="C48" s="10" t="s">
        <v>196</v>
      </c>
      <c r="D48" s="20" t="s">
        <v>1</v>
      </c>
      <c r="E48" s="20">
        <v>762</v>
      </c>
      <c r="F48" s="20">
        <v>2</v>
      </c>
      <c r="G48" s="20">
        <v>58</v>
      </c>
      <c r="H48" s="20">
        <v>300</v>
      </c>
      <c r="I48" s="20">
        <v>462</v>
      </c>
      <c r="J48" s="18" t="s">
        <v>149</v>
      </c>
    </row>
    <row r="49" spans="1:10" ht="30" customHeight="1" x14ac:dyDescent="0.25">
      <c r="A49" s="19">
        <v>45</v>
      </c>
      <c r="B49" s="8" t="s">
        <v>44</v>
      </c>
      <c r="C49" s="10" t="s">
        <v>215</v>
      </c>
      <c r="D49" s="20" t="s">
        <v>1</v>
      </c>
      <c r="E49" s="20">
        <v>724</v>
      </c>
      <c r="F49" s="20">
        <v>2</v>
      </c>
      <c r="G49" s="20">
        <v>62</v>
      </c>
      <c r="H49" s="20">
        <v>300</v>
      </c>
      <c r="I49" s="20">
        <v>424</v>
      </c>
      <c r="J49" s="18" t="s">
        <v>173</v>
      </c>
    </row>
    <row r="50" spans="1:10" ht="30" customHeight="1" x14ac:dyDescent="0.25">
      <c r="A50" s="19">
        <v>46</v>
      </c>
      <c r="B50" s="8" t="s">
        <v>45</v>
      </c>
      <c r="C50" s="10"/>
      <c r="D50" s="20" t="s">
        <v>1</v>
      </c>
      <c r="E50" s="20">
        <v>706</v>
      </c>
      <c r="F50" s="20">
        <v>2</v>
      </c>
      <c r="G50" s="20">
        <v>63</v>
      </c>
      <c r="H50" s="20">
        <v>300</v>
      </c>
      <c r="I50" s="20">
        <v>406</v>
      </c>
      <c r="J50" s="18" t="s">
        <v>174</v>
      </c>
    </row>
    <row r="51" spans="1:10" ht="30" customHeight="1" x14ac:dyDescent="0.25">
      <c r="A51" s="19">
        <v>47</v>
      </c>
      <c r="B51" s="8" t="s">
        <v>47</v>
      </c>
      <c r="C51" s="10"/>
      <c r="D51" s="20" t="s">
        <v>1</v>
      </c>
      <c r="E51" s="20">
        <v>689</v>
      </c>
      <c r="F51" s="20">
        <v>2</v>
      </c>
      <c r="G51" s="20">
        <v>64</v>
      </c>
      <c r="H51" s="20">
        <v>300</v>
      </c>
      <c r="I51" s="20">
        <v>389</v>
      </c>
      <c r="J51" s="18" t="s">
        <v>177</v>
      </c>
    </row>
    <row r="52" spans="1:10" ht="30" customHeight="1" x14ac:dyDescent="0.25">
      <c r="A52" s="19">
        <v>48</v>
      </c>
      <c r="B52" s="8" t="s">
        <v>38</v>
      </c>
      <c r="C52" s="10" t="s">
        <v>209</v>
      </c>
      <c r="D52" s="20" t="s">
        <v>1</v>
      </c>
      <c r="E52" s="20">
        <v>699</v>
      </c>
      <c r="F52" s="20">
        <v>2</v>
      </c>
      <c r="G52" s="20">
        <v>65</v>
      </c>
      <c r="H52" s="20">
        <v>300</v>
      </c>
      <c r="I52" s="20">
        <v>399</v>
      </c>
      <c r="J52" s="18" t="s">
        <v>168</v>
      </c>
    </row>
    <row r="53" spans="1:10" ht="30" customHeight="1" x14ac:dyDescent="0.25">
      <c r="A53" s="19">
        <v>49</v>
      </c>
      <c r="B53" s="8" t="s">
        <v>41</v>
      </c>
      <c r="C53" s="10" t="s">
        <v>212</v>
      </c>
      <c r="D53" s="20" t="s">
        <v>1</v>
      </c>
      <c r="E53" s="20">
        <v>706</v>
      </c>
      <c r="F53" s="20">
        <v>2</v>
      </c>
      <c r="G53" s="20">
        <v>66</v>
      </c>
      <c r="H53" s="20">
        <v>300</v>
      </c>
      <c r="I53" s="20">
        <v>406</v>
      </c>
      <c r="J53" s="18" t="s">
        <v>171</v>
      </c>
    </row>
    <row r="54" spans="1:10" ht="30" customHeight="1" x14ac:dyDescent="0.25">
      <c r="A54" s="19">
        <v>50</v>
      </c>
      <c r="B54" s="8"/>
      <c r="C54" s="10" t="s">
        <v>27</v>
      </c>
      <c r="D54" s="20" t="s">
        <v>1</v>
      </c>
      <c r="E54" s="20">
        <v>717</v>
      </c>
      <c r="F54" s="20">
        <v>2</v>
      </c>
      <c r="G54" s="20">
        <v>67</v>
      </c>
      <c r="H54" s="20">
        <v>300</v>
      </c>
      <c r="I54" s="20">
        <v>417</v>
      </c>
      <c r="J54" s="18" t="s">
        <v>155</v>
      </c>
    </row>
    <row r="55" spans="1:10" ht="30" customHeight="1" x14ac:dyDescent="0.25">
      <c r="A55" s="19">
        <v>51</v>
      </c>
      <c r="B55" s="8" t="s">
        <v>40</v>
      </c>
      <c r="C55" s="10" t="s">
        <v>211</v>
      </c>
      <c r="D55" s="20" t="s">
        <v>1</v>
      </c>
      <c r="E55" s="20">
        <v>714</v>
      </c>
      <c r="F55" s="20">
        <v>2</v>
      </c>
      <c r="G55" s="20">
        <v>68</v>
      </c>
      <c r="H55" s="20">
        <v>300</v>
      </c>
      <c r="I55" s="20">
        <v>414</v>
      </c>
      <c r="J55" s="18" t="s">
        <v>170</v>
      </c>
    </row>
    <row r="56" spans="1:10" ht="30" customHeight="1" x14ac:dyDescent="0.25">
      <c r="A56" s="19">
        <v>52</v>
      </c>
      <c r="B56" s="21" t="s">
        <v>39</v>
      </c>
      <c r="C56" s="22" t="s">
        <v>210</v>
      </c>
      <c r="D56" s="23" t="s">
        <v>1</v>
      </c>
      <c r="E56" s="23">
        <v>719</v>
      </c>
      <c r="F56" s="23">
        <v>2</v>
      </c>
      <c r="G56" s="23">
        <v>69</v>
      </c>
      <c r="H56" s="23">
        <v>300</v>
      </c>
      <c r="I56" s="23">
        <v>419</v>
      </c>
      <c r="J56" s="24" t="s">
        <v>169</v>
      </c>
    </row>
    <row r="57" spans="1:10" ht="23.25" customHeight="1" thickBot="1" x14ac:dyDescent="0.3">
      <c r="A57" s="39" t="s">
        <v>237</v>
      </c>
      <c r="B57" s="40"/>
      <c r="C57" s="40"/>
      <c r="D57" s="41"/>
      <c r="E57" s="27">
        <v>38000</v>
      </c>
      <c r="F57" s="26"/>
      <c r="G57" s="26"/>
      <c r="H57" s="27">
        <v>15600</v>
      </c>
      <c r="I57" s="27">
        <v>22400</v>
      </c>
      <c r="J57" s="27" t="s">
        <v>240</v>
      </c>
    </row>
    <row r="58" spans="1:10" x14ac:dyDescent="0.25">
      <c r="A58" s="42" t="s">
        <v>238</v>
      </c>
      <c r="B58" s="42"/>
      <c r="C58" s="42"/>
      <c r="D58" s="42"/>
      <c r="E58" s="42"/>
      <c r="F58" s="42"/>
      <c r="G58" s="42"/>
      <c r="H58" s="42"/>
      <c r="I58" s="42"/>
      <c r="J58" s="42"/>
    </row>
    <row r="59" spans="1:10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</row>
  </sheetData>
  <mergeCells count="12">
    <mergeCell ref="A58:J59"/>
    <mergeCell ref="A57:D57"/>
    <mergeCell ref="A1:J1"/>
    <mergeCell ref="A2:J2"/>
    <mergeCell ref="A3:A4"/>
    <mergeCell ref="B3:C3"/>
    <mergeCell ref="D3:D4"/>
    <mergeCell ref="E3:E4"/>
    <mergeCell ref="F3:F4"/>
    <mergeCell ref="G3:G4"/>
    <mergeCell ref="H3:I3"/>
    <mergeCell ref="J3:J4"/>
  </mergeCells>
  <pageMargins left="0.7" right="0.7" top="0.75" bottom="0.75" header="0.3" footer="0.3"/>
  <pageSetup paperSize="9" scale="87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59"/>
  <sheetViews>
    <sheetView showZeros="0" view="pageBreakPreview" zoomScaleNormal="100" zoomScaleSheetLayoutView="100" workbookViewId="0">
      <selection activeCell="A2" sqref="A2:J2"/>
    </sheetView>
  </sheetViews>
  <sheetFormatPr defaultRowHeight="15" x14ac:dyDescent="0.25"/>
  <cols>
    <col min="2" max="2" width="25" style="6" customWidth="1"/>
    <col min="3" max="3" width="21.85546875" style="7" customWidth="1"/>
    <col min="4" max="4" width="15.42578125" customWidth="1"/>
    <col min="10" max="10" width="33.140625" bestFit="1" customWidth="1"/>
  </cols>
  <sheetData>
    <row r="1" spans="1:10" ht="56.25" customHeight="1" x14ac:dyDescent="0.25">
      <c r="A1" s="44" t="s">
        <v>234</v>
      </c>
      <c r="B1" s="44"/>
      <c r="C1" s="44"/>
      <c r="D1" s="44"/>
      <c r="E1" s="44"/>
      <c r="F1" s="44"/>
      <c r="G1" s="44"/>
      <c r="H1" s="44"/>
      <c r="I1" s="44"/>
      <c r="J1" s="44"/>
    </row>
    <row r="2" spans="1:10" ht="23.25" customHeight="1" thickBot="1" x14ac:dyDescent="0.3">
      <c r="A2" s="56" t="s">
        <v>235</v>
      </c>
      <c r="B2" s="56"/>
      <c r="C2" s="56"/>
      <c r="D2" s="56"/>
      <c r="E2" s="56"/>
      <c r="F2" s="56"/>
      <c r="G2" s="56"/>
      <c r="H2" s="56"/>
      <c r="I2" s="56"/>
      <c r="J2" s="56"/>
    </row>
    <row r="3" spans="1:10" ht="30" customHeight="1" x14ac:dyDescent="0.25">
      <c r="A3" s="46" t="s">
        <v>220</v>
      </c>
      <c r="B3" s="48" t="s">
        <v>221</v>
      </c>
      <c r="C3" s="48"/>
      <c r="D3" s="49" t="s">
        <v>222</v>
      </c>
      <c r="E3" s="51" t="s">
        <v>223</v>
      </c>
      <c r="F3" s="51" t="s">
        <v>236</v>
      </c>
      <c r="G3" s="49" t="s">
        <v>225</v>
      </c>
      <c r="H3" s="49" t="s">
        <v>228</v>
      </c>
      <c r="I3" s="49"/>
      <c r="J3" s="53" t="s">
        <v>239</v>
      </c>
    </row>
    <row r="4" spans="1:10" ht="30" customHeight="1" x14ac:dyDescent="0.25">
      <c r="A4" s="47"/>
      <c r="B4" s="8" t="s">
        <v>230</v>
      </c>
      <c r="C4" s="8" t="s">
        <v>231</v>
      </c>
      <c r="D4" s="50"/>
      <c r="E4" s="52"/>
      <c r="F4" s="50"/>
      <c r="G4" s="50"/>
      <c r="H4" s="20" t="s">
        <v>226</v>
      </c>
      <c r="I4" s="20" t="s">
        <v>227</v>
      </c>
      <c r="J4" s="54"/>
    </row>
    <row r="5" spans="1:10" ht="30" customHeight="1" x14ac:dyDescent="0.25">
      <c r="A5" s="19">
        <v>1</v>
      </c>
      <c r="B5" s="8" t="s">
        <v>17</v>
      </c>
      <c r="C5" s="10" t="s">
        <v>192</v>
      </c>
      <c r="D5" s="20" t="s">
        <v>1</v>
      </c>
      <c r="E5" s="20">
        <v>719</v>
      </c>
      <c r="F5" s="20">
        <v>2</v>
      </c>
      <c r="G5" s="20">
        <v>9</v>
      </c>
      <c r="H5" s="20">
        <v>300</v>
      </c>
      <c r="I5" s="20">
        <v>419</v>
      </c>
      <c r="J5" s="18" t="s">
        <v>144</v>
      </c>
    </row>
    <row r="6" spans="1:10" ht="30" customHeight="1" x14ac:dyDescent="0.25">
      <c r="A6" s="19">
        <v>2</v>
      </c>
      <c r="B6" s="8" t="s">
        <v>7</v>
      </c>
      <c r="C6" s="10" t="s">
        <v>185</v>
      </c>
      <c r="D6" s="20" t="s">
        <v>1</v>
      </c>
      <c r="E6" s="20">
        <v>719</v>
      </c>
      <c r="F6" s="20">
        <v>2</v>
      </c>
      <c r="G6" s="20">
        <v>10</v>
      </c>
      <c r="H6" s="20">
        <v>300</v>
      </c>
      <c r="I6" s="20">
        <v>419</v>
      </c>
      <c r="J6" s="18" t="s">
        <v>134</v>
      </c>
    </row>
    <row r="7" spans="1:10" ht="30" customHeight="1" x14ac:dyDescent="0.25">
      <c r="A7" s="19">
        <v>3</v>
      </c>
      <c r="B7" s="8" t="s">
        <v>29</v>
      </c>
      <c r="C7" s="10" t="s">
        <v>200</v>
      </c>
      <c r="D7" s="20" t="s">
        <v>1</v>
      </c>
      <c r="E7" s="20">
        <v>719</v>
      </c>
      <c r="F7" s="20">
        <v>2</v>
      </c>
      <c r="G7" s="20">
        <v>12</v>
      </c>
      <c r="H7" s="20">
        <v>300</v>
      </c>
      <c r="I7" s="20">
        <v>419</v>
      </c>
      <c r="J7" s="18" t="s">
        <v>157</v>
      </c>
    </row>
    <row r="8" spans="1:10" ht="30" customHeight="1" x14ac:dyDescent="0.25">
      <c r="A8" s="19">
        <v>4</v>
      </c>
      <c r="B8" s="10" t="s">
        <v>23</v>
      </c>
      <c r="C8" s="37" t="s">
        <v>197</v>
      </c>
      <c r="D8" s="20" t="s">
        <v>1</v>
      </c>
      <c r="E8" s="20">
        <v>719</v>
      </c>
      <c r="F8" s="20">
        <v>2</v>
      </c>
      <c r="G8" s="20">
        <v>13</v>
      </c>
      <c r="H8" s="20">
        <v>300</v>
      </c>
      <c r="I8" s="20">
        <v>419</v>
      </c>
      <c r="J8" s="18" t="s">
        <v>151</v>
      </c>
    </row>
    <row r="9" spans="1:10" ht="30" customHeight="1" x14ac:dyDescent="0.25">
      <c r="A9" s="19">
        <v>5</v>
      </c>
      <c r="B9" s="8" t="s">
        <v>21</v>
      </c>
      <c r="C9" s="10" t="s">
        <v>194</v>
      </c>
      <c r="D9" s="20" t="s">
        <v>1</v>
      </c>
      <c r="E9" s="20">
        <v>719</v>
      </c>
      <c r="F9" s="20">
        <v>2</v>
      </c>
      <c r="G9" s="20">
        <v>14</v>
      </c>
      <c r="H9" s="20">
        <v>300</v>
      </c>
      <c r="I9" s="20">
        <v>419</v>
      </c>
      <c r="J9" s="18" t="s">
        <v>148</v>
      </c>
    </row>
    <row r="10" spans="1:10" ht="30" customHeight="1" x14ac:dyDescent="0.25">
      <c r="A10" s="19">
        <v>6</v>
      </c>
      <c r="B10" s="8"/>
      <c r="C10" s="10" t="s">
        <v>25</v>
      </c>
      <c r="D10" s="20" t="s">
        <v>1</v>
      </c>
      <c r="E10" s="20">
        <v>735</v>
      </c>
      <c r="F10" s="20">
        <v>2</v>
      </c>
      <c r="G10" s="20">
        <v>16</v>
      </c>
      <c r="H10" s="20">
        <v>300</v>
      </c>
      <c r="I10" s="20">
        <v>435</v>
      </c>
      <c r="J10" s="18" t="s">
        <v>153</v>
      </c>
    </row>
    <row r="11" spans="1:10" ht="30" customHeight="1" x14ac:dyDescent="0.25">
      <c r="A11" s="19">
        <v>7</v>
      </c>
      <c r="B11" s="8" t="s">
        <v>199</v>
      </c>
      <c r="C11" s="10" t="s">
        <v>28</v>
      </c>
      <c r="D11" s="20" t="s">
        <v>1</v>
      </c>
      <c r="E11" s="20">
        <v>735</v>
      </c>
      <c r="F11" s="20">
        <v>2</v>
      </c>
      <c r="G11" s="20">
        <v>17</v>
      </c>
      <c r="H11" s="20">
        <v>300</v>
      </c>
      <c r="I11" s="20">
        <v>435</v>
      </c>
      <c r="J11" s="18" t="s">
        <v>156</v>
      </c>
    </row>
    <row r="12" spans="1:10" ht="30" customHeight="1" x14ac:dyDescent="0.25">
      <c r="A12" s="19">
        <v>8</v>
      </c>
      <c r="B12" s="8" t="s">
        <v>216</v>
      </c>
      <c r="C12" s="10"/>
      <c r="D12" s="20" t="s">
        <v>1</v>
      </c>
      <c r="E12" s="20">
        <v>861</v>
      </c>
      <c r="F12" s="20">
        <v>2</v>
      </c>
      <c r="G12" s="20">
        <v>19</v>
      </c>
      <c r="H12" s="20">
        <v>300</v>
      </c>
      <c r="I12" s="20">
        <v>561</v>
      </c>
      <c r="J12" s="18" t="s">
        <v>175</v>
      </c>
    </row>
    <row r="13" spans="1:10" ht="30" customHeight="1" x14ac:dyDescent="0.25">
      <c r="A13" s="19">
        <v>9</v>
      </c>
      <c r="B13" s="8" t="s">
        <v>208</v>
      </c>
      <c r="C13" s="10" t="s">
        <v>36</v>
      </c>
      <c r="D13" s="20" t="s">
        <v>1</v>
      </c>
      <c r="E13" s="20">
        <v>721</v>
      </c>
      <c r="F13" s="20">
        <v>2</v>
      </c>
      <c r="G13" s="20">
        <v>20</v>
      </c>
      <c r="H13" s="20">
        <v>300</v>
      </c>
      <c r="I13" s="20">
        <v>421</v>
      </c>
      <c r="J13" s="18" t="s">
        <v>166</v>
      </c>
    </row>
    <row r="14" spans="1:10" ht="30" customHeight="1" x14ac:dyDescent="0.25">
      <c r="A14" s="19">
        <v>10</v>
      </c>
      <c r="B14" s="8" t="s">
        <v>42</v>
      </c>
      <c r="C14" s="10" t="s">
        <v>213</v>
      </c>
      <c r="D14" s="20" t="s">
        <v>1</v>
      </c>
      <c r="E14" s="20">
        <v>726</v>
      </c>
      <c r="F14" s="20">
        <v>2</v>
      </c>
      <c r="G14" s="20">
        <v>21</v>
      </c>
      <c r="H14" s="20">
        <v>300</v>
      </c>
      <c r="I14" s="20">
        <v>426</v>
      </c>
      <c r="J14" s="18" t="s">
        <v>241</v>
      </c>
    </row>
    <row r="15" spans="1:10" ht="30" customHeight="1" x14ac:dyDescent="0.25">
      <c r="A15" s="19">
        <v>11</v>
      </c>
      <c r="B15" s="8" t="s">
        <v>9</v>
      </c>
      <c r="C15" s="10" t="s">
        <v>187</v>
      </c>
      <c r="D15" s="20" t="s">
        <v>1</v>
      </c>
      <c r="E15" s="20">
        <v>694</v>
      </c>
      <c r="F15" s="20">
        <v>2</v>
      </c>
      <c r="G15" s="20">
        <v>22</v>
      </c>
      <c r="H15" s="20">
        <v>300</v>
      </c>
      <c r="I15" s="20">
        <v>394</v>
      </c>
      <c r="J15" s="18" t="s">
        <v>136</v>
      </c>
    </row>
    <row r="16" spans="1:10" ht="30" customHeight="1" x14ac:dyDescent="0.25">
      <c r="A16" s="19">
        <v>12</v>
      </c>
      <c r="B16" s="8" t="s">
        <v>31</v>
      </c>
      <c r="C16" s="10" t="s">
        <v>203</v>
      </c>
      <c r="D16" s="20" t="s">
        <v>1</v>
      </c>
      <c r="E16" s="20">
        <v>736</v>
      </c>
      <c r="F16" s="20">
        <v>2</v>
      </c>
      <c r="G16" s="20">
        <v>23</v>
      </c>
      <c r="H16" s="20">
        <v>300</v>
      </c>
      <c r="I16" s="20">
        <v>436</v>
      </c>
      <c r="J16" s="18" t="s">
        <v>160</v>
      </c>
    </row>
    <row r="17" spans="1:10" ht="30" customHeight="1" x14ac:dyDescent="0.25">
      <c r="A17" s="19">
        <v>13</v>
      </c>
      <c r="B17" s="8" t="s">
        <v>5</v>
      </c>
      <c r="C17" s="10"/>
      <c r="D17" s="20" t="s">
        <v>1</v>
      </c>
      <c r="E17" s="20">
        <v>714</v>
      </c>
      <c r="F17" s="20">
        <v>2</v>
      </c>
      <c r="G17" s="20">
        <v>24</v>
      </c>
      <c r="H17" s="20">
        <v>300</v>
      </c>
      <c r="I17" s="20">
        <v>414</v>
      </c>
      <c r="J17" s="18" t="s">
        <v>131</v>
      </c>
    </row>
    <row r="18" spans="1:10" ht="30" customHeight="1" x14ac:dyDescent="0.25">
      <c r="A18" s="19">
        <v>14</v>
      </c>
      <c r="B18" s="10" t="s">
        <v>233</v>
      </c>
      <c r="C18" s="10" t="s">
        <v>202</v>
      </c>
      <c r="D18" s="20" t="s">
        <v>1</v>
      </c>
      <c r="E18" s="20">
        <v>710</v>
      </c>
      <c r="F18" s="20">
        <v>2</v>
      </c>
      <c r="G18" s="20">
        <v>25</v>
      </c>
      <c r="H18" s="20">
        <v>300</v>
      </c>
      <c r="I18" s="20">
        <v>410</v>
      </c>
      <c r="J18" s="18" t="s">
        <v>159</v>
      </c>
    </row>
    <row r="19" spans="1:10" ht="30" customHeight="1" x14ac:dyDescent="0.25">
      <c r="A19" s="19">
        <v>15</v>
      </c>
      <c r="B19" s="8" t="s">
        <v>30</v>
      </c>
      <c r="C19" s="10" t="s">
        <v>201</v>
      </c>
      <c r="D19" s="20" t="s">
        <v>1</v>
      </c>
      <c r="E19" s="20">
        <v>717</v>
      </c>
      <c r="F19" s="20">
        <v>2</v>
      </c>
      <c r="G19" s="20">
        <v>26</v>
      </c>
      <c r="H19" s="20">
        <v>300</v>
      </c>
      <c r="I19" s="20">
        <v>417</v>
      </c>
      <c r="J19" s="18" t="s">
        <v>158</v>
      </c>
    </row>
    <row r="20" spans="1:10" ht="30" customHeight="1" x14ac:dyDescent="0.25">
      <c r="A20" s="19">
        <v>16</v>
      </c>
      <c r="B20" s="8"/>
      <c r="C20" s="10" t="s">
        <v>4</v>
      </c>
      <c r="D20" s="20" t="s">
        <v>1</v>
      </c>
      <c r="E20" s="20">
        <v>723</v>
      </c>
      <c r="F20" s="20">
        <v>2</v>
      </c>
      <c r="G20" s="20">
        <v>27</v>
      </c>
      <c r="H20" s="20">
        <v>300</v>
      </c>
      <c r="I20" s="20">
        <v>423</v>
      </c>
      <c r="J20" s="18" t="s">
        <v>130</v>
      </c>
    </row>
    <row r="21" spans="1:10" ht="30" customHeight="1" x14ac:dyDescent="0.25">
      <c r="A21" s="19">
        <v>17</v>
      </c>
      <c r="B21" s="8" t="s">
        <v>3</v>
      </c>
      <c r="C21" s="10" t="s">
        <v>181</v>
      </c>
      <c r="D21" s="20" t="s">
        <v>1</v>
      </c>
      <c r="E21" s="20">
        <v>723</v>
      </c>
      <c r="F21" s="20">
        <v>2</v>
      </c>
      <c r="G21" s="20">
        <v>28</v>
      </c>
      <c r="H21" s="20">
        <v>300</v>
      </c>
      <c r="I21" s="20">
        <v>423</v>
      </c>
      <c r="J21" s="18" t="s">
        <v>219</v>
      </c>
    </row>
    <row r="22" spans="1:10" ht="30" customHeight="1" x14ac:dyDescent="0.25">
      <c r="A22" s="19">
        <v>18</v>
      </c>
      <c r="B22" s="8"/>
      <c r="C22" s="10" t="s">
        <v>13</v>
      </c>
      <c r="D22" s="20" t="s">
        <v>1</v>
      </c>
      <c r="E22" s="20">
        <v>721</v>
      </c>
      <c r="F22" s="20">
        <v>2</v>
      </c>
      <c r="G22" s="20">
        <v>29</v>
      </c>
      <c r="H22" s="20">
        <v>300</v>
      </c>
      <c r="I22" s="20">
        <v>421</v>
      </c>
      <c r="J22" s="18" t="s">
        <v>140</v>
      </c>
    </row>
    <row r="23" spans="1:10" ht="30" customHeight="1" x14ac:dyDescent="0.25">
      <c r="A23" s="19">
        <v>19</v>
      </c>
      <c r="B23" s="8" t="s">
        <v>12</v>
      </c>
      <c r="C23" s="10" t="s">
        <v>190</v>
      </c>
      <c r="D23" s="20" t="s">
        <v>1</v>
      </c>
      <c r="E23" s="20">
        <v>721</v>
      </c>
      <c r="F23" s="20">
        <v>2</v>
      </c>
      <c r="G23" s="20">
        <v>30</v>
      </c>
      <c r="H23" s="20">
        <v>300</v>
      </c>
      <c r="I23" s="20">
        <v>421</v>
      </c>
      <c r="J23" s="18" t="s">
        <v>139</v>
      </c>
    </row>
    <row r="24" spans="1:10" ht="30" customHeight="1" x14ac:dyDescent="0.25">
      <c r="A24" s="19">
        <v>20</v>
      </c>
      <c r="B24" s="8" t="s">
        <v>0</v>
      </c>
      <c r="C24" s="10" t="s">
        <v>128</v>
      </c>
      <c r="D24" s="20" t="s">
        <v>1</v>
      </c>
      <c r="E24" s="20">
        <v>849</v>
      </c>
      <c r="F24" s="20">
        <v>2</v>
      </c>
      <c r="G24" s="20">
        <v>31</v>
      </c>
      <c r="H24" s="20">
        <v>300</v>
      </c>
      <c r="I24" s="20">
        <v>549</v>
      </c>
      <c r="J24" s="18" t="s">
        <v>126</v>
      </c>
    </row>
    <row r="25" spans="1:10" ht="30" customHeight="1" x14ac:dyDescent="0.25">
      <c r="A25" s="19">
        <v>21</v>
      </c>
      <c r="B25" s="8" t="s">
        <v>26</v>
      </c>
      <c r="C25" s="10" t="s">
        <v>198</v>
      </c>
      <c r="D25" s="20" t="s">
        <v>1</v>
      </c>
      <c r="E25" s="20">
        <v>749</v>
      </c>
      <c r="F25" s="20">
        <v>2</v>
      </c>
      <c r="G25" s="20">
        <v>32</v>
      </c>
      <c r="H25" s="20">
        <v>300</v>
      </c>
      <c r="I25" s="20">
        <v>449</v>
      </c>
      <c r="J25" s="18" t="s">
        <v>154</v>
      </c>
    </row>
    <row r="26" spans="1:10" ht="30" customHeight="1" x14ac:dyDescent="0.25">
      <c r="A26" s="19">
        <v>22</v>
      </c>
      <c r="B26" s="8"/>
      <c r="C26" s="10" t="s">
        <v>24</v>
      </c>
      <c r="D26" s="20" t="s">
        <v>1</v>
      </c>
      <c r="E26" s="20">
        <v>756</v>
      </c>
      <c r="F26" s="20">
        <v>2</v>
      </c>
      <c r="G26" s="20">
        <v>33</v>
      </c>
      <c r="H26" s="20">
        <v>300</v>
      </c>
      <c r="I26" s="20">
        <v>456</v>
      </c>
      <c r="J26" s="18" t="s">
        <v>152</v>
      </c>
    </row>
    <row r="27" spans="1:10" ht="30" customHeight="1" x14ac:dyDescent="0.25">
      <c r="A27" s="19">
        <v>23</v>
      </c>
      <c r="B27" s="8" t="s">
        <v>18</v>
      </c>
      <c r="C27" s="10" t="s">
        <v>193</v>
      </c>
      <c r="D27" s="20" t="s">
        <v>1</v>
      </c>
      <c r="E27" s="20">
        <v>752</v>
      </c>
      <c r="F27" s="20">
        <v>2</v>
      </c>
      <c r="G27" s="20">
        <v>34</v>
      </c>
      <c r="H27" s="20">
        <v>300</v>
      </c>
      <c r="I27" s="20">
        <v>452</v>
      </c>
      <c r="J27" s="18" t="s">
        <v>145</v>
      </c>
    </row>
    <row r="28" spans="1:10" ht="30" customHeight="1" x14ac:dyDescent="0.25">
      <c r="A28" s="19">
        <v>24</v>
      </c>
      <c r="B28" s="8" t="s">
        <v>33</v>
      </c>
      <c r="C28" s="10" t="s">
        <v>205</v>
      </c>
      <c r="D28" s="20" t="s">
        <v>1</v>
      </c>
      <c r="E28" s="20">
        <v>737</v>
      </c>
      <c r="F28" s="20">
        <v>2</v>
      </c>
      <c r="G28" s="20">
        <v>35</v>
      </c>
      <c r="H28" s="20">
        <v>300</v>
      </c>
      <c r="I28" s="20">
        <v>437</v>
      </c>
      <c r="J28" s="18" t="s">
        <v>163</v>
      </c>
    </row>
    <row r="29" spans="1:10" ht="30" customHeight="1" x14ac:dyDescent="0.25">
      <c r="A29" s="19">
        <v>25</v>
      </c>
      <c r="B29" s="8" t="s">
        <v>8</v>
      </c>
      <c r="C29" s="10" t="s">
        <v>186</v>
      </c>
      <c r="D29" s="20" t="s">
        <v>1</v>
      </c>
      <c r="E29" s="20">
        <v>730</v>
      </c>
      <c r="F29" s="20">
        <v>2</v>
      </c>
      <c r="G29" s="20">
        <v>36</v>
      </c>
      <c r="H29" s="20">
        <v>300</v>
      </c>
      <c r="I29" s="20">
        <v>430</v>
      </c>
      <c r="J29" s="18" t="s">
        <v>135</v>
      </c>
    </row>
    <row r="30" spans="1:10" ht="30" customHeight="1" x14ac:dyDescent="0.25">
      <c r="A30" s="19">
        <v>26</v>
      </c>
      <c r="B30" s="10" t="s">
        <v>2</v>
      </c>
      <c r="C30" s="10" t="s">
        <v>178</v>
      </c>
      <c r="D30" s="20" t="s">
        <v>1</v>
      </c>
      <c r="E30" s="20">
        <v>759</v>
      </c>
      <c r="F30" s="20">
        <v>2</v>
      </c>
      <c r="G30" s="20">
        <v>37</v>
      </c>
      <c r="H30" s="20">
        <v>300</v>
      </c>
      <c r="I30" s="20">
        <v>459</v>
      </c>
      <c r="J30" s="18" t="s">
        <v>129</v>
      </c>
    </row>
    <row r="31" spans="1:10" ht="30" customHeight="1" x14ac:dyDescent="0.25">
      <c r="A31" s="19">
        <v>27</v>
      </c>
      <c r="B31" s="10" t="s">
        <v>182</v>
      </c>
      <c r="C31" s="10" t="s">
        <v>183</v>
      </c>
      <c r="D31" s="20" t="s">
        <v>1</v>
      </c>
      <c r="E31" s="20">
        <v>948</v>
      </c>
      <c r="F31" s="20">
        <v>2</v>
      </c>
      <c r="G31" s="20">
        <v>38</v>
      </c>
      <c r="H31" s="20">
        <v>300</v>
      </c>
      <c r="I31" s="20">
        <v>648</v>
      </c>
      <c r="J31" s="18" t="s">
        <v>132</v>
      </c>
    </row>
    <row r="32" spans="1:10" ht="30" customHeight="1" x14ac:dyDescent="0.25">
      <c r="A32" s="19">
        <v>28</v>
      </c>
      <c r="B32" s="8"/>
      <c r="C32" s="10" t="s">
        <v>25</v>
      </c>
      <c r="D32" s="20" t="s">
        <v>1</v>
      </c>
      <c r="E32" s="20">
        <v>793</v>
      </c>
      <c r="F32" s="20">
        <v>2</v>
      </c>
      <c r="G32" s="20">
        <v>39</v>
      </c>
      <c r="H32" s="20">
        <v>300</v>
      </c>
      <c r="I32" s="20">
        <v>493</v>
      </c>
      <c r="J32" s="18" t="s">
        <v>161</v>
      </c>
    </row>
    <row r="33" spans="1:10" ht="30" customHeight="1" x14ac:dyDescent="0.25">
      <c r="A33" s="19">
        <v>29</v>
      </c>
      <c r="B33" s="10" t="s">
        <v>11</v>
      </c>
      <c r="C33" s="38" t="s">
        <v>189</v>
      </c>
      <c r="D33" s="20" t="s">
        <v>1</v>
      </c>
      <c r="E33" s="20">
        <v>807</v>
      </c>
      <c r="F33" s="20">
        <v>2</v>
      </c>
      <c r="G33" s="20">
        <v>40</v>
      </c>
      <c r="H33" s="20">
        <v>300</v>
      </c>
      <c r="I33" s="20">
        <v>507</v>
      </c>
      <c r="J33" s="18" t="s">
        <v>138</v>
      </c>
    </row>
    <row r="34" spans="1:10" ht="30" customHeight="1" x14ac:dyDescent="0.25">
      <c r="A34" s="19">
        <v>30</v>
      </c>
      <c r="B34" s="8" t="s">
        <v>6</v>
      </c>
      <c r="C34" s="10" t="s">
        <v>184</v>
      </c>
      <c r="D34" s="20" t="s">
        <v>1</v>
      </c>
      <c r="E34" s="20">
        <v>713</v>
      </c>
      <c r="F34" s="20">
        <v>2</v>
      </c>
      <c r="G34" s="20">
        <v>41</v>
      </c>
      <c r="H34" s="20">
        <v>300</v>
      </c>
      <c r="I34" s="20">
        <v>413</v>
      </c>
      <c r="J34" s="18" t="s">
        <v>133</v>
      </c>
    </row>
    <row r="35" spans="1:10" ht="30" customHeight="1" x14ac:dyDescent="0.25">
      <c r="A35" s="19">
        <v>31</v>
      </c>
      <c r="B35" s="8" t="s">
        <v>46</v>
      </c>
      <c r="C35" s="10"/>
      <c r="D35" s="20" t="s">
        <v>1</v>
      </c>
      <c r="E35" s="20">
        <v>708</v>
      </c>
      <c r="F35" s="20">
        <v>2</v>
      </c>
      <c r="G35" s="20">
        <v>42</v>
      </c>
      <c r="H35" s="20">
        <v>300</v>
      </c>
      <c r="I35" s="20">
        <v>408</v>
      </c>
      <c r="J35" s="18" t="s">
        <v>176</v>
      </c>
    </row>
    <row r="36" spans="1:10" ht="30" customHeight="1" x14ac:dyDescent="0.25">
      <c r="A36" s="19">
        <v>32</v>
      </c>
      <c r="B36" s="8" t="s">
        <v>14</v>
      </c>
      <c r="C36" s="10"/>
      <c r="D36" s="20" t="s">
        <v>1</v>
      </c>
      <c r="E36" s="20">
        <v>758</v>
      </c>
      <c r="F36" s="20">
        <v>2</v>
      </c>
      <c r="G36" s="20">
        <v>43</v>
      </c>
      <c r="H36" s="20">
        <v>300</v>
      </c>
      <c r="I36" s="20">
        <v>458</v>
      </c>
      <c r="J36" s="18" t="s">
        <v>141</v>
      </c>
    </row>
    <row r="37" spans="1:10" ht="30" customHeight="1" x14ac:dyDescent="0.25">
      <c r="A37" s="19">
        <v>33</v>
      </c>
      <c r="B37" s="8" t="s">
        <v>207</v>
      </c>
      <c r="C37" s="10" t="s">
        <v>35</v>
      </c>
      <c r="D37" s="20" t="s">
        <v>1</v>
      </c>
      <c r="E37" s="20">
        <v>707</v>
      </c>
      <c r="F37" s="20">
        <v>2</v>
      </c>
      <c r="G37" s="20">
        <v>44</v>
      </c>
      <c r="H37" s="20">
        <v>300</v>
      </c>
      <c r="I37" s="20">
        <v>407</v>
      </c>
      <c r="J37" s="18" t="s">
        <v>165</v>
      </c>
    </row>
    <row r="38" spans="1:10" ht="30" customHeight="1" x14ac:dyDescent="0.25">
      <c r="A38" s="19">
        <v>34</v>
      </c>
      <c r="B38" s="8" t="s">
        <v>10</v>
      </c>
      <c r="C38" s="10" t="s">
        <v>188</v>
      </c>
      <c r="D38" s="20" t="s">
        <v>1</v>
      </c>
      <c r="E38" s="20">
        <v>799</v>
      </c>
      <c r="F38" s="20">
        <v>2</v>
      </c>
      <c r="G38" s="20">
        <v>45</v>
      </c>
      <c r="H38" s="20">
        <v>300</v>
      </c>
      <c r="I38" s="20">
        <v>499</v>
      </c>
      <c r="J38" s="18" t="s">
        <v>137</v>
      </c>
    </row>
    <row r="39" spans="1:10" ht="30" customHeight="1" x14ac:dyDescent="0.25">
      <c r="A39" s="19">
        <v>35</v>
      </c>
      <c r="B39" s="10"/>
      <c r="C39" s="38" t="s">
        <v>37</v>
      </c>
      <c r="D39" s="20" t="s">
        <v>1</v>
      </c>
      <c r="E39" s="20">
        <v>697</v>
      </c>
      <c r="F39" s="20">
        <v>2</v>
      </c>
      <c r="G39" s="20">
        <v>47</v>
      </c>
      <c r="H39" s="20">
        <v>300</v>
      </c>
      <c r="I39" s="20">
        <v>397</v>
      </c>
      <c r="J39" s="18" t="s">
        <v>167</v>
      </c>
    </row>
    <row r="40" spans="1:10" ht="30" customHeight="1" x14ac:dyDescent="0.25">
      <c r="A40" s="19">
        <v>36</v>
      </c>
      <c r="B40" s="8" t="s">
        <v>19</v>
      </c>
      <c r="C40" s="10"/>
      <c r="D40" s="20" t="s">
        <v>1</v>
      </c>
      <c r="E40" s="20">
        <v>675</v>
      </c>
      <c r="F40" s="20">
        <v>2</v>
      </c>
      <c r="G40" s="20">
        <v>48</v>
      </c>
      <c r="H40" s="20">
        <v>300</v>
      </c>
      <c r="I40" s="20">
        <v>375</v>
      </c>
      <c r="J40" s="18" t="s">
        <v>146</v>
      </c>
    </row>
    <row r="41" spans="1:10" ht="30" customHeight="1" x14ac:dyDescent="0.25">
      <c r="A41" s="19">
        <v>37</v>
      </c>
      <c r="B41" s="8" t="s">
        <v>15</v>
      </c>
      <c r="C41" s="10" t="s">
        <v>191</v>
      </c>
      <c r="D41" s="20" t="s">
        <v>1</v>
      </c>
      <c r="E41" s="20">
        <v>668</v>
      </c>
      <c r="F41" s="20">
        <v>2</v>
      </c>
      <c r="G41" s="20">
        <v>49</v>
      </c>
      <c r="H41" s="20">
        <v>300</v>
      </c>
      <c r="I41" s="20">
        <v>368</v>
      </c>
      <c r="J41" s="18" t="s">
        <v>142</v>
      </c>
    </row>
    <row r="42" spans="1:10" ht="30" customHeight="1" x14ac:dyDescent="0.25">
      <c r="A42" s="19">
        <v>38</v>
      </c>
      <c r="B42" s="8" t="s">
        <v>20</v>
      </c>
      <c r="C42" s="10"/>
      <c r="D42" s="20" t="s">
        <v>1</v>
      </c>
      <c r="E42" s="20">
        <v>672</v>
      </c>
      <c r="F42" s="20">
        <v>2</v>
      </c>
      <c r="G42" s="20">
        <v>50</v>
      </c>
      <c r="H42" s="20">
        <v>300</v>
      </c>
      <c r="I42" s="20">
        <v>372</v>
      </c>
      <c r="J42" s="18" t="s">
        <v>147</v>
      </c>
    </row>
    <row r="43" spans="1:10" ht="30" customHeight="1" x14ac:dyDescent="0.25">
      <c r="A43" s="19">
        <v>39</v>
      </c>
      <c r="B43" s="8" t="s">
        <v>16</v>
      </c>
      <c r="C43" s="10"/>
      <c r="D43" s="20" t="s">
        <v>1</v>
      </c>
      <c r="E43" s="20">
        <v>715</v>
      </c>
      <c r="F43" s="20">
        <v>2</v>
      </c>
      <c r="G43" s="20">
        <v>51</v>
      </c>
      <c r="H43" s="20">
        <v>300</v>
      </c>
      <c r="I43" s="20">
        <v>415</v>
      </c>
      <c r="J43" s="18" t="s">
        <v>143</v>
      </c>
    </row>
    <row r="44" spans="1:10" ht="30" customHeight="1" x14ac:dyDescent="0.25">
      <c r="A44" s="19">
        <v>40</v>
      </c>
      <c r="B44" s="8" t="s">
        <v>204</v>
      </c>
      <c r="C44" s="10" t="s">
        <v>32</v>
      </c>
      <c r="D44" s="20" t="s">
        <v>1</v>
      </c>
      <c r="E44" s="20">
        <v>671</v>
      </c>
      <c r="F44" s="20">
        <v>2</v>
      </c>
      <c r="G44" s="20">
        <v>53</v>
      </c>
      <c r="H44" s="20">
        <v>300</v>
      </c>
      <c r="I44" s="20">
        <v>371</v>
      </c>
      <c r="J44" s="18" t="s">
        <v>162</v>
      </c>
    </row>
    <row r="45" spans="1:10" ht="30" customHeight="1" x14ac:dyDescent="0.25">
      <c r="A45" s="19">
        <v>41</v>
      </c>
      <c r="B45" s="10" t="s">
        <v>22</v>
      </c>
      <c r="C45" s="38"/>
      <c r="D45" s="20" t="s">
        <v>1</v>
      </c>
      <c r="E45" s="20">
        <v>686</v>
      </c>
      <c r="F45" s="20">
        <v>2</v>
      </c>
      <c r="G45" s="20">
        <v>54</v>
      </c>
      <c r="H45" s="20">
        <v>300</v>
      </c>
      <c r="I45" s="20">
        <v>386</v>
      </c>
      <c r="J45" s="18" t="s">
        <v>150</v>
      </c>
    </row>
    <row r="46" spans="1:10" ht="30" customHeight="1" x14ac:dyDescent="0.25">
      <c r="A46" s="19">
        <v>42</v>
      </c>
      <c r="B46" s="8" t="s">
        <v>43</v>
      </c>
      <c r="C46" s="10" t="s">
        <v>214</v>
      </c>
      <c r="D46" s="20" t="s">
        <v>1</v>
      </c>
      <c r="E46" s="20">
        <v>691</v>
      </c>
      <c r="F46" s="20">
        <v>2</v>
      </c>
      <c r="G46" s="20">
        <v>56</v>
      </c>
      <c r="H46" s="20">
        <v>300</v>
      </c>
      <c r="I46" s="20">
        <v>391</v>
      </c>
      <c r="J46" s="18" t="s">
        <v>172</v>
      </c>
    </row>
    <row r="47" spans="1:10" ht="30" customHeight="1" x14ac:dyDescent="0.25">
      <c r="A47" s="19">
        <v>43</v>
      </c>
      <c r="B47" s="8" t="s">
        <v>206</v>
      </c>
      <c r="C47" s="10" t="s">
        <v>34</v>
      </c>
      <c r="D47" s="20" t="s">
        <v>1</v>
      </c>
      <c r="E47" s="20">
        <v>692</v>
      </c>
      <c r="F47" s="20">
        <v>2</v>
      </c>
      <c r="G47" s="20">
        <v>57</v>
      </c>
      <c r="H47" s="20">
        <v>300</v>
      </c>
      <c r="I47" s="20">
        <v>392</v>
      </c>
      <c r="J47" s="18" t="s">
        <v>164</v>
      </c>
    </row>
    <row r="48" spans="1:10" ht="30" customHeight="1" x14ac:dyDescent="0.25">
      <c r="A48" s="19">
        <v>44</v>
      </c>
      <c r="B48" s="8" t="s">
        <v>195</v>
      </c>
      <c r="C48" s="10" t="s">
        <v>196</v>
      </c>
      <c r="D48" s="20" t="s">
        <v>1</v>
      </c>
      <c r="E48" s="20">
        <v>762</v>
      </c>
      <c r="F48" s="20">
        <v>2</v>
      </c>
      <c r="G48" s="20">
        <v>58</v>
      </c>
      <c r="H48" s="20">
        <v>300</v>
      </c>
      <c r="I48" s="20">
        <v>462</v>
      </c>
      <c r="J48" s="18" t="s">
        <v>149</v>
      </c>
    </row>
    <row r="49" spans="1:10" ht="30" customHeight="1" x14ac:dyDescent="0.25">
      <c r="A49" s="19">
        <v>45</v>
      </c>
      <c r="B49" s="8" t="s">
        <v>44</v>
      </c>
      <c r="C49" s="10" t="s">
        <v>215</v>
      </c>
      <c r="D49" s="20" t="s">
        <v>1</v>
      </c>
      <c r="E49" s="20">
        <v>724</v>
      </c>
      <c r="F49" s="20">
        <v>2</v>
      </c>
      <c r="G49" s="20">
        <v>62</v>
      </c>
      <c r="H49" s="20">
        <v>300</v>
      </c>
      <c r="I49" s="20">
        <v>424</v>
      </c>
      <c r="J49" s="18" t="s">
        <v>173</v>
      </c>
    </row>
    <row r="50" spans="1:10" ht="30" customHeight="1" x14ac:dyDescent="0.25">
      <c r="A50" s="19">
        <v>46</v>
      </c>
      <c r="B50" s="8" t="s">
        <v>45</v>
      </c>
      <c r="C50" s="10"/>
      <c r="D50" s="20" t="s">
        <v>1</v>
      </c>
      <c r="E50" s="20">
        <v>706</v>
      </c>
      <c r="F50" s="20">
        <v>2</v>
      </c>
      <c r="G50" s="20">
        <v>63</v>
      </c>
      <c r="H50" s="20">
        <v>300</v>
      </c>
      <c r="I50" s="20">
        <v>406</v>
      </c>
      <c r="J50" s="18" t="s">
        <v>174</v>
      </c>
    </row>
    <row r="51" spans="1:10" ht="30" customHeight="1" x14ac:dyDescent="0.25">
      <c r="A51" s="19">
        <v>47</v>
      </c>
      <c r="B51" s="8" t="s">
        <v>47</v>
      </c>
      <c r="C51" s="10"/>
      <c r="D51" s="20" t="s">
        <v>1</v>
      </c>
      <c r="E51" s="20">
        <v>689</v>
      </c>
      <c r="F51" s="20">
        <v>2</v>
      </c>
      <c r="G51" s="20">
        <v>64</v>
      </c>
      <c r="H51" s="20">
        <v>300</v>
      </c>
      <c r="I51" s="20">
        <v>389</v>
      </c>
      <c r="J51" s="18" t="s">
        <v>177</v>
      </c>
    </row>
    <row r="52" spans="1:10" ht="30" customHeight="1" x14ac:dyDescent="0.25">
      <c r="A52" s="19">
        <v>48</v>
      </c>
      <c r="B52" s="8" t="s">
        <v>38</v>
      </c>
      <c r="C52" s="10" t="s">
        <v>209</v>
      </c>
      <c r="D52" s="20" t="s">
        <v>1</v>
      </c>
      <c r="E52" s="20">
        <v>699</v>
      </c>
      <c r="F52" s="20">
        <v>2</v>
      </c>
      <c r="G52" s="20">
        <v>65</v>
      </c>
      <c r="H52" s="20">
        <v>300</v>
      </c>
      <c r="I52" s="20">
        <v>399</v>
      </c>
      <c r="J52" s="18" t="s">
        <v>168</v>
      </c>
    </row>
    <row r="53" spans="1:10" ht="30" customHeight="1" x14ac:dyDescent="0.25">
      <c r="A53" s="19">
        <v>49</v>
      </c>
      <c r="B53" s="8" t="s">
        <v>41</v>
      </c>
      <c r="C53" s="10" t="s">
        <v>212</v>
      </c>
      <c r="D53" s="20" t="s">
        <v>1</v>
      </c>
      <c r="E53" s="20">
        <v>706</v>
      </c>
      <c r="F53" s="20">
        <v>2</v>
      </c>
      <c r="G53" s="20">
        <v>66</v>
      </c>
      <c r="H53" s="20">
        <v>300</v>
      </c>
      <c r="I53" s="20">
        <v>406</v>
      </c>
      <c r="J53" s="18" t="s">
        <v>171</v>
      </c>
    </row>
    <row r="54" spans="1:10" ht="30" customHeight="1" x14ac:dyDescent="0.25">
      <c r="A54" s="19">
        <v>50</v>
      </c>
      <c r="B54" s="8"/>
      <c r="C54" s="10" t="s">
        <v>27</v>
      </c>
      <c r="D54" s="20" t="s">
        <v>1</v>
      </c>
      <c r="E54" s="20">
        <v>717</v>
      </c>
      <c r="F54" s="20">
        <v>2</v>
      </c>
      <c r="G54" s="20">
        <v>67</v>
      </c>
      <c r="H54" s="20">
        <v>300</v>
      </c>
      <c r="I54" s="20">
        <v>417</v>
      </c>
      <c r="J54" s="18" t="s">
        <v>155</v>
      </c>
    </row>
    <row r="55" spans="1:10" ht="30" customHeight="1" x14ac:dyDescent="0.25">
      <c r="A55" s="19">
        <v>51</v>
      </c>
      <c r="B55" s="8" t="s">
        <v>40</v>
      </c>
      <c r="C55" s="10" t="s">
        <v>211</v>
      </c>
      <c r="D55" s="20" t="s">
        <v>1</v>
      </c>
      <c r="E55" s="20">
        <v>714</v>
      </c>
      <c r="F55" s="20">
        <v>2</v>
      </c>
      <c r="G55" s="20">
        <v>68</v>
      </c>
      <c r="H55" s="20">
        <v>300</v>
      </c>
      <c r="I55" s="20">
        <v>414</v>
      </c>
      <c r="J55" s="18" t="s">
        <v>170</v>
      </c>
    </row>
    <row r="56" spans="1:10" ht="30" customHeight="1" x14ac:dyDescent="0.25">
      <c r="A56" s="19">
        <v>52</v>
      </c>
      <c r="B56" s="21" t="s">
        <v>39</v>
      </c>
      <c r="C56" s="22" t="s">
        <v>210</v>
      </c>
      <c r="D56" s="23" t="s">
        <v>1</v>
      </c>
      <c r="E56" s="23">
        <v>719</v>
      </c>
      <c r="F56" s="23">
        <v>2</v>
      </c>
      <c r="G56" s="23">
        <v>69</v>
      </c>
      <c r="H56" s="23">
        <v>300</v>
      </c>
      <c r="I56" s="23">
        <v>419</v>
      </c>
      <c r="J56" s="24" t="s">
        <v>169</v>
      </c>
    </row>
    <row r="57" spans="1:10" ht="23.25" customHeight="1" thickBot="1" x14ac:dyDescent="0.3">
      <c r="A57" s="39" t="s">
        <v>237</v>
      </c>
      <c r="B57" s="55"/>
      <c r="C57" s="25"/>
      <c r="D57" s="26"/>
      <c r="E57" s="27">
        <v>38000</v>
      </c>
      <c r="F57" s="26"/>
      <c r="G57" s="26"/>
      <c r="H57" s="27">
        <v>15600</v>
      </c>
      <c r="I57" s="27">
        <v>22400</v>
      </c>
      <c r="J57" s="27" t="s">
        <v>240</v>
      </c>
    </row>
    <row r="58" spans="1:10" x14ac:dyDescent="0.25">
      <c r="A58" s="42" t="s">
        <v>238</v>
      </c>
      <c r="B58" s="42"/>
      <c r="C58" s="42"/>
      <c r="D58" s="42"/>
      <c r="E58" s="42"/>
      <c r="F58" s="42"/>
      <c r="G58" s="42"/>
      <c r="H58" s="42"/>
      <c r="I58" s="42"/>
      <c r="J58" s="42"/>
    </row>
    <row r="59" spans="1:10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</row>
  </sheetData>
  <mergeCells count="12">
    <mergeCell ref="A57:B57"/>
    <mergeCell ref="A58:J59"/>
    <mergeCell ref="A1:J1"/>
    <mergeCell ref="A2:J2"/>
    <mergeCell ref="A3:A4"/>
    <mergeCell ref="B3:C3"/>
    <mergeCell ref="D3:D4"/>
    <mergeCell ref="E3:E4"/>
    <mergeCell ref="F3:F4"/>
    <mergeCell ref="G3:G4"/>
    <mergeCell ref="H3:I3"/>
    <mergeCell ref="J3:J4"/>
  </mergeCells>
  <pageMargins left="0.7" right="0.7" top="0.75" bottom="0.75" header="0.3" footer="0.3"/>
  <pageSetup paperSize="9" scale="87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Z53"/>
  <sheetViews>
    <sheetView tabSelected="1" topLeftCell="AJ1" zoomScaleNormal="100" workbookViewId="0">
      <selection activeCell="AT2" sqref="AT2"/>
    </sheetView>
  </sheetViews>
  <sheetFormatPr defaultRowHeight="15" x14ac:dyDescent="0.25"/>
  <cols>
    <col min="1" max="1" width="10.7109375" bestFit="1" customWidth="1"/>
    <col min="4" max="4" width="10.28515625" bestFit="1" customWidth="1"/>
    <col min="5" max="5" width="20.7109375" bestFit="1" customWidth="1"/>
    <col min="6" max="6" width="16.7109375" bestFit="1" customWidth="1"/>
    <col min="7" max="7" width="19" bestFit="1" customWidth="1"/>
    <col min="8" max="8" width="15" bestFit="1" customWidth="1"/>
    <col min="18" max="18" width="10.28515625" bestFit="1" customWidth="1"/>
    <col min="20" max="20" width="8.140625" bestFit="1" customWidth="1"/>
    <col min="34" max="34" width="45.85546875" bestFit="1" customWidth="1"/>
  </cols>
  <sheetData>
    <row r="1" spans="1:78" s="1" customFormat="1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  <c r="K1" s="1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4" t="s">
        <v>66</v>
      </c>
      <c r="T1" s="1" t="s">
        <v>67</v>
      </c>
      <c r="U1" s="1" t="s">
        <v>68</v>
      </c>
      <c r="V1" s="1" t="s">
        <v>69</v>
      </c>
      <c r="W1" s="1" t="s">
        <v>70</v>
      </c>
      <c r="X1" s="1" t="s">
        <v>71</v>
      </c>
      <c r="Y1" s="1" t="s">
        <v>72</v>
      </c>
      <c r="Z1" s="1" t="s">
        <v>73</v>
      </c>
      <c r="AA1" s="2" t="s">
        <v>74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G1" s="1" t="s">
        <v>80</v>
      </c>
      <c r="AH1" s="1" t="s">
        <v>81</v>
      </c>
      <c r="AI1" s="2" t="s">
        <v>82</v>
      </c>
      <c r="AJ1" s="1" t="s">
        <v>83</v>
      </c>
      <c r="AK1" s="1" t="s">
        <v>84</v>
      </c>
      <c r="AL1" s="1" t="s">
        <v>85</v>
      </c>
      <c r="AM1" s="2" t="s">
        <v>86</v>
      </c>
      <c r="AN1" s="1" t="s">
        <v>87</v>
      </c>
      <c r="AO1" s="1" t="s">
        <v>88</v>
      </c>
      <c r="AP1" s="1" t="s">
        <v>89</v>
      </c>
      <c r="AQ1" s="1" t="s">
        <v>90</v>
      </c>
      <c r="AR1" s="1" t="s">
        <v>91</v>
      </c>
      <c r="AS1" s="1" t="s">
        <v>92</v>
      </c>
      <c r="AT1" s="1" t="s">
        <v>93</v>
      </c>
      <c r="AU1" s="1" t="s">
        <v>94</v>
      </c>
      <c r="AV1" s="1" t="s">
        <v>95</v>
      </c>
      <c r="AW1" s="1" t="s">
        <v>96</v>
      </c>
      <c r="AX1" s="3" t="s">
        <v>97</v>
      </c>
      <c r="AY1" s="2" t="s">
        <v>98</v>
      </c>
      <c r="AZ1" s="1" t="s">
        <v>99</v>
      </c>
      <c r="BA1" s="1" t="s">
        <v>100</v>
      </c>
      <c r="BB1" s="1" t="s">
        <v>101</v>
      </c>
      <c r="BC1" s="1" t="s">
        <v>102</v>
      </c>
      <c r="BD1" s="1" t="s">
        <v>103</v>
      </c>
      <c r="BE1" s="1" t="s">
        <v>104</v>
      </c>
      <c r="BF1" s="1" t="s">
        <v>105</v>
      </c>
      <c r="BG1" s="1" t="s">
        <v>106</v>
      </c>
      <c r="BH1" s="1" t="s">
        <v>107</v>
      </c>
      <c r="BI1" s="1" t="s">
        <v>108</v>
      </c>
      <c r="BJ1" s="1" t="s">
        <v>109</v>
      </c>
      <c r="BK1" s="1" t="s">
        <v>110</v>
      </c>
      <c r="BL1" s="1" t="s">
        <v>111</v>
      </c>
      <c r="BM1" s="1" t="s">
        <v>112</v>
      </c>
      <c r="BN1" s="1" t="s">
        <v>113</v>
      </c>
      <c r="BO1" s="1" t="s">
        <v>114</v>
      </c>
      <c r="BP1" s="1" t="s">
        <v>115</v>
      </c>
      <c r="BQ1" s="1" t="s">
        <v>116</v>
      </c>
      <c r="BR1" s="1" t="s">
        <v>117</v>
      </c>
      <c r="BS1" s="1" t="s">
        <v>118</v>
      </c>
      <c r="BT1" s="1" t="s">
        <v>119</v>
      </c>
      <c r="BU1" s="1" t="s">
        <v>120</v>
      </c>
      <c r="BV1" s="2" t="s">
        <v>121</v>
      </c>
      <c r="BW1" s="1" t="s">
        <v>122</v>
      </c>
      <c r="BX1" s="2" t="s">
        <v>123</v>
      </c>
      <c r="BY1" s="1" t="s">
        <v>124</v>
      </c>
      <c r="BZ1" s="2"/>
    </row>
    <row r="2" spans="1:78" x14ac:dyDescent="0.25">
      <c r="A2">
        <v>9</v>
      </c>
      <c r="B2" t="s">
        <v>1</v>
      </c>
      <c r="C2" t="s">
        <v>125</v>
      </c>
      <c r="D2" t="s">
        <v>144</v>
      </c>
      <c r="G2" t="s">
        <v>17</v>
      </c>
      <c r="H2" t="s">
        <v>192</v>
      </c>
      <c r="I2">
        <v>300</v>
      </c>
      <c r="K2">
        <v>419</v>
      </c>
      <c r="S2">
        <v>9</v>
      </c>
      <c r="U2">
        <v>2</v>
      </c>
      <c r="X2">
        <v>1970</v>
      </c>
      <c r="Y2">
        <v>1962</v>
      </c>
      <c r="Z2">
        <v>191125675</v>
      </c>
      <c r="AC2">
        <v>197042483</v>
      </c>
      <c r="AH2" t="s">
        <v>217</v>
      </c>
      <c r="AI2" s="5" t="s">
        <v>127</v>
      </c>
      <c r="AP2" s="5" t="s">
        <v>127</v>
      </c>
      <c r="AR2">
        <v>2015</v>
      </c>
      <c r="AX2">
        <v>719</v>
      </c>
      <c r="AY2" s="5" t="s">
        <v>180</v>
      </c>
      <c r="AZ2" t="s">
        <v>244</v>
      </c>
      <c r="BA2">
        <v>1</v>
      </c>
      <c r="BX2" s="5" t="s">
        <v>127</v>
      </c>
    </row>
    <row r="3" spans="1:78" x14ac:dyDescent="0.25">
      <c r="A3">
        <v>10</v>
      </c>
      <c r="B3" t="s">
        <v>1</v>
      </c>
      <c r="C3" t="s">
        <v>125</v>
      </c>
      <c r="D3" t="s">
        <v>134</v>
      </c>
      <c r="G3" t="s">
        <v>7</v>
      </c>
      <c r="H3" t="s">
        <v>185</v>
      </c>
      <c r="I3">
        <v>300</v>
      </c>
      <c r="K3">
        <v>419</v>
      </c>
      <c r="S3">
        <v>10</v>
      </c>
      <c r="U3">
        <v>2</v>
      </c>
      <c r="X3">
        <v>1949</v>
      </c>
      <c r="Y3">
        <v>1939</v>
      </c>
      <c r="Z3">
        <v>190457230</v>
      </c>
      <c r="AC3">
        <v>190457229</v>
      </c>
      <c r="AH3" t="s">
        <v>217</v>
      </c>
      <c r="AI3" s="5" t="s">
        <v>127</v>
      </c>
      <c r="AP3" s="5" t="s">
        <v>127</v>
      </c>
      <c r="AR3">
        <v>2015</v>
      </c>
      <c r="AX3">
        <v>804</v>
      </c>
      <c r="AY3" s="5" t="s">
        <v>180</v>
      </c>
      <c r="AZ3" t="s">
        <v>244</v>
      </c>
      <c r="BA3">
        <v>1</v>
      </c>
      <c r="BX3" s="5" t="s">
        <v>127</v>
      </c>
    </row>
    <row r="4" spans="1:78" x14ac:dyDescent="0.25">
      <c r="A4">
        <v>12</v>
      </c>
      <c r="B4" t="s">
        <v>1</v>
      </c>
      <c r="C4" t="s">
        <v>125</v>
      </c>
      <c r="D4" t="s">
        <v>157</v>
      </c>
      <c r="G4" t="s">
        <v>29</v>
      </c>
      <c r="H4" t="s">
        <v>200</v>
      </c>
      <c r="I4">
        <v>300</v>
      </c>
      <c r="K4">
        <v>419</v>
      </c>
      <c r="S4">
        <v>12</v>
      </c>
      <c r="U4">
        <v>2</v>
      </c>
      <c r="X4">
        <v>1996</v>
      </c>
      <c r="Y4">
        <v>1997</v>
      </c>
      <c r="Z4">
        <v>197367119</v>
      </c>
      <c r="AH4" t="s">
        <v>217</v>
      </c>
      <c r="AI4" s="5" t="s">
        <v>127</v>
      </c>
      <c r="AP4" s="5" t="s">
        <v>127</v>
      </c>
      <c r="AR4">
        <v>2015</v>
      </c>
      <c r="AX4">
        <v>719</v>
      </c>
      <c r="AY4" s="5" t="s">
        <v>180</v>
      </c>
      <c r="AZ4" t="s">
        <v>244</v>
      </c>
      <c r="BA4">
        <v>1</v>
      </c>
      <c r="BX4" s="5" t="s">
        <v>127</v>
      </c>
    </row>
    <row r="5" spans="1:78" x14ac:dyDescent="0.25">
      <c r="A5">
        <v>13</v>
      </c>
      <c r="B5" t="s">
        <v>1</v>
      </c>
      <c r="C5" t="s">
        <v>125</v>
      </c>
      <c r="D5" t="s">
        <v>151</v>
      </c>
      <c r="G5" t="s">
        <v>23</v>
      </c>
      <c r="H5" t="s">
        <v>197</v>
      </c>
      <c r="I5">
        <v>300</v>
      </c>
      <c r="K5">
        <v>419</v>
      </c>
      <c r="S5">
        <v>13</v>
      </c>
      <c r="U5">
        <v>2</v>
      </c>
      <c r="X5">
        <v>1945</v>
      </c>
      <c r="Y5">
        <v>1950</v>
      </c>
      <c r="Z5">
        <v>197042993</v>
      </c>
      <c r="AC5">
        <v>197042496</v>
      </c>
      <c r="AH5" t="s">
        <v>217</v>
      </c>
      <c r="AI5" s="5" t="s">
        <v>127</v>
      </c>
      <c r="AP5" s="5" t="s">
        <v>127</v>
      </c>
      <c r="AR5">
        <v>2015</v>
      </c>
      <c r="AX5">
        <v>719</v>
      </c>
      <c r="AY5" s="5" t="s">
        <v>180</v>
      </c>
      <c r="AZ5" t="s">
        <v>244</v>
      </c>
      <c r="BA5">
        <v>1</v>
      </c>
      <c r="BX5" s="5" t="s">
        <v>127</v>
      </c>
    </row>
    <row r="6" spans="1:78" x14ac:dyDescent="0.25">
      <c r="A6">
        <v>14</v>
      </c>
      <c r="B6" t="s">
        <v>1</v>
      </c>
      <c r="C6" t="s">
        <v>125</v>
      </c>
      <c r="D6" t="s">
        <v>148</v>
      </c>
      <c r="G6" t="s">
        <v>21</v>
      </c>
      <c r="H6" t="s">
        <v>194</v>
      </c>
      <c r="I6">
        <v>300</v>
      </c>
      <c r="K6">
        <v>419</v>
      </c>
      <c r="S6">
        <v>14</v>
      </c>
      <c r="U6">
        <v>2</v>
      </c>
      <c r="X6">
        <v>1972</v>
      </c>
      <c r="Y6">
        <v>1979</v>
      </c>
      <c r="AC6">
        <v>197234644</v>
      </c>
      <c r="AH6" t="s">
        <v>217</v>
      </c>
      <c r="AI6" s="5" t="s">
        <v>127</v>
      </c>
      <c r="AP6" s="5" t="s">
        <v>127</v>
      </c>
      <c r="AR6">
        <v>2015</v>
      </c>
      <c r="AX6">
        <v>719</v>
      </c>
      <c r="AY6" s="5" t="s">
        <v>180</v>
      </c>
      <c r="AZ6" t="s">
        <v>244</v>
      </c>
      <c r="BA6">
        <v>1</v>
      </c>
      <c r="BX6" s="5" t="s">
        <v>127</v>
      </c>
    </row>
    <row r="7" spans="1:78" x14ac:dyDescent="0.25">
      <c r="A7">
        <v>16</v>
      </c>
      <c r="B7" t="s">
        <v>1</v>
      </c>
      <c r="C7" t="s">
        <v>125</v>
      </c>
      <c r="D7" t="s">
        <v>153</v>
      </c>
      <c r="H7" t="s">
        <v>25</v>
      </c>
      <c r="I7">
        <v>300</v>
      </c>
      <c r="K7">
        <v>435</v>
      </c>
      <c r="S7">
        <v>16</v>
      </c>
      <c r="U7">
        <v>2</v>
      </c>
      <c r="Y7">
        <v>1964</v>
      </c>
      <c r="AH7" t="s">
        <v>217</v>
      </c>
      <c r="AI7" s="5" t="s">
        <v>127</v>
      </c>
      <c r="AP7" s="5" t="s">
        <v>127</v>
      </c>
      <c r="AR7">
        <v>2015</v>
      </c>
      <c r="AX7">
        <v>735</v>
      </c>
      <c r="AY7" s="5" t="s">
        <v>180</v>
      </c>
      <c r="AZ7" t="s">
        <v>244</v>
      </c>
      <c r="BA7">
        <v>1</v>
      </c>
      <c r="BX7" s="5" t="s">
        <v>127</v>
      </c>
    </row>
    <row r="8" spans="1:78" x14ac:dyDescent="0.25">
      <c r="A8">
        <v>17</v>
      </c>
      <c r="B8" t="s">
        <v>1</v>
      </c>
      <c r="C8" t="s">
        <v>125</v>
      </c>
      <c r="D8" t="s">
        <v>156</v>
      </c>
      <c r="G8" t="s">
        <v>199</v>
      </c>
      <c r="H8" t="s">
        <v>28</v>
      </c>
      <c r="I8">
        <v>300</v>
      </c>
      <c r="K8">
        <v>435</v>
      </c>
      <c r="S8">
        <v>17</v>
      </c>
      <c r="U8">
        <v>2</v>
      </c>
      <c r="X8">
        <v>1974</v>
      </c>
      <c r="Y8">
        <v>1978</v>
      </c>
      <c r="AH8" t="s">
        <v>217</v>
      </c>
      <c r="AI8" s="5" t="s">
        <v>127</v>
      </c>
      <c r="AP8" s="5" t="s">
        <v>127</v>
      </c>
      <c r="AR8">
        <v>2015</v>
      </c>
      <c r="AX8">
        <v>735</v>
      </c>
      <c r="AY8" s="5" t="s">
        <v>180</v>
      </c>
      <c r="AZ8" t="s">
        <v>244</v>
      </c>
      <c r="BA8">
        <v>1</v>
      </c>
      <c r="BX8" s="5" t="s">
        <v>127</v>
      </c>
    </row>
    <row r="9" spans="1:78" x14ac:dyDescent="0.25">
      <c r="A9">
        <v>19</v>
      </c>
      <c r="B9" t="s">
        <v>1</v>
      </c>
      <c r="C9" t="s">
        <v>125</v>
      </c>
      <c r="D9" t="s">
        <v>175</v>
      </c>
      <c r="G9" t="s">
        <v>216</v>
      </c>
      <c r="I9">
        <v>300</v>
      </c>
      <c r="K9">
        <v>561</v>
      </c>
      <c r="S9">
        <v>19</v>
      </c>
      <c r="U9">
        <v>2</v>
      </c>
      <c r="X9">
        <v>1934</v>
      </c>
      <c r="AH9" t="s">
        <v>217</v>
      </c>
      <c r="AI9" s="5" t="s">
        <v>127</v>
      </c>
      <c r="AP9" s="5" t="s">
        <v>127</v>
      </c>
      <c r="AR9">
        <v>2015</v>
      </c>
      <c r="AX9">
        <v>861</v>
      </c>
      <c r="AY9" s="5" t="s">
        <v>180</v>
      </c>
      <c r="AZ9" t="s">
        <v>244</v>
      </c>
      <c r="BA9">
        <v>1</v>
      </c>
      <c r="BX9" s="5" t="s">
        <v>127</v>
      </c>
    </row>
    <row r="10" spans="1:78" x14ac:dyDescent="0.25">
      <c r="A10">
        <v>20</v>
      </c>
      <c r="B10" t="s">
        <v>1</v>
      </c>
      <c r="C10" t="s">
        <v>125</v>
      </c>
      <c r="D10" t="s">
        <v>166</v>
      </c>
      <c r="G10" t="s">
        <v>208</v>
      </c>
      <c r="H10" t="s">
        <v>36</v>
      </c>
      <c r="I10">
        <v>300</v>
      </c>
      <c r="K10">
        <v>421</v>
      </c>
      <c r="S10">
        <v>20</v>
      </c>
      <c r="U10">
        <v>2</v>
      </c>
      <c r="X10">
        <v>1995</v>
      </c>
      <c r="Y10">
        <v>1991</v>
      </c>
      <c r="Z10">
        <v>197335393</v>
      </c>
      <c r="AC10">
        <v>197371766</v>
      </c>
      <c r="AH10" t="s">
        <v>217</v>
      </c>
      <c r="AI10" s="5" t="s">
        <v>127</v>
      </c>
      <c r="AP10" s="5" t="s">
        <v>127</v>
      </c>
      <c r="AR10">
        <v>2015</v>
      </c>
      <c r="AX10">
        <v>721</v>
      </c>
      <c r="AY10" s="5" t="s">
        <v>180</v>
      </c>
      <c r="AZ10" t="s">
        <v>244</v>
      </c>
      <c r="BA10">
        <v>1</v>
      </c>
      <c r="BX10" s="5" t="s">
        <v>127</v>
      </c>
    </row>
    <row r="11" spans="1:78" x14ac:dyDescent="0.25">
      <c r="A11">
        <v>21</v>
      </c>
      <c r="B11" t="s">
        <v>1</v>
      </c>
      <c r="C11" t="s">
        <v>125</v>
      </c>
      <c r="D11" t="s">
        <v>241</v>
      </c>
      <c r="G11" t="s">
        <v>42</v>
      </c>
      <c r="H11" t="s">
        <v>213</v>
      </c>
      <c r="I11">
        <v>300</v>
      </c>
      <c r="K11">
        <v>426</v>
      </c>
      <c r="S11">
        <v>21</v>
      </c>
      <c r="U11">
        <v>2</v>
      </c>
      <c r="X11">
        <v>1991</v>
      </c>
      <c r="Y11">
        <v>1992</v>
      </c>
      <c r="Z11">
        <v>197321765</v>
      </c>
      <c r="AC11">
        <v>197367484</v>
      </c>
      <c r="AH11" t="s">
        <v>217</v>
      </c>
      <c r="AI11" s="5" t="s">
        <v>127</v>
      </c>
      <c r="AP11" s="5" t="s">
        <v>127</v>
      </c>
      <c r="AR11">
        <v>2015</v>
      </c>
      <c r="AX11">
        <v>726</v>
      </c>
      <c r="AY11" s="5" t="s">
        <v>180</v>
      </c>
      <c r="AZ11" t="s">
        <v>244</v>
      </c>
      <c r="BA11">
        <v>1</v>
      </c>
      <c r="BX11" s="5" t="s">
        <v>127</v>
      </c>
    </row>
    <row r="12" spans="1:78" x14ac:dyDescent="0.25">
      <c r="A12">
        <v>22</v>
      </c>
      <c r="B12" t="s">
        <v>1</v>
      </c>
      <c r="C12" t="s">
        <v>125</v>
      </c>
      <c r="D12" t="s">
        <v>136</v>
      </c>
      <c r="G12" t="s">
        <v>9</v>
      </c>
      <c r="H12" t="s">
        <v>187</v>
      </c>
      <c r="I12">
        <v>300</v>
      </c>
      <c r="K12">
        <v>394</v>
      </c>
      <c r="S12">
        <v>22</v>
      </c>
      <c r="U12">
        <v>2</v>
      </c>
      <c r="X12">
        <v>1927</v>
      </c>
      <c r="Y12">
        <v>1946</v>
      </c>
      <c r="Z12">
        <v>191125677</v>
      </c>
      <c r="AC12">
        <v>190457218</v>
      </c>
      <c r="AH12" t="s">
        <v>217</v>
      </c>
      <c r="AI12" s="5" t="s">
        <v>127</v>
      </c>
      <c r="AP12" s="5" t="s">
        <v>127</v>
      </c>
      <c r="AR12">
        <v>2015</v>
      </c>
      <c r="AX12">
        <f>SUM(I12:P12)</f>
        <v>694</v>
      </c>
      <c r="AY12" s="5" t="s">
        <v>180</v>
      </c>
      <c r="AZ12" t="s">
        <v>244</v>
      </c>
      <c r="BA12">
        <v>1</v>
      </c>
      <c r="BX12" s="5" t="s">
        <v>127</v>
      </c>
    </row>
    <row r="13" spans="1:78" x14ac:dyDescent="0.25">
      <c r="A13">
        <v>23</v>
      </c>
      <c r="B13" t="s">
        <v>1</v>
      </c>
      <c r="C13" t="s">
        <v>125</v>
      </c>
      <c r="D13" t="s">
        <v>160</v>
      </c>
      <c r="G13" t="s">
        <v>31</v>
      </c>
      <c r="H13" t="s">
        <v>203</v>
      </c>
      <c r="I13">
        <v>300</v>
      </c>
      <c r="K13">
        <v>436</v>
      </c>
      <c r="S13">
        <v>23</v>
      </c>
      <c r="U13">
        <v>2</v>
      </c>
      <c r="X13">
        <v>1969</v>
      </c>
      <c r="Y13">
        <v>1972</v>
      </c>
      <c r="Z13">
        <v>191125678</v>
      </c>
      <c r="AH13" t="s">
        <v>217</v>
      </c>
      <c r="AI13" s="5" t="s">
        <v>127</v>
      </c>
      <c r="AP13" s="5" t="s">
        <v>127</v>
      </c>
      <c r="AR13">
        <v>2015</v>
      </c>
      <c r="AX13">
        <v>736</v>
      </c>
      <c r="AY13" s="5" t="s">
        <v>180</v>
      </c>
      <c r="AZ13" t="s">
        <v>244</v>
      </c>
      <c r="BA13">
        <v>1</v>
      </c>
      <c r="BX13" s="5" t="s">
        <v>127</v>
      </c>
    </row>
    <row r="14" spans="1:78" x14ac:dyDescent="0.25">
      <c r="A14">
        <v>24</v>
      </c>
      <c r="B14" t="s">
        <v>1</v>
      </c>
      <c r="C14" t="s">
        <v>125</v>
      </c>
      <c r="D14" t="s">
        <v>131</v>
      </c>
      <c r="G14" t="s">
        <v>5</v>
      </c>
      <c r="I14">
        <v>300</v>
      </c>
      <c r="K14">
        <v>414</v>
      </c>
      <c r="S14">
        <v>24</v>
      </c>
      <c r="U14">
        <v>2</v>
      </c>
      <c r="X14">
        <v>1994</v>
      </c>
      <c r="Z14">
        <v>197343026</v>
      </c>
      <c r="AH14" t="s">
        <v>217</v>
      </c>
      <c r="AI14" s="5" t="s">
        <v>127</v>
      </c>
      <c r="AP14" s="5" t="s">
        <v>127</v>
      </c>
      <c r="AR14">
        <v>2015</v>
      </c>
      <c r="AX14">
        <f>SUM(I14:P14)</f>
        <v>714</v>
      </c>
      <c r="AY14" s="5" t="s">
        <v>180</v>
      </c>
      <c r="AZ14" t="s">
        <v>244</v>
      </c>
      <c r="BA14">
        <v>1</v>
      </c>
      <c r="BX14" s="5" t="s">
        <v>127</v>
      </c>
    </row>
    <row r="15" spans="1:78" x14ac:dyDescent="0.25">
      <c r="A15">
        <v>25</v>
      </c>
      <c r="B15" t="s">
        <v>1</v>
      </c>
      <c r="C15" t="s">
        <v>125</v>
      </c>
      <c r="D15" t="s">
        <v>159</v>
      </c>
      <c r="G15" t="s">
        <v>233</v>
      </c>
      <c r="H15" t="s">
        <v>202</v>
      </c>
      <c r="I15">
        <v>300</v>
      </c>
      <c r="K15">
        <v>410</v>
      </c>
      <c r="S15">
        <v>25</v>
      </c>
      <c r="U15">
        <v>2</v>
      </c>
      <c r="X15">
        <v>1996</v>
      </c>
      <c r="Z15">
        <v>197434881</v>
      </c>
      <c r="AH15" t="s">
        <v>217</v>
      </c>
      <c r="AI15" s="5" t="s">
        <v>127</v>
      </c>
      <c r="AP15" s="5" t="s">
        <v>127</v>
      </c>
      <c r="AR15">
        <v>2015</v>
      </c>
      <c r="AX15">
        <v>710</v>
      </c>
      <c r="AY15" s="5" t="s">
        <v>180</v>
      </c>
      <c r="AZ15" t="s">
        <v>244</v>
      </c>
      <c r="BA15">
        <v>1</v>
      </c>
      <c r="BX15" s="5" t="s">
        <v>127</v>
      </c>
    </row>
    <row r="16" spans="1:78" x14ac:dyDescent="0.25">
      <c r="A16">
        <v>26</v>
      </c>
      <c r="B16" t="s">
        <v>1</v>
      </c>
      <c r="C16" t="s">
        <v>125</v>
      </c>
      <c r="D16" t="s">
        <v>158</v>
      </c>
      <c r="G16" t="s">
        <v>30</v>
      </c>
      <c r="H16" t="s">
        <v>201</v>
      </c>
      <c r="I16">
        <v>300</v>
      </c>
      <c r="K16">
        <v>417</v>
      </c>
      <c r="S16">
        <v>26</v>
      </c>
      <c r="U16">
        <v>2</v>
      </c>
      <c r="X16">
        <v>1982</v>
      </c>
      <c r="Y16">
        <v>1983</v>
      </c>
      <c r="Z16">
        <v>197234567</v>
      </c>
      <c r="AH16" t="s">
        <v>217</v>
      </c>
      <c r="AI16" s="5" t="s">
        <v>127</v>
      </c>
      <c r="AP16" s="5" t="s">
        <v>127</v>
      </c>
      <c r="AR16">
        <v>2015</v>
      </c>
      <c r="AX16">
        <v>717</v>
      </c>
      <c r="AY16" s="5" t="s">
        <v>180</v>
      </c>
      <c r="AZ16" t="s">
        <v>244</v>
      </c>
      <c r="BA16">
        <v>1</v>
      </c>
      <c r="BX16" s="5" t="s">
        <v>127</v>
      </c>
    </row>
    <row r="17" spans="1:76" x14ac:dyDescent="0.25">
      <c r="A17">
        <v>27</v>
      </c>
      <c r="B17" t="s">
        <v>1</v>
      </c>
      <c r="C17" t="s">
        <v>125</v>
      </c>
      <c r="D17" t="s">
        <v>130</v>
      </c>
      <c r="H17" t="s">
        <v>4</v>
      </c>
      <c r="I17">
        <v>300</v>
      </c>
      <c r="K17">
        <v>423</v>
      </c>
      <c r="S17">
        <v>27</v>
      </c>
      <c r="U17">
        <v>2</v>
      </c>
      <c r="Y17">
        <v>1957</v>
      </c>
      <c r="AH17" t="s">
        <v>217</v>
      </c>
      <c r="AI17" s="5" t="s">
        <v>127</v>
      </c>
      <c r="AP17" s="5" t="s">
        <v>127</v>
      </c>
      <c r="AR17">
        <v>2015</v>
      </c>
      <c r="AX17">
        <v>723</v>
      </c>
      <c r="AY17" s="5" t="s">
        <v>180</v>
      </c>
      <c r="AZ17" t="s">
        <v>244</v>
      </c>
      <c r="BA17">
        <v>1</v>
      </c>
      <c r="BX17" s="5" t="s">
        <v>127</v>
      </c>
    </row>
    <row r="18" spans="1:76" x14ac:dyDescent="0.25">
      <c r="A18">
        <v>28</v>
      </c>
      <c r="B18" t="s">
        <v>1</v>
      </c>
      <c r="C18" t="s">
        <v>125</v>
      </c>
      <c r="D18" t="s">
        <v>219</v>
      </c>
      <c r="G18" t="s">
        <v>3</v>
      </c>
      <c r="H18" t="s">
        <v>181</v>
      </c>
      <c r="I18">
        <v>300</v>
      </c>
      <c r="K18">
        <v>423</v>
      </c>
      <c r="S18">
        <v>28</v>
      </c>
      <c r="U18">
        <v>2</v>
      </c>
      <c r="X18">
        <v>1976</v>
      </c>
      <c r="Y18">
        <v>1972</v>
      </c>
      <c r="Z18">
        <v>197174240</v>
      </c>
      <c r="AC18">
        <v>197174241</v>
      </c>
      <c r="AH18" t="s">
        <v>217</v>
      </c>
      <c r="AI18" s="5" t="s">
        <v>127</v>
      </c>
      <c r="AP18" s="5" t="s">
        <v>127</v>
      </c>
      <c r="AR18">
        <v>2015</v>
      </c>
      <c r="AX18">
        <v>723</v>
      </c>
      <c r="AY18" s="5" t="s">
        <v>180</v>
      </c>
      <c r="AZ18" t="s">
        <v>244</v>
      </c>
      <c r="BA18">
        <v>1</v>
      </c>
      <c r="BX18" s="5" t="s">
        <v>127</v>
      </c>
    </row>
    <row r="19" spans="1:76" x14ac:dyDescent="0.25">
      <c r="A19">
        <v>29</v>
      </c>
      <c r="B19" t="s">
        <v>1</v>
      </c>
      <c r="C19" t="s">
        <v>125</v>
      </c>
      <c r="D19" t="s">
        <v>140</v>
      </c>
      <c r="H19" t="s">
        <v>13</v>
      </c>
      <c r="I19">
        <v>300</v>
      </c>
      <c r="K19">
        <v>421</v>
      </c>
      <c r="S19">
        <v>29</v>
      </c>
      <c r="U19">
        <v>2</v>
      </c>
      <c r="Y19">
        <v>1944</v>
      </c>
      <c r="AC19">
        <v>190448343</v>
      </c>
      <c r="AH19" t="s">
        <v>217</v>
      </c>
      <c r="AI19" s="5" t="s">
        <v>127</v>
      </c>
      <c r="AP19" s="5" t="s">
        <v>127</v>
      </c>
      <c r="AR19">
        <v>2015</v>
      </c>
      <c r="AX19">
        <v>721</v>
      </c>
      <c r="AY19" s="5" t="s">
        <v>180</v>
      </c>
      <c r="AZ19" t="s">
        <v>244</v>
      </c>
      <c r="BA19">
        <v>1</v>
      </c>
      <c r="BX19" s="5" t="s">
        <v>127</v>
      </c>
    </row>
    <row r="20" spans="1:76" x14ac:dyDescent="0.25">
      <c r="A20">
        <v>30</v>
      </c>
      <c r="B20" t="s">
        <v>1</v>
      </c>
      <c r="C20" t="s">
        <v>125</v>
      </c>
      <c r="D20" t="s">
        <v>139</v>
      </c>
      <c r="G20" t="s">
        <v>12</v>
      </c>
      <c r="H20" t="s">
        <v>190</v>
      </c>
      <c r="I20">
        <v>300</v>
      </c>
      <c r="K20">
        <v>421</v>
      </c>
      <c r="S20">
        <v>30</v>
      </c>
      <c r="U20">
        <v>2</v>
      </c>
      <c r="X20">
        <v>1986</v>
      </c>
      <c r="Y20">
        <v>1984</v>
      </c>
      <c r="Z20">
        <v>197174288</v>
      </c>
      <c r="AH20" t="s">
        <v>217</v>
      </c>
      <c r="AI20" s="5" t="s">
        <v>127</v>
      </c>
      <c r="AP20" s="5" t="s">
        <v>127</v>
      </c>
      <c r="AR20">
        <v>2015</v>
      </c>
      <c r="AX20">
        <v>721</v>
      </c>
      <c r="AY20" s="5" t="s">
        <v>180</v>
      </c>
      <c r="AZ20" t="s">
        <v>244</v>
      </c>
      <c r="BA20">
        <v>1</v>
      </c>
      <c r="BX20" s="5" t="s">
        <v>127</v>
      </c>
    </row>
    <row r="21" spans="1:76" x14ac:dyDescent="0.25">
      <c r="A21">
        <v>31</v>
      </c>
      <c r="B21" t="s">
        <v>1</v>
      </c>
      <c r="C21" t="s">
        <v>125</v>
      </c>
      <c r="D21" t="s">
        <v>126</v>
      </c>
      <c r="G21" t="s">
        <v>0</v>
      </c>
      <c r="H21" t="s">
        <v>128</v>
      </c>
      <c r="I21">
        <v>300</v>
      </c>
      <c r="K21">
        <v>549</v>
      </c>
      <c r="S21">
        <v>31</v>
      </c>
      <c r="U21">
        <v>2</v>
      </c>
      <c r="X21">
        <v>1994</v>
      </c>
      <c r="Y21">
        <v>1993</v>
      </c>
      <c r="Z21">
        <v>197433327</v>
      </c>
      <c r="AH21" t="s">
        <v>217</v>
      </c>
      <c r="AI21" s="5" t="s">
        <v>127</v>
      </c>
      <c r="AP21" s="5" t="s">
        <v>127</v>
      </c>
      <c r="AR21">
        <v>2015</v>
      </c>
      <c r="AX21">
        <v>849</v>
      </c>
      <c r="AY21" s="5" t="s">
        <v>180</v>
      </c>
      <c r="AZ21" t="s">
        <v>244</v>
      </c>
      <c r="BA21">
        <v>1</v>
      </c>
      <c r="BX21" s="5" t="s">
        <v>127</v>
      </c>
    </row>
    <row r="22" spans="1:76" x14ac:dyDescent="0.25">
      <c r="A22">
        <v>32</v>
      </c>
      <c r="B22" t="s">
        <v>1</v>
      </c>
      <c r="C22" t="s">
        <v>125</v>
      </c>
      <c r="D22" t="s">
        <v>154</v>
      </c>
      <c r="G22" t="s">
        <v>26</v>
      </c>
      <c r="H22" t="s">
        <v>198</v>
      </c>
      <c r="I22">
        <v>300</v>
      </c>
      <c r="K22">
        <v>449</v>
      </c>
      <c r="S22">
        <v>32</v>
      </c>
      <c r="U22">
        <v>2</v>
      </c>
      <c r="X22">
        <v>1948</v>
      </c>
      <c r="AH22" t="s">
        <v>217</v>
      </c>
      <c r="AI22" s="5" t="s">
        <v>127</v>
      </c>
      <c r="AP22" s="5" t="s">
        <v>127</v>
      </c>
      <c r="AR22">
        <v>2015</v>
      </c>
      <c r="AX22">
        <v>749</v>
      </c>
      <c r="AY22" s="5" t="s">
        <v>180</v>
      </c>
      <c r="AZ22" t="s">
        <v>244</v>
      </c>
      <c r="BA22">
        <v>1</v>
      </c>
      <c r="BX22" s="5" t="s">
        <v>127</v>
      </c>
    </row>
    <row r="23" spans="1:76" x14ac:dyDescent="0.25">
      <c r="A23">
        <v>33</v>
      </c>
      <c r="B23" t="s">
        <v>1</v>
      </c>
      <c r="C23" t="s">
        <v>125</v>
      </c>
      <c r="D23" t="s">
        <v>152</v>
      </c>
      <c r="H23" t="s">
        <v>24</v>
      </c>
      <c r="I23">
        <v>300</v>
      </c>
      <c r="K23">
        <v>456</v>
      </c>
      <c r="S23">
        <v>33</v>
      </c>
      <c r="U23">
        <v>2</v>
      </c>
      <c r="Y23">
        <v>1987</v>
      </c>
      <c r="AH23" t="s">
        <v>217</v>
      </c>
      <c r="AI23" s="5" t="s">
        <v>127</v>
      </c>
      <c r="AP23" s="5" t="s">
        <v>127</v>
      </c>
      <c r="AR23">
        <v>2015</v>
      </c>
      <c r="AX23">
        <v>756</v>
      </c>
      <c r="AY23" s="5" t="s">
        <v>180</v>
      </c>
      <c r="AZ23" t="s">
        <v>244</v>
      </c>
      <c r="BA23">
        <v>1</v>
      </c>
      <c r="BX23" s="5" t="s">
        <v>127</v>
      </c>
    </row>
    <row r="24" spans="1:76" x14ac:dyDescent="0.25">
      <c r="A24">
        <v>34</v>
      </c>
      <c r="B24" t="s">
        <v>1</v>
      </c>
      <c r="C24" t="s">
        <v>125</v>
      </c>
      <c r="D24" t="s">
        <v>145</v>
      </c>
      <c r="G24" t="s">
        <v>18</v>
      </c>
      <c r="H24" t="s">
        <v>193</v>
      </c>
      <c r="I24">
        <v>300</v>
      </c>
      <c r="K24">
        <v>452</v>
      </c>
      <c r="S24">
        <v>34</v>
      </c>
      <c r="U24">
        <v>2</v>
      </c>
      <c r="X24">
        <v>1990</v>
      </c>
      <c r="Y24">
        <v>1991</v>
      </c>
      <c r="Z24">
        <v>197224423</v>
      </c>
      <c r="AH24" t="s">
        <v>217</v>
      </c>
      <c r="AI24" s="5" t="s">
        <v>127</v>
      </c>
      <c r="AP24" s="5" t="s">
        <v>127</v>
      </c>
      <c r="AR24">
        <v>2015</v>
      </c>
      <c r="AX24">
        <v>752</v>
      </c>
      <c r="AY24" s="5" t="s">
        <v>180</v>
      </c>
      <c r="AZ24" t="s">
        <v>244</v>
      </c>
      <c r="BA24">
        <v>1</v>
      </c>
      <c r="BX24" s="5" t="s">
        <v>127</v>
      </c>
    </row>
    <row r="25" spans="1:76" x14ac:dyDescent="0.25">
      <c r="A25">
        <v>35</v>
      </c>
      <c r="B25" t="s">
        <v>1</v>
      </c>
      <c r="C25" t="s">
        <v>125</v>
      </c>
      <c r="D25" t="s">
        <v>163</v>
      </c>
      <c r="G25" t="s">
        <v>33</v>
      </c>
      <c r="H25" t="s">
        <v>205</v>
      </c>
      <c r="I25">
        <v>300</v>
      </c>
      <c r="K25">
        <v>437</v>
      </c>
      <c r="S25">
        <v>35</v>
      </c>
      <c r="U25">
        <v>2</v>
      </c>
      <c r="X25">
        <v>1993</v>
      </c>
      <c r="Y25">
        <v>1993</v>
      </c>
      <c r="Z25">
        <v>197367116</v>
      </c>
      <c r="AH25" t="s">
        <v>217</v>
      </c>
      <c r="AI25" s="5" t="s">
        <v>127</v>
      </c>
      <c r="AP25" s="5" t="s">
        <v>127</v>
      </c>
      <c r="AR25">
        <v>2015</v>
      </c>
      <c r="AX25">
        <v>737</v>
      </c>
      <c r="AY25" s="5" t="s">
        <v>180</v>
      </c>
      <c r="AZ25" t="s">
        <v>244</v>
      </c>
      <c r="BA25">
        <v>1</v>
      </c>
      <c r="BX25" s="5" t="s">
        <v>127</v>
      </c>
    </row>
    <row r="26" spans="1:76" x14ac:dyDescent="0.25">
      <c r="A26">
        <v>36</v>
      </c>
      <c r="B26" t="s">
        <v>1</v>
      </c>
      <c r="C26" t="s">
        <v>125</v>
      </c>
      <c r="D26" t="s">
        <v>135</v>
      </c>
      <c r="G26" t="s">
        <v>8</v>
      </c>
      <c r="H26" t="s">
        <v>186</v>
      </c>
      <c r="I26">
        <v>300</v>
      </c>
      <c r="K26">
        <v>430</v>
      </c>
      <c r="S26">
        <v>36</v>
      </c>
      <c r="U26">
        <v>2</v>
      </c>
      <c r="X26">
        <v>1944</v>
      </c>
      <c r="Y26">
        <v>1964</v>
      </c>
      <c r="Z26">
        <v>190457220</v>
      </c>
      <c r="AC26">
        <v>191125685</v>
      </c>
      <c r="AH26" t="s">
        <v>217</v>
      </c>
      <c r="AI26" s="5" t="s">
        <v>127</v>
      </c>
      <c r="AP26" s="5" t="s">
        <v>127</v>
      </c>
      <c r="AR26">
        <v>2015</v>
      </c>
      <c r="AX26">
        <f>SUM(I26:P26)</f>
        <v>730</v>
      </c>
      <c r="AY26" s="5" t="s">
        <v>180</v>
      </c>
      <c r="AZ26" t="s">
        <v>244</v>
      </c>
      <c r="BA26">
        <v>1</v>
      </c>
      <c r="BX26" s="5" t="s">
        <v>127</v>
      </c>
    </row>
    <row r="27" spans="1:76" x14ac:dyDescent="0.25">
      <c r="A27">
        <v>37</v>
      </c>
      <c r="B27" t="s">
        <v>1</v>
      </c>
      <c r="C27" t="s">
        <v>125</v>
      </c>
      <c r="D27" t="s">
        <v>129</v>
      </c>
      <c r="G27" t="s">
        <v>2</v>
      </c>
      <c r="H27" t="s">
        <v>178</v>
      </c>
      <c r="I27">
        <v>300</v>
      </c>
      <c r="K27">
        <v>459</v>
      </c>
      <c r="S27">
        <v>37</v>
      </c>
      <c r="U27">
        <v>2</v>
      </c>
      <c r="X27">
        <v>1969</v>
      </c>
      <c r="Y27">
        <v>1978</v>
      </c>
      <c r="AC27">
        <v>197042509</v>
      </c>
      <c r="AH27" t="s">
        <v>217</v>
      </c>
      <c r="AI27" s="5" t="s">
        <v>127</v>
      </c>
      <c r="AP27" s="5" t="s">
        <v>127</v>
      </c>
      <c r="AR27">
        <v>2015</v>
      </c>
      <c r="AX27">
        <f>SUM(I27:P27)</f>
        <v>759</v>
      </c>
      <c r="AY27" s="5" t="s">
        <v>179</v>
      </c>
      <c r="AZ27" t="s">
        <v>244</v>
      </c>
      <c r="BA27">
        <v>1</v>
      </c>
      <c r="BX27" s="5" t="s">
        <v>127</v>
      </c>
    </row>
    <row r="28" spans="1:76" x14ac:dyDescent="0.25">
      <c r="A28">
        <v>38</v>
      </c>
      <c r="B28" t="s">
        <v>1</v>
      </c>
      <c r="C28" t="s">
        <v>125</v>
      </c>
      <c r="D28" t="s">
        <v>132</v>
      </c>
      <c r="G28" t="s">
        <v>182</v>
      </c>
      <c r="H28" t="s">
        <v>183</v>
      </c>
      <c r="I28">
        <v>300</v>
      </c>
      <c r="K28">
        <v>648</v>
      </c>
      <c r="S28">
        <v>38</v>
      </c>
      <c r="U28">
        <v>2</v>
      </c>
      <c r="X28">
        <v>1987</v>
      </c>
      <c r="Y28">
        <v>1990</v>
      </c>
      <c r="Z28">
        <v>197174282</v>
      </c>
      <c r="AH28" t="s">
        <v>217</v>
      </c>
      <c r="AI28" s="5" t="s">
        <v>127</v>
      </c>
      <c r="AP28" s="5" t="s">
        <v>127</v>
      </c>
      <c r="AR28">
        <v>2015</v>
      </c>
      <c r="AX28">
        <f>SUM(I28:P28)</f>
        <v>948</v>
      </c>
      <c r="AY28" s="5" t="s">
        <v>180</v>
      </c>
      <c r="AZ28" t="s">
        <v>244</v>
      </c>
      <c r="BA28">
        <v>1</v>
      </c>
      <c r="BX28" s="5" t="s">
        <v>127</v>
      </c>
    </row>
    <row r="29" spans="1:76" x14ac:dyDescent="0.25">
      <c r="A29">
        <v>39</v>
      </c>
      <c r="B29" t="s">
        <v>1</v>
      </c>
      <c r="C29" t="s">
        <v>125</v>
      </c>
      <c r="D29" t="s">
        <v>161</v>
      </c>
      <c r="H29" t="s">
        <v>25</v>
      </c>
      <c r="I29">
        <v>300</v>
      </c>
      <c r="K29">
        <v>493</v>
      </c>
      <c r="S29">
        <v>39</v>
      </c>
      <c r="U29">
        <v>2</v>
      </c>
      <c r="Y29">
        <v>1981</v>
      </c>
      <c r="AC29">
        <v>197132930</v>
      </c>
      <c r="AH29" t="s">
        <v>217</v>
      </c>
      <c r="AI29" s="5" t="s">
        <v>127</v>
      </c>
      <c r="AP29" s="5" t="s">
        <v>127</v>
      </c>
      <c r="AR29">
        <v>2015</v>
      </c>
      <c r="AX29">
        <v>793</v>
      </c>
      <c r="AY29" s="5" t="s">
        <v>180</v>
      </c>
      <c r="AZ29" t="s">
        <v>244</v>
      </c>
      <c r="BA29">
        <v>1</v>
      </c>
      <c r="BX29" s="5" t="s">
        <v>127</v>
      </c>
    </row>
    <row r="30" spans="1:76" x14ac:dyDescent="0.25">
      <c r="A30">
        <v>40</v>
      </c>
      <c r="B30" t="s">
        <v>1</v>
      </c>
      <c r="C30" t="s">
        <v>125</v>
      </c>
      <c r="D30" t="s">
        <v>138</v>
      </c>
      <c r="G30" t="s">
        <v>11</v>
      </c>
      <c r="H30" t="s">
        <v>189</v>
      </c>
      <c r="I30">
        <v>300</v>
      </c>
      <c r="K30">
        <v>507</v>
      </c>
      <c r="S30">
        <v>40</v>
      </c>
      <c r="U30">
        <v>2</v>
      </c>
      <c r="X30">
        <v>1948</v>
      </c>
      <c r="Y30">
        <v>1948</v>
      </c>
      <c r="Z30">
        <v>190452701</v>
      </c>
      <c r="AC30">
        <v>197234620</v>
      </c>
      <c r="AH30" t="s">
        <v>217</v>
      </c>
      <c r="AI30" s="5" t="s">
        <v>127</v>
      </c>
      <c r="AP30" s="5" t="s">
        <v>127</v>
      </c>
      <c r="AR30">
        <v>2015</v>
      </c>
      <c r="AX30">
        <v>807</v>
      </c>
      <c r="AY30" s="5" t="s">
        <v>180</v>
      </c>
      <c r="AZ30" t="s">
        <v>244</v>
      </c>
      <c r="BA30">
        <v>1</v>
      </c>
      <c r="BX30" s="5" t="s">
        <v>127</v>
      </c>
    </row>
    <row r="31" spans="1:76" x14ac:dyDescent="0.25">
      <c r="A31">
        <v>41</v>
      </c>
      <c r="B31" t="s">
        <v>1</v>
      </c>
      <c r="C31" t="s">
        <v>125</v>
      </c>
      <c r="D31" t="s">
        <v>133</v>
      </c>
      <c r="G31" t="s">
        <v>6</v>
      </c>
      <c r="H31" t="s">
        <v>184</v>
      </c>
      <c r="I31">
        <v>300</v>
      </c>
      <c r="K31">
        <v>413</v>
      </c>
      <c r="S31">
        <v>41</v>
      </c>
      <c r="U31">
        <v>2</v>
      </c>
      <c r="X31">
        <v>1970</v>
      </c>
      <c r="Y31">
        <v>1972</v>
      </c>
      <c r="Z31">
        <v>197059303</v>
      </c>
      <c r="AH31" t="s">
        <v>217</v>
      </c>
      <c r="AI31" s="5" t="s">
        <v>127</v>
      </c>
      <c r="AP31" s="5" t="s">
        <v>127</v>
      </c>
      <c r="AR31">
        <v>2015</v>
      </c>
      <c r="AX31">
        <f>SUM(I31:P31)</f>
        <v>713</v>
      </c>
      <c r="AY31" s="5" t="s">
        <v>180</v>
      </c>
      <c r="AZ31" t="s">
        <v>244</v>
      </c>
      <c r="BA31">
        <v>1</v>
      </c>
      <c r="BX31" s="5" t="s">
        <v>127</v>
      </c>
    </row>
    <row r="32" spans="1:76" x14ac:dyDescent="0.25">
      <c r="A32">
        <v>42</v>
      </c>
      <c r="B32" t="s">
        <v>1</v>
      </c>
      <c r="C32" t="s">
        <v>125</v>
      </c>
      <c r="D32" t="s">
        <v>176</v>
      </c>
      <c r="G32" t="s">
        <v>46</v>
      </c>
      <c r="I32">
        <v>300</v>
      </c>
      <c r="K32">
        <v>408</v>
      </c>
      <c r="S32">
        <v>42</v>
      </c>
      <c r="U32">
        <v>2</v>
      </c>
      <c r="X32">
        <v>1995</v>
      </c>
      <c r="AH32" t="s">
        <v>217</v>
      </c>
      <c r="AI32" s="5" t="s">
        <v>127</v>
      </c>
      <c r="AP32" s="5" t="s">
        <v>127</v>
      </c>
      <c r="AR32">
        <v>2015</v>
      </c>
      <c r="AX32">
        <v>708</v>
      </c>
      <c r="AY32" s="5" t="s">
        <v>180</v>
      </c>
      <c r="AZ32" t="s">
        <v>244</v>
      </c>
      <c r="BA32">
        <v>1</v>
      </c>
      <c r="BX32" s="5" t="s">
        <v>127</v>
      </c>
    </row>
    <row r="33" spans="1:76" x14ac:dyDescent="0.25">
      <c r="A33">
        <v>43</v>
      </c>
      <c r="B33" t="s">
        <v>1</v>
      </c>
      <c r="C33" t="s">
        <v>125</v>
      </c>
      <c r="D33" t="s">
        <v>141</v>
      </c>
      <c r="G33" t="s">
        <v>14</v>
      </c>
      <c r="I33">
        <v>300</v>
      </c>
      <c r="K33">
        <v>458</v>
      </c>
      <c r="S33">
        <v>43</v>
      </c>
      <c r="U33">
        <v>2</v>
      </c>
      <c r="X33">
        <v>1941</v>
      </c>
      <c r="Z33">
        <v>197234581</v>
      </c>
      <c r="AH33" t="s">
        <v>217</v>
      </c>
      <c r="AI33" s="5" t="s">
        <v>127</v>
      </c>
      <c r="AP33" s="5" t="s">
        <v>127</v>
      </c>
      <c r="AR33">
        <v>2015</v>
      </c>
      <c r="AX33">
        <v>758</v>
      </c>
      <c r="AY33" s="5" t="s">
        <v>180</v>
      </c>
      <c r="AZ33" t="s">
        <v>244</v>
      </c>
      <c r="BA33">
        <v>1</v>
      </c>
      <c r="BX33" s="5" t="s">
        <v>127</v>
      </c>
    </row>
    <row r="34" spans="1:76" x14ac:dyDescent="0.25">
      <c r="A34">
        <v>44</v>
      </c>
      <c r="B34" t="s">
        <v>1</v>
      </c>
      <c r="C34" t="s">
        <v>125</v>
      </c>
      <c r="D34" t="s">
        <v>165</v>
      </c>
      <c r="G34" t="s">
        <v>207</v>
      </c>
      <c r="H34" t="s">
        <v>35</v>
      </c>
      <c r="I34">
        <v>300</v>
      </c>
      <c r="K34">
        <v>407</v>
      </c>
      <c r="S34">
        <v>44</v>
      </c>
      <c r="U34">
        <v>2</v>
      </c>
      <c r="X34">
        <v>1993</v>
      </c>
      <c r="Y34">
        <v>1994</v>
      </c>
      <c r="Z34">
        <v>197363380</v>
      </c>
      <c r="AC34">
        <v>197277156</v>
      </c>
      <c r="AH34" t="s">
        <v>217</v>
      </c>
      <c r="AI34" s="5" t="s">
        <v>127</v>
      </c>
      <c r="AP34" s="5" t="s">
        <v>127</v>
      </c>
      <c r="AR34">
        <v>2015</v>
      </c>
      <c r="AX34">
        <v>707</v>
      </c>
      <c r="AY34" s="5" t="s">
        <v>180</v>
      </c>
      <c r="AZ34" t="s">
        <v>244</v>
      </c>
      <c r="BA34">
        <v>1</v>
      </c>
      <c r="BX34" s="5" t="s">
        <v>127</v>
      </c>
    </row>
    <row r="35" spans="1:76" x14ac:dyDescent="0.25">
      <c r="A35">
        <v>45</v>
      </c>
      <c r="B35" t="s">
        <v>1</v>
      </c>
      <c r="C35" t="s">
        <v>125</v>
      </c>
      <c r="D35" t="s">
        <v>137</v>
      </c>
      <c r="G35" t="s">
        <v>10</v>
      </c>
      <c r="H35" t="s">
        <v>188</v>
      </c>
      <c r="I35">
        <v>300</v>
      </c>
      <c r="K35">
        <v>499</v>
      </c>
      <c r="S35">
        <v>45</v>
      </c>
      <c r="U35">
        <v>2</v>
      </c>
      <c r="X35">
        <v>1973</v>
      </c>
      <c r="Y35">
        <v>1977</v>
      </c>
      <c r="Z35">
        <v>197021835</v>
      </c>
      <c r="AC35">
        <v>197174246</v>
      </c>
      <c r="AH35" t="s">
        <v>217</v>
      </c>
      <c r="AI35" s="5" t="s">
        <v>127</v>
      </c>
      <c r="AP35" s="5" t="s">
        <v>127</v>
      </c>
      <c r="AR35">
        <v>2015</v>
      </c>
      <c r="AX35">
        <v>799</v>
      </c>
      <c r="AY35" s="5" t="s">
        <v>180</v>
      </c>
      <c r="AZ35" t="s">
        <v>244</v>
      </c>
      <c r="BA35">
        <v>1</v>
      </c>
      <c r="BX35" s="5" t="s">
        <v>127</v>
      </c>
    </row>
    <row r="36" spans="1:76" x14ac:dyDescent="0.25">
      <c r="A36">
        <v>47</v>
      </c>
      <c r="B36" t="s">
        <v>1</v>
      </c>
      <c r="C36" t="s">
        <v>125</v>
      </c>
      <c r="D36" t="s">
        <v>167</v>
      </c>
      <c r="H36" t="s">
        <v>37</v>
      </c>
      <c r="I36">
        <v>300</v>
      </c>
      <c r="K36">
        <v>397</v>
      </c>
      <c r="S36">
        <v>47</v>
      </c>
      <c r="U36">
        <v>2</v>
      </c>
      <c r="Y36">
        <v>1938</v>
      </c>
      <c r="AC36">
        <v>190440251</v>
      </c>
      <c r="AH36" t="s">
        <v>217</v>
      </c>
      <c r="AI36" s="5" t="s">
        <v>127</v>
      </c>
      <c r="AP36" s="5" t="s">
        <v>127</v>
      </c>
      <c r="AR36">
        <v>2015</v>
      </c>
      <c r="AX36">
        <v>697</v>
      </c>
      <c r="AY36" s="5" t="s">
        <v>180</v>
      </c>
      <c r="AZ36" t="s">
        <v>244</v>
      </c>
      <c r="BA36">
        <v>1</v>
      </c>
      <c r="BX36" s="5" t="s">
        <v>127</v>
      </c>
    </row>
    <row r="37" spans="1:76" x14ac:dyDescent="0.25">
      <c r="A37">
        <v>48</v>
      </c>
      <c r="B37" t="s">
        <v>1</v>
      </c>
      <c r="C37" t="s">
        <v>125</v>
      </c>
      <c r="D37" t="s">
        <v>146</v>
      </c>
      <c r="G37" t="s">
        <v>19</v>
      </c>
      <c r="I37">
        <v>300</v>
      </c>
      <c r="K37">
        <v>375</v>
      </c>
      <c r="S37">
        <v>48</v>
      </c>
      <c r="U37">
        <v>2</v>
      </c>
      <c r="X37">
        <v>1992</v>
      </c>
      <c r="AH37" t="s">
        <v>217</v>
      </c>
      <c r="AI37" s="5" t="s">
        <v>127</v>
      </c>
      <c r="AP37" s="5" t="s">
        <v>127</v>
      </c>
      <c r="AR37">
        <v>2015</v>
      </c>
      <c r="AX37">
        <v>675</v>
      </c>
      <c r="AY37" s="5" t="s">
        <v>180</v>
      </c>
      <c r="AZ37" t="s">
        <v>244</v>
      </c>
      <c r="BA37">
        <v>1</v>
      </c>
      <c r="BX37" s="5" t="s">
        <v>127</v>
      </c>
    </row>
    <row r="38" spans="1:76" x14ac:dyDescent="0.25">
      <c r="A38">
        <v>49</v>
      </c>
      <c r="B38" t="s">
        <v>1</v>
      </c>
      <c r="C38" t="s">
        <v>125</v>
      </c>
      <c r="D38" t="s">
        <v>142</v>
      </c>
      <c r="G38" t="s">
        <v>15</v>
      </c>
      <c r="H38" t="s">
        <v>191</v>
      </c>
      <c r="I38">
        <v>300</v>
      </c>
      <c r="K38">
        <v>368</v>
      </c>
      <c r="S38">
        <v>49</v>
      </c>
      <c r="U38">
        <v>2</v>
      </c>
      <c r="X38">
        <v>1958</v>
      </c>
      <c r="Y38">
        <v>1963</v>
      </c>
      <c r="Z38">
        <v>197234571</v>
      </c>
      <c r="AH38" t="s">
        <v>217</v>
      </c>
      <c r="AI38" s="5" t="s">
        <v>127</v>
      </c>
      <c r="AP38" s="5" t="s">
        <v>127</v>
      </c>
      <c r="AR38">
        <v>2015</v>
      </c>
      <c r="AX38">
        <v>668</v>
      </c>
      <c r="AY38" s="5" t="s">
        <v>180</v>
      </c>
      <c r="AZ38" t="s">
        <v>244</v>
      </c>
      <c r="BA38">
        <v>1</v>
      </c>
      <c r="BX38" s="5" t="s">
        <v>127</v>
      </c>
    </row>
    <row r="39" spans="1:76" x14ac:dyDescent="0.25">
      <c r="A39">
        <v>50</v>
      </c>
      <c r="B39" t="s">
        <v>1</v>
      </c>
      <c r="C39" t="s">
        <v>125</v>
      </c>
      <c r="D39" t="s">
        <v>147</v>
      </c>
      <c r="G39" t="s">
        <v>20</v>
      </c>
      <c r="I39">
        <v>300</v>
      </c>
      <c r="K39">
        <v>372</v>
      </c>
      <c r="S39">
        <v>50</v>
      </c>
      <c r="U39">
        <v>2</v>
      </c>
      <c r="X39">
        <v>1974</v>
      </c>
      <c r="AH39" t="s">
        <v>217</v>
      </c>
      <c r="AI39" s="5" t="s">
        <v>127</v>
      </c>
      <c r="AP39" s="5" t="s">
        <v>127</v>
      </c>
      <c r="AR39">
        <v>2015</v>
      </c>
      <c r="AX39">
        <v>672</v>
      </c>
      <c r="AY39" s="5" t="s">
        <v>180</v>
      </c>
      <c r="AZ39" t="s">
        <v>244</v>
      </c>
      <c r="BA39">
        <v>1</v>
      </c>
      <c r="BX39" s="5" t="s">
        <v>127</v>
      </c>
    </row>
    <row r="40" spans="1:76" x14ac:dyDescent="0.25">
      <c r="A40">
        <v>51</v>
      </c>
      <c r="B40" t="s">
        <v>1</v>
      </c>
      <c r="C40" t="s">
        <v>125</v>
      </c>
      <c r="D40" t="s">
        <v>143</v>
      </c>
      <c r="G40" t="s">
        <v>16</v>
      </c>
      <c r="I40">
        <v>300</v>
      </c>
      <c r="K40">
        <v>415</v>
      </c>
      <c r="S40">
        <v>51</v>
      </c>
      <c r="U40">
        <v>2</v>
      </c>
      <c r="X40">
        <v>1985</v>
      </c>
      <c r="AH40" t="s">
        <v>217</v>
      </c>
      <c r="AI40" s="5" t="s">
        <v>127</v>
      </c>
      <c r="AP40" s="5" t="s">
        <v>127</v>
      </c>
      <c r="AR40">
        <v>2015</v>
      </c>
      <c r="AX40">
        <v>715</v>
      </c>
      <c r="AY40" s="5" t="s">
        <v>180</v>
      </c>
      <c r="AZ40" t="s">
        <v>244</v>
      </c>
      <c r="BA40">
        <v>1</v>
      </c>
      <c r="BX40" s="5" t="s">
        <v>127</v>
      </c>
    </row>
    <row r="41" spans="1:76" x14ac:dyDescent="0.25">
      <c r="A41">
        <v>53</v>
      </c>
      <c r="B41" t="s">
        <v>1</v>
      </c>
      <c r="C41" t="s">
        <v>125</v>
      </c>
      <c r="D41" t="s">
        <v>162</v>
      </c>
      <c r="G41" t="s">
        <v>204</v>
      </c>
      <c r="H41" t="s">
        <v>32</v>
      </c>
      <c r="I41">
        <v>300</v>
      </c>
      <c r="K41">
        <v>371</v>
      </c>
      <c r="S41">
        <v>53</v>
      </c>
      <c r="U41">
        <v>2</v>
      </c>
      <c r="X41">
        <v>1988</v>
      </c>
      <c r="Y41">
        <v>1988</v>
      </c>
      <c r="Z41">
        <v>197367115</v>
      </c>
      <c r="AC41">
        <v>197224416</v>
      </c>
      <c r="AH41" t="s">
        <v>217</v>
      </c>
      <c r="AI41" s="5" t="s">
        <v>127</v>
      </c>
      <c r="AP41" s="5" t="s">
        <v>127</v>
      </c>
      <c r="AR41">
        <v>2015</v>
      </c>
      <c r="AX41">
        <v>671</v>
      </c>
      <c r="AY41" s="5" t="s">
        <v>180</v>
      </c>
      <c r="AZ41" t="s">
        <v>244</v>
      </c>
      <c r="BA41">
        <v>1</v>
      </c>
      <c r="BX41" s="5" t="s">
        <v>127</v>
      </c>
    </row>
    <row r="42" spans="1:76" x14ac:dyDescent="0.25">
      <c r="A42">
        <v>54</v>
      </c>
      <c r="B42" t="s">
        <v>1</v>
      </c>
      <c r="C42" t="s">
        <v>125</v>
      </c>
      <c r="D42" t="s">
        <v>150</v>
      </c>
      <c r="G42" t="s">
        <v>22</v>
      </c>
      <c r="I42">
        <v>300</v>
      </c>
      <c r="K42">
        <v>386</v>
      </c>
      <c r="S42">
        <v>54</v>
      </c>
      <c r="U42">
        <v>2</v>
      </c>
      <c r="X42">
        <v>1975</v>
      </c>
      <c r="Z42">
        <v>197174286</v>
      </c>
      <c r="AH42" t="s">
        <v>217</v>
      </c>
      <c r="AI42" s="5" t="s">
        <v>127</v>
      </c>
      <c r="AP42" s="5" t="s">
        <v>127</v>
      </c>
      <c r="AR42">
        <v>2015</v>
      </c>
      <c r="AX42">
        <v>686</v>
      </c>
      <c r="AY42" s="5" t="s">
        <v>180</v>
      </c>
      <c r="AZ42" t="s">
        <v>244</v>
      </c>
      <c r="BA42">
        <v>1</v>
      </c>
      <c r="BX42" s="5" t="s">
        <v>127</v>
      </c>
    </row>
    <row r="43" spans="1:76" x14ac:dyDescent="0.25">
      <c r="A43">
        <v>56</v>
      </c>
      <c r="B43" t="s">
        <v>1</v>
      </c>
      <c r="C43" t="s">
        <v>125</v>
      </c>
      <c r="D43" t="s">
        <v>172</v>
      </c>
      <c r="G43" t="s">
        <v>43</v>
      </c>
      <c r="H43" t="s">
        <v>214</v>
      </c>
      <c r="I43">
        <v>300</v>
      </c>
      <c r="K43">
        <v>391</v>
      </c>
      <c r="S43">
        <v>56</v>
      </c>
      <c r="U43">
        <v>2</v>
      </c>
      <c r="X43">
        <v>1996</v>
      </c>
      <c r="Y43">
        <v>2000</v>
      </c>
      <c r="AH43" t="s">
        <v>217</v>
      </c>
      <c r="AI43" s="5" t="s">
        <v>127</v>
      </c>
      <c r="AP43" s="5" t="s">
        <v>127</v>
      </c>
      <c r="AR43">
        <v>2015</v>
      </c>
      <c r="AX43">
        <v>691</v>
      </c>
      <c r="AY43" s="5" t="s">
        <v>180</v>
      </c>
      <c r="AZ43" t="s">
        <v>244</v>
      </c>
      <c r="BA43">
        <v>1</v>
      </c>
      <c r="BX43" s="5" t="s">
        <v>127</v>
      </c>
    </row>
    <row r="44" spans="1:76" x14ac:dyDescent="0.25">
      <c r="A44">
        <v>57</v>
      </c>
      <c r="B44" t="s">
        <v>1</v>
      </c>
      <c r="C44" t="s">
        <v>125</v>
      </c>
      <c r="D44" t="s">
        <v>164</v>
      </c>
      <c r="G44" t="s">
        <v>206</v>
      </c>
      <c r="H44" t="s">
        <v>34</v>
      </c>
      <c r="I44">
        <v>300</v>
      </c>
      <c r="K44">
        <v>392</v>
      </c>
      <c r="S44">
        <v>57</v>
      </c>
      <c r="U44">
        <v>2</v>
      </c>
      <c r="X44">
        <v>1979</v>
      </c>
      <c r="Y44">
        <v>1983</v>
      </c>
      <c r="AH44" t="s">
        <v>217</v>
      </c>
      <c r="AI44" s="5" t="s">
        <v>127</v>
      </c>
      <c r="AP44" s="5" t="s">
        <v>127</v>
      </c>
      <c r="AR44">
        <v>2015</v>
      </c>
      <c r="AX44">
        <v>692</v>
      </c>
      <c r="AY44" s="5" t="s">
        <v>180</v>
      </c>
      <c r="AZ44" t="s">
        <v>244</v>
      </c>
      <c r="BA44">
        <v>1</v>
      </c>
      <c r="BX44" s="5" t="s">
        <v>127</v>
      </c>
    </row>
    <row r="45" spans="1:76" x14ac:dyDescent="0.25">
      <c r="A45">
        <v>58</v>
      </c>
      <c r="B45" t="s">
        <v>1</v>
      </c>
      <c r="C45" t="s">
        <v>125</v>
      </c>
      <c r="D45" t="s">
        <v>149</v>
      </c>
      <c r="G45" t="s">
        <v>195</v>
      </c>
      <c r="H45" t="s">
        <v>196</v>
      </c>
      <c r="I45">
        <v>300</v>
      </c>
      <c r="K45">
        <v>462</v>
      </c>
      <c r="S45">
        <v>58</v>
      </c>
      <c r="U45">
        <v>2</v>
      </c>
      <c r="X45">
        <v>1938</v>
      </c>
      <c r="Y45">
        <v>1962</v>
      </c>
      <c r="Z45">
        <v>197431149</v>
      </c>
      <c r="AC45">
        <v>190457389</v>
      </c>
      <c r="AH45" t="s">
        <v>217</v>
      </c>
      <c r="AI45" s="5" t="s">
        <v>127</v>
      </c>
      <c r="AP45" s="5" t="s">
        <v>127</v>
      </c>
      <c r="AR45">
        <v>2015</v>
      </c>
      <c r="AX45">
        <v>762</v>
      </c>
      <c r="AY45" s="5" t="s">
        <v>180</v>
      </c>
      <c r="AZ45" t="s">
        <v>244</v>
      </c>
      <c r="BA45">
        <v>1</v>
      </c>
      <c r="BX45" s="5" t="s">
        <v>127</v>
      </c>
    </row>
    <row r="46" spans="1:76" x14ac:dyDescent="0.25">
      <c r="A46">
        <v>62</v>
      </c>
      <c r="B46" t="s">
        <v>1</v>
      </c>
      <c r="C46" t="s">
        <v>125</v>
      </c>
      <c r="D46" t="s">
        <v>173</v>
      </c>
      <c r="G46" t="s">
        <v>44</v>
      </c>
      <c r="H46" t="s">
        <v>215</v>
      </c>
      <c r="I46">
        <v>300</v>
      </c>
      <c r="K46">
        <v>424</v>
      </c>
      <c r="S46">
        <v>62</v>
      </c>
      <c r="U46">
        <v>2</v>
      </c>
      <c r="X46">
        <v>1973</v>
      </c>
      <c r="Y46">
        <v>1983</v>
      </c>
      <c r="AH46" t="s">
        <v>217</v>
      </c>
      <c r="AI46" s="5" t="s">
        <v>127</v>
      </c>
      <c r="AP46" s="5" t="s">
        <v>127</v>
      </c>
      <c r="AR46">
        <v>2015</v>
      </c>
      <c r="AX46">
        <v>724</v>
      </c>
      <c r="AY46" s="5" t="s">
        <v>180</v>
      </c>
      <c r="AZ46" t="s">
        <v>244</v>
      </c>
      <c r="BA46">
        <v>1</v>
      </c>
      <c r="BX46" s="5" t="s">
        <v>127</v>
      </c>
    </row>
    <row r="47" spans="1:76" x14ac:dyDescent="0.25">
      <c r="A47">
        <v>63</v>
      </c>
      <c r="B47" t="s">
        <v>1</v>
      </c>
      <c r="C47" t="s">
        <v>125</v>
      </c>
      <c r="D47" t="s">
        <v>174</v>
      </c>
      <c r="G47" t="s">
        <v>45</v>
      </c>
      <c r="I47">
        <v>300</v>
      </c>
      <c r="K47">
        <v>406</v>
      </c>
      <c r="S47">
        <v>63</v>
      </c>
      <c r="U47">
        <v>2</v>
      </c>
      <c r="X47">
        <v>1987</v>
      </c>
      <c r="Z47">
        <v>197234653</v>
      </c>
      <c r="AH47" t="s">
        <v>217</v>
      </c>
      <c r="AI47" s="5" t="s">
        <v>127</v>
      </c>
      <c r="AP47" s="5" t="s">
        <v>127</v>
      </c>
      <c r="AR47">
        <v>2015</v>
      </c>
      <c r="AX47">
        <v>706</v>
      </c>
      <c r="AY47" s="5" t="s">
        <v>180</v>
      </c>
      <c r="AZ47" t="s">
        <v>244</v>
      </c>
      <c r="BA47">
        <v>1</v>
      </c>
      <c r="BX47" s="5" t="s">
        <v>127</v>
      </c>
    </row>
    <row r="48" spans="1:76" x14ac:dyDescent="0.25">
      <c r="A48">
        <v>64</v>
      </c>
      <c r="B48" t="s">
        <v>1</v>
      </c>
      <c r="C48" t="s">
        <v>125</v>
      </c>
      <c r="D48" t="s">
        <v>177</v>
      </c>
      <c r="G48" t="s">
        <v>47</v>
      </c>
      <c r="I48">
        <v>300</v>
      </c>
      <c r="K48">
        <v>389</v>
      </c>
      <c r="S48">
        <v>64</v>
      </c>
      <c r="U48">
        <v>2</v>
      </c>
      <c r="X48">
        <v>1939</v>
      </c>
      <c r="AH48" t="s">
        <v>217</v>
      </c>
      <c r="AI48" s="5" t="s">
        <v>127</v>
      </c>
      <c r="AP48" s="5" t="s">
        <v>127</v>
      </c>
      <c r="AR48">
        <v>2015</v>
      </c>
      <c r="AX48">
        <v>689</v>
      </c>
      <c r="AY48" s="5" t="s">
        <v>218</v>
      </c>
      <c r="AZ48" t="s">
        <v>244</v>
      </c>
      <c r="BA48">
        <v>1</v>
      </c>
      <c r="BX48" s="5" t="s">
        <v>127</v>
      </c>
    </row>
    <row r="49" spans="1:76" x14ac:dyDescent="0.25">
      <c r="A49">
        <v>65</v>
      </c>
      <c r="B49" t="s">
        <v>1</v>
      </c>
      <c r="C49" t="s">
        <v>125</v>
      </c>
      <c r="D49" t="s">
        <v>168</v>
      </c>
      <c r="G49" t="s">
        <v>38</v>
      </c>
      <c r="H49" t="s">
        <v>209</v>
      </c>
      <c r="I49">
        <v>300</v>
      </c>
      <c r="K49">
        <v>399</v>
      </c>
      <c r="S49">
        <v>65</v>
      </c>
      <c r="U49">
        <v>2</v>
      </c>
      <c r="X49">
        <v>1996</v>
      </c>
      <c r="Y49">
        <v>1999</v>
      </c>
      <c r="AH49" t="s">
        <v>217</v>
      </c>
      <c r="AI49" s="5" t="s">
        <v>127</v>
      </c>
      <c r="AP49" s="5" t="s">
        <v>127</v>
      </c>
      <c r="AR49">
        <v>2015</v>
      </c>
      <c r="AX49">
        <v>699</v>
      </c>
      <c r="AY49" s="5" t="s">
        <v>180</v>
      </c>
      <c r="AZ49" t="s">
        <v>244</v>
      </c>
      <c r="BA49">
        <v>1</v>
      </c>
      <c r="BX49" s="5" t="s">
        <v>127</v>
      </c>
    </row>
    <row r="50" spans="1:76" x14ac:dyDescent="0.25">
      <c r="A50">
        <v>66</v>
      </c>
      <c r="B50" t="s">
        <v>1</v>
      </c>
      <c r="C50" t="s">
        <v>125</v>
      </c>
      <c r="D50" t="s">
        <v>171</v>
      </c>
      <c r="G50" t="s">
        <v>41</v>
      </c>
      <c r="H50" t="s">
        <v>212</v>
      </c>
      <c r="I50">
        <v>300</v>
      </c>
      <c r="K50">
        <v>406</v>
      </c>
      <c r="S50">
        <v>66</v>
      </c>
      <c r="U50">
        <v>2</v>
      </c>
      <c r="X50">
        <v>1953</v>
      </c>
      <c r="Y50">
        <v>1959</v>
      </c>
      <c r="AH50" t="s">
        <v>217</v>
      </c>
      <c r="AI50" s="5" t="s">
        <v>127</v>
      </c>
      <c r="AP50" s="5" t="s">
        <v>127</v>
      </c>
      <c r="AR50">
        <v>2015</v>
      </c>
      <c r="AX50">
        <v>706</v>
      </c>
      <c r="AY50" s="5" t="s">
        <v>180</v>
      </c>
      <c r="AZ50" t="s">
        <v>244</v>
      </c>
      <c r="BA50">
        <v>1</v>
      </c>
      <c r="BX50" s="5" t="s">
        <v>127</v>
      </c>
    </row>
    <row r="51" spans="1:76" x14ac:dyDescent="0.25">
      <c r="A51">
        <v>67</v>
      </c>
      <c r="B51" t="s">
        <v>1</v>
      </c>
      <c r="C51" t="s">
        <v>125</v>
      </c>
      <c r="D51" t="s">
        <v>155</v>
      </c>
      <c r="H51" t="s">
        <v>27</v>
      </c>
      <c r="I51">
        <v>300</v>
      </c>
      <c r="K51">
        <v>417</v>
      </c>
      <c r="S51">
        <v>67</v>
      </c>
      <c r="U51">
        <v>2</v>
      </c>
      <c r="Y51">
        <v>1958</v>
      </c>
      <c r="AH51" t="s">
        <v>217</v>
      </c>
      <c r="AI51" s="5" t="s">
        <v>127</v>
      </c>
      <c r="AP51" s="5" t="s">
        <v>127</v>
      </c>
      <c r="AR51">
        <v>2015</v>
      </c>
      <c r="AX51">
        <v>717</v>
      </c>
      <c r="AY51" s="5" t="s">
        <v>180</v>
      </c>
      <c r="AZ51" t="s">
        <v>244</v>
      </c>
      <c r="BA51">
        <v>1</v>
      </c>
      <c r="BX51" s="5" t="s">
        <v>127</v>
      </c>
    </row>
    <row r="52" spans="1:76" x14ac:dyDescent="0.25">
      <c r="A52">
        <v>68</v>
      </c>
      <c r="B52" t="s">
        <v>1</v>
      </c>
      <c r="C52" t="s">
        <v>125</v>
      </c>
      <c r="D52" t="s">
        <v>170</v>
      </c>
      <c r="G52" t="s">
        <v>40</v>
      </c>
      <c r="H52" t="s">
        <v>211</v>
      </c>
      <c r="I52">
        <v>300</v>
      </c>
      <c r="K52">
        <v>414</v>
      </c>
      <c r="S52">
        <v>68</v>
      </c>
      <c r="U52">
        <v>2</v>
      </c>
      <c r="X52">
        <v>1992</v>
      </c>
      <c r="Y52">
        <v>1993</v>
      </c>
      <c r="AH52" t="s">
        <v>217</v>
      </c>
      <c r="AI52" s="5" t="s">
        <v>127</v>
      </c>
      <c r="AP52" s="5" t="s">
        <v>127</v>
      </c>
      <c r="AR52">
        <v>2015</v>
      </c>
      <c r="AX52">
        <v>714</v>
      </c>
      <c r="AY52" s="5" t="s">
        <v>180</v>
      </c>
      <c r="AZ52" t="s">
        <v>244</v>
      </c>
      <c r="BA52">
        <v>1</v>
      </c>
      <c r="BX52" s="5" t="s">
        <v>127</v>
      </c>
    </row>
    <row r="53" spans="1:76" x14ac:dyDescent="0.25">
      <c r="A53">
        <v>69</v>
      </c>
      <c r="B53" t="s">
        <v>1</v>
      </c>
      <c r="C53" t="s">
        <v>125</v>
      </c>
      <c r="D53" t="s">
        <v>169</v>
      </c>
      <c r="G53" t="s">
        <v>39</v>
      </c>
      <c r="H53" t="s">
        <v>210</v>
      </c>
      <c r="I53">
        <v>300</v>
      </c>
      <c r="K53">
        <v>419</v>
      </c>
      <c r="S53">
        <v>69</v>
      </c>
      <c r="U53">
        <v>2</v>
      </c>
      <c r="X53">
        <v>1977</v>
      </c>
      <c r="Y53">
        <v>1979</v>
      </c>
      <c r="AH53" t="s">
        <v>217</v>
      </c>
      <c r="AI53" s="5" t="s">
        <v>127</v>
      </c>
      <c r="AP53" s="5" t="s">
        <v>127</v>
      </c>
      <c r="AR53">
        <v>2015</v>
      </c>
      <c r="AX53">
        <v>719</v>
      </c>
      <c r="AY53" s="5" t="s">
        <v>180</v>
      </c>
      <c r="AZ53" t="s">
        <v>244</v>
      </c>
      <c r="BA53">
        <v>1</v>
      </c>
      <c r="BX53" s="5" t="s">
        <v>127</v>
      </c>
    </row>
  </sheetData>
  <protectedRanges>
    <protectedRange sqref="BK1:BY1" name="Range1_1_2_1"/>
  </protectedRanges>
  <dataValidations count="1">
    <dataValidation type="custom" allowBlank="1" showInputMessage="1" showErrorMessage="1" errorTitle="Cảnh báo" error="Đã nhập" sqref="A1">
      <formula1>COUNTIF($A$1:$A$9993,A1)&lt;=1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K56"/>
  <sheetViews>
    <sheetView showZeros="0" view="pageBreakPreview" topLeftCell="A46" zoomScale="115" zoomScaleNormal="100" zoomScaleSheetLayoutView="115" workbookViewId="0">
      <selection activeCell="A18" sqref="A18:XFD18"/>
    </sheetView>
  </sheetViews>
  <sheetFormatPr defaultRowHeight="15" x14ac:dyDescent="0.25"/>
  <cols>
    <col min="2" max="2" width="25" style="6" customWidth="1"/>
    <col min="3" max="3" width="21.85546875" style="7" customWidth="1"/>
    <col min="4" max="4" width="15.42578125" customWidth="1"/>
    <col min="10" max="10" width="33.140625" bestFit="1" customWidth="1"/>
  </cols>
  <sheetData>
    <row r="2" spans="1:11" ht="15.75" thickBot="1" x14ac:dyDescent="0.3"/>
    <row r="3" spans="1:11" ht="30" customHeight="1" x14ac:dyDescent="0.25">
      <c r="A3" s="28" t="s">
        <v>220</v>
      </c>
      <c r="B3" s="29" t="s">
        <v>221</v>
      </c>
      <c r="C3" s="29"/>
      <c r="D3" s="30" t="s">
        <v>222</v>
      </c>
      <c r="E3" s="31" t="s">
        <v>223</v>
      </c>
      <c r="F3" s="30" t="s">
        <v>224</v>
      </c>
      <c r="G3" s="30" t="s">
        <v>225</v>
      </c>
      <c r="H3" s="30" t="s">
        <v>228</v>
      </c>
      <c r="I3" s="30"/>
      <c r="J3" s="32" t="s">
        <v>229</v>
      </c>
    </row>
    <row r="4" spans="1:11" ht="30" customHeight="1" x14ac:dyDescent="0.25">
      <c r="A4" s="33"/>
      <c r="B4" s="8" t="s">
        <v>230</v>
      </c>
      <c r="C4" s="8" t="s">
        <v>231</v>
      </c>
      <c r="D4" s="34"/>
      <c r="E4" s="35"/>
      <c r="F4" s="34"/>
      <c r="G4" s="34"/>
      <c r="H4" s="20" t="s">
        <v>226</v>
      </c>
      <c r="I4" s="20" t="s">
        <v>227</v>
      </c>
      <c r="J4" s="36"/>
    </row>
    <row r="5" spans="1:11" ht="30" customHeight="1" x14ac:dyDescent="0.25">
      <c r="A5" s="13">
        <v>1</v>
      </c>
      <c r="B5" s="8" t="str">
        <f>DATA!G2</f>
        <v>Hồ Văn Lai</v>
      </c>
      <c r="C5" s="10" t="str">
        <f>DATA!H2</f>
        <v>Hồ Thị Dua</v>
      </c>
      <c r="D5" s="9" t="s">
        <v>1</v>
      </c>
      <c r="E5" s="9">
        <f>SUM(H5:I5)</f>
        <v>719</v>
      </c>
      <c r="F5" s="9">
        <v>2</v>
      </c>
      <c r="G5" s="9">
        <f>DATA!S2</f>
        <v>9</v>
      </c>
      <c r="H5" s="9">
        <v>300</v>
      </c>
      <c r="I5" s="9">
        <f>DATA!K2</f>
        <v>419</v>
      </c>
      <c r="J5" s="14" t="s">
        <v>232</v>
      </c>
      <c r="K5" t="s">
        <v>144</v>
      </c>
    </row>
    <row r="6" spans="1:11" ht="30" customHeight="1" x14ac:dyDescent="0.25">
      <c r="A6" s="13">
        <v>2</v>
      </c>
      <c r="B6" s="8" t="str">
        <f>DATA!G3</f>
        <v>Hồ Văn Víc</v>
      </c>
      <c r="C6" s="10" t="str">
        <f>DATA!H3</f>
        <v>Hồ Thị Bùi</v>
      </c>
      <c r="D6" s="9" t="s">
        <v>1</v>
      </c>
      <c r="E6" s="9">
        <f t="shared" ref="E6:E56" si="0">SUM(H6:I6)</f>
        <v>719</v>
      </c>
      <c r="F6" s="9">
        <v>2</v>
      </c>
      <c r="G6" s="9">
        <f>DATA!S3</f>
        <v>10</v>
      </c>
      <c r="H6" s="9">
        <v>300</v>
      </c>
      <c r="I6" s="9">
        <f>DATA!K3</f>
        <v>419</v>
      </c>
      <c r="J6" s="14" t="s">
        <v>232</v>
      </c>
      <c r="K6" t="s">
        <v>134</v>
      </c>
    </row>
    <row r="7" spans="1:11" ht="30" customHeight="1" x14ac:dyDescent="0.25">
      <c r="A7" s="13">
        <v>3</v>
      </c>
      <c r="B7" s="8" t="str">
        <f>DATA!G4</f>
        <v>Hồ A Lư</v>
      </c>
      <c r="C7" s="10" t="str">
        <f>DATA!H4</f>
        <v>Hồ Thị Mĩa</v>
      </c>
      <c r="D7" s="9" t="s">
        <v>1</v>
      </c>
      <c r="E7" s="9">
        <f t="shared" si="0"/>
        <v>719</v>
      </c>
      <c r="F7" s="9">
        <v>2</v>
      </c>
      <c r="G7" s="9">
        <f>DATA!S4</f>
        <v>12</v>
      </c>
      <c r="H7" s="9">
        <v>300</v>
      </c>
      <c r="I7" s="9">
        <f>DATA!K4</f>
        <v>419</v>
      </c>
      <c r="J7" s="14" t="s">
        <v>232</v>
      </c>
      <c r="K7" t="s">
        <v>157</v>
      </c>
    </row>
    <row r="8" spans="1:11" ht="30" customHeight="1" x14ac:dyDescent="0.25">
      <c r="A8" s="13">
        <v>4</v>
      </c>
      <c r="B8" s="10" t="str">
        <f>DATA!H5</f>
        <v>Hồ Thị Mom</v>
      </c>
      <c r="D8" s="9" t="s">
        <v>1</v>
      </c>
      <c r="E8" s="9">
        <f t="shared" si="0"/>
        <v>719</v>
      </c>
      <c r="F8" s="9">
        <v>2</v>
      </c>
      <c r="G8" s="9">
        <f>DATA!S5</f>
        <v>13</v>
      </c>
      <c r="H8" s="9">
        <v>300</v>
      </c>
      <c r="I8" s="9">
        <f>DATA!K5</f>
        <v>419</v>
      </c>
      <c r="J8" s="14" t="s">
        <v>232</v>
      </c>
      <c r="K8" t="s">
        <v>151</v>
      </c>
    </row>
    <row r="9" spans="1:11" ht="30" customHeight="1" x14ac:dyDescent="0.25">
      <c r="A9" s="13">
        <v>5</v>
      </c>
      <c r="B9" s="8" t="str">
        <f>DATA!G6</f>
        <v>Hồ Văn Phét</v>
      </c>
      <c r="C9" s="10" t="str">
        <f>DATA!H6</f>
        <v>Hồ Thị Pa Lô</v>
      </c>
      <c r="D9" s="9" t="s">
        <v>1</v>
      </c>
      <c r="E9" s="9">
        <f t="shared" si="0"/>
        <v>719</v>
      </c>
      <c r="F9" s="9">
        <v>2</v>
      </c>
      <c r="G9" s="9">
        <f>DATA!S6</f>
        <v>14</v>
      </c>
      <c r="H9" s="9">
        <v>300</v>
      </c>
      <c r="I9" s="9">
        <f>DATA!K6</f>
        <v>419</v>
      </c>
      <c r="J9" s="14" t="s">
        <v>232</v>
      </c>
      <c r="K9" t="s">
        <v>148</v>
      </c>
    </row>
    <row r="10" spans="1:11" ht="30" customHeight="1" x14ac:dyDescent="0.25">
      <c r="A10" s="13">
        <v>6</v>
      </c>
      <c r="B10" s="8">
        <f>DATA!G7</f>
        <v>0</v>
      </c>
      <c r="C10" s="10" t="str">
        <f>DATA!H7</f>
        <v>Hồ Thị Thiệu</v>
      </c>
      <c r="D10" s="9" t="s">
        <v>1</v>
      </c>
      <c r="E10" s="9">
        <f t="shared" si="0"/>
        <v>735</v>
      </c>
      <c r="F10" s="9">
        <v>2</v>
      </c>
      <c r="G10" s="9">
        <f>DATA!S7</f>
        <v>16</v>
      </c>
      <c r="H10" s="9">
        <v>300</v>
      </c>
      <c r="I10" s="9">
        <f>DATA!K7</f>
        <v>435</v>
      </c>
      <c r="J10" s="14" t="s">
        <v>232</v>
      </c>
      <c r="K10" t="s">
        <v>153</v>
      </c>
    </row>
    <row r="11" spans="1:11" ht="30" customHeight="1" x14ac:dyDescent="0.25">
      <c r="A11" s="13">
        <v>7</v>
      </c>
      <c r="B11" s="8" t="str">
        <f>DATA!G8</f>
        <v>Hồ Văn Doán</v>
      </c>
      <c r="C11" s="10" t="str">
        <f>DATA!H8</f>
        <v>Hồ Thị Thu Hiền</v>
      </c>
      <c r="D11" s="9" t="s">
        <v>1</v>
      </c>
      <c r="E11" s="9">
        <f t="shared" si="0"/>
        <v>735</v>
      </c>
      <c r="F11" s="9">
        <v>2</v>
      </c>
      <c r="G11" s="9">
        <f>DATA!S8</f>
        <v>17</v>
      </c>
      <c r="H11" s="9">
        <v>300</v>
      </c>
      <c r="I11" s="9">
        <f>DATA!K8</f>
        <v>435</v>
      </c>
      <c r="J11" s="14" t="s">
        <v>232</v>
      </c>
      <c r="K11" t="s">
        <v>156</v>
      </c>
    </row>
    <row r="12" spans="1:11" ht="30" customHeight="1" x14ac:dyDescent="0.25">
      <c r="A12" s="13">
        <v>8</v>
      </c>
      <c r="B12" s="8" t="str">
        <f>DATA!G9</f>
        <v>Hồ Ta Bây</v>
      </c>
      <c r="C12" s="10">
        <f>DATA!H9</f>
        <v>0</v>
      </c>
      <c r="D12" s="9" t="s">
        <v>1</v>
      </c>
      <c r="E12" s="9">
        <f t="shared" si="0"/>
        <v>861</v>
      </c>
      <c r="F12" s="9">
        <v>2</v>
      </c>
      <c r="G12" s="9">
        <f>DATA!S9</f>
        <v>19</v>
      </c>
      <c r="H12" s="9">
        <v>300</v>
      </c>
      <c r="I12" s="9">
        <f>DATA!K9</f>
        <v>561</v>
      </c>
      <c r="J12" s="14" t="s">
        <v>232</v>
      </c>
      <c r="K12" t="s">
        <v>175</v>
      </c>
    </row>
    <row r="13" spans="1:11" ht="30" customHeight="1" x14ac:dyDescent="0.25">
      <c r="A13" s="13">
        <v>9</v>
      </c>
      <c r="B13" s="8" t="str">
        <f>DATA!G10</f>
        <v>Hồ Văn Thời</v>
      </c>
      <c r="C13" s="10" t="str">
        <f>DATA!H10</f>
        <v>Hồ Thị Nguyệt</v>
      </c>
      <c r="D13" s="9" t="s">
        <v>1</v>
      </c>
      <c r="E13" s="9">
        <f t="shared" si="0"/>
        <v>721</v>
      </c>
      <c r="F13" s="9">
        <v>2</v>
      </c>
      <c r="G13" s="9">
        <f>DATA!S10</f>
        <v>20</v>
      </c>
      <c r="H13" s="9">
        <v>300</v>
      </c>
      <c r="I13" s="9">
        <f>DATA!K10</f>
        <v>421</v>
      </c>
      <c r="J13" s="14" t="s">
        <v>232</v>
      </c>
      <c r="K13" t="s">
        <v>166</v>
      </c>
    </row>
    <row r="14" spans="1:11" ht="30" customHeight="1" x14ac:dyDescent="0.25">
      <c r="A14" s="13">
        <v>10</v>
      </c>
      <c r="B14" s="8" t="str">
        <f>DATA!G11</f>
        <v>Hồ Văn Tài</v>
      </c>
      <c r="C14" s="10" t="str">
        <f>DATA!H11</f>
        <v>Hồ Thị Hằng</v>
      </c>
      <c r="D14" s="9" t="s">
        <v>1</v>
      </c>
      <c r="E14" s="9">
        <f t="shared" si="0"/>
        <v>726</v>
      </c>
      <c r="F14" s="9">
        <v>2</v>
      </c>
      <c r="G14" s="9">
        <f>DATA!S11</f>
        <v>21</v>
      </c>
      <c r="H14" s="9">
        <v>300</v>
      </c>
      <c r="I14" s="9">
        <f>DATA!K11</f>
        <v>426</v>
      </c>
      <c r="J14" s="14" t="s">
        <v>232</v>
      </c>
      <c r="K14" t="s">
        <v>172</v>
      </c>
    </row>
    <row r="15" spans="1:11" ht="30" customHeight="1" x14ac:dyDescent="0.25">
      <c r="A15" s="13">
        <v>11</v>
      </c>
      <c r="B15" s="8" t="str">
        <f>DATA!G12</f>
        <v>Hồ Văn Lô</v>
      </c>
      <c r="C15" s="10" t="str">
        <f>DATA!H12</f>
        <v>Hồ Thị Lai</v>
      </c>
      <c r="D15" s="9" t="s">
        <v>1</v>
      </c>
      <c r="E15" s="9">
        <f t="shared" si="0"/>
        <v>694</v>
      </c>
      <c r="F15" s="9">
        <v>2</v>
      </c>
      <c r="G15" s="9">
        <f>DATA!S12</f>
        <v>22</v>
      </c>
      <c r="H15" s="9">
        <v>300</v>
      </c>
      <c r="I15" s="9">
        <f>DATA!K12</f>
        <v>394</v>
      </c>
      <c r="J15" s="14" t="s">
        <v>232</v>
      </c>
      <c r="K15" t="s">
        <v>136</v>
      </c>
    </row>
    <row r="16" spans="1:11" ht="30" customHeight="1" x14ac:dyDescent="0.25">
      <c r="A16" s="13">
        <v>12</v>
      </c>
      <c r="B16" s="8" t="str">
        <f>DATA!G13</f>
        <v>Hồ Văn Tuar</v>
      </c>
      <c r="C16" s="10" t="str">
        <f>DATA!H13</f>
        <v>Hồ Thị Láo</v>
      </c>
      <c r="D16" s="9" t="s">
        <v>1</v>
      </c>
      <c r="E16" s="9">
        <f t="shared" si="0"/>
        <v>736</v>
      </c>
      <c r="F16" s="9">
        <v>2</v>
      </c>
      <c r="G16" s="9">
        <f>DATA!S13</f>
        <v>23</v>
      </c>
      <c r="H16" s="9">
        <v>300</v>
      </c>
      <c r="I16" s="9">
        <f>DATA!K13</f>
        <v>436</v>
      </c>
      <c r="J16" s="14" t="s">
        <v>232</v>
      </c>
      <c r="K16" t="s">
        <v>160</v>
      </c>
    </row>
    <row r="17" spans="1:11" ht="30" customHeight="1" x14ac:dyDescent="0.25">
      <c r="A17" s="13">
        <v>13</v>
      </c>
      <c r="B17" s="8" t="str">
        <f>DATA!G14</f>
        <v>Hồ Văn Heng</v>
      </c>
      <c r="C17" s="10">
        <f>DATA!H14</f>
        <v>0</v>
      </c>
      <c r="D17" s="9" t="s">
        <v>1</v>
      </c>
      <c r="E17" s="9">
        <f t="shared" si="0"/>
        <v>714</v>
      </c>
      <c r="F17" s="9">
        <v>2</v>
      </c>
      <c r="G17" s="9">
        <f>DATA!S14</f>
        <v>24</v>
      </c>
      <c r="H17" s="9">
        <v>300</v>
      </c>
      <c r="I17" s="9">
        <f>DATA!K14</f>
        <v>414</v>
      </c>
      <c r="J17" s="14" t="s">
        <v>232</v>
      </c>
      <c r="K17" t="s">
        <v>131</v>
      </c>
    </row>
    <row r="18" spans="1:11" ht="30" customHeight="1" x14ac:dyDescent="0.25">
      <c r="A18" s="13">
        <v>14</v>
      </c>
      <c r="B18" s="10" t="str">
        <f>DATA!H15</f>
        <v>Hồ Thị Tưng</v>
      </c>
      <c r="D18" s="9" t="s">
        <v>1</v>
      </c>
      <c r="E18" s="9">
        <f t="shared" si="0"/>
        <v>710</v>
      </c>
      <c r="F18" s="9">
        <v>2</v>
      </c>
      <c r="G18" s="9">
        <f>DATA!S15</f>
        <v>25</v>
      </c>
      <c r="H18" s="9">
        <v>300</v>
      </c>
      <c r="I18" s="9">
        <f>DATA!K15</f>
        <v>410</v>
      </c>
      <c r="J18" s="14" t="s">
        <v>232</v>
      </c>
      <c r="K18" t="s">
        <v>159</v>
      </c>
    </row>
    <row r="19" spans="1:11" ht="30" customHeight="1" x14ac:dyDescent="0.25">
      <c r="A19" s="13">
        <v>15</v>
      </c>
      <c r="B19" s="8" t="str">
        <f>DATA!G16</f>
        <v>Hồ Văn Mặt</v>
      </c>
      <c r="C19" s="10" t="str">
        <f>DATA!H16</f>
        <v>Hồ Thị Tham</v>
      </c>
      <c r="D19" s="9" t="s">
        <v>1</v>
      </c>
      <c r="E19" s="9">
        <f t="shared" si="0"/>
        <v>717</v>
      </c>
      <c r="F19" s="9">
        <v>2</v>
      </c>
      <c r="G19" s="9">
        <f>DATA!S16</f>
        <v>26</v>
      </c>
      <c r="H19" s="9">
        <v>300</v>
      </c>
      <c r="I19" s="9">
        <f>DATA!K16</f>
        <v>417</v>
      </c>
      <c r="J19" s="14" t="s">
        <v>232</v>
      </c>
      <c r="K19" t="s">
        <v>158</v>
      </c>
    </row>
    <row r="20" spans="1:11" ht="30" customHeight="1" x14ac:dyDescent="0.25">
      <c r="A20" s="13">
        <v>16</v>
      </c>
      <c r="B20" s="8">
        <f>DATA!G17</f>
        <v>0</v>
      </c>
      <c r="C20" s="10" t="str">
        <f>DATA!H17</f>
        <v>Hồ Thị Ta Lư</v>
      </c>
      <c r="D20" s="9" t="s">
        <v>1</v>
      </c>
      <c r="E20" s="9">
        <f t="shared" si="0"/>
        <v>723</v>
      </c>
      <c r="F20" s="9">
        <v>2</v>
      </c>
      <c r="G20" s="9">
        <f>DATA!S17</f>
        <v>27</v>
      </c>
      <c r="H20" s="9">
        <v>300</v>
      </c>
      <c r="I20" s="9">
        <f>DATA!K17</f>
        <v>423</v>
      </c>
      <c r="J20" s="14" t="s">
        <v>232</v>
      </c>
      <c r="K20" t="s">
        <v>130</v>
      </c>
    </row>
    <row r="21" spans="1:11" ht="30" customHeight="1" x14ac:dyDescent="0.25">
      <c r="A21" s="13">
        <v>17</v>
      </c>
      <c r="B21" s="8" t="str">
        <f>DATA!G18</f>
        <v>Hồ Văn Pổ</v>
      </c>
      <c r="C21" s="10" t="str">
        <f>DATA!H18</f>
        <v>Hồ Thị Nu</v>
      </c>
      <c r="D21" s="9" t="s">
        <v>1</v>
      </c>
      <c r="E21" s="9">
        <f t="shared" si="0"/>
        <v>723</v>
      </c>
      <c r="F21" s="9">
        <v>2</v>
      </c>
      <c r="G21" s="9">
        <f>DATA!S18</f>
        <v>28</v>
      </c>
      <c r="H21" s="9">
        <v>300</v>
      </c>
      <c r="I21" s="9">
        <f>DATA!K18</f>
        <v>423</v>
      </c>
      <c r="J21" s="14" t="s">
        <v>232</v>
      </c>
      <c r="K21" t="s">
        <v>219</v>
      </c>
    </row>
    <row r="22" spans="1:11" ht="30" customHeight="1" x14ac:dyDescent="0.25">
      <c r="A22" s="13">
        <v>18</v>
      </c>
      <c r="B22" s="8">
        <f>DATA!G19</f>
        <v>0</v>
      </c>
      <c r="C22" s="10" t="str">
        <f>DATA!H19</f>
        <v>Hồ Thị Ly</v>
      </c>
      <c r="D22" s="9" t="s">
        <v>1</v>
      </c>
      <c r="E22" s="9">
        <f t="shared" si="0"/>
        <v>721</v>
      </c>
      <c r="F22" s="9">
        <v>2</v>
      </c>
      <c r="G22" s="9">
        <f>DATA!S19</f>
        <v>29</v>
      </c>
      <c r="H22" s="9">
        <v>300</v>
      </c>
      <c r="I22" s="9">
        <f>DATA!K19</f>
        <v>421</v>
      </c>
      <c r="J22" s="14" t="s">
        <v>232</v>
      </c>
      <c r="K22" t="s">
        <v>140</v>
      </c>
    </row>
    <row r="23" spans="1:11" ht="30" customHeight="1" x14ac:dyDescent="0.25">
      <c r="A23" s="13">
        <v>19</v>
      </c>
      <c r="B23" s="8" t="str">
        <f>DATA!G20</f>
        <v>Hồ Văn Khon</v>
      </c>
      <c r="C23" s="10" t="str">
        <f>DATA!H20</f>
        <v>Hồ Thị Nhứt</v>
      </c>
      <c r="D23" s="9" t="s">
        <v>1</v>
      </c>
      <c r="E23" s="9">
        <f t="shared" si="0"/>
        <v>721</v>
      </c>
      <c r="F23" s="9">
        <v>2</v>
      </c>
      <c r="G23" s="9">
        <f>DATA!S20</f>
        <v>30</v>
      </c>
      <c r="H23" s="9">
        <v>300</v>
      </c>
      <c r="I23" s="9">
        <f>DATA!K20</f>
        <v>421</v>
      </c>
      <c r="J23" s="14" t="s">
        <v>232</v>
      </c>
      <c r="K23" t="s">
        <v>139</v>
      </c>
    </row>
    <row r="24" spans="1:11" ht="30" customHeight="1" x14ac:dyDescent="0.25">
      <c r="A24" s="13">
        <v>20</v>
      </c>
      <c r="B24" s="8" t="str">
        <f>DATA!G21</f>
        <v>Hồ Văn Quốc</v>
      </c>
      <c r="C24" s="10" t="str">
        <f>DATA!H21</f>
        <v>Hồ Thị Hà</v>
      </c>
      <c r="D24" s="9" t="s">
        <v>1</v>
      </c>
      <c r="E24" s="9">
        <f t="shared" si="0"/>
        <v>849</v>
      </c>
      <c r="F24" s="9">
        <v>2</v>
      </c>
      <c r="G24" s="9">
        <f>DATA!S21</f>
        <v>31</v>
      </c>
      <c r="H24" s="9">
        <v>300</v>
      </c>
      <c r="I24" s="9">
        <f>DATA!K21</f>
        <v>549</v>
      </c>
      <c r="J24" s="14" t="s">
        <v>232</v>
      </c>
      <c r="K24" t="s">
        <v>126</v>
      </c>
    </row>
    <row r="25" spans="1:11" ht="30" customHeight="1" x14ac:dyDescent="0.25">
      <c r="A25" s="13">
        <v>21</v>
      </c>
      <c r="B25" s="8" t="str">
        <f>DATA!G22</f>
        <v>Hồ Văn Sen</v>
      </c>
      <c r="C25" s="10" t="str">
        <f>DATA!H22</f>
        <v>Hồ Thị Sưa</v>
      </c>
      <c r="D25" s="9" t="s">
        <v>1</v>
      </c>
      <c r="E25" s="9">
        <f t="shared" si="0"/>
        <v>749</v>
      </c>
      <c r="F25" s="9">
        <v>2</v>
      </c>
      <c r="G25" s="9">
        <f>DATA!S22</f>
        <v>32</v>
      </c>
      <c r="H25" s="9">
        <v>300</v>
      </c>
      <c r="I25" s="9">
        <f>DATA!K22</f>
        <v>449</v>
      </c>
      <c r="J25" s="14" t="s">
        <v>232</v>
      </c>
      <c r="K25" t="s">
        <v>154</v>
      </c>
    </row>
    <row r="26" spans="1:11" ht="30" customHeight="1" x14ac:dyDescent="0.25">
      <c r="A26" s="13">
        <v>22</v>
      </c>
      <c r="B26" s="8">
        <f>DATA!G23</f>
        <v>0</v>
      </c>
      <c r="C26" s="10" t="str">
        <f>DATA!H23</f>
        <v>Hồ Thị Xâng</v>
      </c>
      <c r="D26" s="9" t="s">
        <v>1</v>
      </c>
      <c r="E26" s="9">
        <f t="shared" si="0"/>
        <v>756</v>
      </c>
      <c r="F26" s="9">
        <v>2</v>
      </c>
      <c r="G26" s="9">
        <f>DATA!S23</f>
        <v>33</v>
      </c>
      <c r="H26" s="9">
        <v>300</v>
      </c>
      <c r="I26" s="9">
        <f>DATA!K23</f>
        <v>456</v>
      </c>
      <c r="J26" s="14" t="s">
        <v>232</v>
      </c>
      <c r="K26" t="s">
        <v>152</v>
      </c>
    </row>
    <row r="27" spans="1:11" ht="30" customHeight="1" x14ac:dyDescent="0.25">
      <c r="A27" s="13">
        <v>23</v>
      </c>
      <c r="B27" s="8" t="str">
        <f>DATA!G24</f>
        <v>Hồ Văn Sưng</v>
      </c>
      <c r="C27" s="10" t="str">
        <f>DATA!H24</f>
        <v>Hồ Thị Hiếu</v>
      </c>
      <c r="D27" s="9" t="s">
        <v>1</v>
      </c>
      <c r="E27" s="9">
        <f t="shared" si="0"/>
        <v>752</v>
      </c>
      <c r="F27" s="9">
        <v>2</v>
      </c>
      <c r="G27" s="9">
        <f>DATA!S24</f>
        <v>34</v>
      </c>
      <c r="H27" s="9">
        <v>300</v>
      </c>
      <c r="I27" s="9">
        <f>DATA!K24</f>
        <v>452</v>
      </c>
      <c r="J27" s="14" t="s">
        <v>232</v>
      </c>
      <c r="K27" t="s">
        <v>145</v>
      </c>
    </row>
    <row r="28" spans="1:11" ht="30" customHeight="1" x14ac:dyDescent="0.25">
      <c r="A28" s="13">
        <v>24</v>
      </c>
      <c r="B28" s="8" t="str">
        <f>DATA!G25</f>
        <v>Hồ Văn Ưng</v>
      </c>
      <c r="C28" s="10" t="str">
        <f>DATA!H25</f>
        <v>Hồ Thị Chung</v>
      </c>
      <c r="D28" s="9" t="s">
        <v>1</v>
      </c>
      <c r="E28" s="9">
        <f t="shared" si="0"/>
        <v>737</v>
      </c>
      <c r="F28" s="9">
        <v>2</v>
      </c>
      <c r="G28" s="9">
        <f>DATA!S25</f>
        <v>35</v>
      </c>
      <c r="H28" s="9">
        <v>300</v>
      </c>
      <c r="I28" s="9">
        <f>DATA!K25</f>
        <v>437</v>
      </c>
      <c r="J28" s="14" t="s">
        <v>232</v>
      </c>
      <c r="K28" t="s">
        <v>163</v>
      </c>
    </row>
    <row r="29" spans="1:11" ht="30" customHeight="1" x14ac:dyDescent="0.25">
      <c r="A29" s="13">
        <v>25</v>
      </c>
      <c r="B29" s="8" t="str">
        <f>DATA!G26</f>
        <v>Hồ Văn Sô</v>
      </c>
      <c r="C29" s="10" t="str">
        <f>DATA!H26</f>
        <v>Hồ Thị Bơn</v>
      </c>
      <c r="D29" s="9" t="s">
        <v>1</v>
      </c>
      <c r="E29" s="9">
        <f t="shared" si="0"/>
        <v>730</v>
      </c>
      <c r="F29" s="9">
        <v>2</v>
      </c>
      <c r="G29" s="9">
        <f>DATA!S26</f>
        <v>36</v>
      </c>
      <c r="H29" s="9">
        <v>300</v>
      </c>
      <c r="I29" s="9">
        <f>DATA!K26</f>
        <v>430</v>
      </c>
      <c r="J29" s="14" t="s">
        <v>232</v>
      </c>
      <c r="K29" t="s">
        <v>135</v>
      </c>
    </row>
    <row r="30" spans="1:11" ht="30" customHeight="1" x14ac:dyDescent="0.25">
      <c r="A30" s="13">
        <v>26</v>
      </c>
      <c r="B30" s="10" t="str">
        <f>DATA!H27</f>
        <v>Hồ Thị Ếch</v>
      </c>
      <c r="D30" s="9" t="s">
        <v>1</v>
      </c>
      <c r="E30" s="9">
        <f t="shared" si="0"/>
        <v>759</v>
      </c>
      <c r="F30" s="9">
        <v>2</v>
      </c>
      <c r="G30" s="9">
        <f>DATA!S27</f>
        <v>37</v>
      </c>
      <c r="H30" s="9">
        <v>300</v>
      </c>
      <c r="I30" s="9">
        <f>DATA!K27</f>
        <v>459</v>
      </c>
      <c r="J30" s="14" t="s">
        <v>232</v>
      </c>
      <c r="K30" t="s">
        <v>129</v>
      </c>
    </row>
    <row r="31" spans="1:11" ht="30" customHeight="1" x14ac:dyDescent="0.25">
      <c r="A31" s="13">
        <v>27</v>
      </c>
      <c r="B31" s="10" t="str">
        <f>DATA!H28</f>
        <v>Hồ Thị Nông</v>
      </c>
      <c r="D31" s="9" t="s">
        <v>1</v>
      </c>
      <c r="E31" s="9">
        <f t="shared" si="0"/>
        <v>948</v>
      </c>
      <c r="F31" s="9">
        <v>2</v>
      </c>
      <c r="G31" s="9">
        <f>DATA!S28</f>
        <v>38</v>
      </c>
      <c r="H31" s="9">
        <v>300</v>
      </c>
      <c r="I31" s="9">
        <f>DATA!K28</f>
        <v>648</v>
      </c>
      <c r="J31" s="14" t="s">
        <v>232</v>
      </c>
      <c r="K31" t="s">
        <v>132</v>
      </c>
    </row>
    <row r="32" spans="1:11" ht="30" customHeight="1" x14ac:dyDescent="0.25">
      <c r="A32" s="13">
        <v>28</v>
      </c>
      <c r="B32" s="8">
        <f>DATA!G29</f>
        <v>0</v>
      </c>
      <c r="C32" s="10" t="str">
        <f>DATA!H29</f>
        <v>Hồ Thị Thiệu</v>
      </c>
      <c r="D32" s="9" t="s">
        <v>1</v>
      </c>
      <c r="E32" s="9">
        <f t="shared" si="0"/>
        <v>793</v>
      </c>
      <c r="F32" s="9">
        <v>2</v>
      </c>
      <c r="G32" s="9">
        <f>DATA!S29</f>
        <v>39</v>
      </c>
      <c r="H32" s="9">
        <v>300</v>
      </c>
      <c r="I32" s="9">
        <f>DATA!K29</f>
        <v>493</v>
      </c>
      <c r="J32" s="14" t="s">
        <v>232</v>
      </c>
      <c r="K32" t="s">
        <v>161</v>
      </c>
    </row>
    <row r="33" spans="1:11" ht="30" customHeight="1" x14ac:dyDescent="0.25">
      <c r="A33" s="13">
        <v>29</v>
      </c>
      <c r="B33" s="10" t="str">
        <f>DATA!H30</f>
        <v>Hồ Thị Chưn</v>
      </c>
      <c r="D33" s="9" t="s">
        <v>1</v>
      </c>
      <c r="E33" s="9">
        <f t="shared" si="0"/>
        <v>807</v>
      </c>
      <c r="F33" s="9">
        <v>2</v>
      </c>
      <c r="G33" s="9">
        <f>DATA!S30</f>
        <v>40</v>
      </c>
      <c r="H33" s="9">
        <v>300</v>
      </c>
      <c r="I33" s="9">
        <f>DATA!K30</f>
        <v>507</v>
      </c>
      <c r="J33" s="14" t="s">
        <v>232</v>
      </c>
      <c r="K33" t="s">
        <v>138</v>
      </c>
    </row>
    <row r="34" spans="1:11" ht="30" customHeight="1" x14ac:dyDescent="0.25">
      <c r="A34" s="13">
        <v>30</v>
      </c>
      <c r="B34" s="8" t="str">
        <f>DATA!G31</f>
        <v>Hồ Văn Phĩ</v>
      </c>
      <c r="C34" s="10" t="str">
        <f>DATA!H31</f>
        <v>Hồ Thị Biu</v>
      </c>
      <c r="D34" s="9" t="s">
        <v>1</v>
      </c>
      <c r="E34" s="9">
        <f t="shared" si="0"/>
        <v>713</v>
      </c>
      <c r="F34" s="9">
        <v>2</v>
      </c>
      <c r="G34" s="9">
        <f>DATA!S31</f>
        <v>41</v>
      </c>
      <c r="H34" s="9">
        <v>300</v>
      </c>
      <c r="I34" s="9">
        <f>DATA!K31</f>
        <v>413</v>
      </c>
      <c r="J34" s="14" t="s">
        <v>232</v>
      </c>
      <c r="K34" t="s">
        <v>133</v>
      </c>
    </row>
    <row r="35" spans="1:11" ht="30" customHeight="1" x14ac:dyDescent="0.25">
      <c r="A35" s="13">
        <v>31</v>
      </c>
      <c r="B35" s="8" t="str">
        <f>DATA!G32</f>
        <v>Hồ Văn Viêng</v>
      </c>
      <c r="C35" s="10">
        <f>DATA!H32</f>
        <v>0</v>
      </c>
      <c r="D35" s="9" t="s">
        <v>1</v>
      </c>
      <c r="E35" s="9">
        <f t="shared" si="0"/>
        <v>708</v>
      </c>
      <c r="F35" s="9">
        <v>2</v>
      </c>
      <c r="G35" s="9">
        <f>DATA!S32</f>
        <v>42</v>
      </c>
      <c r="H35" s="9">
        <v>300</v>
      </c>
      <c r="I35" s="9">
        <f>DATA!K32</f>
        <v>408</v>
      </c>
      <c r="J35" s="14" t="s">
        <v>232</v>
      </c>
      <c r="K35" t="s">
        <v>176</v>
      </c>
    </row>
    <row r="36" spans="1:11" ht="30" customHeight="1" x14ac:dyDescent="0.25">
      <c r="A36" s="13">
        <v>32</v>
      </c>
      <c r="B36" s="8" t="str">
        <f>DATA!G33</f>
        <v>Y Ra Lăng</v>
      </c>
      <c r="C36" s="10">
        <f>DATA!H33</f>
        <v>0</v>
      </c>
      <c r="D36" s="9" t="s">
        <v>1</v>
      </c>
      <c r="E36" s="9">
        <f t="shared" si="0"/>
        <v>758</v>
      </c>
      <c r="F36" s="9">
        <v>2</v>
      </c>
      <c r="G36" s="9">
        <f>DATA!S33</f>
        <v>43</v>
      </c>
      <c r="H36" s="9">
        <v>300</v>
      </c>
      <c r="I36" s="9">
        <f>DATA!K33</f>
        <v>458</v>
      </c>
      <c r="J36" s="14" t="s">
        <v>232</v>
      </c>
      <c r="K36" t="s">
        <v>141</v>
      </c>
    </row>
    <row r="37" spans="1:11" ht="30" customHeight="1" x14ac:dyDescent="0.25">
      <c r="A37" s="13">
        <v>33</v>
      </c>
      <c r="B37" s="8" t="str">
        <f>DATA!G34</f>
        <v>Hồ Văn Bài</v>
      </c>
      <c r="C37" s="10" t="str">
        <f>DATA!H34</f>
        <v>Hồ Thị Hề</v>
      </c>
      <c r="D37" s="9" t="s">
        <v>1</v>
      </c>
      <c r="E37" s="9">
        <f t="shared" si="0"/>
        <v>707</v>
      </c>
      <c r="F37" s="9">
        <v>2</v>
      </c>
      <c r="G37" s="9">
        <f>DATA!S34</f>
        <v>44</v>
      </c>
      <c r="H37" s="9">
        <v>300</v>
      </c>
      <c r="I37" s="9">
        <f>DATA!K34</f>
        <v>407</v>
      </c>
      <c r="J37" s="14" t="s">
        <v>232</v>
      </c>
      <c r="K37" t="s">
        <v>165</v>
      </c>
    </row>
    <row r="38" spans="1:11" ht="30" customHeight="1" x14ac:dyDescent="0.25">
      <c r="A38" s="13">
        <v>34</v>
      </c>
      <c r="B38" s="8" t="str">
        <f>DATA!G35</f>
        <v>Hồ Văn La</v>
      </c>
      <c r="C38" s="10" t="str">
        <f>DATA!H35</f>
        <v>Hồ Thị Căng</v>
      </c>
      <c r="D38" s="9" t="s">
        <v>1</v>
      </c>
      <c r="E38" s="9">
        <f t="shared" si="0"/>
        <v>799</v>
      </c>
      <c r="F38" s="9">
        <v>2</v>
      </c>
      <c r="G38" s="9">
        <f>DATA!S35</f>
        <v>45</v>
      </c>
      <c r="H38" s="9">
        <v>300</v>
      </c>
      <c r="I38" s="9">
        <f>DATA!K35</f>
        <v>499</v>
      </c>
      <c r="J38" s="14" t="s">
        <v>232</v>
      </c>
      <c r="K38" t="s">
        <v>137</v>
      </c>
    </row>
    <row r="39" spans="1:11" ht="30" customHeight="1" x14ac:dyDescent="0.25">
      <c r="A39" s="13">
        <v>35</v>
      </c>
      <c r="B39" s="10" t="str">
        <f>DATA!H36</f>
        <v>Hồ Thị Ca Rinh</v>
      </c>
      <c r="D39" s="9" t="s">
        <v>1</v>
      </c>
      <c r="E39" s="9">
        <f t="shared" si="0"/>
        <v>697</v>
      </c>
      <c r="F39" s="9">
        <v>2</v>
      </c>
      <c r="G39" s="9">
        <f>DATA!S36</f>
        <v>47</v>
      </c>
      <c r="H39" s="9">
        <v>300</v>
      </c>
      <c r="I39" s="9">
        <f>DATA!K36</f>
        <v>397</v>
      </c>
      <c r="J39" s="14" t="s">
        <v>232</v>
      </c>
      <c r="K39" t="s">
        <v>167</v>
      </c>
    </row>
    <row r="40" spans="1:11" ht="30" customHeight="1" x14ac:dyDescent="0.25">
      <c r="A40" s="13">
        <v>36</v>
      </c>
      <c r="B40" s="8" t="str">
        <f>DATA!G37</f>
        <v>Hồ Văn Thay</v>
      </c>
      <c r="C40" s="10">
        <f>DATA!H37</f>
        <v>0</v>
      </c>
      <c r="D40" s="9" t="s">
        <v>1</v>
      </c>
      <c r="E40" s="9">
        <f t="shared" si="0"/>
        <v>675</v>
      </c>
      <c r="F40" s="9">
        <v>2</v>
      </c>
      <c r="G40" s="9">
        <f>DATA!S37</f>
        <v>48</v>
      </c>
      <c r="H40" s="9">
        <v>300</v>
      </c>
      <c r="I40" s="9">
        <f>DATA!K37</f>
        <v>375</v>
      </c>
      <c r="J40" s="14" t="s">
        <v>232</v>
      </c>
      <c r="K40" t="s">
        <v>146</v>
      </c>
    </row>
    <row r="41" spans="1:11" ht="30" customHeight="1" x14ac:dyDescent="0.25">
      <c r="A41" s="13">
        <v>37</v>
      </c>
      <c r="B41" s="8" t="str">
        <f>DATA!G38</f>
        <v>Hồ Văn Pông</v>
      </c>
      <c r="C41" s="10" t="str">
        <f>DATA!H38</f>
        <v>Hồ Thị Hoạt</v>
      </c>
      <c r="D41" s="9" t="s">
        <v>1</v>
      </c>
      <c r="E41" s="9">
        <f t="shared" si="0"/>
        <v>668</v>
      </c>
      <c r="F41" s="9">
        <v>2</v>
      </c>
      <c r="G41" s="9">
        <f>DATA!S38</f>
        <v>49</v>
      </c>
      <c r="H41" s="9">
        <v>300</v>
      </c>
      <c r="I41" s="9">
        <f>DATA!K38</f>
        <v>368</v>
      </c>
      <c r="J41" s="14" t="s">
        <v>232</v>
      </c>
      <c r="K41" t="s">
        <v>142</v>
      </c>
    </row>
    <row r="42" spans="1:11" ht="30" customHeight="1" x14ac:dyDescent="0.25">
      <c r="A42" s="13">
        <v>38</v>
      </c>
      <c r="B42" s="8" t="str">
        <f>DATA!G39</f>
        <v>Hồ Văn Nhọc</v>
      </c>
      <c r="C42" s="10">
        <f>DATA!H39</f>
        <v>0</v>
      </c>
      <c r="D42" s="9" t="s">
        <v>1</v>
      </c>
      <c r="E42" s="9">
        <f t="shared" si="0"/>
        <v>672</v>
      </c>
      <c r="F42" s="9">
        <v>2</v>
      </c>
      <c r="G42" s="9">
        <f>DATA!S39</f>
        <v>50</v>
      </c>
      <c r="H42" s="9">
        <v>300</v>
      </c>
      <c r="I42" s="9">
        <f>DATA!K39</f>
        <v>372</v>
      </c>
      <c r="J42" s="14" t="s">
        <v>232</v>
      </c>
      <c r="K42" t="s">
        <v>147</v>
      </c>
    </row>
    <row r="43" spans="1:11" ht="30" customHeight="1" x14ac:dyDescent="0.25">
      <c r="A43" s="13">
        <v>39</v>
      </c>
      <c r="B43" s="8" t="str">
        <f>DATA!G40</f>
        <v>Hồ Văn Mỹ</v>
      </c>
      <c r="C43" s="10">
        <f>DATA!H40</f>
        <v>0</v>
      </c>
      <c r="D43" s="9" t="s">
        <v>1</v>
      </c>
      <c r="E43" s="9">
        <f t="shared" si="0"/>
        <v>715</v>
      </c>
      <c r="F43" s="9">
        <v>2</v>
      </c>
      <c r="G43" s="9">
        <f>DATA!S40</f>
        <v>51</v>
      </c>
      <c r="H43" s="9">
        <v>300</v>
      </c>
      <c r="I43" s="9">
        <f>DATA!K40</f>
        <v>415</v>
      </c>
      <c r="J43" s="14" t="s">
        <v>232</v>
      </c>
      <c r="K43" t="s">
        <v>143</v>
      </c>
    </row>
    <row r="44" spans="1:11" ht="30" customHeight="1" x14ac:dyDescent="0.25">
      <c r="A44" s="13">
        <v>40</v>
      </c>
      <c r="B44" s="8" t="str">
        <f>DATA!G41</f>
        <v>Hồ Văn Lăng</v>
      </c>
      <c r="C44" s="10" t="str">
        <f>DATA!H41</f>
        <v>Hồ Thị Dong</v>
      </c>
      <c r="D44" s="9" t="s">
        <v>1</v>
      </c>
      <c r="E44" s="9">
        <f t="shared" si="0"/>
        <v>671</v>
      </c>
      <c r="F44" s="9">
        <v>2</v>
      </c>
      <c r="G44" s="9">
        <f>DATA!S41</f>
        <v>53</v>
      </c>
      <c r="H44" s="9">
        <v>300</v>
      </c>
      <c r="I44" s="9">
        <f>DATA!K41</f>
        <v>371</v>
      </c>
      <c r="J44" s="14" t="s">
        <v>232</v>
      </c>
      <c r="K44" t="s">
        <v>162</v>
      </c>
    </row>
    <row r="45" spans="1:11" ht="30" customHeight="1" x14ac:dyDescent="0.25">
      <c r="A45" s="13">
        <v>41</v>
      </c>
      <c r="B45" s="10">
        <f>DATA!H42</f>
        <v>0</v>
      </c>
      <c r="D45" s="9" t="s">
        <v>1</v>
      </c>
      <c r="E45" s="9">
        <f t="shared" si="0"/>
        <v>686</v>
      </c>
      <c r="F45" s="9">
        <v>2</v>
      </c>
      <c r="G45" s="9">
        <f>DATA!S42</f>
        <v>54</v>
      </c>
      <c r="H45" s="9">
        <v>300</v>
      </c>
      <c r="I45" s="9">
        <f>DATA!K42</f>
        <v>386</v>
      </c>
      <c r="J45" s="14" t="s">
        <v>232</v>
      </c>
      <c r="K45" t="s">
        <v>150</v>
      </c>
    </row>
    <row r="46" spans="1:11" ht="30" customHeight="1" x14ac:dyDescent="0.25">
      <c r="A46" s="13">
        <v>42</v>
      </c>
      <c r="B46" s="8" t="str">
        <f>DATA!G43</f>
        <v>Hồ Văn Thỏa</v>
      </c>
      <c r="C46" s="10" t="str">
        <f>DATA!H43</f>
        <v>Hồ Thị Chương</v>
      </c>
      <c r="D46" s="9" t="s">
        <v>1</v>
      </c>
      <c r="E46" s="9">
        <f t="shared" si="0"/>
        <v>691</v>
      </c>
      <c r="F46" s="9">
        <v>2</v>
      </c>
      <c r="G46" s="9">
        <f>DATA!S43</f>
        <v>56</v>
      </c>
      <c r="H46" s="9">
        <v>300</v>
      </c>
      <c r="I46" s="9">
        <f>DATA!K43</f>
        <v>391</v>
      </c>
      <c r="J46" s="14" t="s">
        <v>232</v>
      </c>
      <c r="K46" t="s">
        <v>172</v>
      </c>
    </row>
    <row r="47" spans="1:11" ht="30" customHeight="1" x14ac:dyDescent="0.25">
      <c r="A47" s="13">
        <v>43</v>
      </c>
      <c r="B47" s="8" t="str">
        <f>DATA!G44</f>
        <v>Hồ Văn Tâm</v>
      </c>
      <c r="C47" s="10" t="str">
        <f>DATA!H44</f>
        <v>Hồ Thị Pheng</v>
      </c>
      <c r="D47" s="9" t="s">
        <v>1</v>
      </c>
      <c r="E47" s="9">
        <f t="shared" si="0"/>
        <v>692</v>
      </c>
      <c r="F47" s="9">
        <v>2</v>
      </c>
      <c r="G47" s="9">
        <f>DATA!S44</f>
        <v>57</v>
      </c>
      <c r="H47" s="9">
        <v>300</v>
      </c>
      <c r="I47" s="9">
        <f>DATA!K44</f>
        <v>392</v>
      </c>
      <c r="J47" s="14" t="s">
        <v>232</v>
      </c>
      <c r="K47" t="s">
        <v>164</v>
      </c>
    </row>
    <row r="48" spans="1:11" ht="30" customHeight="1" x14ac:dyDescent="0.25">
      <c r="A48" s="13">
        <v>44</v>
      </c>
      <c r="B48" s="8" t="str">
        <f>DATA!G45</f>
        <v>Hồ Xuân Đang</v>
      </c>
      <c r="C48" s="10" t="str">
        <f>DATA!H45</f>
        <v>Hồ Thị Hơn</v>
      </c>
      <c r="D48" s="9" t="s">
        <v>1</v>
      </c>
      <c r="E48" s="9">
        <f t="shared" si="0"/>
        <v>762</v>
      </c>
      <c r="F48" s="9">
        <v>2</v>
      </c>
      <c r="G48" s="9">
        <f>DATA!S45</f>
        <v>58</v>
      </c>
      <c r="H48" s="9">
        <v>300</v>
      </c>
      <c r="I48" s="9">
        <f>DATA!K45</f>
        <v>462</v>
      </c>
      <c r="J48" s="14" t="s">
        <v>232</v>
      </c>
      <c r="K48" t="s">
        <v>149</v>
      </c>
    </row>
    <row r="49" spans="1:11" ht="30" customHeight="1" x14ac:dyDescent="0.25">
      <c r="A49" s="13">
        <v>46</v>
      </c>
      <c r="B49" s="8" t="str">
        <f>DATA!G46</f>
        <v>Hồ Văn Lê</v>
      </c>
      <c r="C49" s="10" t="str">
        <f>DATA!H46</f>
        <v>Hồ Thị Rang</v>
      </c>
      <c r="D49" s="9" t="s">
        <v>1</v>
      </c>
      <c r="E49" s="9">
        <f t="shared" si="0"/>
        <v>724</v>
      </c>
      <c r="F49" s="9">
        <v>2</v>
      </c>
      <c r="G49" s="9">
        <f>DATA!S46</f>
        <v>62</v>
      </c>
      <c r="H49" s="9">
        <v>300</v>
      </c>
      <c r="I49" s="9">
        <f>DATA!K46</f>
        <v>424</v>
      </c>
      <c r="J49" s="14" t="s">
        <v>232</v>
      </c>
      <c r="K49" t="s">
        <v>173</v>
      </c>
    </row>
    <row r="50" spans="1:11" ht="30" customHeight="1" x14ac:dyDescent="0.25">
      <c r="A50" s="13">
        <v>47</v>
      </c>
      <c r="B50" s="8" t="str">
        <f>DATA!G47</f>
        <v>Hồ Văn Liêu</v>
      </c>
      <c r="C50" s="10">
        <f>DATA!H47</f>
        <v>0</v>
      </c>
      <c r="D50" s="9" t="s">
        <v>1</v>
      </c>
      <c r="E50" s="9">
        <f t="shared" si="0"/>
        <v>706</v>
      </c>
      <c r="F50" s="9">
        <v>2</v>
      </c>
      <c r="G50" s="9">
        <f>DATA!S47</f>
        <v>63</v>
      </c>
      <c r="H50" s="9">
        <v>300</v>
      </c>
      <c r="I50" s="9">
        <f>DATA!K47</f>
        <v>406</v>
      </c>
      <c r="J50" s="14" t="s">
        <v>232</v>
      </c>
      <c r="K50" t="s">
        <v>174</v>
      </c>
    </row>
    <row r="51" spans="1:11" ht="30" customHeight="1" x14ac:dyDescent="0.25">
      <c r="A51" s="13">
        <v>48</v>
      </c>
      <c r="B51" s="8" t="str">
        <f>DATA!G48</f>
        <v>Hồ Văn Yên</v>
      </c>
      <c r="C51" s="10">
        <f>DATA!H48</f>
        <v>0</v>
      </c>
      <c r="D51" s="9" t="s">
        <v>1</v>
      </c>
      <c r="E51" s="9">
        <f t="shared" si="0"/>
        <v>689</v>
      </c>
      <c r="F51" s="9">
        <v>2</v>
      </c>
      <c r="G51" s="9">
        <f>DATA!S48</f>
        <v>64</v>
      </c>
      <c r="H51" s="9">
        <v>300</v>
      </c>
      <c r="I51" s="9">
        <f>DATA!K48</f>
        <v>389</v>
      </c>
      <c r="J51" s="14" t="s">
        <v>232</v>
      </c>
      <c r="K51" t="s">
        <v>177</v>
      </c>
    </row>
    <row r="52" spans="1:11" ht="30" customHeight="1" x14ac:dyDescent="0.25">
      <c r="A52" s="13">
        <v>49</v>
      </c>
      <c r="B52" s="8" t="str">
        <f>DATA!G49</f>
        <v>Hồ Văn Vinh</v>
      </c>
      <c r="C52" s="10" t="str">
        <f>DATA!H49</f>
        <v>Hồ Thị Dép</v>
      </c>
      <c r="D52" s="9" t="s">
        <v>1</v>
      </c>
      <c r="E52" s="9">
        <f t="shared" si="0"/>
        <v>699</v>
      </c>
      <c r="F52" s="9">
        <v>2</v>
      </c>
      <c r="G52" s="9">
        <f>DATA!S49</f>
        <v>65</v>
      </c>
      <c r="H52" s="9">
        <v>300</v>
      </c>
      <c r="I52" s="9">
        <f>DATA!K49</f>
        <v>399</v>
      </c>
      <c r="J52" s="14" t="s">
        <v>232</v>
      </c>
      <c r="K52" t="s">
        <v>168</v>
      </c>
    </row>
    <row r="53" spans="1:11" ht="30" customHeight="1" x14ac:dyDescent="0.25">
      <c r="A53" s="13">
        <v>50</v>
      </c>
      <c r="B53" s="8" t="str">
        <f>DATA!G50</f>
        <v>Hồ Văn Bang</v>
      </c>
      <c r="C53" s="10" t="str">
        <f>DATA!H50</f>
        <v>Hồ Thị Nam</v>
      </c>
      <c r="D53" s="9" t="s">
        <v>1</v>
      </c>
      <c r="E53" s="9">
        <f t="shared" si="0"/>
        <v>706</v>
      </c>
      <c r="F53" s="9">
        <v>2</v>
      </c>
      <c r="G53" s="9">
        <f>DATA!S50</f>
        <v>66</v>
      </c>
      <c r="H53" s="9">
        <v>300</v>
      </c>
      <c r="I53" s="9">
        <f>DATA!K50</f>
        <v>406</v>
      </c>
      <c r="J53" s="14" t="s">
        <v>232</v>
      </c>
      <c r="K53" t="s">
        <v>171</v>
      </c>
    </row>
    <row r="54" spans="1:11" ht="30" customHeight="1" x14ac:dyDescent="0.25">
      <c r="A54" s="13">
        <v>51</v>
      </c>
      <c r="B54" s="8">
        <f>DATA!G51</f>
        <v>0</v>
      </c>
      <c r="C54" s="10" t="str">
        <f>DATA!H51</f>
        <v>Hồ Thị Nga</v>
      </c>
      <c r="D54" s="9" t="s">
        <v>1</v>
      </c>
      <c r="E54" s="9">
        <f t="shared" si="0"/>
        <v>717</v>
      </c>
      <c r="F54" s="9">
        <v>2</v>
      </c>
      <c r="G54" s="9">
        <f>DATA!S51</f>
        <v>67</v>
      </c>
      <c r="H54" s="9">
        <v>300</v>
      </c>
      <c r="I54" s="9">
        <f>DATA!K51</f>
        <v>417</v>
      </c>
      <c r="J54" s="14" t="s">
        <v>232</v>
      </c>
      <c r="K54" t="s">
        <v>155</v>
      </c>
    </row>
    <row r="55" spans="1:11" ht="30" customHeight="1" x14ac:dyDescent="0.25">
      <c r="A55" s="13">
        <v>52</v>
      </c>
      <c r="B55" s="8" t="str">
        <f>DATA!G52</f>
        <v>Hồ Văn Thắng</v>
      </c>
      <c r="C55" s="10" t="str">
        <f>DATA!H52</f>
        <v>Hồ Thị Phuôm</v>
      </c>
      <c r="D55" s="9" t="s">
        <v>1</v>
      </c>
      <c r="E55" s="9">
        <f t="shared" si="0"/>
        <v>714</v>
      </c>
      <c r="F55" s="9">
        <v>2</v>
      </c>
      <c r="G55" s="9">
        <f>DATA!S52</f>
        <v>68</v>
      </c>
      <c r="H55" s="9">
        <v>300</v>
      </c>
      <c r="I55" s="9">
        <f>DATA!K52</f>
        <v>414</v>
      </c>
      <c r="J55" s="14" t="s">
        <v>232</v>
      </c>
      <c r="K55" t="s">
        <v>170</v>
      </c>
    </row>
    <row r="56" spans="1:11" ht="30" customHeight="1" thickBot="1" x14ac:dyDescent="0.3">
      <c r="A56" s="15">
        <v>53</v>
      </c>
      <c r="B56" s="11" t="str">
        <f>DATA!G53</f>
        <v>Hồ Văn Păng</v>
      </c>
      <c r="C56" s="12" t="str">
        <f>DATA!H53</f>
        <v>Hồ Thị Hương</v>
      </c>
      <c r="D56" s="16" t="s">
        <v>1</v>
      </c>
      <c r="E56" s="16">
        <f t="shared" si="0"/>
        <v>719</v>
      </c>
      <c r="F56" s="16">
        <v>2</v>
      </c>
      <c r="G56" s="16">
        <f>DATA!S53</f>
        <v>69</v>
      </c>
      <c r="H56" s="16">
        <v>300</v>
      </c>
      <c r="I56" s="16">
        <f>DATA!K53</f>
        <v>419</v>
      </c>
      <c r="J56" s="17" t="s">
        <v>232</v>
      </c>
      <c r="K56" t="s">
        <v>169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 (4)</vt:lpstr>
      <vt:lpstr>Sheet1 (3)</vt:lpstr>
      <vt:lpstr>Sheet1 (2)</vt:lpstr>
      <vt:lpstr>DATA</vt:lpstr>
      <vt:lpstr>Sheet1</vt:lpstr>
      <vt:lpstr>'Sheet1 (2)'!Print_Titles</vt:lpstr>
      <vt:lpstr>'Sheet1 (3)'!Print_Titles</vt:lpstr>
      <vt:lpstr>'Sheet1 (4)'!Print_Titles</vt:lpstr>
    </vt:vector>
  </TitlesOfParts>
  <Company>Truong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Nguyen</cp:lastModifiedBy>
  <cp:lastPrinted>2017-11-08T08:01:52Z</cp:lastPrinted>
  <dcterms:created xsi:type="dcterms:W3CDTF">2017-11-04T02:54:42Z</dcterms:created>
  <dcterms:modified xsi:type="dcterms:W3CDTF">2017-11-08T08:26:50Z</dcterms:modified>
</cp:coreProperties>
</file>