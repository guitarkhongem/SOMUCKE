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DS" sheetId="4" r:id="rId1"/>
    <sheet name="TongHop" sheetId="9" r:id="rId2"/>
    <sheet name="TongHop (2)" sheetId="10" r:id="rId3"/>
    <sheet name="DLVILIS" sheetId="7" r:id="rId4"/>
    <sheet name="Sheet1" sheetId="8" r:id="rId5"/>
  </sheets>
  <externalReferences>
    <externalReference r:id="rId6"/>
    <externalReference r:id="rId7"/>
  </externalReferences>
  <definedNames>
    <definedName name="_Fill" hidden="1">#REF!</definedName>
    <definedName name="_xlnm._FilterDatabase" localSheetId="3" hidden="1">DLVILIS!$A$1:$D$2944</definedName>
    <definedName name="_xlnm._FilterDatabase" localSheetId="0" hidden="1">DS!$A$5:$R$238</definedName>
    <definedName name="Active">[1]CAPLAI!$A$1</definedName>
    <definedName name="ADDRESS">[1]CAPLAI!$C$5</definedName>
    <definedName name="BD">[1]CAPLAI!$G$9</definedName>
    <definedName name="BD97TH">#REF!</definedName>
    <definedName name="boloc">#REF!</definedName>
    <definedName name="BX">#REF!</definedName>
    <definedName name="CMND">[1]CAPLAI!$C$7</definedName>
    <definedName name="dong1">#REF!</definedName>
    <definedName name="GCN">[1]CAPLAI!$J$5</definedName>
    <definedName name="GCNC">[1]CAPLAI!$K$5</definedName>
    <definedName name="kihieumahs">#REF!</definedName>
    <definedName name="kyho">#REF!</definedName>
    <definedName name="lbox1">#REF!</definedName>
    <definedName name="lbox2">#REF!</definedName>
    <definedName name="list05">#REF!</definedName>
    <definedName name="list1">#REF!</definedName>
    <definedName name="list1cuaprofile">#REF!</definedName>
    <definedName name="LIST3">#REF!</definedName>
    <definedName name="LIST4">#REF!</definedName>
    <definedName name="LIST5">#REF!</definedName>
    <definedName name="listdon">#REF!</definedName>
    <definedName name="listhoso">#REF!</definedName>
    <definedName name="listmaptong">#REF!</definedName>
    <definedName name="listprofile">#REF!</definedName>
    <definedName name="listttqdtk">#REF!</definedName>
    <definedName name="LNC">[1]CAPLAI!$K$6</definedName>
    <definedName name="LoaiDoiTuongSuDung">[2]DanhMuc!$B$4:$B$22</definedName>
    <definedName name="LoaiMucDichSuDungDat">[2]DanhMuc!$F$3:$F$83</definedName>
    <definedName name="LoaiNguonGocSuDung">[2]DanhMuc!$I$3:$I$38</definedName>
    <definedName name="mabx">#REF!</definedName>
    <definedName name="magcn">#REF!</definedName>
    <definedName name="mahoso">#REF!</definedName>
    <definedName name="maloaihs">#REF!</definedName>
    <definedName name="mot_cua">#REF!</definedName>
    <definedName name="nam1cua">#REF!</definedName>
    <definedName name="NAMCHET">[1]CAPLAI!$C$2</definedName>
    <definedName name="NAME">[1]CAPLAI!$C$3</definedName>
    <definedName name="ND">#REF!</definedName>
    <definedName name="NGAYCHUNGTHUCHOPDONG">[1]CAPLAI!$E$2</definedName>
    <definedName name="nguongocsd">#REF!</definedName>
    <definedName name="nhapthue">#REF!</definedName>
    <definedName name="noicongchung">#REF!</definedName>
    <definedName name="ONT">[1]CAPLAI!$J$6</definedName>
    <definedName name="pccx">#REF!</definedName>
    <definedName name="PCTT">#REF!</definedName>
    <definedName name="PHOIGCN">#REF!</definedName>
    <definedName name="_xlnm.Print_Area" localSheetId="0">DS!$A$1:$L$248</definedName>
    <definedName name="_xlnm.Print_Area" localSheetId="1">TongHop!$A$1:$F$30</definedName>
    <definedName name="QUYENSO">'[1]TANHOP - TC'!#REF!</definedName>
    <definedName name="smk">#REF!</definedName>
    <definedName name="so1cua">[1]CAPLAI!$J$9</definedName>
    <definedName name="SOCHUNGTHUCHD">[1]CAPLAI!$D$2</definedName>
    <definedName name="sodo">#REF!</definedName>
    <definedName name="sohosodagiaiquyet">#REF!</definedName>
    <definedName name="sohosodangthuly">#REF!</definedName>
    <definedName name="SOTOCU">[1]CAPLAI!$J$4</definedName>
    <definedName name="SOTOMOI">[1]CAPLAI!$K$4</definedName>
    <definedName name="TENNGUOIMAT">[1]CAPLAI!$B$2</definedName>
    <definedName name="thonxa">#REF!</definedName>
    <definedName name="thonxxa">#REF!</definedName>
    <definedName name="THUACU">[1]CAPLAI!$J$3</definedName>
    <definedName name="THUAMOI">[1]CAPLAI!$K$3</definedName>
    <definedName name="TONG">[1]CAPLAI!$L$6</definedName>
    <definedName name="TYLEBD">[1]CAPLAI!$J$1</definedName>
    <definedName name="xatthitran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9" l="1"/>
  <c r="D14" i="9" a="1"/>
  <c r="M189" i="4"/>
  <c r="D14" i="9"/>
  <c r="D15" i="9" a="1"/>
  <c r="D15" i="9"/>
  <c r="E14" i="9" a="1"/>
  <c r="E14" i="9"/>
  <c r="E15" i="9" a="1"/>
  <c r="E15" i="9"/>
  <c r="M6" i="4"/>
  <c r="M11" i="4"/>
  <c r="M22" i="4"/>
  <c r="M37" i="4"/>
  <c r="E16" i="9" a="1"/>
  <c r="E16" i="9"/>
  <c r="E17" i="9" a="1"/>
  <c r="E17" i="9"/>
  <c r="J21" i="9" a="1"/>
  <c r="J21" i="9"/>
  <c r="E18" i="9" a="1"/>
  <c r="E18" i="9"/>
  <c r="E19" i="9" a="1"/>
  <c r="E19" i="9"/>
  <c r="D16" i="9" a="1"/>
  <c r="D16" i="9"/>
  <c r="D17" i="9" a="1"/>
  <c r="D17" i="9"/>
  <c r="I21" i="9" a="1"/>
  <c r="I21" i="9"/>
  <c r="D18" i="9" a="1"/>
  <c r="D18" i="9"/>
  <c r="D19" i="9" a="1"/>
  <c r="D19" i="9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4" i="10"/>
  <c r="D4" i="9" a="1"/>
  <c r="D4" i="9"/>
  <c r="D5" i="9" a="1"/>
  <c r="D5" i="9"/>
  <c r="D6" i="9" a="1"/>
  <c r="D7" i="9" a="1"/>
  <c r="D8" i="9" a="1"/>
  <c r="D9" i="9" a="1"/>
  <c r="D10" i="9" a="1"/>
  <c r="D11" i="9" a="1"/>
  <c r="D12" i="9" a="1"/>
  <c r="D13" i="9" a="1"/>
  <c r="D6" i="9"/>
  <c r="D7" i="9"/>
  <c r="D8" i="9"/>
  <c r="D9" i="9"/>
  <c r="D10" i="9"/>
  <c r="D11" i="9"/>
  <c r="D12" i="9"/>
  <c r="D13" i="9"/>
  <c r="D20" i="9"/>
  <c r="E4" i="9" a="1"/>
  <c r="E4" i="9"/>
  <c r="E5" i="9" a="1"/>
  <c r="E5" i="9"/>
  <c r="E6" i="9" a="1"/>
  <c r="E7" i="9" a="1"/>
  <c r="E8" i="9" a="1"/>
  <c r="E9" i="9" a="1"/>
  <c r="E10" i="9" a="1"/>
  <c r="E11" i="9" a="1"/>
  <c r="E12" i="9" a="1"/>
  <c r="E13" i="9" a="1"/>
  <c r="E6" i="9"/>
  <c r="E7" i="9"/>
  <c r="E8" i="9"/>
  <c r="E9" i="9"/>
  <c r="E10" i="9"/>
  <c r="E11" i="9"/>
  <c r="E12" i="9"/>
  <c r="E13" i="9"/>
  <c r="E20" i="9"/>
  <c r="M7" i="4"/>
  <c r="M8" i="4"/>
  <c r="M9" i="4"/>
  <c r="M10" i="4"/>
  <c r="M12" i="4"/>
  <c r="M13" i="4"/>
  <c r="M14" i="4"/>
  <c r="M15" i="4"/>
  <c r="M16" i="4"/>
  <c r="M17" i="4"/>
  <c r="M18" i="4"/>
  <c r="M19" i="4"/>
  <c r="M20" i="4"/>
  <c r="M21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B27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H233" i="4"/>
  <c r="K233" i="4"/>
  <c r="H215" i="4"/>
  <c r="K215" i="4"/>
  <c r="H209" i="4"/>
  <c r="K209" i="4"/>
  <c r="H219" i="4"/>
  <c r="K219" i="4"/>
  <c r="H225" i="4"/>
  <c r="K225" i="4"/>
  <c r="H236" i="4"/>
  <c r="K236" i="4"/>
  <c r="K239" i="4"/>
  <c r="J239" i="4"/>
  <c r="I239" i="4"/>
  <c r="F239" i="4"/>
  <c r="H239" i="4"/>
  <c r="H100" i="4"/>
  <c r="K100" i="4"/>
  <c r="H98" i="4"/>
  <c r="K98" i="4"/>
  <c r="H97" i="4"/>
  <c r="K97" i="4"/>
  <c r="H107" i="4"/>
  <c r="K107" i="4"/>
  <c r="H102" i="4"/>
  <c r="K102" i="4"/>
  <c r="H103" i="4"/>
  <c r="K103" i="4"/>
  <c r="H99" i="4"/>
  <c r="K99" i="4"/>
  <c r="H101" i="4"/>
  <c r="K101" i="4"/>
  <c r="H108" i="4"/>
  <c r="K108" i="4"/>
  <c r="H109" i="4"/>
  <c r="K109" i="4"/>
  <c r="H110" i="4"/>
  <c r="K110" i="4"/>
  <c r="H13" i="4"/>
  <c r="K13" i="4"/>
  <c r="H111" i="4"/>
  <c r="K111" i="4"/>
  <c r="H31" i="4"/>
  <c r="K31" i="4"/>
  <c r="H11" i="4"/>
  <c r="K11" i="4"/>
  <c r="H18" i="4"/>
  <c r="K18" i="4"/>
  <c r="H112" i="4"/>
  <c r="K112" i="4"/>
  <c r="H113" i="4"/>
  <c r="K113" i="4"/>
  <c r="H114" i="4"/>
  <c r="K114" i="4"/>
  <c r="H115" i="4"/>
  <c r="K115" i="4"/>
  <c r="H34" i="4"/>
  <c r="K34" i="4"/>
  <c r="H35" i="4"/>
  <c r="K35" i="4"/>
  <c r="H14" i="4"/>
  <c r="K14" i="4"/>
  <c r="H27" i="4"/>
  <c r="K27" i="4"/>
  <c r="H24" i="4"/>
  <c r="K24" i="4"/>
  <c r="H116" i="4"/>
  <c r="K116" i="4"/>
  <c r="H117" i="4"/>
  <c r="K117" i="4"/>
  <c r="H118" i="4"/>
  <c r="K118" i="4"/>
  <c r="H119" i="4"/>
  <c r="K119" i="4"/>
  <c r="H120" i="4"/>
  <c r="K120" i="4"/>
  <c r="H15" i="4"/>
  <c r="K15" i="4"/>
  <c r="H30" i="4"/>
  <c r="K30" i="4"/>
  <c r="H121" i="4"/>
  <c r="K121" i="4"/>
  <c r="H122" i="4"/>
  <c r="K122" i="4"/>
  <c r="H123" i="4"/>
  <c r="K123" i="4"/>
  <c r="H17" i="4"/>
  <c r="K17" i="4"/>
  <c r="H19" i="4"/>
  <c r="K19" i="4"/>
  <c r="H26" i="4"/>
  <c r="K26" i="4"/>
  <c r="H124" i="4"/>
  <c r="K124" i="4"/>
  <c r="H16" i="4"/>
  <c r="K16" i="4"/>
  <c r="H28" i="4"/>
  <c r="K28" i="4"/>
  <c r="H29" i="4"/>
  <c r="K29" i="4"/>
  <c r="H125" i="4"/>
  <c r="K125" i="4"/>
  <c r="H20" i="4"/>
  <c r="K20" i="4"/>
  <c r="H126" i="4"/>
  <c r="K126" i="4"/>
  <c r="H25" i="4"/>
  <c r="K25" i="4"/>
  <c r="H127" i="4"/>
  <c r="K127" i="4"/>
  <c r="H128" i="4"/>
  <c r="K128" i="4"/>
  <c r="H129" i="4"/>
  <c r="K129" i="4"/>
  <c r="H8" i="4"/>
  <c r="K8" i="4"/>
  <c r="H130" i="4"/>
  <c r="K130" i="4"/>
  <c r="H7" i="4"/>
  <c r="K7" i="4"/>
  <c r="H131" i="4"/>
  <c r="K131" i="4"/>
  <c r="H132" i="4"/>
  <c r="K132" i="4"/>
  <c r="H133" i="4"/>
  <c r="K133" i="4"/>
  <c r="H134" i="4"/>
  <c r="K134" i="4"/>
  <c r="H135" i="4"/>
  <c r="K135" i="4"/>
  <c r="H136" i="4"/>
  <c r="K136" i="4"/>
  <c r="H137" i="4"/>
  <c r="K137" i="4"/>
  <c r="H138" i="4"/>
  <c r="K138" i="4"/>
  <c r="H6" i="4"/>
  <c r="K6" i="4"/>
  <c r="H139" i="4"/>
  <c r="K139" i="4"/>
  <c r="H140" i="4"/>
  <c r="K140" i="4"/>
  <c r="H74" i="4"/>
  <c r="K74" i="4"/>
  <c r="H141" i="4"/>
  <c r="K141" i="4"/>
  <c r="H142" i="4"/>
  <c r="K142" i="4"/>
  <c r="H143" i="4"/>
  <c r="K143" i="4"/>
  <c r="H144" i="4"/>
  <c r="K144" i="4"/>
  <c r="H145" i="4"/>
  <c r="K145" i="4"/>
  <c r="H146" i="4"/>
  <c r="K146" i="4"/>
  <c r="H147" i="4"/>
  <c r="K147" i="4"/>
  <c r="H148" i="4"/>
  <c r="K148" i="4"/>
  <c r="H36" i="4"/>
  <c r="K36" i="4"/>
  <c r="H33" i="4"/>
  <c r="K33" i="4"/>
  <c r="H149" i="4"/>
  <c r="K149" i="4"/>
  <c r="H150" i="4"/>
  <c r="K150" i="4"/>
  <c r="H151" i="4"/>
  <c r="K151" i="4"/>
  <c r="H105" i="4"/>
  <c r="K105" i="4"/>
  <c r="H152" i="4"/>
  <c r="K152" i="4"/>
  <c r="H153" i="4"/>
  <c r="K153" i="4"/>
  <c r="H154" i="4"/>
  <c r="K154" i="4"/>
  <c r="H155" i="4"/>
  <c r="K155" i="4"/>
  <c r="H156" i="4"/>
  <c r="K156" i="4"/>
  <c r="H32" i="4"/>
  <c r="K32" i="4"/>
  <c r="H157" i="4"/>
  <c r="K157" i="4"/>
  <c r="H158" i="4"/>
  <c r="K158" i="4"/>
  <c r="H159" i="4"/>
  <c r="K159" i="4"/>
  <c r="H160" i="4"/>
  <c r="K160" i="4"/>
  <c r="H161" i="4"/>
  <c r="K161" i="4"/>
  <c r="H162" i="4"/>
  <c r="K162" i="4"/>
  <c r="H163" i="4"/>
  <c r="K163" i="4"/>
  <c r="H164" i="4"/>
  <c r="K164" i="4"/>
  <c r="H165" i="4"/>
  <c r="K165" i="4"/>
  <c r="H89" i="4"/>
  <c r="K89" i="4"/>
  <c r="H166" i="4"/>
  <c r="K166" i="4"/>
  <c r="H82" i="4"/>
  <c r="K82" i="4"/>
  <c r="H81" i="4"/>
  <c r="K81" i="4"/>
  <c r="H75" i="4"/>
  <c r="K75" i="4"/>
  <c r="H80" i="4"/>
  <c r="K80" i="4"/>
  <c r="H167" i="4"/>
  <c r="K167" i="4"/>
  <c r="H168" i="4"/>
  <c r="K168" i="4"/>
  <c r="H76" i="4"/>
  <c r="K76" i="4"/>
  <c r="H169" i="4"/>
  <c r="K169" i="4"/>
  <c r="H104" i="4"/>
  <c r="K104" i="4"/>
  <c r="H51" i="4"/>
  <c r="K51" i="4"/>
  <c r="H91" i="4"/>
  <c r="K91" i="4"/>
  <c r="H86" i="4"/>
  <c r="K86" i="4"/>
  <c r="H60" i="4"/>
  <c r="K60" i="4"/>
  <c r="H170" i="4"/>
  <c r="K170" i="4"/>
  <c r="H171" i="4"/>
  <c r="K171" i="4"/>
  <c r="H87" i="4"/>
  <c r="K87" i="4"/>
  <c r="H172" i="4"/>
  <c r="K172" i="4"/>
  <c r="H62" i="4"/>
  <c r="K62" i="4"/>
  <c r="H92" i="4"/>
  <c r="K92" i="4"/>
  <c r="H173" i="4"/>
  <c r="K173" i="4"/>
  <c r="H23" i="4"/>
  <c r="K23" i="4"/>
  <c r="H9" i="4"/>
  <c r="K9" i="4"/>
  <c r="H174" i="4"/>
  <c r="K174" i="4"/>
  <c r="H175" i="4"/>
  <c r="K175" i="4"/>
  <c r="H176" i="4"/>
  <c r="K176" i="4"/>
  <c r="H10" i="4"/>
  <c r="K10" i="4"/>
  <c r="H177" i="4"/>
  <c r="K177" i="4"/>
  <c r="H12" i="4"/>
  <c r="K12" i="4"/>
  <c r="H37" i="4"/>
  <c r="K37" i="4"/>
  <c r="H178" i="4"/>
  <c r="K178" i="4"/>
  <c r="H179" i="4"/>
  <c r="K179" i="4"/>
  <c r="H180" i="4"/>
  <c r="K180" i="4"/>
  <c r="H38" i="4"/>
  <c r="K38" i="4"/>
  <c r="H21" i="4"/>
  <c r="K21" i="4"/>
  <c r="H22" i="4"/>
  <c r="K22" i="4"/>
  <c r="H181" i="4"/>
  <c r="K181" i="4"/>
  <c r="H54" i="4"/>
  <c r="K54" i="4"/>
  <c r="H55" i="4"/>
  <c r="K55" i="4"/>
  <c r="H56" i="4"/>
  <c r="K56" i="4"/>
  <c r="H57" i="4"/>
  <c r="K57" i="4"/>
  <c r="H58" i="4"/>
  <c r="K58" i="4"/>
  <c r="H182" i="4"/>
  <c r="K182" i="4"/>
  <c r="H45" i="4"/>
  <c r="K45" i="4"/>
  <c r="H46" i="4"/>
  <c r="K46" i="4"/>
  <c r="H47" i="4"/>
  <c r="K47" i="4"/>
  <c r="H44" i="4"/>
  <c r="K44" i="4"/>
  <c r="H72" i="4"/>
  <c r="K72" i="4"/>
  <c r="H183" i="4"/>
  <c r="K183" i="4"/>
  <c r="H184" i="4"/>
  <c r="K184" i="4"/>
  <c r="H185" i="4"/>
  <c r="K185" i="4"/>
  <c r="H186" i="4"/>
  <c r="K186" i="4"/>
  <c r="H73" i="4"/>
  <c r="K73" i="4"/>
  <c r="H187" i="4"/>
  <c r="K187" i="4"/>
  <c r="H188" i="4"/>
  <c r="K188" i="4"/>
  <c r="H78" i="4"/>
  <c r="K78" i="4"/>
  <c r="H79" i="4"/>
  <c r="K79" i="4"/>
  <c r="H189" i="4"/>
  <c r="K189" i="4"/>
  <c r="H190" i="4"/>
  <c r="K190" i="4"/>
  <c r="H52" i="4"/>
  <c r="K52" i="4"/>
  <c r="H191" i="4"/>
  <c r="K191" i="4"/>
  <c r="H192" i="4"/>
  <c r="K192" i="4"/>
  <c r="H193" i="4"/>
  <c r="K193" i="4"/>
  <c r="H194" i="4"/>
  <c r="K194" i="4"/>
  <c r="H195" i="4"/>
  <c r="K195" i="4"/>
  <c r="H196" i="4"/>
  <c r="K196" i="4"/>
  <c r="H68" i="4"/>
  <c r="K68" i="4"/>
  <c r="H59" i="4"/>
  <c r="K59" i="4"/>
  <c r="H197" i="4"/>
  <c r="K197" i="4"/>
  <c r="H198" i="4"/>
  <c r="K198" i="4"/>
  <c r="H199" i="4"/>
  <c r="K199" i="4"/>
  <c r="H84" i="4"/>
  <c r="K84" i="4"/>
  <c r="H200" i="4"/>
  <c r="K200" i="4"/>
  <c r="H201" i="4"/>
  <c r="K201" i="4"/>
  <c r="H202" i="4"/>
  <c r="K202" i="4"/>
  <c r="H90" i="4"/>
  <c r="K90" i="4"/>
  <c r="H88" i="4"/>
  <c r="K88" i="4"/>
  <c r="H203" i="4"/>
  <c r="K203" i="4"/>
  <c r="H204" i="4"/>
  <c r="K204" i="4"/>
  <c r="H61" i="4"/>
  <c r="K61" i="4"/>
  <c r="H39" i="4"/>
  <c r="K39" i="4"/>
  <c r="H83" i="4"/>
  <c r="K83" i="4"/>
  <c r="H66" i="4"/>
  <c r="K66" i="4"/>
  <c r="H205" i="4"/>
  <c r="K205" i="4"/>
  <c r="H206" i="4"/>
  <c r="K206" i="4"/>
  <c r="H69" i="4"/>
  <c r="K69" i="4"/>
  <c r="H207" i="4"/>
  <c r="K207" i="4"/>
  <c r="H208" i="4"/>
  <c r="K208" i="4"/>
  <c r="H210" i="4"/>
  <c r="K210" i="4"/>
  <c r="H43" i="4"/>
  <c r="K43" i="4"/>
  <c r="H53" i="4"/>
  <c r="K53" i="4"/>
  <c r="H211" i="4"/>
  <c r="K211" i="4"/>
  <c r="H42" i="4"/>
  <c r="K42" i="4"/>
  <c r="H70" i="4"/>
  <c r="K70" i="4"/>
  <c r="H212" i="4"/>
  <c r="K212" i="4"/>
  <c r="H213" i="4"/>
  <c r="K213" i="4"/>
  <c r="H77" i="4"/>
  <c r="K77" i="4"/>
  <c r="H214" i="4"/>
  <c r="K214" i="4"/>
  <c r="H49" i="4"/>
  <c r="K49" i="4"/>
  <c r="H64" i="4"/>
  <c r="K64" i="4"/>
  <c r="H48" i="4"/>
  <c r="K48" i="4"/>
  <c r="H216" i="4"/>
  <c r="K216" i="4"/>
  <c r="H217" i="4"/>
  <c r="K217" i="4"/>
  <c r="H218" i="4"/>
  <c r="K218" i="4"/>
  <c r="H65" i="4"/>
  <c r="K65" i="4"/>
  <c r="H40" i="4"/>
  <c r="K40" i="4"/>
  <c r="H220" i="4"/>
  <c r="K220" i="4"/>
  <c r="H221" i="4"/>
  <c r="K221" i="4"/>
  <c r="H85" i="4"/>
  <c r="K85" i="4"/>
  <c r="H50" i="4"/>
  <c r="K50" i="4"/>
  <c r="H71" i="4"/>
  <c r="K71" i="4"/>
  <c r="H222" i="4"/>
  <c r="K222" i="4"/>
  <c r="H223" i="4"/>
  <c r="K223" i="4"/>
  <c r="H67" i="4"/>
  <c r="K67" i="4"/>
  <c r="H224" i="4"/>
  <c r="K224" i="4"/>
  <c r="H63" i="4"/>
  <c r="K63" i="4"/>
  <c r="H41" i="4"/>
  <c r="K41" i="4"/>
  <c r="H226" i="4"/>
  <c r="K226" i="4"/>
  <c r="H227" i="4"/>
  <c r="K227" i="4"/>
  <c r="H228" i="4"/>
  <c r="K228" i="4"/>
  <c r="H229" i="4"/>
  <c r="K229" i="4"/>
  <c r="H230" i="4"/>
  <c r="K230" i="4"/>
  <c r="H231" i="4"/>
  <c r="K231" i="4"/>
  <c r="H232" i="4"/>
  <c r="K232" i="4"/>
  <c r="H234" i="4"/>
  <c r="K234" i="4"/>
  <c r="H235" i="4"/>
  <c r="K235" i="4"/>
  <c r="H237" i="4"/>
  <c r="K237" i="4"/>
  <c r="H238" i="4"/>
  <c r="K238" i="4"/>
  <c r="H93" i="4"/>
  <c r="K93" i="4"/>
  <c r="H94" i="4"/>
  <c r="K94" i="4"/>
  <c r="H95" i="4"/>
  <c r="K95" i="4"/>
  <c r="H96" i="4"/>
  <c r="K96" i="4"/>
  <c r="H106" i="4"/>
  <c r="K106" i="4"/>
  <c r="D2944" i="7"/>
  <c r="D2943" i="7"/>
  <c r="D2942" i="7"/>
  <c r="D2941" i="7"/>
  <c r="D2940" i="7"/>
  <c r="D2939" i="7"/>
  <c r="D2938" i="7"/>
  <c r="D2937" i="7"/>
  <c r="D2936" i="7"/>
  <c r="D2935" i="7"/>
  <c r="D2934" i="7"/>
  <c r="D2933" i="7"/>
  <c r="D2932" i="7"/>
  <c r="D2931" i="7"/>
  <c r="D2930" i="7"/>
  <c r="D2929" i="7"/>
  <c r="D2928" i="7"/>
  <c r="D2927" i="7"/>
  <c r="D2926" i="7"/>
  <c r="D2925" i="7"/>
  <c r="D2924" i="7"/>
  <c r="D2923" i="7"/>
  <c r="D2922" i="7"/>
  <c r="D2921" i="7"/>
  <c r="D2920" i="7"/>
  <c r="D2919" i="7"/>
  <c r="D2918" i="7"/>
  <c r="D2917" i="7"/>
  <c r="D2916" i="7"/>
  <c r="D2915" i="7"/>
  <c r="D2914" i="7"/>
  <c r="D2913" i="7"/>
  <c r="D2912" i="7"/>
  <c r="D2911" i="7"/>
  <c r="D2910" i="7"/>
  <c r="D2909" i="7"/>
  <c r="D2908" i="7"/>
  <c r="D2907" i="7"/>
  <c r="D2906" i="7"/>
  <c r="D2905" i="7"/>
  <c r="D2904" i="7"/>
  <c r="D2903" i="7"/>
  <c r="D2902" i="7"/>
  <c r="D2901" i="7"/>
  <c r="D2900" i="7"/>
  <c r="D2899" i="7"/>
  <c r="D2898" i="7"/>
  <c r="D2897" i="7"/>
  <c r="D2896" i="7"/>
  <c r="D2895" i="7"/>
  <c r="D2894" i="7"/>
  <c r="D2893" i="7"/>
  <c r="D2892" i="7"/>
  <c r="D2891" i="7"/>
  <c r="D2890" i="7"/>
  <c r="D2889" i="7"/>
  <c r="D2888" i="7"/>
  <c r="D2887" i="7"/>
  <c r="D2886" i="7"/>
  <c r="D2885" i="7"/>
  <c r="D2884" i="7"/>
  <c r="D2883" i="7"/>
  <c r="D2882" i="7"/>
  <c r="D2881" i="7"/>
  <c r="D2880" i="7"/>
  <c r="D2879" i="7"/>
  <c r="D2878" i="7"/>
  <c r="D2877" i="7"/>
  <c r="D2876" i="7"/>
  <c r="D2875" i="7"/>
  <c r="D2874" i="7"/>
  <c r="D2873" i="7"/>
  <c r="D2872" i="7"/>
  <c r="D2871" i="7"/>
  <c r="D2870" i="7"/>
  <c r="D2869" i="7"/>
  <c r="D2868" i="7"/>
  <c r="D2867" i="7"/>
  <c r="D2866" i="7"/>
  <c r="D2865" i="7"/>
  <c r="D2864" i="7"/>
  <c r="D2863" i="7"/>
  <c r="D2862" i="7"/>
  <c r="D2861" i="7"/>
  <c r="D2860" i="7"/>
  <c r="D2859" i="7"/>
  <c r="D2858" i="7"/>
  <c r="D2857" i="7"/>
  <c r="D2856" i="7"/>
  <c r="D2855" i="7"/>
  <c r="D2854" i="7"/>
  <c r="D2853" i="7"/>
  <c r="D2852" i="7"/>
  <c r="D2851" i="7"/>
  <c r="D2850" i="7"/>
  <c r="D2849" i="7"/>
  <c r="D2848" i="7"/>
  <c r="D2847" i="7"/>
  <c r="D2846" i="7"/>
  <c r="D2845" i="7"/>
  <c r="D2844" i="7"/>
  <c r="D2843" i="7"/>
  <c r="D2842" i="7"/>
  <c r="D2841" i="7"/>
  <c r="D2840" i="7"/>
  <c r="D2839" i="7"/>
  <c r="D2838" i="7"/>
  <c r="D2837" i="7"/>
  <c r="D2836" i="7"/>
  <c r="D2835" i="7"/>
  <c r="D2834" i="7"/>
  <c r="D2833" i="7"/>
  <c r="D2832" i="7"/>
  <c r="D2831" i="7"/>
  <c r="D2830" i="7"/>
  <c r="D2829" i="7"/>
  <c r="D2828" i="7"/>
  <c r="D2827" i="7"/>
  <c r="D2826" i="7"/>
  <c r="D2825" i="7"/>
  <c r="D2824" i="7"/>
  <c r="D2823" i="7"/>
  <c r="D2822" i="7"/>
  <c r="D2821" i="7"/>
  <c r="D2820" i="7"/>
  <c r="D2819" i="7"/>
  <c r="D2818" i="7"/>
  <c r="D2817" i="7"/>
  <c r="D2816" i="7"/>
  <c r="D2815" i="7"/>
  <c r="D2814" i="7"/>
  <c r="D2813" i="7"/>
  <c r="D2812" i="7"/>
  <c r="D2811" i="7"/>
  <c r="D2810" i="7"/>
  <c r="D2809" i="7"/>
  <c r="D2808" i="7"/>
  <c r="D2807" i="7"/>
  <c r="D2806" i="7"/>
  <c r="D2805" i="7"/>
  <c r="D2804" i="7"/>
  <c r="D2803" i="7"/>
  <c r="D2802" i="7"/>
  <c r="D2801" i="7"/>
  <c r="D2800" i="7"/>
  <c r="D2799" i="7"/>
  <c r="D2798" i="7"/>
  <c r="D2797" i="7"/>
  <c r="D2796" i="7"/>
  <c r="D2795" i="7"/>
  <c r="D2794" i="7"/>
  <c r="D2793" i="7"/>
  <c r="D2792" i="7"/>
  <c r="D2791" i="7"/>
  <c r="D2790" i="7"/>
  <c r="D2789" i="7"/>
  <c r="D2788" i="7"/>
  <c r="D2787" i="7"/>
  <c r="D2786" i="7"/>
  <c r="D2785" i="7"/>
  <c r="D2784" i="7"/>
  <c r="D2783" i="7"/>
  <c r="D2782" i="7"/>
  <c r="D2781" i="7"/>
  <c r="D2780" i="7"/>
  <c r="D2779" i="7"/>
  <c r="D2778" i="7"/>
  <c r="D2777" i="7"/>
  <c r="D2776" i="7"/>
  <c r="D2775" i="7"/>
  <c r="D2774" i="7"/>
  <c r="D2773" i="7"/>
  <c r="D2772" i="7"/>
  <c r="D2771" i="7"/>
  <c r="D2770" i="7"/>
  <c r="D2769" i="7"/>
  <c r="D2768" i="7"/>
  <c r="D2767" i="7"/>
  <c r="D2766" i="7"/>
  <c r="D2765" i="7"/>
  <c r="D2764" i="7"/>
  <c r="D2763" i="7"/>
  <c r="D2762" i="7"/>
  <c r="D2761" i="7"/>
  <c r="D2760" i="7"/>
  <c r="D2759" i="7"/>
  <c r="D2758" i="7"/>
  <c r="D2757" i="7"/>
  <c r="D2756" i="7"/>
  <c r="D2755" i="7"/>
  <c r="D2754" i="7"/>
  <c r="D2753" i="7"/>
  <c r="D2752" i="7"/>
  <c r="D2751" i="7"/>
  <c r="D2750" i="7"/>
  <c r="D2749" i="7"/>
  <c r="D2748" i="7"/>
  <c r="D2747" i="7"/>
  <c r="D2746" i="7"/>
  <c r="D2745" i="7"/>
  <c r="D2744" i="7"/>
  <c r="D2743" i="7"/>
  <c r="D2742" i="7"/>
  <c r="D2741" i="7"/>
  <c r="D2740" i="7"/>
  <c r="D2739" i="7"/>
  <c r="D2738" i="7"/>
  <c r="D2737" i="7"/>
  <c r="D2736" i="7"/>
  <c r="D2735" i="7"/>
  <c r="D2734" i="7"/>
  <c r="D2733" i="7"/>
  <c r="D2732" i="7"/>
  <c r="D2731" i="7"/>
  <c r="D2730" i="7"/>
  <c r="D2729" i="7"/>
  <c r="D2728" i="7"/>
  <c r="D2727" i="7"/>
  <c r="D2726" i="7"/>
  <c r="D2725" i="7"/>
  <c r="D2724" i="7"/>
  <c r="D2723" i="7"/>
  <c r="D2722" i="7"/>
  <c r="D2721" i="7"/>
  <c r="D2720" i="7"/>
  <c r="D2719" i="7"/>
  <c r="D2718" i="7"/>
  <c r="D2717" i="7"/>
  <c r="D2716" i="7"/>
  <c r="D2715" i="7"/>
  <c r="D2714" i="7"/>
  <c r="D2713" i="7"/>
  <c r="D2712" i="7"/>
  <c r="D2711" i="7"/>
  <c r="D2710" i="7"/>
  <c r="D2709" i="7"/>
  <c r="D2708" i="7"/>
  <c r="D2707" i="7"/>
  <c r="D2706" i="7"/>
  <c r="D2705" i="7"/>
  <c r="D2704" i="7"/>
  <c r="D2703" i="7"/>
  <c r="D2702" i="7"/>
  <c r="D2701" i="7"/>
  <c r="D2700" i="7"/>
  <c r="D2699" i="7"/>
  <c r="D2698" i="7"/>
  <c r="D2697" i="7"/>
  <c r="D2696" i="7"/>
  <c r="D2695" i="7"/>
  <c r="D2694" i="7"/>
  <c r="D2693" i="7"/>
  <c r="D2692" i="7"/>
  <c r="D2691" i="7"/>
  <c r="D2690" i="7"/>
  <c r="D2689" i="7"/>
  <c r="D2688" i="7"/>
  <c r="D2687" i="7"/>
  <c r="D2686" i="7"/>
  <c r="D2685" i="7"/>
  <c r="D2684" i="7"/>
  <c r="D2683" i="7"/>
  <c r="D2682" i="7"/>
  <c r="D2681" i="7"/>
  <c r="D2680" i="7"/>
  <c r="D2679" i="7"/>
  <c r="D2678" i="7"/>
  <c r="D2677" i="7"/>
  <c r="D2676" i="7"/>
  <c r="D2675" i="7"/>
  <c r="D2674" i="7"/>
  <c r="D2673" i="7"/>
  <c r="D2672" i="7"/>
  <c r="D2671" i="7"/>
  <c r="D2670" i="7"/>
  <c r="D2669" i="7"/>
  <c r="D2668" i="7"/>
  <c r="D2667" i="7"/>
  <c r="D2666" i="7"/>
  <c r="D2665" i="7"/>
  <c r="D2664" i="7"/>
  <c r="D2663" i="7"/>
  <c r="D2662" i="7"/>
  <c r="D2661" i="7"/>
  <c r="D2660" i="7"/>
  <c r="D2659" i="7"/>
  <c r="D2658" i="7"/>
  <c r="D2657" i="7"/>
  <c r="D2656" i="7"/>
  <c r="D2655" i="7"/>
  <c r="D2654" i="7"/>
  <c r="D2653" i="7"/>
  <c r="D2652" i="7"/>
  <c r="D2651" i="7"/>
  <c r="D2650" i="7"/>
  <c r="D2649" i="7"/>
  <c r="D2648" i="7"/>
  <c r="D2647" i="7"/>
  <c r="D2646" i="7"/>
  <c r="D2645" i="7"/>
  <c r="D2644" i="7"/>
  <c r="D2643" i="7"/>
  <c r="D2642" i="7"/>
  <c r="D2641" i="7"/>
  <c r="D2640" i="7"/>
  <c r="D2639" i="7"/>
  <c r="D2638" i="7"/>
  <c r="D2637" i="7"/>
  <c r="D2636" i="7"/>
  <c r="D2635" i="7"/>
  <c r="D2634" i="7"/>
  <c r="D2633" i="7"/>
  <c r="D2632" i="7"/>
  <c r="D2631" i="7"/>
  <c r="D2630" i="7"/>
  <c r="D2629" i="7"/>
  <c r="D2628" i="7"/>
  <c r="D2627" i="7"/>
  <c r="D2626" i="7"/>
  <c r="D2625" i="7"/>
  <c r="D2624" i="7"/>
  <c r="D2623" i="7"/>
  <c r="D2622" i="7"/>
  <c r="D2621" i="7"/>
  <c r="D2620" i="7"/>
  <c r="D2619" i="7"/>
  <c r="D2618" i="7"/>
  <c r="D2617" i="7"/>
  <c r="D2616" i="7"/>
  <c r="D2615" i="7"/>
  <c r="D2614" i="7"/>
  <c r="D2613" i="7"/>
  <c r="D2612" i="7"/>
  <c r="D2611" i="7"/>
  <c r="D2610" i="7"/>
  <c r="D2609" i="7"/>
  <c r="D2608" i="7"/>
  <c r="D2607" i="7"/>
  <c r="D2606" i="7"/>
  <c r="D2605" i="7"/>
  <c r="D2604" i="7"/>
  <c r="D2603" i="7"/>
  <c r="D2602" i="7"/>
  <c r="D2601" i="7"/>
  <c r="D2600" i="7"/>
  <c r="D2599" i="7"/>
  <c r="D2598" i="7"/>
  <c r="D2597" i="7"/>
  <c r="D2596" i="7"/>
  <c r="D2595" i="7"/>
  <c r="D2594" i="7"/>
  <c r="D2593" i="7"/>
  <c r="D2592" i="7"/>
  <c r="D2591" i="7"/>
  <c r="D2590" i="7"/>
  <c r="D2589" i="7"/>
  <c r="D2588" i="7"/>
  <c r="D2587" i="7"/>
  <c r="D2586" i="7"/>
  <c r="D2585" i="7"/>
  <c r="D2584" i="7"/>
  <c r="D2583" i="7"/>
  <c r="D2582" i="7"/>
  <c r="D2581" i="7"/>
  <c r="D2580" i="7"/>
  <c r="D2579" i="7"/>
  <c r="D2578" i="7"/>
  <c r="D2577" i="7"/>
  <c r="D2576" i="7"/>
  <c r="D2575" i="7"/>
  <c r="D2574" i="7"/>
  <c r="D2573" i="7"/>
  <c r="D2572" i="7"/>
  <c r="D2571" i="7"/>
  <c r="D2570" i="7"/>
  <c r="D2569" i="7"/>
  <c r="D2568" i="7"/>
  <c r="D2567" i="7"/>
  <c r="D2566" i="7"/>
  <c r="D2565" i="7"/>
  <c r="D2564" i="7"/>
  <c r="D2563" i="7"/>
  <c r="D2562" i="7"/>
  <c r="D2561" i="7"/>
  <c r="D2560" i="7"/>
  <c r="D2559" i="7"/>
  <c r="D2558" i="7"/>
  <c r="D2557" i="7"/>
  <c r="D2556" i="7"/>
  <c r="D2555" i="7"/>
  <c r="D2554" i="7"/>
  <c r="D2553" i="7"/>
  <c r="D2552" i="7"/>
  <c r="D2551" i="7"/>
  <c r="D2550" i="7"/>
  <c r="D2549" i="7"/>
  <c r="D2548" i="7"/>
  <c r="D2547" i="7"/>
  <c r="D2546" i="7"/>
  <c r="D2545" i="7"/>
  <c r="D2544" i="7"/>
  <c r="D2543" i="7"/>
  <c r="D2542" i="7"/>
  <c r="D2541" i="7"/>
  <c r="D2540" i="7"/>
  <c r="D2539" i="7"/>
  <c r="D2538" i="7"/>
  <c r="D2537" i="7"/>
  <c r="D2536" i="7"/>
  <c r="D2535" i="7"/>
  <c r="D2534" i="7"/>
  <c r="D2533" i="7"/>
  <c r="D2532" i="7"/>
  <c r="D2531" i="7"/>
  <c r="D2530" i="7"/>
  <c r="D2529" i="7"/>
  <c r="D2528" i="7"/>
  <c r="D2527" i="7"/>
  <c r="D2526" i="7"/>
  <c r="D2525" i="7"/>
  <c r="D2524" i="7"/>
  <c r="D2523" i="7"/>
  <c r="D2522" i="7"/>
  <c r="D2521" i="7"/>
  <c r="D2520" i="7"/>
  <c r="D2519" i="7"/>
  <c r="D2518" i="7"/>
  <c r="D2517" i="7"/>
  <c r="D2516" i="7"/>
  <c r="D2515" i="7"/>
  <c r="D2514" i="7"/>
  <c r="D2513" i="7"/>
  <c r="D2512" i="7"/>
  <c r="D2511" i="7"/>
  <c r="D2510" i="7"/>
  <c r="D2509" i="7"/>
  <c r="D2508" i="7"/>
  <c r="D2507" i="7"/>
  <c r="D2506" i="7"/>
  <c r="D2505" i="7"/>
  <c r="D2504" i="7"/>
  <c r="D2503" i="7"/>
  <c r="D2502" i="7"/>
  <c r="D2501" i="7"/>
  <c r="D2500" i="7"/>
  <c r="D2499" i="7"/>
  <c r="D2498" i="7"/>
  <c r="D2497" i="7"/>
  <c r="D2496" i="7"/>
  <c r="D2495" i="7"/>
  <c r="D2494" i="7"/>
  <c r="D2493" i="7"/>
  <c r="D2492" i="7"/>
  <c r="D2491" i="7"/>
  <c r="D2490" i="7"/>
  <c r="D2489" i="7"/>
  <c r="D2488" i="7"/>
  <c r="D2487" i="7"/>
  <c r="D2486" i="7"/>
  <c r="D2485" i="7"/>
  <c r="D2484" i="7"/>
  <c r="D2483" i="7"/>
  <c r="D2482" i="7"/>
  <c r="D2481" i="7"/>
  <c r="D2480" i="7"/>
  <c r="D2479" i="7"/>
  <c r="D2478" i="7"/>
  <c r="D2477" i="7"/>
  <c r="D2476" i="7"/>
  <c r="D2475" i="7"/>
  <c r="D2474" i="7"/>
  <c r="D2473" i="7"/>
  <c r="D2472" i="7"/>
  <c r="D2471" i="7"/>
  <c r="D2470" i="7"/>
  <c r="D2469" i="7"/>
  <c r="D2468" i="7"/>
  <c r="D2467" i="7"/>
  <c r="D2466" i="7"/>
  <c r="D2465" i="7"/>
  <c r="D2464" i="7"/>
  <c r="D2463" i="7"/>
  <c r="D2462" i="7"/>
  <c r="D2461" i="7"/>
  <c r="D2460" i="7"/>
  <c r="D2459" i="7"/>
  <c r="D2458" i="7"/>
  <c r="D2457" i="7"/>
  <c r="D2456" i="7"/>
  <c r="D2455" i="7"/>
  <c r="D2454" i="7"/>
  <c r="D2453" i="7"/>
  <c r="D2452" i="7"/>
  <c r="D2451" i="7"/>
  <c r="D2450" i="7"/>
  <c r="D2449" i="7"/>
  <c r="D2448" i="7"/>
  <c r="D2447" i="7"/>
  <c r="D2446" i="7"/>
  <c r="D2445" i="7"/>
  <c r="D2444" i="7"/>
  <c r="D2443" i="7"/>
  <c r="D2442" i="7"/>
  <c r="D2441" i="7"/>
  <c r="D2440" i="7"/>
  <c r="D2439" i="7"/>
  <c r="D2438" i="7"/>
  <c r="D2437" i="7"/>
  <c r="D2436" i="7"/>
  <c r="D2435" i="7"/>
  <c r="D2434" i="7"/>
  <c r="D2433" i="7"/>
  <c r="D2432" i="7"/>
  <c r="D2431" i="7"/>
  <c r="D2430" i="7"/>
  <c r="D2429" i="7"/>
  <c r="D2428" i="7"/>
  <c r="D2427" i="7"/>
  <c r="D2426" i="7"/>
  <c r="D2425" i="7"/>
  <c r="D2424" i="7"/>
  <c r="D2423" i="7"/>
  <c r="D2422" i="7"/>
  <c r="D2421" i="7"/>
  <c r="D2420" i="7"/>
  <c r="D2419" i="7"/>
  <c r="D2418" i="7"/>
  <c r="D2417" i="7"/>
  <c r="D2416" i="7"/>
  <c r="D2415" i="7"/>
  <c r="D2414" i="7"/>
  <c r="D2413" i="7"/>
  <c r="D2412" i="7"/>
  <c r="D2411" i="7"/>
  <c r="D2410" i="7"/>
  <c r="D2409" i="7"/>
  <c r="D2408" i="7"/>
  <c r="D2407" i="7"/>
  <c r="D2406" i="7"/>
  <c r="D2405" i="7"/>
  <c r="D2404" i="7"/>
  <c r="D2403" i="7"/>
  <c r="D2402" i="7"/>
  <c r="D2401" i="7"/>
  <c r="D2400" i="7"/>
  <c r="D2399" i="7"/>
  <c r="D2398" i="7"/>
  <c r="D2397" i="7"/>
  <c r="D2396" i="7"/>
  <c r="D2395" i="7"/>
  <c r="D2394" i="7"/>
  <c r="D2393" i="7"/>
  <c r="D2392" i="7"/>
  <c r="D2391" i="7"/>
  <c r="D2390" i="7"/>
  <c r="D2389" i="7"/>
  <c r="D2388" i="7"/>
  <c r="D2387" i="7"/>
  <c r="D2386" i="7"/>
  <c r="D2385" i="7"/>
  <c r="D2384" i="7"/>
  <c r="D2383" i="7"/>
  <c r="D2382" i="7"/>
  <c r="D2381" i="7"/>
  <c r="D2380" i="7"/>
  <c r="D2379" i="7"/>
  <c r="D2378" i="7"/>
  <c r="D2377" i="7"/>
  <c r="D2376" i="7"/>
  <c r="D2375" i="7"/>
  <c r="D2374" i="7"/>
  <c r="D2373" i="7"/>
  <c r="D2372" i="7"/>
  <c r="D2371" i="7"/>
  <c r="D2370" i="7"/>
  <c r="D2369" i="7"/>
  <c r="D2368" i="7"/>
  <c r="D2367" i="7"/>
  <c r="D2366" i="7"/>
  <c r="D2365" i="7"/>
  <c r="D2364" i="7"/>
  <c r="D2363" i="7"/>
  <c r="D2362" i="7"/>
  <c r="D2361" i="7"/>
  <c r="D2360" i="7"/>
  <c r="D2359" i="7"/>
  <c r="D2358" i="7"/>
  <c r="D2357" i="7"/>
  <c r="D2356" i="7"/>
  <c r="D2355" i="7"/>
  <c r="D2354" i="7"/>
  <c r="D2353" i="7"/>
  <c r="D2352" i="7"/>
  <c r="D2351" i="7"/>
  <c r="D2350" i="7"/>
  <c r="D2349" i="7"/>
  <c r="D2348" i="7"/>
  <c r="D2347" i="7"/>
  <c r="D2346" i="7"/>
  <c r="D2345" i="7"/>
  <c r="D2344" i="7"/>
  <c r="D2343" i="7"/>
  <c r="D2342" i="7"/>
  <c r="D2341" i="7"/>
  <c r="D2340" i="7"/>
  <c r="D2339" i="7"/>
  <c r="D2338" i="7"/>
  <c r="D2337" i="7"/>
  <c r="D2336" i="7"/>
  <c r="D2335" i="7"/>
  <c r="D2334" i="7"/>
  <c r="D2333" i="7"/>
  <c r="D2332" i="7"/>
  <c r="D2331" i="7"/>
  <c r="D2330" i="7"/>
  <c r="D2329" i="7"/>
  <c r="D2328" i="7"/>
  <c r="D2327" i="7"/>
  <c r="D2326" i="7"/>
  <c r="D2325" i="7"/>
  <c r="D2324" i="7"/>
  <c r="D2323" i="7"/>
  <c r="D2322" i="7"/>
  <c r="D2321" i="7"/>
  <c r="D2320" i="7"/>
  <c r="D2319" i="7"/>
  <c r="D2318" i="7"/>
  <c r="D2317" i="7"/>
  <c r="D2316" i="7"/>
  <c r="D2315" i="7"/>
  <c r="D2314" i="7"/>
  <c r="D2313" i="7"/>
  <c r="D2312" i="7"/>
  <c r="D2311" i="7"/>
  <c r="D2310" i="7"/>
  <c r="D2309" i="7"/>
  <c r="D2308" i="7"/>
  <c r="D2307" i="7"/>
  <c r="D2306" i="7"/>
  <c r="D2305" i="7"/>
  <c r="D2304" i="7"/>
  <c r="D2303" i="7"/>
  <c r="D2302" i="7"/>
  <c r="D2301" i="7"/>
  <c r="D2300" i="7"/>
  <c r="D2299" i="7"/>
  <c r="D2298" i="7"/>
  <c r="D2297" i="7"/>
  <c r="D2296" i="7"/>
  <c r="D2295" i="7"/>
  <c r="D2294" i="7"/>
  <c r="D2293" i="7"/>
  <c r="D2292" i="7"/>
  <c r="D2291" i="7"/>
  <c r="D2290" i="7"/>
  <c r="D2289" i="7"/>
  <c r="D2288" i="7"/>
  <c r="D2287" i="7"/>
  <c r="D2286" i="7"/>
  <c r="D2285" i="7"/>
  <c r="D2284" i="7"/>
  <c r="D2283" i="7"/>
  <c r="D2282" i="7"/>
  <c r="D2281" i="7"/>
  <c r="D2280" i="7"/>
  <c r="D2279" i="7"/>
  <c r="D2278" i="7"/>
  <c r="D2277" i="7"/>
  <c r="D2276" i="7"/>
  <c r="D2275" i="7"/>
  <c r="D2274" i="7"/>
  <c r="D2273" i="7"/>
  <c r="D2272" i="7"/>
  <c r="D2271" i="7"/>
  <c r="D2270" i="7"/>
  <c r="D2269" i="7"/>
  <c r="D2268" i="7"/>
  <c r="D2267" i="7"/>
  <c r="D2266" i="7"/>
  <c r="D2265" i="7"/>
  <c r="D2264" i="7"/>
  <c r="D2263" i="7"/>
  <c r="D2262" i="7"/>
  <c r="D2261" i="7"/>
  <c r="D2260" i="7"/>
  <c r="D2259" i="7"/>
  <c r="D2258" i="7"/>
  <c r="D2257" i="7"/>
  <c r="D2256" i="7"/>
  <c r="D2255" i="7"/>
  <c r="D2254" i="7"/>
  <c r="D2253" i="7"/>
  <c r="D2252" i="7"/>
  <c r="D2251" i="7"/>
  <c r="D2250" i="7"/>
  <c r="D2249" i="7"/>
  <c r="D2248" i="7"/>
  <c r="D2247" i="7"/>
  <c r="D2246" i="7"/>
  <c r="D2245" i="7"/>
  <c r="D2244" i="7"/>
  <c r="D2243" i="7"/>
  <c r="D2242" i="7"/>
  <c r="D2241" i="7"/>
  <c r="D2240" i="7"/>
  <c r="D2239" i="7"/>
  <c r="D2238" i="7"/>
  <c r="D2237" i="7"/>
  <c r="D2236" i="7"/>
  <c r="D2235" i="7"/>
  <c r="D2234" i="7"/>
  <c r="D2233" i="7"/>
  <c r="D2232" i="7"/>
  <c r="D2231" i="7"/>
  <c r="D2230" i="7"/>
  <c r="D2229" i="7"/>
  <c r="D2228" i="7"/>
  <c r="D2227" i="7"/>
  <c r="D2226" i="7"/>
  <c r="D2225" i="7"/>
  <c r="D2224" i="7"/>
  <c r="D2223" i="7"/>
  <c r="D2222" i="7"/>
  <c r="D2221" i="7"/>
  <c r="D2220" i="7"/>
  <c r="D2219" i="7"/>
  <c r="D2218" i="7"/>
  <c r="D2217" i="7"/>
  <c r="D2216" i="7"/>
  <c r="D2215" i="7"/>
  <c r="D2214" i="7"/>
  <c r="D2213" i="7"/>
  <c r="D2212" i="7"/>
  <c r="D2211" i="7"/>
  <c r="D2210" i="7"/>
  <c r="D2209" i="7"/>
  <c r="D2208" i="7"/>
  <c r="D2207" i="7"/>
  <c r="D2206" i="7"/>
  <c r="D2205" i="7"/>
  <c r="D2204" i="7"/>
  <c r="D2203" i="7"/>
  <c r="D2202" i="7"/>
  <c r="D2201" i="7"/>
  <c r="D2200" i="7"/>
  <c r="D2199" i="7"/>
  <c r="D2198" i="7"/>
  <c r="D2197" i="7"/>
  <c r="D2196" i="7"/>
  <c r="D2195" i="7"/>
  <c r="D2194" i="7"/>
  <c r="D2193" i="7"/>
  <c r="D2192" i="7"/>
  <c r="D2191" i="7"/>
  <c r="D2190" i="7"/>
  <c r="D2189" i="7"/>
  <c r="D2188" i="7"/>
  <c r="D2187" i="7"/>
  <c r="D2186" i="7"/>
  <c r="D2185" i="7"/>
  <c r="D2184" i="7"/>
  <c r="D2183" i="7"/>
  <c r="D2182" i="7"/>
  <c r="D2181" i="7"/>
  <c r="D2180" i="7"/>
  <c r="D2179" i="7"/>
  <c r="D2178" i="7"/>
  <c r="D2177" i="7"/>
  <c r="D2176" i="7"/>
  <c r="D2175" i="7"/>
  <c r="D2174" i="7"/>
  <c r="D2173" i="7"/>
  <c r="D2172" i="7"/>
  <c r="D2171" i="7"/>
  <c r="D2170" i="7"/>
  <c r="D2169" i="7"/>
  <c r="D2168" i="7"/>
  <c r="D2167" i="7"/>
  <c r="D2166" i="7"/>
  <c r="D2165" i="7"/>
  <c r="D2164" i="7"/>
  <c r="D2163" i="7"/>
  <c r="D2162" i="7"/>
  <c r="D2161" i="7"/>
  <c r="D2160" i="7"/>
  <c r="D2159" i="7"/>
  <c r="D2158" i="7"/>
  <c r="D2157" i="7"/>
  <c r="D2156" i="7"/>
  <c r="D2155" i="7"/>
  <c r="D2154" i="7"/>
  <c r="D2153" i="7"/>
  <c r="D2152" i="7"/>
  <c r="D2151" i="7"/>
  <c r="D2150" i="7"/>
  <c r="D2149" i="7"/>
  <c r="D2148" i="7"/>
  <c r="D2147" i="7"/>
  <c r="D2146" i="7"/>
  <c r="D2145" i="7"/>
  <c r="D2144" i="7"/>
  <c r="D2143" i="7"/>
  <c r="D2142" i="7"/>
  <c r="D2141" i="7"/>
  <c r="D2140" i="7"/>
  <c r="D2139" i="7"/>
  <c r="D2138" i="7"/>
  <c r="D2137" i="7"/>
  <c r="D2136" i="7"/>
  <c r="D2135" i="7"/>
  <c r="D2134" i="7"/>
  <c r="D2133" i="7"/>
  <c r="D2132" i="7"/>
  <c r="D2131" i="7"/>
  <c r="D2130" i="7"/>
  <c r="D2129" i="7"/>
  <c r="D2128" i="7"/>
  <c r="D2127" i="7"/>
  <c r="D2126" i="7"/>
  <c r="D2125" i="7"/>
  <c r="D2124" i="7"/>
  <c r="D2123" i="7"/>
  <c r="D2122" i="7"/>
  <c r="D2121" i="7"/>
  <c r="D2120" i="7"/>
  <c r="D2119" i="7"/>
  <c r="D2118" i="7"/>
  <c r="D2117" i="7"/>
  <c r="D2116" i="7"/>
  <c r="D2115" i="7"/>
  <c r="D2114" i="7"/>
  <c r="D2113" i="7"/>
  <c r="D2112" i="7"/>
  <c r="D2111" i="7"/>
  <c r="D2110" i="7"/>
  <c r="D2109" i="7"/>
  <c r="D2108" i="7"/>
  <c r="D2107" i="7"/>
  <c r="D2106" i="7"/>
  <c r="D2105" i="7"/>
  <c r="D2104" i="7"/>
  <c r="D2103" i="7"/>
  <c r="D2102" i="7"/>
  <c r="D2101" i="7"/>
  <c r="D2100" i="7"/>
  <c r="D2099" i="7"/>
  <c r="D2098" i="7"/>
  <c r="D2097" i="7"/>
  <c r="D2096" i="7"/>
  <c r="D2095" i="7"/>
  <c r="D2094" i="7"/>
  <c r="D2093" i="7"/>
  <c r="D2092" i="7"/>
  <c r="D2091" i="7"/>
  <c r="D2090" i="7"/>
  <c r="D2089" i="7"/>
  <c r="D2088" i="7"/>
  <c r="D2087" i="7"/>
  <c r="D2086" i="7"/>
  <c r="D2085" i="7"/>
  <c r="D2084" i="7"/>
  <c r="D2083" i="7"/>
  <c r="D2082" i="7"/>
  <c r="D2081" i="7"/>
  <c r="D2080" i="7"/>
  <c r="D2079" i="7"/>
  <c r="D2078" i="7"/>
  <c r="D2077" i="7"/>
  <c r="D2076" i="7"/>
  <c r="D2075" i="7"/>
  <c r="D2074" i="7"/>
  <c r="D2073" i="7"/>
  <c r="D2072" i="7"/>
  <c r="D2071" i="7"/>
  <c r="D2070" i="7"/>
  <c r="D2069" i="7"/>
  <c r="D2068" i="7"/>
  <c r="D2067" i="7"/>
  <c r="D2066" i="7"/>
  <c r="D2065" i="7"/>
  <c r="D2064" i="7"/>
  <c r="D2063" i="7"/>
  <c r="D2062" i="7"/>
  <c r="D2061" i="7"/>
  <c r="D2060" i="7"/>
  <c r="D2059" i="7"/>
  <c r="D2058" i="7"/>
  <c r="D2057" i="7"/>
  <c r="D2056" i="7"/>
  <c r="D2055" i="7"/>
  <c r="D2054" i="7"/>
  <c r="D2053" i="7"/>
  <c r="D2052" i="7"/>
  <c r="D2051" i="7"/>
  <c r="D2050" i="7"/>
  <c r="D2049" i="7"/>
  <c r="D2048" i="7"/>
  <c r="D2047" i="7"/>
  <c r="D2046" i="7"/>
  <c r="D2045" i="7"/>
  <c r="D2044" i="7"/>
  <c r="D2043" i="7"/>
  <c r="D2042" i="7"/>
  <c r="D2041" i="7"/>
  <c r="D2040" i="7"/>
  <c r="D2039" i="7"/>
  <c r="D2038" i="7"/>
  <c r="D2037" i="7"/>
  <c r="D2036" i="7"/>
  <c r="D2035" i="7"/>
  <c r="D2034" i="7"/>
  <c r="D2033" i="7"/>
  <c r="D2032" i="7"/>
  <c r="D2031" i="7"/>
  <c r="D2030" i="7"/>
  <c r="D2029" i="7"/>
  <c r="D2028" i="7"/>
  <c r="D2027" i="7"/>
  <c r="D2026" i="7"/>
  <c r="D2025" i="7"/>
  <c r="D2024" i="7"/>
  <c r="D2023" i="7"/>
  <c r="D2022" i="7"/>
  <c r="D2021" i="7"/>
  <c r="D2020" i="7"/>
  <c r="D2019" i="7"/>
  <c r="D2018" i="7"/>
  <c r="D2017" i="7"/>
  <c r="D2016" i="7"/>
  <c r="D2015" i="7"/>
  <c r="D2014" i="7"/>
  <c r="D2013" i="7"/>
  <c r="D2012" i="7"/>
  <c r="D2011" i="7"/>
  <c r="D2010" i="7"/>
  <c r="D2009" i="7"/>
  <c r="D2008" i="7"/>
  <c r="D2007" i="7"/>
  <c r="D2006" i="7"/>
  <c r="D2005" i="7"/>
  <c r="D2004" i="7"/>
  <c r="D2003" i="7"/>
  <c r="D2002" i="7"/>
  <c r="D2001" i="7"/>
  <c r="D2000" i="7"/>
  <c r="D1999" i="7"/>
  <c r="D1998" i="7"/>
  <c r="D1997" i="7"/>
  <c r="D1996" i="7"/>
  <c r="D1995" i="7"/>
  <c r="D1994" i="7"/>
  <c r="D1993" i="7"/>
  <c r="D1992" i="7"/>
  <c r="D1991" i="7"/>
  <c r="D1990" i="7"/>
  <c r="D1989" i="7"/>
  <c r="D1988" i="7"/>
  <c r="D1987" i="7"/>
  <c r="D1986" i="7"/>
  <c r="D1985" i="7"/>
  <c r="D1984" i="7"/>
  <c r="D1983" i="7"/>
  <c r="D1982" i="7"/>
  <c r="D1981" i="7"/>
  <c r="D1980" i="7"/>
  <c r="D1979" i="7"/>
  <c r="D1978" i="7"/>
  <c r="D1977" i="7"/>
  <c r="D1976" i="7"/>
  <c r="D1975" i="7"/>
  <c r="D1974" i="7"/>
  <c r="D1973" i="7"/>
  <c r="D1972" i="7"/>
  <c r="D1971" i="7"/>
  <c r="D1970" i="7"/>
  <c r="D1969" i="7"/>
  <c r="D1968" i="7"/>
  <c r="D1967" i="7"/>
  <c r="D1966" i="7"/>
  <c r="D1965" i="7"/>
  <c r="D1964" i="7"/>
  <c r="D1963" i="7"/>
  <c r="D1962" i="7"/>
  <c r="D1961" i="7"/>
  <c r="D1960" i="7"/>
  <c r="D1959" i="7"/>
  <c r="D1958" i="7"/>
  <c r="D1957" i="7"/>
  <c r="D1956" i="7"/>
  <c r="D1955" i="7"/>
  <c r="D1954" i="7"/>
  <c r="D1953" i="7"/>
  <c r="D1952" i="7"/>
  <c r="D1951" i="7"/>
  <c r="D1950" i="7"/>
  <c r="D1949" i="7"/>
  <c r="D1948" i="7"/>
  <c r="D1947" i="7"/>
  <c r="D1946" i="7"/>
  <c r="D1945" i="7"/>
  <c r="D1944" i="7"/>
  <c r="D1943" i="7"/>
  <c r="D1942" i="7"/>
  <c r="D1941" i="7"/>
  <c r="D1940" i="7"/>
  <c r="D1939" i="7"/>
  <c r="D1938" i="7"/>
  <c r="D1937" i="7"/>
  <c r="D1936" i="7"/>
  <c r="D1935" i="7"/>
  <c r="D1934" i="7"/>
  <c r="D1933" i="7"/>
  <c r="D1932" i="7"/>
  <c r="D1931" i="7"/>
  <c r="D1930" i="7"/>
  <c r="D1929" i="7"/>
  <c r="D1928" i="7"/>
  <c r="D1927" i="7"/>
  <c r="D1926" i="7"/>
  <c r="D1925" i="7"/>
  <c r="D1924" i="7"/>
  <c r="D1923" i="7"/>
  <c r="D1922" i="7"/>
  <c r="D1921" i="7"/>
  <c r="D1920" i="7"/>
  <c r="D1919" i="7"/>
  <c r="D1918" i="7"/>
  <c r="D1917" i="7"/>
  <c r="D1916" i="7"/>
  <c r="D1915" i="7"/>
  <c r="D1914" i="7"/>
  <c r="D1913" i="7"/>
  <c r="D1912" i="7"/>
  <c r="D1911" i="7"/>
  <c r="D1910" i="7"/>
  <c r="D1909" i="7"/>
  <c r="D1908" i="7"/>
  <c r="D1907" i="7"/>
  <c r="D1906" i="7"/>
  <c r="D1905" i="7"/>
  <c r="D1904" i="7"/>
  <c r="D1903" i="7"/>
  <c r="D1902" i="7"/>
  <c r="D1901" i="7"/>
  <c r="D1900" i="7"/>
  <c r="D1899" i="7"/>
  <c r="D1898" i="7"/>
  <c r="D1897" i="7"/>
  <c r="D1896" i="7"/>
  <c r="D1895" i="7"/>
  <c r="D1894" i="7"/>
  <c r="D1893" i="7"/>
  <c r="D1892" i="7"/>
  <c r="D1891" i="7"/>
  <c r="D1890" i="7"/>
  <c r="D1889" i="7"/>
  <c r="D1888" i="7"/>
  <c r="D1887" i="7"/>
  <c r="D1886" i="7"/>
  <c r="D1885" i="7"/>
  <c r="D1884" i="7"/>
  <c r="D1883" i="7"/>
  <c r="D1882" i="7"/>
  <c r="D1881" i="7"/>
  <c r="D1880" i="7"/>
  <c r="D1879" i="7"/>
  <c r="D1878" i="7"/>
  <c r="D1877" i="7"/>
  <c r="D1876" i="7"/>
  <c r="D1875" i="7"/>
  <c r="D1874" i="7"/>
  <c r="D1873" i="7"/>
  <c r="D1872" i="7"/>
  <c r="D1871" i="7"/>
  <c r="D1870" i="7"/>
  <c r="D1869" i="7"/>
  <c r="D1868" i="7"/>
  <c r="D1867" i="7"/>
  <c r="D1866" i="7"/>
  <c r="D1865" i="7"/>
  <c r="D1864" i="7"/>
  <c r="D1863" i="7"/>
  <c r="D1862" i="7"/>
  <c r="D1861" i="7"/>
  <c r="D1860" i="7"/>
  <c r="D1859" i="7"/>
  <c r="D1858" i="7"/>
  <c r="D1857" i="7"/>
  <c r="D1856" i="7"/>
  <c r="D1855" i="7"/>
  <c r="D1854" i="7"/>
  <c r="D1853" i="7"/>
  <c r="D1852" i="7"/>
  <c r="D1851" i="7"/>
  <c r="D1850" i="7"/>
  <c r="D1849" i="7"/>
  <c r="D1848" i="7"/>
  <c r="D1847" i="7"/>
  <c r="D1846" i="7"/>
  <c r="D1845" i="7"/>
  <c r="D1844" i="7"/>
  <c r="D1843" i="7"/>
  <c r="D1842" i="7"/>
  <c r="D1841" i="7"/>
  <c r="D1840" i="7"/>
  <c r="D1839" i="7"/>
  <c r="D1838" i="7"/>
  <c r="D1837" i="7"/>
  <c r="D1836" i="7"/>
  <c r="D1835" i="7"/>
  <c r="D1834" i="7"/>
  <c r="D1833" i="7"/>
  <c r="D1832" i="7"/>
  <c r="D1831" i="7"/>
  <c r="D1830" i="7"/>
  <c r="D1829" i="7"/>
  <c r="D1828" i="7"/>
  <c r="D1827" i="7"/>
  <c r="D1826" i="7"/>
  <c r="D1825" i="7"/>
  <c r="D1824" i="7"/>
  <c r="D1823" i="7"/>
  <c r="D1822" i="7"/>
  <c r="D1821" i="7"/>
  <c r="D1820" i="7"/>
  <c r="D1819" i="7"/>
  <c r="D1818" i="7"/>
  <c r="D1817" i="7"/>
  <c r="D1816" i="7"/>
  <c r="D1815" i="7"/>
  <c r="D1814" i="7"/>
  <c r="D1813" i="7"/>
  <c r="D1812" i="7"/>
  <c r="D1811" i="7"/>
  <c r="D1810" i="7"/>
  <c r="D1809" i="7"/>
  <c r="D1808" i="7"/>
  <c r="D1807" i="7"/>
  <c r="D1806" i="7"/>
  <c r="D1805" i="7"/>
  <c r="D1804" i="7"/>
  <c r="D1803" i="7"/>
  <c r="D1802" i="7"/>
  <c r="D1801" i="7"/>
  <c r="D1800" i="7"/>
  <c r="D1799" i="7"/>
  <c r="D1798" i="7"/>
  <c r="D1797" i="7"/>
  <c r="D1796" i="7"/>
  <c r="D1795" i="7"/>
  <c r="D1794" i="7"/>
  <c r="D1793" i="7"/>
  <c r="D1792" i="7"/>
  <c r="D1791" i="7"/>
  <c r="D1790" i="7"/>
  <c r="D1789" i="7"/>
  <c r="D1788" i="7"/>
  <c r="D1787" i="7"/>
  <c r="D1786" i="7"/>
  <c r="D1785" i="7"/>
  <c r="D1784" i="7"/>
  <c r="D1783" i="7"/>
  <c r="D1782" i="7"/>
  <c r="D1781" i="7"/>
  <c r="D1780" i="7"/>
  <c r="D1779" i="7"/>
  <c r="D1778" i="7"/>
  <c r="D1777" i="7"/>
  <c r="D1776" i="7"/>
  <c r="D1775" i="7"/>
  <c r="D1774" i="7"/>
  <c r="D1773" i="7"/>
  <c r="D1772" i="7"/>
  <c r="D1771" i="7"/>
  <c r="D1770" i="7"/>
  <c r="D1769" i="7"/>
  <c r="D1768" i="7"/>
  <c r="D1767" i="7"/>
  <c r="D1766" i="7"/>
  <c r="D1765" i="7"/>
  <c r="D1764" i="7"/>
  <c r="D1763" i="7"/>
  <c r="D1762" i="7"/>
  <c r="D1761" i="7"/>
  <c r="D1760" i="7"/>
  <c r="D1759" i="7"/>
  <c r="D1758" i="7"/>
  <c r="D1757" i="7"/>
  <c r="D1756" i="7"/>
  <c r="D1755" i="7"/>
  <c r="D1754" i="7"/>
  <c r="D1753" i="7"/>
  <c r="D1752" i="7"/>
  <c r="D1751" i="7"/>
  <c r="D1750" i="7"/>
  <c r="D1749" i="7"/>
  <c r="D1748" i="7"/>
  <c r="D1747" i="7"/>
  <c r="D1746" i="7"/>
  <c r="D1745" i="7"/>
  <c r="D1744" i="7"/>
  <c r="D1743" i="7"/>
  <c r="D1742" i="7"/>
  <c r="D1741" i="7"/>
  <c r="D1740" i="7"/>
  <c r="D1739" i="7"/>
  <c r="D1738" i="7"/>
  <c r="D1737" i="7"/>
  <c r="D1736" i="7"/>
  <c r="D1735" i="7"/>
  <c r="D1734" i="7"/>
  <c r="D1733" i="7"/>
  <c r="D1732" i="7"/>
  <c r="D1731" i="7"/>
  <c r="D1730" i="7"/>
  <c r="D1729" i="7"/>
  <c r="D1728" i="7"/>
  <c r="D1727" i="7"/>
  <c r="D1726" i="7"/>
  <c r="D1725" i="7"/>
  <c r="D1724" i="7"/>
  <c r="D1723" i="7"/>
  <c r="D1722" i="7"/>
  <c r="D1721" i="7"/>
  <c r="D1720" i="7"/>
  <c r="D1719" i="7"/>
  <c r="D1718" i="7"/>
  <c r="D1717" i="7"/>
  <c r="D1716" i="7"/>
  <c r="D1715" i="7"/>
  <c r="D1714" i="7"/>
  <c r="D1713" i="7"/>
  <c r="D1712" i="7"/>
  <c r="D1711" i="7"/>
  <c r="D1710" i="7"/>
  <c r="D1709" i="7"/>
  <c r="D1708" i="7"/>
  <c r="D1707" i="7"/>
  <c r="D1706" i="7"/>
  <c r="D1705" i="7"/>
  <c r="D1704" i="7"/>
  <c r="D1703" i="7"/>
  <c r="D1702" i="7"/>
  <c r="D1701" i="7"/>
  <c r="D1700" i="7"/>
  <c r="D1699" i="7"/>
  <c r="D1698" i="7"/>
  <c r="D1697" i="7"/>
  <c r="D1696" i="7"/>
  <c r="D1695" i="7"/>
  <c r="D1694" i="7"/>
  <c r="D1693" i="7"/>
  <c r="D1692" i="7"/>
  <c r="D1691" i="7"/>
  <c r="D1690" i="7"/>
  <c r="D1689" i="7"/>
  <c r="D1688" i="7"/>
  <c r="D1687" i="7"/>
  <c r="D1686" i="7"/>
  <c r="D1685" i="7"/>
  <c r="D1684" i="7"/>
  <c r="D1683" i="7"/>
  <c r="D1682" i="7"/>
  <c r="D1681" i="7"/>
  <c r="D1680" i="7"/>
  <c r="D1679" i="7"/>
  <c r="D1678" i="7"/>
  <c r="D1677" i="7"/>
  <c r="D1676" i="7"/>
  <c r="D1675" i="7"/>
  <c r="D1674" i="7"/>
  <c r="D1673" i="7"/>
  <c r="D1672" i="7"/>
  <c r="D1671" i="7"/>
  <c r="D1670" i="7"/>
  <c r="D1669" i="7"/>
  <c r="D1668" i="7"/>
  <c r="D1667" i="7"/>
  <c r="D1666" i="7"/>
  <c r="D1665" i="7"/>
  <c r="D1664" i="7"/>
  <c r="D1663" i="7"/>
  <c r="D1662" i="7"/>
  <c r="D1661" i="7"/>
  <c r="D1660" i="7"/>
  <c r="D1659" i="7"/>
  <c r="D1658" i="7"/>
  <c r="D1657" i="7"/>
  <c r="D1656" i="7"/>
  <c r="D1655" i="7"/>
  <c r="D1654" i="7"/>
  <c r="D1653" i="7"/>
  <c r="D1652" i="7"/>
  <c r="D1651" i="7"/>
  <c r="D1650" i="7"/>
  <c r="D1649" i="7"/>
  <c r="D1648" i="7"/>
  <c r="D1647" i="7"/>
  <c r="D1646" i="7"/>
  <c r="D1645" i="7"/>
  <c r="D1644" i="7"/>
  <c r="D1643" i="7"/>
  <c r="D1642" i="7"/>
  <c r="D1641" i="7"/>
  <c r="D1640" i="7"/>
  <c r="D1639" i="7"/>
  <c r="D1638" i="7"/>
  <c r="D1637" i="7"/>
  <c r="D1636" i="7"/>
  <c r="D1635" i="7"/>
  <c r="D1634" i="7"/>
  <c r="D1633" i="7"/>
  <c r="D1632" i="7"/>
  <c r="D1631" i="7"/>
  <c r="D1630" i="7"/>
  <c r="D1629" i="7"/>
  <c r="D1628" i="7"/>
  <c r="D1627" i="7"/>
  <c r="D1626" i="7"/>
  <c r="D1625" i="7"/>
  <c r="D1624" i="7"/>
  <c r="D1623" i="7"/>
  <c r="D1622" i="7"/>
  <c r="D1621" i="7"/>
  <c r="D1620" i="7"/>
  <c r="D1619" i="7"/>
  <c r="D1618" i="7"/>
  <c r="D1617" i="7"/>
  <c r="D1616" i="7"/>
  <c r="D1615" i="7"/>
  <c r="D1614" i="7"/>
  <c r="D1613" i="7"/>
  <c r="D1612" i="7"/>
  <c r="D1611" i="7"/>
  <c r="D1610" i="7"/>
  <c r="D1609" i="7"/>
  <c r="D1608" i="7"/>
  <c r="D1607" i="7"/>
  <c r="D1606" i="7"/>
  <c r="D1605" i="7"/>
  <c r="D1604" i="7"/>
  <c r="D1603" i="7"/>
  <c r="D1602" i="7"/>
  <c r="D1601" i="7"/>
  <c r="D1600" i="7"/>
  <c r="D1599" i="7"/>
  <c r="D1598" i="7"/>
  <c r="D1597" i="7"/>
  <c r="D1596" i="7"/>
  <c r="D1595" i="7"/>
  <c r="D1594" i="7"/>
  <c r="D1593" i="7"/>
  <c r="D1592" i="7"/>
  <c r="D1591" i="7"/>
  <c r="D1590" i="7"/>
  <c r="D1589" i="7"/>
  <c r="D1588" i="7"/>
  <c r="D1587" i="7"/>
  <c r="D1586" i="7"/>
  <c r="D1585" i="7"/>
  <c r="D1584" i="7"/>
  <c r="D1583" i="7"/>
  <c r="D1582" i="7"/>
  <c r="D1581" i="7"/>
  <c r="D1580" i="7"/>
  <c r="D1579" i="7"/>
  <c r="D1578" i="7"/>
  <c r="D1577" i="7"/>
  <c r="D1576" i="7"/>
  <c r="D1575" i="7"/>
  <c r="D1574" i="7"/>
  <c r="D1573" i="7"/>
  <c r="D1572" i="7"/>
  <c r="D1571" i="7"/>
  <c r="D1570" i="7"/>
  <c r="D1569" i="7"/>
  <c r="D1568" i="7"/>
  <c r="D1567" i="7"/>
  <c r="D1566" i="7"/>
  <c r="D1565" i="7"/>
  <c r="D1564" i="7"/>
  <c r="D1563" i="7"/>
  <c r="D1562" i="7"/>
  <c r="D1561" i="7"/>
  <c r="D1560" i="7"/>
  <c r="D1559" i="7"/>
  <c r="D1558" i="7"/>
  <c r="D1557" i="7"/>
  <c r="D1556" i="7"/>
  <c r="D1555" i="7"/>
  <c r="D1554" i="7"/>
  <c r="D1553" i="7"/>
  <c r="D1552" i="7"/>
  <c r="D1551" i="7"/>
  <c r="D1550" i="7"/>
  <c r="D1549" i="7"/>
  <c r="D1548" i="7"/>
  <c r="D1547" i="7"/>
  <c r="D1546" i="7"/>
  <c r="D1545" i="7"/>
  <c r="D1544" i="7"/>
  <c r="D1543" i="7"/>
  <c r="D1542" i="7"/>
  <c r="D1541" i="7"/>
  <c r="D1540" i="7"/>
  <c r="D1539" i="7"/>
  <c r="D1538" i="7"/>
  <c r="D1537" i="7"/>
  <c r="D1536" i="7"/>
  <c r="D1535" i="7"/>
  <c r="D1534" i="7"/>
  <c r="D1533" i="7"/>
  <c r="D1532" i="7"/>
  <c r="D1531" i="7"/>
  <c r="D1530" i="7"/>
  <c r="D1529" i="7"/>
  <c r="D1528" i="7"/>
  <c r="D1527" i="7"/>
  <c r="D1526" i="7"/>
  <c r="D1525" i="7"/>
  <c r="D1524" i="7"/>
  <c r="D1523" i="7"/>
  <c r="D1522" i="7"/>
  <c r="D1521" i="7"/>
  <c r="D1520" i="7"/>
  <c r="D1519" i="7"/>
  <c r="D1518" i="7"/>
  <c r="D1517" i="7"/>
  <c r="D1516" i="7"/>
  <c r="D1515" i="7"/>
  <c r="D1514" i="7"/>
  <c r="D1513" i="7"/>
  <c r="D1512" i="7"/>
  <c r="D1511" i="7"/>
  <c r="D1510" i="7"/>
  <c r="D1509" i="7"/>
  <c r="D1508" i="7"/>
  <c r="D1507" i="7"/>
  <c r="D1506" i="7"/>
  <c r="D1505" i="7"/>
  <c r="D1504" i="7"/>
  <c r="D1503" i="7"/>
  <c r="D1502" i="7"/>
  <c r="D1501" i="7"/>
  <c r="D1500" i="7"/>
  <c r="D1499" i="7"/>
  <c r="D1498" i="7"/>
  <c r="D1497" i="7"/>
  <c r="D1496" i="7"/>
  <c r="D1495" i="7"/>
  <c r="D1494" i="7"/>
  <c r="D1493" i="7"/>
  <c r="D1492" i="7"/>
  <c r="D1491" i="7"/>
  <c r="D1490" i="7"/>
  <c r="D1489" i="7"/>
  <c r="D1488" i="7"/>
  <c r="D1487" i="7"/>
  <c r="D1486" i="7"/>
  <c r="D1485" i="7"/>
  <c r="D1484" i="7"/>
  <c r="D1483" i="7"/>
  <c r="D1482" i="7"/>
  <c r="D1481" i="7"/>
  <c r="D1480" i="7"/>
  <c r="D1479" i="7"/>
  <c r="D1478" i="7"/>
  <c r="D1477" i="7"/>
  <c r="D1476" i="7"/>
  <c r="D1475" i="7"/>
  <c r="D1474" i="7"/>
  <c r="D1473" i="7"/>
  <c r="D1472" i="7"/>
  <c r="D1471" i="7"/>
  <c r="D1470" i="7"/>
  <c r="D1469" i="7"/>
  <c r="D1468" i="7"/>
  <c r="D1467" i="7"/>
  <c r="D1466" i="7"/>
  <c r="D1465" i="7"/>
  <c r="D1464" i="7"/>
  <c r="D1463" i="7"/>
  <c r="D1462" i="7"/>
  <c r="D1461" i="7"/>
  <c r="D1460" i="7"/>
  <c r="D1459" i="7"/>
  <c r="D1458" i="7"/>
  <c r="D1457" i="7"/>
  <c r="D1456" i="7"/>
  <c r="D1455" i="7"/>
  <c r="D1454" i="7"/>
  <c r="D1453" i="7"/>
  <c r="D1452" i="7"/>
  <c r="D1451" i="7"/>
  <c r="D1450" i="7"/>
  <c r="D1449" i="7"/>
  <c r="D1448" i="7"/>
  <c r="D1447" i="7"/>
  <c r="D1446" i="7"/>
  <c r="D1445" i="7"/>
  <c r="D1444" i="7"/>
  <c r="D1443" i="7"/>
  <c r="D1442" i="7"/>
  <c r="D1441" i="7"/>
  <c r="D1440" i="7"/>
  <c r="D1439" i="7"/>
  <c r="D1438" i="7"/>
  <c r="D1437" i="7"/>
  <c r="D1436" i="7"/>
  <c r="D1435" i="7"/>
  <c r="D1434" i="7"/>
  <c r="D1433" i="7"/>
  <c r="D1432" i="7"/>
  <c r="D1431" i="7"/>
  <c r="D1430" i="7"/>
  <c r="D1429" i="7"/>
  <c r="D1428" i="7"/>
  <c r="D1427" i="7"/>
  <c r="D1426" i="7"/>
  <c r="D1425" i="7"/>
  <c r="D1424" i="7"/>
  <c r="D1423" i="7"/>
  <c r="D1422" i="7"/>
  <c r="D1421" i="7"/>
  <c r="D1420" i="7"/>
  <c r="D1419" i="7"/>
  <c r="D1418" i="7"/>
  <c r="D1417" i="7"/>
  <c r="D1416" i="7"/>
  <c r="D1415" i="7"/>
  <c r="D1414" i="7"/>
  <c r="D1413" i="7"/>
  <c r="D1412" i="7"/>
  <c r="D1411" i="7"/>
  <c r="D1410" i="7"/>
  <c r="D1409" i="7"/>
  <c r="D1408" i="7"/>
  <c r="D1407" i="7"/>
  <c r="D1406" i="7"/>
  <c r="D1405" i="7"/>
  <c r="D1404" i="7"/>
  <c r="D1403" i="7"/>
  <c r="D1402" i="7"/>
  <c r="D1401" i="7"/>
  <c r="D1400" i="7"/>
  <c r="D1399" i="7"/>
  <c r="D1398" i="7"/>
  <c r="D1397" i="7"/>
  <c r="D1396" i="7"/>
  <c r="D1395" i="7"/>
  <c r="D1394" i="7"/>
  <c r="D1393" i="7"/>
  <c r="D1392" i="7"/>
  <c r="D1391" i="7"/>
  <c r="D1390" i="7"/>
  <c r="D1389" i="7"/>
  <c r="D1388" i="7"/>
  <c r="D1387" i="7"/>
  <c r="D1386" i="7"/>
  <c r="D1385" i="7"/>
  <c r="D1384" i="7"/>
  <c r="D1383" i="7"/>
  <c r="D1382" i="7"/>
  <c r="D1381" i="7"/>
  <c r="D1380" i="7"/>
  <c r="D1379" i="7"/>
  <c r="D1378" i="7"/>
  <c r="D1377" i="7"/>
  <c r="D1376" i="7"/>
  <c r="D1375" i="7"/>
  <c r="D1374" i="7"/>
  <c r="D1373" i="7"/>
  <c r="D1372" i="7"/>
  <c r="D1371" i="7"/>
  <c r="D1370" i="7"/>
  <c r="D1369" i="7"/>
  <c r="D1368" i="7"/>
  <c r="D1367" i="7"/>
  <c r="D1366" i="7"/>
  <c r="D1365" i="7"/>
  <c r="D1364" i="7"/>
  <c r="D1363" i="7"/>
  <c r="D1362" i="7"/>
  <c r="D1361" i="7"/>
  <c r="D1360" i="7"/>
  <c r="D1359" i="7"/>
  <c r="D1358" i="7"/>
  <c r="D1357" i="7"/>
  <c r="D1356" i="7"/>
  <c r="D1355" i="7"/>
  <c r="D1354" i="7"/>
  <c r="D1353" i="7"/>
  <c r="D1352" i="7"/>
  <c r="D1351" i="7"/>
  <c r="D1350" i="7"/>
  <c r="D1349" i="7"/>
  <c r="D1348" i="7"/>
  <c r="D1347" i="7"/>
  <c r="D1346" i="7"/>
  <c r="D1345" i="7"/>
  <c r="D1344" i="7"/>
  <c r="D1343" i="7"/>
  <c r="D1342" i="7"/>
  <c r="D1341" i="7"/>
  <c r="D1340" i="7"/>
  <c r="D1339" i="7"/>
  <c r="D1338" i="7"/>
  <c r="D1337" i="7"/>
  <c r="D1336" i="7"/>
  <c r="D1335" i="7"/>
  <c r="D1334" i="7"/>
  <c r="D1333" i="7"/>
  <c r="D1332" i="7"/>
  <c r="D1331" i="7"/>
  <c r="D1330" i="7"/>
  <c r="D1329" i="7"/>
  <c r="D1328" i="7"/>
  <c r="D1327" i="7"/>
  <c r="D1326" i="7"/>
  <c r="D1325" i="7"/>
  <c r="D1324" i="7"/>
  <c r="D1323" i="7"/>
  <c r="D1322" i="7"/>
  <c r="D1321" i="7"/>
  <c r="D1320" i="7"/>
  <c r="D1319" i="7"/>
  <c r="D1318" i="7"/>
  <c r="D1317" i="7"/>
  <c r="D1316" i="7"/>
  <c r="D1315" i="7"/>
  <c r="D1314" i="7"/>
  <c r="D1313" i="7"/>
  <c r="D1312" i="7"/>
  <c r="D1311" i="7"/>
  <c r="D1310" i="7"/>
  <c r="D1309" i="7"/>
  <c r="D1308" i="7"/>
  <c r="D1307" i="7"/>
  <c r="D1306" i="7"/>
  <c r="D1305" i="7"/>
  <c r="D1304" i="7"/>
  <c r="D1303" i="7"/>
  <c r="D1302" i="7"/>
  <c r="D1301" i="7"/>
  <c r="D1300" i="7"/>
  <c r="D1299" i="7"/>
  <c r="D1298" i="7"/>
  <c r="D1297" i="7"/>
  <c r="D1296" i="7"/>
  <c r="D1295" i="7"/>
  <c r="D1294" i="7"/>
  <c r="D1293" i="7"/>
  <c r="D1292" i="7"/>
  <c r="D1291" i="7"/>
  <c r="D1290" i="7"/>
  <c r="D1289" i="7"/>
  <c r="D1288" i="7"/>
  <c r="D1287" i="7"/>
  <c r="D1286" i="7"/>
  <c r="D1285" i="7"/>
  <c r="D1284" i="7"/>
  <c r="D1283" i="7"/>
  <c r="D1282" i="7"/>
  <c r="D1281" i="7"/>
  <c r="D1280" i="7"/>
  <c r="D1279" i="7"/>
  <c r="D1278" i="7"/>
  <c r="D1277" i="7"/>
  <c r="D1276" i="7"/>
  <c r="D1275" i="7"/>
  <c r="D1274" i="7"/>
  <c r="D1273" i="7"/>
  <c r="D1272" i="7"/>
  <c r="D1271" i="7"/>
  <c r="D1270" i="7"/>
  <c r="D1269" i="7"/>
  <c r="D1268" i="7"/>
  <c r="D1267" i="7"/>
  <c r="D1266" i="7"/>
  <c r="D1265" i="7"/>
  <c r="D1264" i="7"/>
  <c r="D1263" i="7"/>
  <c r="D1262" i="7"/>
  <c r="D1261" i="7"/>
  <c r="D1260" i="7"/>
  <c r="D1259" i="7"/>
  <c r="D1258" i="7"/>
  <c r="D1257" i="7"/>
  <c r="D1256" i="7"/>
  <c r="D1255" i="7"/>
  <c r="D1254" i="7"/>
  <c r="D1253" i="7"/>
  <c r="D1252" i="7"/>
  <c r="D1251" i="7"/>
  <c r="D1250" i="7"/>
  <c r="D1249" i="7"/>
  <c r="D1248" i="7"/>
  <c r="D1247" i="7"/>
  <c r="D1246" i="7"/>
  <c r="D1245" i="7"/>
  <c r="D1244" i="7"/>
  <c r="D1243" i="7"/>
  <c r="D1242" i="7"/>
  <c r="D1241" i="7"/>
  <c r="D1240" i="7"/>
  <c r="D1239" i="7"/>
  <c r="D1238" i="7"/>
  <c r="D1237" i="7"/>
  <c r="D1236" i="7"/>
  <c r="D1235" i="7"/>
  <c r="D1234" i="7"/>
  <c r="D1233" i="7"/>
  <c r="D1232" i="7"/>
  <c r="D1231" i="7"/>
  <c r="D1230" i="7"/>
  <c r="D1229" i="7"/>
  <c r="D1228" i="7"/>
  <c r="D1227" i="7"/>
  <c r="D1226" i="7"/>
  <c r="D1225" i="7"/>
  <c r="D1224" i="7"/>
  <c r="D1223" i="7"/>
  <c r="D1222" i="7"/>
  <c r="D1221" i="7"/>
  <c r="D1220" i="7"/>
  <c r="D1219" i="7"/>
  <c r="D1218" i="7"/>
  <c r="D1217" i="7"/>
  <c r="D1216" i="7"/>
  <c r="D1215" i="7"/>
  <c r="D1214" i="7"/>
  <c r="D1213" i="7"/>
  <c r="D1212" i="7"/>
  <c r="D1211" i="7"/>
  <c r="D1210" i="7"/>
  <c r="D1209" i="7"/>
  <c r="D1208" i="7"/>
  <c r="D1207" i="7"/>
  <c r="D1206" i="7"/>
  <c r="D1205" i="7"/>
  <c r="D1204" i="7"/>
  <c r="D1203" i="7"/>
  <c r="D1202" i="7"/>
  <c r="D1201" i="7"/>
  <c r="D1200" i="7"/>
  <c r="D1199" i="7"/>
  <c r="D1198" i="7"/>
  <c r="D1197" i="7"/>
  <c r="D1196" i="7"/>
  <c r="D1195" i="7"/>
  <c r="D1194" i="7"/>
  <c r="D1193" i="7"/>
  <c r="D1192" i="7"/>
  <c r="D1191" i="7"/>
  <c r="D1190" i="7"/>
  <c r="D1189" i="7"/>
  <c r="D1188" i="7"/>
  <c r="D1187" i="7"/>
  <c r="D1186" i="7"/>
  <c r="D1185" i="7"/>
  <c r="D1184" i="7"/>
  <c r="D1183" i="7"/>
  <c r="D1182" i="7"/>
  <c r="D1181" i="7"/>
  <c r="D1180" i="7"/>
  <c r="D1179" i="7"/>
  <c r="D1178" i="7"/>
  <c r="D1177" i="7"/>
  <c r="D1176" i="7"/>
  <c r="D1175" i="7"/>
  <c r="D1174" i="7"/>
  <c r="D1173" i="7"/>
  <c r="D1172" i="7"/>
  <c r="D1171" i="7"/>
  <c r="D1170" i="7"/>
  <c r="D1169" i="7"/>
  <c r="D1168" i="7"/>
  <c r="D1167" i="7"/>
  <c r="D1166" i="7"/>
  <c r="D1165" i="7"/>
  <c r="D1164" i="7"/>
  <c r="D1163" i="7"/>
  <c r="D1162" i="7"/>
  <c r="D1161" i="7"/>
  <c r="D1160" i="7"/>
  <c r="D1159" i="7"/>
  <c r="D1158" i="7"/>
  <c r="D1157" i="7"/>
  <c r="D1156" i="7"/>
  <c r="D1155" i="7"/>
  <c r="D1154" i="7"/>
  <c r="D1153" i="7"/>
  <c r="D1152" i="7"/>
  <c r="D1151" i="7"/>
  <c r="D1150" i="7"/>
  <c r="D1149" i="7"/>
  <c r="D1148" i="7"/>
  <c r="D1147" i="7"/>
  <c r="D1146" i="7"/>
  <c r="D1145" i="7"/>
  <c r="D1144" i="7"/>
  <c r="D1143" i="7"/>
  <c r="D1142" i="7"/>
  <c r="D1141" i="7"/>
  <c r="D1140" i="7"/>
  <c r="D1139" i="7"/>
  <c r="D1138" i="7"/>
  <c r="D1137" i="7"/>
  <c r="D1136" i="7"/>
  <c r="D1135" i="7"/>
  <c r="D1134" i="7"/>
  <c r="D1133" i="7"/>
  <c r="D1132" i="7"/>
  <c r="D1131" i="7"/>
  <c r="D1130" i="7"/>
  <c r="D1129" i="7"/>
  <c r="D1128" i="7"/>
  <c r="D1127" i="7"/>
  <c r="D1126" i="7"/>
  <c r="D1125" i="7"/>
  <c r="D1124" i="7"/>
  <c r="D1123" i="7"/>
  <c r="D1122" i="7"/>
  <c r="D1121" i="7"/>
  <c r="D1120" i="7"/>
  <c r="D1119" i="7"/>
  <c r="D1118" i="7"/>
  <c r="D1117" i="7"/>
  <c r="D1116" i="7"/>
  <c r="D1115" i="7"/>
  <c r="D1114" i="7"/>
  <c r="D1113" i="7"/>
  <c r="D1112" i="7"/>
  <c r="D1111" i="7"/>
  <c r="D1110" i="7"/>
  <c r="D1109" i="7"/>
  <c r="D1108" i="7"/>
  <c r="D1107" i="7"/>
  <c r="D1106" i="7"/>
  <c r="D1105" i="7"/>
  <c r="D1104" i="7"/>
  <c r="D1103" i="7"/>
  <c r="D1102" i="7"/>
  <c r="D1101" i="7"/>
  <c r="D1100" i="7"/>
  <c r="D1099" i="7"/>
  <c r="D1098" i="7"/>
  <c r="D1097" i="7"/>
  <c r="D1096" i="7"/>
  <c r="D1095" i="7"/>
  <c r="D1094" i="7"/>
  <c r="D1093" i="7"/>
  <c r="D1092" i="7"/>
  <c r="D1091" i="7"/>
  <c r="D1090" i="7"/>
  <c r="D1089" i="7"/>
  <c r="D1088" i="7"/>
  <c r="D1087" i="7"/>
  <c r="D1086" i="7"/>
  <c r="D1085" i="7"/>
  <c r="D1084" i="7"/>
  <c r="D1083" i="7"/>
  <c r="D1082" i="7"/>
  <c r="D1081" i="7"/>
  <c r="D1080" i="7"/>
  <c r="D1079" i="7"/>
  <c r="D1078" i="7"/>
  <c r="D1077" i="7"/>
  <c r="D1076" i="7"/>
  <c r="D1075" i="7"/>
  <c r="D1074" i="7"/>
  <c r="D1073" i="7"/>
  <c r="D1072" i="7"/>
  <c r="D1071" i="7"/>
  <c r="D1070" i="7"/>
  <c r="D1069" i="7"/>
  <c r="D1068" i="7"/>
  <c r="D1067" i="7"/>
  <c r="D1066" i="7"/>
  <c r="D1065" i="7"/>
  <c r="D1064" i="7"/>
  <c r="D1063" i="7"/>
  <c r="D1062" i="7"/>
  <c r="D1061" i="7"/>
  <c r="D1060" i="7"/>
  <c r="D1059" i="7"/>
  <c r="D1058" i="7"/>
  <c r="D1057" i="7"/>
  <c r="D1056" i="7"/>
  <c r="D1055" i="7"/>
  <c r="D1054" i="7"/>
  <c r="D1053" i="7"/>
  <c r="D1052" i="7"/>
  <c r="D1051" i="7"/>
  <c r="D1050" i="7"/>
  <c r="D1049" i="7"/>
  <c r="D1048" i="7"/>
  <c r="D1047" i="7"/>
  <c r="D1046" i="7"/>
  <c r="D1045" i="7"/>
  <c r="D1044" i="7"/>
  <c r="D1043" i="7"/>
  <c r="D1042" i="7"/>
  <c r="D1041" i="7"/>
  <c r="D1040" i="7"/>
  <c r="D1039" i="7"/>
  <c r="D1038" i="7"/>
  <c r="D1037" i="7"/>
  <c r="D1036" i="7"/>
  <c r="D1035" i="7"/>
  <c r="D1034" i="7"/>
  <c r="D1033" i="7"/>
  <c r="D1032" i="7"/>
  <c r="D1031" i="7"/>
  <c r="D1030" i="7"/>
  <c r="D1029" i="7"/>
  <c r="D1028" i="7"/>
  <c r="D1027" i="7"/>
  <c r="D1026" i="7"/>
  <c r="D1025" i="7"/>
  <c r="D1024" i="7"/>
  <c r="D1023" i="7"/>
  <c r="D1022" i="7"/>
  <c r="D1021" i="7"/>
  <c r="D1020" i="7"/>
  <c r="D1019" i="7"/>
  <c r="D1018" i="7"/>
  <c r="D1017" i="7"/>
  <c r="D1016" i="7"/>
  <c r="D1015" i="7"/>
  <c r="D1014" i="7"/>
  <c r="D1013" i="7"/>
  <c r="D1012" i="7"/>
  <c r="D1011" i="7"/>
  <c r="D1010" i="7"/>
  <c r="D1009" i="7"/>
  <c r="D1008" i="7"/>
  <c r="D1007" i="7"/>
  <c r="D1006" i="7"/>
  <c r="D1005" i="7"/>
  <c r="D1004" i="7"/>
  <c r="D1003" i="7"/>
  <c r="D1002" i="7"/>
  <c r="D1001" i="7"/>
  <c r="D1000" i="7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</calcChain>
</file>

<file path=xl/sharedStrings.xml><?xml version="1.0" encoding="utf-8"?>
<sst xmlns="http://schemas.openxmlformats.org/spreadsheetml/2006/main" count="7214" uniqueCount="1929">
  <si>
    <t>STT</t>
  </si>
  <si>
    <t>Họ và tên</t>
  </si>
  <si>
    <t>Số tờ BĐĐC</t>
  </si>
  <si>
    <t>Số thửa</t>
  </si>
  <si>
    <t>Loại đất</t>
  </si>
  <si>
    <t>Cao Đăng Duy</t>
  </si>
  <si>
    <t>CLN</t>
  </si>
  <si>
    <t>DGT</t>
  </si>
  <si>
    <t>Hồ Văn A</t>
  </si>
  <si>
    <t>ONT+CLN</t>
  </si>
  <si>
    <t>Hồ Thị Xa Lâng</t>
  </si>
  <si>
    <t>LUK</t>
  </si>
  <si>
    <t>Người thực hiện</t>
  </si>
  <si>
    <t>Giám đốc</t>
  </si>
  <si>
    <t>Cán bộ địa chính</t>
  </si>
  <si>
    <t>Chủ tịch</t>
  </si>
  <si>
    <t>Nguyễn Thị Lưu</t>
  </si>
  <si>
    <t>Hồ Văn Vun</t>
  </si>
  <si>
    <t>LUC</t>
  </si>
  <si>
    <t>Hồ Văn Chưn</t>
  </si>
  <si>
    <t>Hồ Văn Nội</t>
  </si>
  <si>
    <t>Hồ Thị Bun</t>
  </si>
  <si>
    <t>Hồ Pả Vưn</t>
  </si>
  <si>
    <t>Hồ Văn Thu</t>
  </si>
  <si>
    <t>Hồ Văn Phàm (Pả Ây)</t>
  </si>
  <si>
    <t>NHK</t>
  </si>
  <si>
    <t>Hồ Văn Phàm</t>
  </si>
  <si>
    <t>Hồ Văn Kiên (Pả Lành)</t>
  </si>
  <si>
    <t>Hồ Văn Hiền</t>
  </si>
  <si>
    <t>Hồ Thị Tựa</t>
  </si>
  <si>
    <t>Hồ Thị Thắm</t>
  </si>
  <si>
    <t>Hồ Văn Tiềm</t>
  </si>
  <si>
    <t>Pả La Hơi</t>
  </si>
  <si>
    <t>Hồ Văn Dá</t>
  </si>
  <si>
    <t>DCS</t>
  </si>
  <si>
    <t>Hồ Văn Cời</t>
  </si>
  <si>
    <t>UBND xã</t>
  </si>
  <si>
    <t>SON</t>
  </si>
  <si>
    <t>Diện tích hiện trạng thửa đất
 (m2)</t>
  </si>
  <si>
    <t>Số giấy CN</t>
  </si>
  <si>
    <t>Diện tích thu hồi (m2)</t>
  </si>
  <si>
    <t>Diện tích còn lại
(m2)</t>
  </si>
  <si>
    <t>Ký xác nhận đo đạc đúng hiện trạng của chủ quản lý, sử dụng đất thửa đất (m2)</t>
  </si>
  <si>
    <t>Tổng</t>
  </si>
  <si>
    <t>Trong GCN</t>
  </si>
  <si>
    <t>Ngoài GCN</t>
  </si>
  <si>
    <t xml:space="preserve">                                                                               </t>
  </si>
  <si>
    <t>Ngày     tháng     năm 2023</t>
  </si>
  <si>
    <t>Ngày     tháng    năm 2023</t>
  </si>
  <si>
    <t xml:space="preserve">                                                     </t>
  </si>
  <si>
    <t>Đơn vị thực hiện
CHI NHÁNH VĂN PHÒNG ĐĂNG KÝ ĐẤT ĐAI HUYỆN HƯỚNG HÓA</t>
  </si>
  <si>
    <t>UBND xã Hướng Tân</t>
  </si>
  <si>
    <t>Trần Trường Sinh</t>
  </si>
  <si>
    <t>Nguyễn Chí Hiếu</t>
  </si>
  <si>
    <t>soHieuToBanDo</t>
  </si>
  <si>
    <t>soHieuGiayChungNhan</t>
  </si>
  <si>
    <t>Số thửa229</t>
  </si>
  <si>
    <t>BĐ015755</t>
  </si>
  <si>
    <t>Số thửa3</t>
  </si>
  <si>
    <t>Số thửa4</t>
  </si>
  <si>
    <t>Số thửa7</t>
  </si>
  <si>
    <t>Số thửa13</t>
  </si>
  <si>
    <t>Số thửa29</t>
  </si>
  <si>
    <t>Số thửa56</t>
  </si>
  <si>
    <t>Số thửa60</t>
  </si>
  <si>
    <t>Số thửa61</t>
  </si>
  <si>
    <t>Số thửa62</t>
  </si>
  <si>
    <t>Số thửa64</t>
  </si>
  <si>
    <t>Số thửa72</t>
  </si>
  <si>
    <t>Số thửa77</t>
  </si>
  <si>
    <t>Số thửa82</t>
  </si>
  <si>
    <t>Số thửa99</t>
  </si>
  <si>
    <t>Số thửa131</t>
  </si>
  <si>
    <t>Số thửa168</t>
  </si>
  <si>
    <t>Số thửa183</t>
  </si>
  <si>
    <t>Số thửa4004</t>
  </si>
  <si>
    <t>Số thửa4005</t>
  </si>
  <si>
    <t>Số thửa4006</t>
  </si>
  <si>
    <t>Số thửa4007</t>
  </si>
  <si>
    <t>Số thửa4008</t>
  </si>
  <si>
    <t>Số thửa4009</t>
  </si>
  <si>
    <t>Số thửa214</t>
  </si>
  <si>
    <t>Số thửa215</t>
  </si>
  <si>
    <t>Số thửa217</t>
  </si>
  <si>
    <t>Số thửa218</t>
  </si>
  <si>
    <t>Số thửa219</t>
  </si>
  <si>
    <t>Số thửa220</t>
  </si>
  <si>
    <t>Số thửa221</t>
  </si>
  <si>
    <t>Số thửa222</t>
  </si>
  <si>
    <t>Số thửa223</t>
  </si>
  <si>
    <t>Số thửa225</t>
  </si>
  <si>
    <t>Số thửa236</t>
  </si>
  <si>
    <t>Số thửa238</t>
  </si>
  <si>
    <t>Số thửa239</t>
  </si>
  <si>
    <t>Số thửa240</t>
  </si>
  <si>
    <t>Số thửa241</t>
  </si>
  <si>
    <t>Số thửa242</t>
  </si>
  <si>
    <t>Số thửa243</t>
  </si>
  <si>
    <t>Số thửa919</t>
  </si>
  <si>
    <t>Y 637947</t>
  </si>
  <si>
    <t>Số thửa112</t>
  </si>
  <si>
    <t>BI 824857</t>
  </si>
  <si>
    <t>Số thửa43</t>
  </si>
  <si>
    <t>BG287161</t>
  </si>
  <si>
    <t>Số thửa81</t>
  </si>
  <si>
    <t>BG287160</t>
  </si>
  <si>
    <t>Số thửa116</t>
  </si>
  <si>
    <t>Số thửa118</t>
  </si>
  <si>
    <t>Số thửa119</t>
  </si>
  <si>
    <t>Số thửa139</t>
  </si>
  <si>
    <t>Số thửa1</t>
  </si>
  <si>
    <t>BG287011</t>
  </si>
  <si>
    <t>Số thửa185</t>
  </si>
  <si>
    <t>BĐ528911</t>
  </si>
  <si>
    <t>Số thửa337</t>
  </si>
  <si>
    <t>Số thửa803</t>
  </si>
  <si>
    <t>Số thửa808</t>
  </si>
  <si>
    <t>BĐ528910</t>
  </si>
  <si>
    <t>Số thửa809</t>
  </si>
  <si>
    <t>Số thửa868</t>
  </si>
  <si>
    <t>Số thửa891</t>
  </si>
  <si>
    <t>Số thửa105</t>
  </si>
  <si>
    <t>BĐ528815</t>
  </si>
  <si>
    <t>Số thửa582</t>
  </si>
  <si>
    <t>BĐ528991</t>
  </si>
  <si>
    <t>Số thửa559</t>
  </si>
  <si>
    <t>BĐ528780</t>
  </si>
  <si>
    <t>Số thửa15</t>
  </si>
  <si>
    <t>BĐ528831</t>
  </si>
  <si>
    <t>BĐ528830</t>
  </si>
  <si>
    <t>BG287180</t>
  </si>
  <si>
    <t>BĐ528810</t>
  </si>
  <si>
    <t>Số thửa8</t>
  </si>
  <si>
    <t>Số thửa283</t>
  </si>
  <si>
    <t>Số thửa11</t>
  </si>
  <si>
    <t>Số thửa132</t>
  </si>
  <si>
    <t>BĐ528809</t>
  </si>
  <si>
    <t>Số thửa305</t>
  </si>
  <si>
    <t>BĐ528943</t>
  </si>
  <si>
    <t>Số thửa306</t>
  </si>
  <si>
    <t>Số thửa307</t>
  </si>
  <si>
    <t>Số thửa329</t>
  </si>
  <si>
    <t>Số thửa330</t>
  </si>
  <si>
    <t>Số thửa331</t>
  </si>
  <si>
    <t>Số thửa332</t>
  </si>
  <si>
    <t>Số thửa353</t>
  </si>
  <si>
    <t>Số thửa354</t>
  </si>
  <si>
    <t>Số thửa376</t>
  </si>
  <si>
    <t>Số thửa395</t>
  </si>
  <si>
    <t>BĐ528944</t>
  </si>
  <si>
    <t>Số thửa464</t>
  </si>
  <si>
    <t>Số thửa722</t>
  </si>
  <si>
    <t>Số thửa748</t>
  </si>
  <si>
    <t>Số thửa757</t>
  </si>
  <si>
    <t>BĐ528942</t>
  </si>
  <si>
    <t>Số thửa829</t>
  </si>
  <si>
    <t>Số thửa855</t>
  </si>
  <si>
    <t>BĐ528945</t>
  </si>
  <si>
    <t>Số thửa862</t>
  </si>
  <si>
    <t>Số thửa864</t>
  </si>
  <si>
    <t>Số thửa865</t>
  </si>
  <si>
    <t>Số thửa51</t>
  </si>
  <si>
    <t>AO842491</t>
  </si>
  <si>
    <t>Số thửa52</t>
  </si>
  <si>
    <t>AO842490</t>
  </si>
  <si>
    <t>Số thửa46</t>
  </si>
  <si>
    <t>AO842494</t>
  </si>
  <si>
    <t>Số thửa750</t>
  </si>
  <si>
    <t>BĐ6360004</t>
  </si>
  <si>
    <t>Số thửa66</t>
  </si>
  <si>
    <t>BĐ636026</t>
  </si>
  <si>
    <t>Số thửa182</t>
  </si>
  <si>
    <t>BĐ636023</t>
  </si>
  <si>
    <t>Số thửa204</t>
  </si>
  <si>
    <t>Số thửa205</t>
  </si>
  <si>
    <t>Số thửa207</t>
  </si>
  <si>
    <t>Số thửa259</t>
  </si>
  <si>
    <t>Số thửa260</t>
  </si>
  <si>
    <t>Số thửa292</t>
  </si>
  <si>
    <t>BĐ636022</t>
  </si>
  <si>
    <t>Số thửa344</t>
  </si>
  <si>
    <t>Số thửa370</t>
  </si>
  <si>
    <t>Số thửa371</t>
  </si>
  <si>
    <t>Số thửa372</t>
  </si>
  <si>
    <t>Số thửa388</t>
  </si>
  <si>
    <t>BĐ636024</t>
  </si>
  <si>
    <t>Số thửa427</t>
  </si>
  <si>
    <t>BĐ636025</t>
  </si>
  <si>
    <t>Số thửa573</t>
  </si>
  <si>
    <t>Số thửa785</t>
  </si>
  <si>
    <t>Số thửa113</t>
  </si>
  <si>
    <t>AO842477</t>
  </si>
  <si>
    <t>Số thửa127</t>
  </si>
  <si>
    <t>AO842478</t>
  </si>
  <si>
    <t>Số thửa100</t>
  </si>
  <si>
    <t>AO842455</t>
  </si>
  <si>
    <t>Số thửa50</t>
  </si>
  <si>
    <t>AO842492</t>
  </si>
  <si>
    <t>Số thửa55</t>
  </si>
  <si>
    <t>AO842493</t>
  </si>
  <si>
    <t>Số thửa445</t>
  </si>
  <si>
    <t>BĐ528999</t>
  </si>
  <si>
    <t>Số thửa493</t>
  </si>
  <si>
    <t>Số thửa190</t>
  </si>
  <si>
    <t>BĐ529000</t>
  </si>
  <si>
    <t>Số thửa413</t>
  </si>
  <si>
    <t>Số thửa414</t>
  </si>
  <si>
    <t>Số thửa595</t>
  </si>
  <si>
    <t>BĐ528998</t>
  </si>
  <si>
    <t>Số thửa762</t>
  </si>
  <si>
    <t>BG287005</t>
  </si>
  <si>
    <t>Số thửa266</t>
  </si>
  <si>
    <t>BG287006</t>
  </si>
  <si>
    <t>Số thửa267</t>
  </si>
  <si>
    <t>Số thửa289</t>
  </si>
  <si>
    <t>Số thửa290</t>
  </si>
  <si>
    <t>Số thửa336</t>
  </si>
  <si>
    <t>Số thửa567</t>
  </si>
  <si>
    <t>Số thửa779</t>
  </si>
  <si>
    <t>BG287004</t>
  </si>
  <si>
    <t>Số thửa806</t>
  </si>
  <si>
    <t>Số thửa807</t>
  </si>
  <si>
    <t>Số thửa227</t>
  </si>
  <si>
    <t>BG287035</t>
  </si>
  <si>
    <t>Số thửa237</t>
  </si>
  <si>
    <t>Số thửa810</t>
  </si>
  <si>
    <t>BG287033</t>
  </si>
  <si>
    <t>Số thửa823</t>
  </si>
  <si>
    <t>Số thửa828</t>
  </si>
  <si>
    <t>Số thửa830</t>
  </si>
  <si>
    <t>Số thửa838</t>
  </si>
  <si>
    <t>BG287034</t>
  </si>
  <si>
    <t>Số thửa839</t>
  </si>
  <si>
    <t>Số thửa840</t>
  </si>
  <si>
    <t>Số thửa841</t>
  </si>
  <si>
    <t>Số thửa842</t>
  </si>
  <si>
    <t>Số thửa843</t>
  </si>
  <si>
    <t>Số thửa844</t>
  </si>
  <si>
    <t>Số thửa845</t>
  </si>
  <si>
    <t>Số thửa850</t>
  </si>
  <si>
    <t>Số thửa33</t>
  </si>
  <si>
    <t>Số thửa34</t>
  </si>
  <si>
    <t>Số thửa35</t>
  </si>
  <si>
    <t>Số thửa44</t>
  </si>
  <si>
    <t>Số thửa45</t>
  </si>
  <si>
    <t>Số thửa69</t>
  </si>
  <si>
    <t>Số thửa39</t>
  </si>
  <si>
    <t>BG287036</t>
  </si>
  <si>
    <t>Số thửa346</t>
  </si>
  <si>
    <t>BĐ636038</t>
  </si>
  <si>
    <t>Số thửa347</t>
  </si>
  <si>
    <t>Số thửa348</t>
  </si>
  <si>
    <t>Số thửa359</t>
  </si>
  <si>
    <t>Số thửa360</t>
  </si>
  <si>
    <t>Số thửa6</t>
  </si>
  <si>
    <t>Số thửa28</t>
  </si>
  <si>
    <t>Số thửa47</t>
  </si>
  <si>
    <t>Số thửa48</t>
  </si>
  <si>
    <t>Số thửa57</t>
  </si>
  <si>
    <t>Số thửa58</t>
  </si>
  <si>
    <t>BG287183</t>
  </si>
  <si>
    <t>Số thửa59</t>
  </si>
  <si>
    <t>BĐ636039</t>
  </si>
  <si>
    <t>Số thửa73</t>
  </si>
  <si>
    <t>Số thửa80</t>
  </si>
  <si>
    <t>Số thửa614</t>
  </si>
  <si>
    <t>BG287182</t>
  </si>
  <si>
    <t>Số thửa684</t>
  </si>
  <si>
    <t>BĐ636037</t>
  </si>
  <si>
    <t>Số thửa910</t>
  </si>
  <si>
    <t>Số thửa16</t>
  </si>
  <si>
    <t>Số thửa17</t>
  </si>
  <si>
    <t>Số thửa19</t>
  </si>
  <si>
    <t>Số thửa22</t>
  </si>
  <si>
    <t>Số thửa23</t>
  </si>
  <si>
    <t>Số thửa24</t>
  </si>
  <si>
    <t>Số thửa25</t>
  </si>
  <si>
    <t>Số thửa26</t>
  </si>
  <si>
    <t>Số thửa27</t>
  </si>
  <si>
    <t>Số thửa37</t>
  </si>
  <si>
    <t>Số thửa315</t>
  </si>
  <si>
    <t>BG287062</t>
  </si>
  <si>
    <t>Số thửa324</t>
  </si>
  <si>
    <t>Số thửa325</t>
  </si>
  <si>
    <t>Số thửa385</t>
  </si>
  <si>
    <t>Số thửa386</t>
  </si>
  <si>
    <t>Số thửa401</t>
  </si>
  <si>
    <t>Số thửa451</t>
  </si>
  <si>
    <t>Số thửa452</t>
  </si>
  <si>
    <t>Số thửa453</t>
  </si>
  <si>
    <t>Số thửa454</t>
  </si>
  <si>
    <t>Số thửa455</t>
  </si>
  <si>
    <t>Số thửa457</t>
  </si>
  <si>
    <t>Số thửa458</t>
  </si>
  <si>
    <t>Số thửa480</t>
  </si>
  <si>
    <t>Số thửa481</t>
  </si>
  <si>
    <t>Số thửa482</t>
  </si>
  <si>
    <t>Số thửa483</t>
  </si>
  <si>
    <t>BG287063</t>
  </si>
  <si>
    <t>Số thửa522</t>
  </si>
  <si>
    <t>Số thửa523</t>
  </si>
  <si>
    <t>Số thửa525</t>
  </si>
  <si>
    <t>Số thửa526</t>
  </si>
  <si>
    <t>Số thửa527</t>
  </si>
  <si>
    <t>Số thửa528</t>
  </si>
  <si>
    <t>Số thửa558</t>
  </si>
  <si>
    <t>Số thửa560</t>
  </si>
  <si>
    <t>Số thửa735</t>
  </si>
  <si>
    <t>BG287061</t>
  </si>
  <si>
    <t>Số thửa743</t>
  </si>
  <si>
    <t>BG287064</t>
  </si>
  <si>
    <t>Số thửa745</t>
  </si>
  <si>
    <t>Số thửa180</t>
  </si>
  <si>
    <t>AO842498</t>
  </si>
  <si>
    <t>Số thửa98</t>
  </si>
  <si>
    <t>AO842463</t>
  </si>
  <si>
    <t>Số thửa746</t>
  </si>
  <si>
    <t>BG287109</t>
  </si>
  <si>
    <t>Số thửa786</t>
  </si>
  <si>
    <t>BG287107</t>
  </si>
  <si>
    <t>Số thửa798</t>
  </si>
  <si>
    <t>BG287108</t>
  </si>
  <si>
    <t>BĐ636067</t>
  </si>
  <si>
    <t>Số thửa114</t>
  </si>
  <si>
    <t>BĐ636074</t>
  </si>
  <si>
    <t>Số thửa101</t>
  </si>
  <si>
    <t>Số thửa102</t>
  </si>
  <si>
    <t>Số thửa137</t>
  </si>
  <si>
    <t>Số thửa583</t>
  </si>
  <si>
    <t>Số thửa584</t>
  </si>
  <si>
    <t>Số thửa585</t>
  </si>
  <si>
    <t>Số thửa586</t>
  </si>
  <si>
    <t>Số thửa587</t>
  </si>
  <si>
    <t>Số thửa588</t>
  </si>
  <si>
    <t>Số thửa589</t>
  </si>
  <si>
    <t>Số thửa590</t>
  </si>
  <si>
    <t>Số thửa591</t>
  </si>
  <si>
    <t>BĐ636075</t>
  </si>
  <si>
    <t>Số thửa592</t>
  </si>
  <si>
    <t>Số thửa593</t>
  </si>
  <si>
    <t>Số thửa594</t>
  </si>
  <si>
    <t>Số thửa645</t>
  </si>
  <si>
    <t>BĐ636076</t>
  </si>
  <si>
    <t>Số thửa83</t>
  </si>
  <si>
    <t>Số thửa88</t>
  </si>
  <si>
    <t>BĐ528759</t>
  </si>
  <si>
    <t>Số thửa156</t>
  </si>
  <si>
    <t>BĐ528760</t>
  </si>
  <si>
    <t>Số thửa97</t>
  </si>
  <si>
    <t>AO842443</t>
  </si>
  <si>
    <t>BĐ636083</t>
  </si>
  <si>
    <t>Số thửa815</t>
  </si>
  <si>
    <t>Số thửa816</t>
  </si>
  <si>
    <t>Số thửa817</t>
  </si>
  <si>
    <t>Số thửa818</t>
  </si>
  <si>
    <t>Số thửa832</t>
  </si>
  <si>
    <t>BĐ636084</t>
  </si>
  <si>
    <t>Số thửa169</t>
  </si>
  <si>
    <t>BĐ636144</t>
  </si>
  <si>
    <t>Số thửa268</t>
  </si>
  <si>
    <t>Số thửa269</t>
  </si>
  <si>
    <t>Số thửa270</t>
  </si>
  <si>
    <t>Số thửa274</t>
  </si>
  <si>
    <t>Số thửa275</t>
  </si>
  <si>
    <t>Số thửa276</t>
  </si>
  <si>
    <t>Số thửa277</t>
  </si>
  <si>
    <t>Số thửa280</t>
  </si>
  <si>
    <t>Số thửa321</t>
  </si>
  <si>
    <t>Số thửa322</t>
  </si>
  <si>
    <t>Số thửa335</t>
  </si>
  <si>
    <t>Số thửa392</t>
  </si>
  <si>
    <t>BĐ636146</t>
  </si>
  <si>
    <t>Số thửa109</t>
  </si>
  <si>
    <t>BĐ636145</t>
  </si>
  <si>
    <t>Số thửa117</t>
  </si>
  <si>
    <t>Số thửa123</t>
  </si>
  <si>
    <t>Số thửa125</t>
  </si>
  <si>
    <t>BG287138</t>
  </si>
  <si>
    <t>Số thửa126</t>
  </si>
  <si>
    <t>Số thửa129</t>
  </si>
  <si>
    <t>Số thửa130</t>
  </si>
  <si>
    <t>Số thửa145</t>
  </si>
  <si>
    <t>Số thửa146</t>
  </si>
  <si>
    <t>Số thửa148</t>
  </si>
  <si>
    <t>BG287137</t>
  </si>
  <si>
    <t>Số thửa208</t>
  </si>
  <si>
    <t>BG287139</t>
  </si>
  <si>
    <t>Số thửa228</t>
  </si>
  <si>
    <t>Số thửa233</t>
  </si>
  <si>
    <t>Số thửa234</t>
  </si>
  <si>
    <t>Số thửa235</t>
  </si>
  <si>
    <t>Số thửa638</t>
  </si>
  <si>
    <t>BĐ528825</t>
  </si>
  <si>
    <t>Số thửa134</t>
  </si>
  <si>
    <t>BĐ528824</t>
  </si>
  <si>
    <t>Số thửa170</t>
  </si>
  <si>
    <t>BĐ528981</t>
  </si>
  <si>
    <t>Số thửa171</t>
  </si>
  <si>
    <t>Số thửa172</t>
  </si>
  <si>
    <t>Số thửa173</t>
  </si>
  <si>
    <t>Số thửa174</t>
  </si>
  <si>
    <t>Số thửa175</t>
  </si>
  <si>
    <t>Số thửa232</t>
  </si>
  <si>
    <t>Số thửa282</t>
  </si>
  <si>
    <t>Số thửa310</t>
  </si>
  <si>
    <t>Số thửa311</t>
  </si>
  <si>
    <t>Số thửa312</t>
  </si>
  <si>
    <t>Số thửa327</t>
  </si>
  <si>
    <t>Số thửa350</t>
  </si>
  <si>
    <t>BĐ528982</t>
  </si>
  <si>
    <t>BĐ528983</t>
  </si>
  <si>
    <t>Số thửa599</t>
  </si>
  <si>
    <t>Số thửa661</t>
  </si>
  <si>
    <t>BĐ528980</t>
  </si>
  <si>
    <t>Số thửa38</t>
  </si>
  <si>
    <t>BG287104</t>
  </si>
  <si>
    <t>Số thửa2</t>
  </si>
  <si>
    <t>Số thửa14</t>
  </si>
  <si>
    <t>Số thửa796</t>
  </si>
  <si>
    <t>Số thửa813</t>
  </si>
  <si>
    <t>Số thửa466</t>
  </si>
  <si>
    <t>BG287112</t>
  </si>
  <si>
    <t>Số thửa639</t>
  </si>
  <si>
    <t>Số thửa681</t>
  </si>
  <si>
    <t>BG287110</t>
  </si>
  <si>
    <t>Số thửa701</t>
  </si>
  <si>
    <t>BG287111</t>
  </si>
  <si>
    <t>Số thửa702</t>
  </si>
  <si>
    <t>Số thửa703</t>
  </si>
  <si>
    <t>Số thửa717</t>
  </si>
  <si>
    <t>Số thửa723</t>
  </si>
  <si>
    <t>Số thửa835</t>
  </si>
  <si>
    <t>Số thửa252</t>
  </si>
  <si>
    <t>BĐ636085</t>
  </si>
  <si>
    <t>Số thửa271</t>
  </si>
  <si>
    <t>Số thửa272</t>
  </si>
  <si>
    <t>Số thửa281</t>
  </si>
  <si>
    <t>Số thửa630</t>
  </si>
  <si>
    <t>BĐ636087</t>
  </si>
  <si>
    <t>Số thửa665</t>
  </si>
  <si>
    <t>Số thửa666</t>
  </si>
  <si>
    <t>Số thửa667</t>
  </si>
  <si>
    <t>Số thửa668</t>
  </si>
  <si>
    <t>Số thửa686</t>
  </si>
  <si>
    <t>Số thửa687</t>
  </si>
  <si>
    <t>Số thửa697</t>
  </si>
  <si>
    <t>Số thửa720</t>
  </si>
  <si>
    <t>BĐ636086</t>
  </si>
  <si>
    <t>Số thửa877</t>
  </si>
  <si>
    <t>Số thửa296</t>
  </si>
  <si>
    <t>BĐ636101</t>
  </si>
  <si>
    <t>Số thửa390</t>
  </si>
  <si>
    <t>Số thửa391</t>
  </si>
  <si>
    <t>Số thửa693</t>
  </si>
  <si>
    <t>BĐ636100</t>
  </si>
  <si>
    <t>Số thửa694</t>
  </si>
  <si>
    <t>Số thửa151</t>
  </si>
  <si>
    <t>Số thửa10</t>
  </si>
  <si>
    <t>Số thửa40</t>
  </si>
  <si>
    <t>BĐ528902</t>
  </si>
  <si>
    <t>Số thửa49</t>
  </si>
  <si>
    <t>Số thửa71</t>
  </si>
  <si>
    <t>Số thửa75</t>
  </si>
  <si>
    <t>Số thửa76</t>
  </si>
  <si>
    <t>BĐ528901</t>
  </si>
  <si>
    <t>BĐ528900</t>
  </si>
  <si>
    <t>Số thửa79</t>
  </si>
  <si>
    <t>BĐ528903</t>
  </si>
  <si>
    <t>Số thửa93</t>
  </si>
  <si>
    <t>Số thửa94</t>
  </si>
  <si>
    <t>Số thửa96</t>
  </si>
  <si>
    <t>Số thửa107</t>
  </si>
  <si>
    <t>Số thửa110</t>
  </si>
  <si>
    <t>Số thửa549</t>
  </si>
  <si>
    <t>Số thửa578</t>
  </si>
  <si>
    <t>BĐ528899</t>
  </si>
  <si>
    <t>Số thửa715</t>
  </si>
  <si>
    <t>Số thửa718</t>
  </si>
  <si>
    <t>Số thửa742</t>
  </si>
  <si>
    <t>Số thửa766</t>
  </si>
  <si>
    <t>Số thửa767</t>
  </si>
  <si>
    <t>Số thửa773</t>
  </si>
  <si>
    <t>Số thửa774</t>
  </si>
  <si>
    <t>Số thửa775</t>
  </si>
  <si>
    <t>BĐ636009</t>
  </si>
  <si>
    <t>Số thửa264</t>
  </si>
  <si>
    <t>Số thửa265</t>
  </si>
  <si>
    <t>Số thửa334</t>
  </si>
  <si>
    <t>Số thửa904</t>
  </si>
  <si>
    <t>BĐ636008</t>
  </si>
  <si>
    <t>Số thửa377</t>
  </si>
  <si>
    <t>Số thửa521</t>
  </si>
  <si>
    <t>BĐ636010</t>
  </si>
  <si>
    <t>Số thửa555</t>
  </si>
  <si>
    <t>Số thửa92</t>
  </si>
  <si>
    <t>AO842444</t>
  </si>
  <si>
    <t>BĐ528788</t>
  </si>
  <si>
    <t>Số thửa250</t>
  </si>
  <si>
    <t>BĐ528907</t>
  </si>
  <si>
    <t>Số thửa326</t>
  </si>
  <si>
    <t>Số thửa489</t>
  </si>
  <si>
    <t>Số thửa490</t>
  </si>
  <si>
    <t>Số thửa497</t>
  </si>
  <si>
    <t>Số thửa498</t>
  </si>
  <si>
    <t>Số thửa500</t>
  </si>
  <si>
    <t>Số thửa501</t>
  </si>
  <si>
    <t>Số thửa502</t>
  </si>
  <si>
    <t>Số thửa574</t>
  </si>
  <si>
    <t>Số thửa575</t>
  </si>
  <si>
    <t>Số thửa577</t>
  </si>
  <si>
    <t>Số thửa149</t>
  </si>
  <si>
    <t>Số thửa150</t>
  </si>
  <si>
    <t>BĐ528908</t>
  </si>
  <si>
    <t>Số thửa203</t>
  </si>
  <si>
    <t>BĐ528909</t>
  </si>
  <si>
    <t>Số thửa293</t>
  </si>
  <si>
    <t>Số thửa492</t>
  </si>
  <si>
    <t>Số thửa571</t>
  </si>
  <si>
    <t>Số thửa576</t>
  </si>
  <si>
    <t>Số thửa688</t>
  </si>
  <si>
    <t>Số thửa691</t>
  </si>
  <si>
    <t>BĐ528906</t>
  </si>
  <si>
    <t>Số thửa31</t>
  </si>
  <si>
    <t>AO842483</t>
  </si>
  <si>
    <t>Số thửa351</t>
  </si>
  <si>
    <t>BĐ528962</t>
  </si>
  <si>
    <t>Số thửa380</t>
  </si>
  <si>
    <t>BĐ528964</t>
  </si>
  <si>
    <t>Số thửa381</t>
  </si>
  <si>
    <t>Số thửa382</t>
  </si>
  <si>
    <t>Số thửa393</t>
  </si>
  <si>
    <t>Số thửa429</t>
  </si>
  <si>
    <t>Số thửa430</t>
  </si>
  <si>
    <t>Số thửa431</t>
  </si>
  <si>
    <t>Số thửa432</t>
  </si>
  <si>
    <t>Số thửa442</t>
  </si>
  <si>
    <t>Số thửa443</t>
  </si>
  <si>
    <t>Số thửa472</t>
  </si>
  <si>
    <t>Số thửa475</t>
  </si>
  <si>
    <t>Số thửa692</t>
  </si>
  <si>
    <t>BĐ528961</t>
  </si>
  <si>
    <t>Số thửa734</t>
  </si>
  <si>
    <t>Số thửa736</t>
  </si>
  <si>
    <t>BĐ528963</t>
  </si>
  <si>
    <t>Số thửa744</t>
  </si>
  <si>
    <t>Số thửa764</t>
  </si>
  <si>
    <t>Số thửa776</t>
  </si>
  <si>
    <t>AO842467</t>
  </si>
  <si>
    <t>BĐ636017</t>
  </si>
  <si>
    <t>Số thửa187</t>
  </si>
  <si>
    <t>BĐ636016</t>
  </si>
  <si>
    <t>Số thửa361</t>
  </si>
  <si>
    <t>Số thửa369</t>
  </si>
  <si>
    <t>Số thửa402</t>
  </si>
  <si>
    <t>Số thửa403</t>
  </si>
  <si>
    <t>Số thửa405</t>
  </si>
  <si>
    <t>Số thửa426</t>
  </si>
  <si>
    <t>Số thửa87</t>
  </si>
  <si>
    <t>AO842473</t>
  </si>
  <si>
    <t>AO842472</t>
  </si>
  <si>
    <t>Số thửa819</t>
  </si>
  <si>
    <t>BĐ636036</t>
  </si>
  <si>
    <t>Số thửa872</t>
  </si>
  <si>
    <t>Số thửa873</t>
  </si>
  <si>
    <t>BĐ636035</t>
  </si>
  <si>
    <t>Số thửa30</t>
  </si>
  <si>
    <t>BG287065</t>
  </si>
  <si>
    <t>Số thửa184</t>
  </si>
  <si>
    <t>Số thửa186</t>
  </si>
  <si>
    <t>Số thửa486</t>
  </si>
  <si>
    <t>Số thửa487</t>
  </si>
  <si>
    <t>Số thửa488</t>
  </si>
  <si>
    <t>Số thửa491</t>
  </si>
  <si>
    <t>BG287066</t>
  </si>
  <si>
    <t>Số thửa535</t>
  </si>
  <si>
    <t>BG287067</t>
  </si>
  <si>
    <t>Số thửa634</t>
  </si>
  <si>
    <t>Số thửa834</t>
  </si>
  <si>
    <t>Số thửa122</t>
  </si>
  <si>
    <t>BĐ528948</t>
  </si>
  <si>
    <t>Số thửa300</t>
  </si>
  <si>
    <t>BĐ528950</t>
  </si>
  <si>
    <t>Số thửa301</t>
  </si>
  <si>
    <t>Số thửa496</t>
  </si>
  <si>
    <t>Số thửa539</t>
  </si>
  <si>
    <t>Số thửa540</t>
  </si>
  <si>
    <t>Số thửa545</t>
  </si>
  <si>
    <t>Số thửa546</t>
  </si>
  <si>
    <t>Số thửa548</t>
  </si>
  <si>
    <t>Số thửa550</t>
  </si>
  <si>
    <t>Số thửa596</t>
  </si>
  <si>
    <t>Số thửa597</t>
  </si>
  <si>
    <t>Số thửa598</t>
  </si>
  <si>
    <t>BĐ528949</t>
  </si>
  <si>
    <t>Số thửa601</t>
  </si>
  <si>
    <t>Số thửa602</t>
  </si>
  <si>
    <t>Số thửa603</t>
  </si>
  <si>
    <t>Số thửa646</t>
  </si>
  <si>
    <t>Số thửa647</t>
  </si>
  <si>
    <t>Số thửa648</t>
  </si>
  <si>
    <t>Số thửa649</t>
  </si>
  <si>
    <t>Số thửa882</t>
  </si>
  <si>
    <t>BĐ528947</t>
  </si>
  <si>
    <t>Số thửa294</t>
  </si>
  <si>
    <t>BĐ636133</t>
  </si>
  <si>
    <t>Số thửa394</t>
  </si>
  <si>
    <t>BĐ636136</t>
  </si>
  <si>
    <t>Số thửa415</t>
  </si>
  <si>
    <t>Số thửa417</t>
  </si>
  <si>
    <t>Số thửa418</t>
  </si>
  <si>
    <t>Số thửa433</t>
  </si>
  <si>
    <t>Số thửa434</t>
  </si>
  <si>
    <t>Số thửa435</t>
  </si>
  <si>
    <t>Số thửa436</t>
  </si>
  <si>
    <t>Số thửa437</t>
  </si>
  <si>
    <t>Số thửa438</t>
  </si>
  <si>
    <t>Số thửa439</t>
  </si>
  <si>
    <t>Số thửa440</t>
  </si>
  <si>
    <t>Số thửa441</t>
  </si>
  <si>
    <t>Số thửa449</t>
  </si>
  <si>
    <t>Số thửa450</t>
  </si>
  <si>
    <t>BĐ636134</t>
  </si>
  <si>
    <t>Số thửa511</t>
  </si>
  <si>
    <t>Số thửa512</t>
  </si>
  <si>
    <t>Số thửa513</t>
  </si>
  <si>
    <t>Số thửa643</t>
  </si>
  <si>
    <t>BĐ636132</t>
  </si>
  <si>
    <t>Số thửa749</t>
  </si>
  <si>
    <t>Số thửa5</t>
  </si>
  <si>
    <t>Số thửa32</t>
  </si>
  <si>
    <t>Số thửa36</t>
  </si>
  <si>
    <t>BĐ636135</t>
  </si>
  <si>
    <t>Số thửa54</t>
  </si>
  <si>
    <t>Số thửa682</t>
  </si>
  <si>
    <t>BG287099</t>
  </si>
  <si>
    <t>Số thửa709</t>
  </si>
  <si>
    <t>Số thửa712</t>
  </si>
  <si>
    <t>Số thửa747</t>
  </si>
  <si>
    <t>Số thửa328</t>
  </si>
  <si>
    <t>BG287098</t>
  </si>
  <si>
    <t>Số thửa333</t>
  </si>
  <si>
    <t>Số thửa352</t>
  </si>
  <si>
    <t>Số thửa355</t>
  </si>
  <si>
    <t>Số thửa63</t>
  </si>
  <si>
    <t>Số thửa622</t>
  </si>
  <si>
    <t>BĐ528992</t>
  </si>
  <si>
    <t>BĐ636128</t>
  </si>
  <si>
    <t>Số thửa510</t>
  </si>
  <si>
    <t>Số thửa516</t>
  </si>
  <si>
    <t>Số thửa517</t>
  </si>
  <si>
    <t>Số thửa561</t>
  </si>
  <si>
    <t>BĐ636129</t>
  </si>
  <si>
    <t>Số thửa664</t>
  </si>
  <si>
    <t>Số thửa177</t>
  </si>
  <si>
    <t>Số thửa103</t>
  </si>
  <si>
    <t>AO842476</t>
  </si>
  <si>
    <t>AO842475</t>
  </si>
  <si>
    <t>BG287148</t>
  </si>
  <si>
    <t>Số thửa65</t>
  </si>
  <si>
    <t>BG287146</t>
  </si>
  <si>
    <t>Số thửa78</t>
  </si>
  <si>
    <t>Số thửa89</t>
  </si>
  <si>
    <t>Số thửa90</t>
  </si>
  <si>
    <t>BG287147</t>
  </si>
  <si>
    <t>Số thửa128</t>
  </si>
  <si>
    <t>Số thửa141</t>
  </si>
  <si>
    <t>Số thửa142</t>
  </si>
  <si>
    <t>Số thửa152</t>
  </si>
  <si>
    <t>Số thửa153</t>
  </si>
  <si>
    <t>Số thửa154</t>
  </si>
  <si>
    <t>BĐ636138</t>
  </si>
  <si>
    <t>Số thửa314</t>
  </si>
  <si>
    <t>Số thửa340</t>
  </si>
  <si>
    <t>Số thửa341</t>
  </si>
  <si>
    <t>Số thửa367</t>
  </si>
  <si>
    <t>BĐ636139</t>
  </si>
  <si>
    <t>Số thửa226</t>
  </si>
  <si>
    <t>BĐ636137</t>
  </si>
  <si>
    <t>AO842452</t>
  </si>
  <si>
    <t>BG287022</t>
  </si>
  <si>
    <t>Số thửa206</t>
  </si>
  <si>
    <t>Số thửa209</t>
  </si>
  <si>
    <t>Số thửa725</t>
  </si>
  <si>
    <t>BG287023</t>
  </si>
  <si>
    <t>AO842481</t>
  </si>
  <si>
    <t>Số thửa160</t>
  </si>
  <si>
    <t>BĐ528897</t>
  </si>
  <si>
    <t>Số thửa551</t>
  </si>
  <si>
    <t>Số thửa604</t>
  </si>
  <si>
    <t>BĐ528898</t>
  </si>
  <si>
    <t>Số thửa752</t>
  </si>
  <si>
    <t>BĐ528896</t>
  </si>
  <si>
    <t>Số thửa900</t>
  </si>
  <si>
    <t>Số thửa115</t>
  </si>
  <si>
    <t>AO842453</t>
  </si>
  <si>
    <t>AO842454</t>
  </si>
  <si>
    <t>AO842438</t>
  </si>
  <si>
    <t>BĐ528904</t>
  </si>
  <si>
    <t>Số thửa323</t>
  </si>
  <si>
    <t>BĐ528905</t>
  </si>
  <si>
    <t>Số thửa777</t>
  </si>
  <si>
    <t>Số thửa108</t>
  </si>
  <si>
    <t>AO842456</t>
  </si>
  <si>
    <t>BG287049</t>
  </si>
  <si>
    <t>Số thửa111</t>
  </si>
  <si>
    <t>Số thửa135</t>
  </si>
  <si>
    <t>Số thửa161</t>
  </si>
  <si>
    <t>Số thửa162</t>
  </si>
  <si>
    <t>Số thửa163</t>
  </si>
  <si>
    <t>Số thửa164</t>
  </si>
  <si>
    <t>Số thửa198</t>
  </si>
  <si>
    <t>Số thửa298</t>
  </si>
  <si>
    <t>BG287048</t>
  </si>
  <si>
    <t>Số thửa308</t>
  </si>
  <si>
    <t>BG287050</t>
  </si>
  <si>
    <t>Số thửa309</t>
  </si>
  <si>
    <t>AO842439</t>
  </si>
  <si>
    <t>AO842457</t>
  </si>
  <si>
    <t>BĐ528924</t>
  </si>
  <si>
    <t>Số thửa157</t>
  </si>
  <si>
    <t>BĐ528921</t>
  </si>
  <si>
    <t>Số thửa231</t>
  </si>
  <si>
    <t>BĐ528922</t>
  </si>
  <si>
    <t>Số thửa253</t>
  </si>
  <si>
    <t>Số thửa254</t>
  </si>
  <si>
    <t>BĐ528925</t>
  </si>
  <si>
    <t>Số thửa255</t>
  </si>
  <si>
    <t>Số thửa256</t>
  </si>
  <si>
    <t>Số thửa262</t>
  </si>
  <si>
    <t>Số thửa278</t>
  </si>
  <si>
    <t>Số thửa279</t>
  </si>
  <si>
    <t>Số thửa304</t>
  </si>
  <si>
    <t>BĐ528920</t>
  </si>
  <si>
    <t>Số thửa503</t>
  </si>
  <si>
    <t>BĐ528923</t>
  </si>
  <si>
    <t>Số thửa338</t>
  </si>
  <si>
    <t>BĐ528926</t>
  </si>
  <si>
    <t>Số thửa396</t>
  </si>
  <si>
    <t>Số thửa397</t>
  </si>
  <si>
    <t>Số thửa398</t>
  </si>
  <si>
    <t>Số thửa400</t>
  </si>
  <si>
    <t>BĐ528927</t>
  </si>
  <si>
    <t>Số thửa444</t>
  </si>
  <si>
    <t>Số thửa446</t>
  </si>
  <si>
    <t>Số thửa494</t>
  </si>
  <si>
    <t>Số thửa543</t>
  </si>
  <si>
    <t>BĐ528929</t>
  </si>
  <si>
    <t>Số thửa319</t>
  </si>
  <si>
    <t>Số thửa358</t>
  </si>
  <si>
    <t>Số thửa373</t>
  </si>
  <si>
    <t>Số thửa404</t>
  </si>
  <si>
    <t>Số thửa416</t>
  </si>
  <si>
    <t>BĐ528928</t>
  </si>
  <si>
    <t>Số thửa419</t>
  </si>
  <si>
    <t>Số thửa420</t>
  </si>
  <si>
    <t>Số thửa421</t>
  </si>
  <si>
    <t>Số thửa422</t>
  </si>
  <si>
    <t>Số thửa456</t>
  </si>
  <si>
    <t>Số thửa459</t>
  </si>
  <si>
    <t>Số thửa460</t>
  </si>
  <si>
    <t>Số thửa461</t>
  </si>
  <si>
    <t>Số thửa462</t>
  </si>
  <si>
    <t>Số thửa463</t>
  </si>
  <si>
    <t>Số thửa86</t>
  </si>
  <si>
    <t>AO842440</t>
  </si>
  <si>
    <t>BĐ528774</t>
  </si>
  <si>
    <t>Số thửa473</t>
  </si>
  <si>
    <t>Số thửa356</t>
  </si>
  <si>
    <t>BĐ528773</t>
  </si>
  <si>
    <t>Số thửa465</t>
  </si>
  <si>
    <t>Số thửa470</t>
  </si>
  <si>
    <t>Số thửa580</t>
  </si>
  <si>
    <t>BĐ528775</t>
  </si>
  <si>
    <t>Số thửa678</t>
  </si>
  <si>
    <t>Số thửa789</t>
  </si>
  <si>
    <t>BĐ528930</t>
  </si>
  <si>
    <t>BĐ528777</t>
  </si>
  <si>
    <t>Số thửa91</t>
  </si>
  <si>
    <t>Số thửa155</t>
  </si>
  <si>
    <t>BĐ528778</t>
  </si>
  <si>
    <t>AO842485</t>
  </si>
  <si>
    <t>AO842458</t>
  </si>
  <si>
    <t>BĐ528952</t>
  </si>
  <si>
    <t>Số thửa349</t>
  </si>
  <si>
    <t>Số thửa368</t>
  </si>
  <si>
    <t>Số thửa683</t>
  </si>
  <si>
    <t>BĐ528953</t>
  </si>
  <si>
    <t>BĐ528951</t>
  </si>
  <si>
    <t>Số thửa18</t>
  </si>
  <si>
    <t>AO842487</t>
  </si>
  <si>
    <t>Số thửa448</t>
  </si>
  <si>
    <t>BĐ528959</t>
  </si>
  <si>
    <t>Số thửa495</t>
  </si>
  <si>
    <t>Số thửa537</t>
  </si>
  <si>
    <t>BĐ528960</t>
  </si>
  <si>
    <t>Số thửa831</t>
  </si>
  <si>
    <t>BĐ528958</t>
  </si>
  <si>
    <t>Số thửa246</t>
  </si>
  <si>
    <t>BE976133</t>
  </si>
  <si>
    <t>BĐ528965</t>
  </si>
  <si>
    <t>BE976132</t>
  </si>
  <si>
    <t>Số thửa907</t>
  </si>
  <si>
    <t>Số thửa920</t>
  </si>
  <si>
    <t>BĐ528966</t>
  </si>
  <si>
    <t>Số thửa632</t>
  </si>
  <si>
    <t>BĐ528967</t>
  </si>
  <si>
    <t>Số thửa320</t>
  </si>
  <si>
    <t>Số thửa374</t>
  </si>
  <si>
    <t>Số thửa375</t>
  </si>
  <si>
    <t>Số thửa407</t>
  </si>
  <si>
    <t>AO842441</t>
  </si>
  <si>
    <t>Số thửa357</t>
  </si>
  <si>
    <t>BĐ528782</t>
  </si>
  <si>
    <t>Số thửa362</t>
  </si>
  <si>
    <t>Số thửa363</t>
  </si>
  <si>
    <t>Số thửa364</t>
  </si>
  <si>
    <t>BĐ528784</t>
  </si>
  <si>
    <t>Số thửa244</t>
  </si>
  <si>
    <t>BĐ528783</t>
  </si>
  <si>
    <t>Số thửa284</t>
  </si>
  <si>
    <t>Số thửa811</t>
  </si>
  <si>
    <t>BĐ528781</t>
  </si>
  <si>
    <t>Số thửa858</t>
  </si>
  <si>
    <t>Số thửa95</t>
  </si>
  <si>
    <t>AO842459</t>
  </si>
  <si>
    <t>AO842460</t>
  </si>
  <si>
    <t>AO842442</t>
  </si>
  <si>
    <t>AO842488</t>
  </si>
  <si>
    <t>AO842489</t>
  </si>
  <si>
    <t>Số thửa167</t>
  </si>
  <si>
    <t>BĐ528786</t>
  </si>
  <si>
    <t>BĐ528787</t>
  </si>
  <si>
    <t>Số thửa859</t>
  </si>
  <si>
    <t>Số thửa861</t>
  </si>
  <si>
    <t>Số thửa863</t>
  </si>
  <si>
    <t>Số thửa870</t>
  </si>
  <si>
    <t>Số thửa871</t>
  </si>
  <si>
    <t>Số thửa874</t>
  </si>
  <si>
    <t>Số thửa875</t>
  </si>
  <si>
    <t>Số thửa876</t>
  </si>
  <si>
    <t>BĐ528785</t>
  </si>
  <si>
    <t>Số thửa898</t>
  </si>
  <si>
    <t>AO842461</t>
  </si>
  <si>
    <t>BĐ528977</t>
  </si>
  <si>
    <t>Số thửa365</t>
  </si>
  <si>
    <t>Số thửa366</t>
  </si>
  <si>
    <t>Số thửa409</t>
  </si>
  <si>
    <t>Số thửa410</t>
  </si>
  <si>
    <t>Số thửa412</t>
  </si>
  <si>
    <t>Số thửa191</t>
  </si>
  <si>
    <t>BE976134</t>
  </si>
  <si>
    <t>BĐ528979</t>
  </si>
  <si>
    <t>Số thửa519</t>
  </si>
  <si>
    <t>Số thửa530</t>
  </si>
  <si>
    <t>Số thửa532</t>
  </si>
  <si>
    <t>Số thửa533</t>
  </si>
  <si>
    <t>BĐ528978</t>
  </si>
  <si>
    <t>Số thửa534</t>
  </si>
  <si>
    <t>Số thửa538</t>
  </si>
  <si>
    <t>Số thửa541</t>
  </si>
  <si>
    <t>Số thửa544</t>
  </si>
  <si>
    <t>Số thửa557</t>
  </si>
  <si>
    <t>BĐ528976</t>
  </si>
  <si>
    <t>AO842445</t>
  </si>
  <si>
    <t>BĐ528990</t>
  </si>
  <si>
    <t>Số thửa195</t>
  </si>
  <si>
    <t>Số thửa196</t>
  </si>
  <si>
    <t>Số thửa197</t>
  </si>
  <si>
    <t>Số thửa258</t>
  </si>
  <si>
    <t>BĐ528987</t>
  </si>
  <si>
    <t>Số thửa261</t>
  </si>
  <si>
    <t>Số thửa273</t>
  </si>
  <si>
    <t>Số thửa343</t>
  </si>
  <si>
    <t>Số thửa408</t>
  </si>
  <si>
    <t>BĐ528988</t>
  </si>
  <si>
    <t>Số thửa188</t>
  </si>
  <si>
    <t>BĐ528989</t>
  </si>
  <si>
    <t>Số thửa425</t>
  </si>
  <si>
    <t>Số thửa447</t>
  </si>
  <si>
    <t>Số thửa469</t>
  </si>
  <si>
    <t>Số thửa504</t>
  </si>
  <si>
    <t>Số thửa505</t>
  </si>
  <si>
    <t>Số thửa729</t>
  </si>
  <si>
    <t>BĐ528986</t>
  </si>
  <si>
    <t>AO842464</t>
  </si>
  <si>
    <t>Số thửa106</t>
  </si>
  <si>
    <t>BG287113</t>
  </si>
  <si>
    <t>Số thửa339</t>
  </si>
  <si>
    <t>BĐ528993</t>
  </si>
  <si>
    <t>AO842437</t>
  </si>
  <si>
    <t>BĐ528997</t>
  </si>
  <si>
    <t>Số thửa124</t>
  </si>
  <si>
    <t>BĐ528995</t>
  </si>
  <si>
    <t>BĐ528996</t>
  </si>
  <si>
    <t>Số thửa165</t>
  </si>
  <si>
    <t>Số thửa179</t>
  </si>
  <si>
    <t>Số thửa257</t>
  </si>
  <si>
    <t>Số thửa724</t>
  </si>
  <si>
    <t>BĐ528994</t>
  </si>
  <si>
    <t>Số thửa756</t>
  </si>
  <si>
    <t>Số thửa837</t>
  </si>
  <si>
    <t>Số thửa851</t>
  </si>
  <si>
    <t>Số thửa68</t>
  </si>
  <si>
    <t>AO842448</t>
  </si>
  <si>
    <t>Số thửa84</t>
  </si>
  <si>
    <t>AO842449</t>
  </si>
  <si>
    <t>AO842465</t>
  </si>
  <si>
    <t>AO842468</t>
  </si>
  <si>
    <t>AO842469</t>
  </si>
  <si>
    <t>AO842470</t>
  </si>
  <si>
    <t>BĐ636015</t>
  </si>
  <si>
    <t>BĐ636014</t>
  </si>
  <si>
    <t>Số thửa121</t>
  </si>
  <si>
    <t>AO842450</t>
  </si>
  <si>
    <t>BG287008</t>
  </si>
  <si>
    <t>BG287007</t>
  </si>
  <si>
    <t>Số thửa782</t>
  </si>
  <si>
    <t>Số thửa784</t>
  </si>
  <si>
    <t>Số thửa787</t>
  </si>
  <si>
    <t>AO842499</t>
  </si>
  <si>
    <t>AO842471</t>
  </si>
  <si>
    <t>AO842451</t>
  </si>
  <si>
    <t>AO842474</t>
  </si>
  <si>
    <t>AO842479</t>
  </si>
  <si>
    <t>Số thửa316</t>
  </si>
  <si>
    <t>BĐ636033</t>
  </si>
  <si>
    <t>Số thửa147</t>
  </si>
  <si>
    <t>BĐ636034</t>
  </si>
  <si>
    <t>AO842500</t>
  </si>
  <si>
    <t>BG287020</t>
  </si>
  <si>
    <t>BG287018</t>
  </si>
  <si>
    <t>Số thửa41</t>
  </si>
  <si>
    <t>Số thửa42</t>
  </si>
  <si>
    <t>Số thửa53</t>
  </si>
  <si>
    <t>Số thửa67</t>
  </si>
  <si>
    <t>Số thửa299</t>
  </si>
  <si>
    <t>BG287019</t>
  </si>
  <si>
    <t>Số thửa248</t>
  </si>
  <si>
    <t>Số thửa291</t>
  </si>
  <si>
    <t>Số thửa685</t>
  </si>
  <si>
    <t>BG287159</t>
  </si>
  <si>
    <t>BG287021</t>
  </si>
  <si>
    <t>Số thửa176</t>
  </si>
  <si>
    <t>BĐ528762</t>
  </si>
  <si>
    <t>BĐ528761</t>
  </si>
  <si>
    <t>Số thửa563</t>
  </si>
  <si>
    <t>BG287024</t>
  </si>
  <si>
    <t>Số thửa564</t>
  </si>
  <si>
    <t>Số thửa565</t>
  </si>
  <si>
    <t>Số thửa569</t>
  </si>
  <si>
    <t>Số thửa570</t>
  </si>
  <si>
    <t>Số thửa611</t>
  </si>
  <si>
    <t>Số thửa612</t>
  </si>
  <si>
    <t>BG287026</t>
  </si>
  <si>
    <t>BG287027</t>
  </si>
  <si>
    <t>Số thửa212</t>
  </si>
  <si>
    <t>Số thửa245</t>
  </si>
  <si>
    <t>Số thửa287</t>
  </si>
  <si>
    <t>BG287025</t>
  </si>
  <si>
    <t>Số thửa288</t>
  </si>
  <si>
    <t>BG287032</t>
  </si>
  <si>
    <t>Số thửa297</t>
  </si>
  <si>
    <t>BG287028</t>
  </si>
  <si>
    <t>BG287029</t>
  </si>
  <si>
    <t>Số thửa181</t>
  </si>
  <si>
    <t>BG287030</t>
  </si>
  <si>
    <t>Số thửa295</t>
  </si>
  <si>
    <t>Số thửa514</t>
  </si>
  <si>
    <t>BG287031</t>
  </si>
  <si>
    <t>BG287037</t>
  </si>
  <si>
    <t>BG287043</t>
  </si>
  <si>
    <t>BG287041</t>
  </si>
  <si>
    <t>BG287042</t>
  </si>
  <si>
    <t>Số thửa579</t>
  </si>
  <si>
    <t>Số thửa613</t>
  </si>
  <si>
    <t>BG287040</t>
  </si>
  <si>
    <t>Số thửa616</t>
  </si>
  <si>
    <t>Số thửa617</t>
  </si>
  <si>
    <t>Số thửa620</t>
  </si>
  <si>
    <t>Số thửa621</t>
  </si>
  <si>
    <t>Số thửa655</t>
  </si>
  <si>
    <t>Số thửa657</t>
  </si>
  <si>
    <t>Số thửa658</t>
  </si>
  <si>
    <t>Số thửa224</t>
  </si>
  <si>
    <t>Số thửa303</t>
  </si>
  <si>
    <t>BG287044</t>
  </si>
  <si>
    <t>Số thửa200</t>
  </si>
  <si>
    <t>BG287045</t>
  </si>
  <si>
    <t>Số thửa644</t>
  </si>
  <si>
    <t>BG287047</t>
  </si>
  <si>
    <t>Số thửa194</t>
  </si>
  <si>
    <t>BG287046</t>
  </si>
  <si>
    <t>Số thửa285</t>
  </si>
  <si>
    <t>BĐ636042</t>
  </si>
  <si>
    <t>Số thửa675</t>
  </si>
  <si>
    <t>Số thửa680</t>
  </si>
  <si>
    <t>Số thửa727</t>
  </si>
  <si>
    <t>Số thửa728</t>
  </si>
  <si>
    <t>BĐ636043</t>
  </si>
  <si>
    <t>BG287057</t>
  </si>
  <si>
    <t>BG287055</t>
  </si>
  <si>
    <t>BG287056</t>
  </si>
  <si>
    <t>Số thửa158</t>
  </si>
  <si>
    <t>Số thửa159</t>
  </si>
  <si>
    <t>BG287051</t>
  </si>
  <si>
    <t>BG287052</t>
  </si>
  <si>
    <t>Số thửa178</t>
  </si>
  <si>
    <t>Số thửa192</t>
  </si>
  <si>
    <t>Số thửa193</t>
  </si>
  <si>
    <t>Số thửa201</t>
  </si>
  <si>
    <t>BG287054</t>
  </si>
  <si>
    <t>Số thửa263</t>
  </si>
  <si>
    <t>BG287053</t>
  </si>
  <si>
    <t>BG287058</t>
  </si>
  <si>
    <t>Số thửa70</t>
  </si>
  <si>
    <t>BG287059</t>
  </si>
  <si>
    <t>BĐ636044</t>
  </si>
  <si>
    <t>Số thửa120</t>
  </si>
  <si>
    <t>Số thửa384</t>
  </si>
  <si>
    <t>BĐ636051</t>
  </si>
  <si>
    <t>Số thửa662</t>
  </si>
  <si>
    <t>Số thửa820</t>
  </si>
  <si>
    <t>BĐ636050</t>
  </si>
  <si>
    <t>Số thửa821</t>
  </si>
  <si>
    <t>Số thửa822</t>
  </si>
  <si>
    <t>Số thửa824</t>
  </si>
  <si>
    <t>Số thửa825</t>
  </si>
  <si>
    <t>Số thửa833</t>
  </si>
  <si>
    <t>BĐ636052</t>
  </si>
  <si>
    <t>Số thửa133</t>
  </si>
  <si>
    <t>BĐ636056</t>
  </si>
  <si>
    <t>Số thửa424</t>
  </si>
  <si>
    <t>Số thửa467</t>
  </si>
  <si>
    <t>Số thửa468</t>
  </si>
  <si>
    <t>Số thửa471</t>
  </si>
  <si>
    <t>BĐ636053</t>
  </si>
  <si>
    <t>Số thửa547</t>
  </si>
  <si>
    <t>BĐ636054</t>
  </si>
  <si>
    <t>Số thửa600</t>
  </si>
  <si>
    <t>Số thửa618</t>
  </si>
  <si>
    <t>Số thửa619</t>
  </si>
  <si>
    <t>BĐ636055</t>
  </si>
  <si>
    <t>Số thửa654</t>
  </si>
  <si>
    <t>Số thửa674</t>
  </si>
  <si>
    <t>Số thửa676</t>
  </si>
  <si>
    <t>Số thửa704</t>
  </si>
  <si>
    <t>Số thửa705</t>
  </si>
  <si>
    <t>Số thửa710</t>
  </si>
  <si>
    <t>BG287060</t>
  </si>
  <si>
    <t>Số thửa9</t>
  </si>
  <si>
    <t>BĐ528936</t>
  </si>
  <si>
    <t>BĐ528935</t>
  </si>
  <si>
    <t>BĐ528932</t>
  </si>
  <si>
    <t>Số thửa20</t>
  </si>
  <si>
    <t>BĐ528933</t>
  </si>
  <si>
    <t>Số thửa21</t>
  </si>
  <si>
    <t>BĐ528934</t>
  </si>
  <si>
    <t>BĐ528931</t>
  </si>
  <si>
    <t>BG287068</t>
  </si>
  <si>
    <t>Số thửa506</t>
  </si>
  <si>
    <t>Số thửa143</t>
  </si>
  <si>
    <t>BG287069</t>
  </si>
  <si>
    <t>BG287072</t>
  </si>
  <si>
    <t>BG287070</t>
  </si>
  <si>
    <t>Số thửa74</t>
  </si>
  <si>
    <t>BG287071</t>
  </si>
  <si>
    <t>Số thửa85</t>
  </si>
  <si>
    <t>Số thửa636</t>
  </si>
  <si>
    <t>Số thửa640</t>
  </si>
  <si>
    <t>BĐ636057</t>
  </si>
  <si>
    <t>BĐ636058</t>
  </si>
  <si>
    <t>Số thửa213</t>
  </si>
  <si>
    <t>BĐ636059</t>
  </si>
  <si>
    <t>Số thửa202</t>
  </si>
  <si>
    <t>Số thửa318</t>
  </si>
  <si>
    <t>BĐ636060</t>
  </si>
  <si>
    <t>Số thửa826</t>
  </si>
  <si>
    <t>BĐ636061</t>
  </si>
  <si>
    <t>BG287073</t>
  </si>
  <si>
    <t>BG287074</t>
  </si>
  <si>
    <t>Số thửa628</t>
  </si>
  <si>
    <t>Số thửa631</t>
  </si>
  <si>
    <t>Số thửa633</t>
  </si>
  <si>
    <t>Số thửa637</t>
  </si>
  <si>
    <t>BG287075</t>
  </si>
  <si>
    <t>Số thửa641</t>
  </si>
  <si>
    <t>Số thửa642</t>
  </si>
  <si>
    <t>Số thửa738</t>
  </si>
  <si>
    <t>BG287077</t>
  </si>
  <si>
    <t>Số thửa136</t>
  </si>
  <si>
    <t>BG287079</t>
  </si>
  <si>
    <t>BG287076</t>
  </si>
  <si>
    <t>BG287078</t>
  </si>
  <si>
    <t>Số thửa378</t>
  </si>
  <si>
    <t>Số thửa700</t>
  </si>
  <si>
    <t>Số thửa706</t>
  </si>
  <si>
    <t>BG287081</t>
  </si>
  <si>
    <t>BG287080</t>
  </si>
  <si>
    <t>BG287086</t>
  </si>
  <si>
    <t>BG287084</t>
  </si>
  <si>
    <t>Số thửa140</t>
  </si>
  <si>
    <t>Số thửa144</t>
  </si>
  <si>
    <t>Số thửa166</t>
  </si>
  <si>
    <t>BG287085</t>
  </si>
  <si>
    <t>Số thửa606</t>
  </si>
  <si>
    <t>Số thửa716</t>
  </si>
  <si>
    <t>BG287083</t>
  </si>
  <si>
    <t>Số thửa499</t>
  </si>
  <si>
    <t>BG287082</t>
  </si>
  <si>
    <t>Số thửa739</t>
  </si>
  <si>
    <t>Số thửa753</t>
  </si>
  <si>
    <t>Số thửa754</t>
  </si>
  <si>
    <t>Số thửa758</t>
  </si>
  <si>
    <t>BĐ636068</t>
  </si>
  <si>
    <t>Số thửa230</t>
  </si>
  <si>
    <t>Số thửa251</t>
  </si>
  <si>
    <t>Số thửa302</t>
  </si>
  <si>
    <t>BĐ636069</t>
  </si>
  <si>
    <t>BG287091</t>
  </si>
  <si>
    <t>Số thửa12</t>
  </si>
  <si>
    <t>BG287095</t>
  </si>
  <si>
    <t>BG287092</t>
  </si>
  <si>
    <t>BG287094</t>
  </si>
  <si>
    <t>BG287093</t>
  </si>
  <si>
    <t>BG287090</t>
  </si>
  <si>
    <t>Số thửa286</t>
  </si>
  <si>
    <t>Số thửa849</t>
  </si>
  <si>
    <t>BG287097</t>
  </si>
  <si>
    <t>Số thửa210</t>
  </si>
  <si>
    <t>BG287096</t>
  </si>
  <si>
    <t>BG287088</t>
  </si>
  <si>
    <t>Số thửa542</t>
  </si>
  <si>
    <t>BG287089</t>
  </si>
  <si>
    <t>Số thửa765</t>
  </si>
  <si>
    <t>BG287087</t>
  </si>
  <si>
    <t>BG287100</t>
  </si>
  <si>
    <t>Số thửa730</t>
  </si>
  <si>
    <t>BĐ528973</t>
  </si>
  <si>
    <t>Số thửa507</t>
  </si>
  <si>
    <t>BĐ528974</t>
  </si>
  <si>
    <t>BĐ528975</t>
  </si>
  <si>
    <t>BĐ528790</t>
  </si>
  <si>
    <t>BĐ528791</t>
  </si>
  <si>
    <t>Số thửa477</t>
  </si>
  <si>
    <t>BĐ528789</t>
  </si>
  <si>
    <t>Số thửa924</t>
  </si>
  <si>
    <t>BĐ528793</t>
  </si>
  <si>
    <t>BĐ528794</t>
  </si>
  <si>
    <t>BĐ528795</t>
  </si>
  <si>
    <t>BĐ528792</t>
  </si>
  <si>
    <t>BG287101</t>
  </si>
  <si>
    <t>BG287103</t>
  </si>
  <si>
    <t>BG287102</t>
  </si>
  <si>
    <t>Số thửa763</t>
  </si>
  <si>
    <t>BĐ636079</t>
  </si>
  <si>
    <t>Số thửa554</t>
  </si>
  <si>
    <t>Số thửa572</t>
  </si>
  <si>
    <t>Số thửa751</t>
  </si>
  <si>
    <t>BĐ636080</t>
  </si>
  <si>
    <t>AO842462</t>
  </si>
  <si>
    <t>BG287106</t>
  </si>
  <si>
    <t>BG287105</t>
  </si>
  <si>
    <t>Số thửa608</t>
  </si>
  <si>
    <t>BĐ636081</t>
  </si>
  <si>
    <t>Số thửa827</t>
  </si>
  <si>
    <t>BĐ636082</t>
  </si>
  <si>
    <t>BĐ636088</t>
  </si>
  <si>
    <t>Số thửa342</t>
  </si>
  <si>
    <t>BĐ636093</t>
  </si>
  <si>
    <t>Số thửa383</t>
  </si>
  <si>
    <t>Số thửa399</t>
  </si>
  <si>
    <t>BĐ636089</t>
  </si>
  <si>
    <t>Số thửa411</t>
  </si>
  <si>
    <t>BĐ636091</t>
  </si>
  <si>
    <t>BĐ636090</t>
  </si>
  <si>
    <t>Số thửa529</t>
  </si>
  <si>
    <t>Số thửa531</t>
  </si>
  <si>
    <t>Số thửa761</t>
  </si>
  <si>
    <t>BĐ636092</t>
  </si>
  <si>
    <t>BĐ636097</t>
  </si>
  <si>
    <t>BĐ636095</t>
  </si>
  <si>
    <t>Số thửa104</t>
  </si>
  <si>
    <t>Số thửa199</t>
  </si>
  <si>
    <t>BĐ636094</t>
  </si>
  <si>
    <t>Số thửa673</t>
  </si>
  <si>
    <t>BĐ636096</t>
  </si>
  <si>
    <t>BĐ636005</t>
  </si>
  <si>
    <t>BĐ636002</t>
  </si>
  <si>
    <t>BĐ636003</t>
  </si>
  <si>
    <t>Số thửa345</t>
  </si>
  <si>
    <t>BĐ636001</t>
  </si>
  <si>
    <t>Số thửa389</t>
  </si>
  <si>
    <t>Số thửa423</t>
  </si>
  <si>
    <t>BĐ636006</t>
  </si>
  <si>
    <t>BG287115</t>
  </si>
  <si>
    <t>Số thửa741</t>
  </si>
  <si>
    <t>BG287114</t>
  </si>
  <si>
    <t>Số thửa771</t>
  </si>
  <si>
    <t>Số thửa856</t>
  </si>
  <si>
    <t>Số thửa857</t>
  </si>
  <si>
    <t>Số thửa860</t>
  </si>
  <si>
    <t>BG287119</t>
  </si>
  <si>
    <t>Số thửa216</t>
  </si>
  <si>
    <t>BG287116</t>
  </si>
  <si>
    <t>BG287118</t>
  </si>
  <si>
    <t>BG287117</t>
  </si>
  <si>
    <t>Số thửa317</t>
  </si>
  <si>
    <t>BG287120</t>
  </si>
  <si>
    <t>Số thửa406</t>
  </si>
  <si>
    <t>BĐ636099</t>
  </si>
  <si>
    <t>BĐ636098</t>
  </si>
  <si>
    <t>Số thửa690</t>
  </si>
  <si>
    <t>BG287122</t>
  </si>
  <si>
    <t>BG287121</t>
  </si>
  <si>
    <t>Số thửa846</t>
  </si>
  <si>
    <t>Số thửa847</t>
  </si>
  <si>
    <t>Số thửa848</t>
  </si>
  <si>
    <t>Số thửa852</t>
  </si>
  <si>
    <t>Số thửa853</t>
  </si>
  <si>
    <t>Số thửa854</t>
  </si>
  <si>
    <t>BG287124</t>
  </si>
  <si>
    <t>BG287123</t>
  </si>
  <si>
    <t>BG287126</t>
  </si>
  <si>
    <t>BG287125</t>
  </si>
  <si>
    <t>BG287127</t>
  </si>
  <si>
    <t>AO842466</t>
  </si>
  <si>
    <t>BG287128</t>
  </si>
  <si>
    <t>BG287129</t>
  </si>
  <si>
    <t>BĐ636103</t>
  </si>
  <si>
    <t>BĐ636102</t>
  </si>
  <si>
    <t>BG287135</t>
  </si>
  <si>
    <t>BG287134</t>
  </si>
  <si>
    <t>Số thửa562</t>
  </si>
  <si>
    <t>BG287136</t>
  </si>
  <si>
    <t>BG287140</t>
  </si>
  <si>
    <t>Số thửa795</t>
  </si>
  <si>
    <t>BĐ636109</t>
  </si>
  <si>
    <t>AO842447</t>
  </si>
  <si>
    <t>BĐ636110</t>
  </si>
  <si>
    <t>BĐ636108</t>
  </si>
  <si>
    <t>BĐ636112</t>
  </si>
  <si>
    <t>Số thửa650</t>
  </si>
  <si>
    <t>Số thửa651</t>
  </si>
  <si>
    <t>Số thửa652</t>
  </si>
  <si>
    <t>Số thửa653</t>
  </si>
  <si>
    <t>Số thửa677</t>
  </si>
  <si>
    <t>BĐ636111</t>
  </si>
  <si>
    <t>BĐ528800</t>
  </si>
  <si>
    <t>BĐ528799</t>
  </si>
  <si>
    <t>BĐ528798</t>
  </si>
  <si>
    <t>BG287131</t>
  </si>
  <si>
    <t>Số thửa211</t>
  </si>
  <si>
    <t>Số thửa623</t>
  </si>
  <si>
    <t>Số thửa624</t>
  </si>
  <si>
    <t>BG287133</t>
  </si>
  <si>
    <t>Số thửa663</t>
  </si>
  <si>
    <t>Số thửa698</t>
  </si>
  <si>
    <t>Số thửa699</t>
  </si>
  <si>
    <t>BG287132</t>
  </si>
  <si>
    <t>Số thửa726</t>
  </si>
  <si>
    <t>BG287130</t>
  </si>
  <si>
    <t>BĐ636114</t>
  </si>
  <si>
    <t>Số thửa605</t>
  </si>
  <si>
    <t>BĐ636113</t>
  </si>
  <si>
    <t>Số thửa607</t>
  </si>
  <si>
    <t>Số thửa609</t>
  </si>
  <si>
    <t>Số thửa610</t>
  </si>
  <si>
    <t>Số thửa626</t>
  </si>
  <si>
    <t>Số thửa635</t>
  </si>
  <si>
    <t>Số thửa659</t>
  </si>
  <si>
    <t>BG287141</t>
  </si>
  <si>
    <t>Số thửa713</t>
  </si>
  <si>
    <t>BG287142</t>
  </si>
  <si>
    <t>Số thửa732</t>
  </si>
  <si>
    <t>Số thửa759</t>
  </si>
  <si>
    <t>Số thửa760</t>
  </si>
  <si>
    <t>Số thửa770</t>
  </si>
  <si>
    <t>Số thửa788</t>
  </si>
  <si>
    <t>BG287009</t>
  </si>
  <si>
    <t>BĐ636117</t>
  </si>
  <si>
    <t>Số thửa247</t>
  </si>
  <si>
    <t>Số thửa249</t>
  </si>
  <si>
    <t>BĐ636118</t>
  </si>
  <si>
    <t>BĐ636119</t>
  </si>
  <si>
    <t>BG287144</t>
  </si>
  <si>
    <t>BG287145</t>
  </si>
  <si>
    <t>BG287143</t>
  </si>
  <si>
    <t>Số thửa138</t>
  </si>
  <si>
    <t>BĐ636122</t>
  </si>
  <si>
    <t>BĐ636123</t>
  </si>
  <si>
    <t>Số thửa387</t>
  </si>
  <si>
    <t>BĐ636124</t>
  </si>
  <si>
    <t>BĐ636125</t>
  </si>
  <si>
    <t>Số thửa909</t>
  </si>
  <si>
    <t>Số thửa912</t>
  </si>
  <si>
    <t>BĐ636126</t>
  </si>
  <si>
    <t>Số thửa189</t>
  </si>
  <si>
    <t>BĐ636127</t>
  </si>
  <si>
    <t>BG287015</t>
  </si>
  <si>
    <t>BG287014</t>
  </si>
  <si>
    <t>BG287016</t>
  </si>
  <si>
    <t>BG287150</t>
  </si>
  <si>
    <t>BG287149</t>
  </si>
  <si>
    <t>Số thửa812</t>
  </si>
  <si>
    <t>BG287153</t>
  </si>
  <si>
    <t>BG287151</t>
  </si>
  <si>
    <t>BG287152</t>
  </si>
  <si>
    <t>BĐ636140</t>
  </si>
  <si>
    <t>BĐ636141</t>
  </si>
  <si>
    <t>BĐ636143</t>
  </si>
  <si>
    <t>BĐ636142</t>
  </si>
  <si>
    <t>BG287155</t>
  </si>
  <si>
    <t>BĐ636147</t>
  </si>
  <si>
    <t>BG287154</t>
  </si>
  <si>
    <t>BĐ636149</t>
  </si>
  <si>
    <t>Số thửa721</t>
  </si>
  <si>
    <t>BĐ636150</t>
  </si>
  <si>
    <t>BĐ636148</t>
  </si>
  <si>
    <t>Số thửa790</t>
  </si>
  <si>
    <t>BĐ528984</t>
  </si>
  <si>
    <t>BĐ528985</t>
  </si>
  <si>
    <t>BĐ636072</t>
  </si>
  <si>
    <t>BĐ636070</t>
  </si>
  <si>
    <t>BĐ636071</t>
  </si>
  <si>
    <t>Số thửa707</t>
  </si>
  <si>
    <t>Số thửa708</t>
  </si>
  <si>
    <t>Số thửa731</t>
  </si>
  <si>
    <t>Số thửa733</t>
  </si>
  <si>
    <t>BĐ636073</t>
  </si>
  <si>
    <t>BG287156</t>
  </si>
  <si>
    <t>BG287158</t>
  </si>
  <si>
    <t>BG287157</t>
  </si>
  <si>
    <t>BĐ528763</t>
  </si>
  <si>
    <t>BĐ528764</t>
  </si>
  <si>
    <t>Số thửa566</t>
  </si>
  <si>
    <t>Số thửa568</t>
  </si>
  <si>
    <t>BĐ528765</t>
  </si>
  <si>
    <t>Số thửa615</t>
  </si>
  <si>
    <t>Số thửa625</t>
  </si>
  <si>
    <t>Số thửa627</t>
  </si>
  <si>
    <t>BĐ528766</t>
  </si>
  <si>
    <t>Số thửa669</t>
  </si>
  <si>
    <t>Số thửa672</t>
  </si>
  <si>
    <t>BĐ528767</t>
  </si>
  <si>
    <t>AO842446</t>
  </si>
  <si>
    <t>BĐ528751</t>
  </si>
  <si>
    <t>BĐ528750</t>
  </si>
  <si>
    <t>BĐ528758</t>
  </si>
  <si>
    <t>BD528872</t>
  </si>
  <si>
    <t>BD528868</t>
  </si>
  <si>
    <t>BD528867</t>
  </si>
  <si>
    <t>BD528866</t>
  </si>
  <si>
    <t>BĐ528941</t>
  </si>
  <si>
    <t>BĐ528938</t>
  </si>
  <si>
    <t>BĐ528939</t>
  </si>
  <si>
    <t>Số thửa799</t>
  </si>
  <si>
    <t>Số thửa800</t>
  </si>
  <si>
    <t>Số thửa802</t>
  </si>
  <si>
    <t>BĐ528940</t>
  </si>
  <si>
    <t>Số thửa814</t>
  </si>
  <si>
    <t>Số thửa867</t>
  </si>
  <si>
    <t>BĐ528937</t>
  </si>
  <si>
    <t>AO842484</t>
  </si>
  <si>
    <t>BĐ528776</t>
  </si>
  <si>
    <t>BĐ528955</t>
  </si>
  <si>
    <t>BĐ528956</t>
  </si>
  <si>
    <t>BĐ528957</t>
  </si>
  <si>
    <t>Số thửa689</t>
  </si>
  <si>
    <t>BĐ528954</t>
  </si>
  <si>
    <t>BĐ528895</t>
  </si>
  <si>
    <t>BĐ528946</t>
  </si>
  <si>
    <t>BG287165</t>
  </si>
  <si>
    <t>BE976125</t>
  </si>
  <si>
    <t>BE976124</t>
  </si>
  <si>
    <t>Số thửa479</t>
  </si>
  <si>
    <t>BĐ528779</t>
  </si>
  <si>
    <t>BĐ528841</t>
  </si>
  <si>
    <t>BĐ528840</t>
  </si>
  <si>
    <t>BĐ636027</t>
  </si>
  <si>
    <t>BĐ528850</t>
  </si>
  <si>
    <t>BĐ528855</t>
  </si>
  <si>
    <t>BĐ528853</t>
  </si>
  <si>
    <t>BĐ528852</t>
  </si>
  <si>
    <t>BĐ528854</t>
  </si>
  <si>
    <t>Số thửa911</t>
  </si>
  <si>
    <t>BG287012</t>
  </si>
  <si>
    <t>BG287013</t>
  </si>
  <si>
    <t>BG287173</t>
  </si>
  <si>
    <t>AO842486</t>
  </si>
  <si>
    <t>BĐ528812</t>
  </si>
  <si>
    <t>BĐ528811</t>
  </si>
  <si>
    <t>BĐ528819</t>
  </si>
  <si>
    <t>BĐ528818</t>
  </si>
  <si>
    <t>BĐ528820</t>
  </si>
  <si>
    <t>Số thửa903</t>
  </si>
  <si>
    <t>BĐ528768</t>
  </si>
  <si>
    <t>BĐ528770</t>
  </si>
  <si>
    <t>BĐ528769</t>
  </si>
  <si>
    <t>BĐ528913</t>
  </si>
  <si>
    <t>BĐ528914</t>
  </si>
  <si>
    <t>BĐ528915</t>
  </si>
  <si>
    <t>BĐ528916</t>
  </si>
  <si>
    <t>BĐ528912</t>
  </si>
  <si>
    <t>Số thửa883</t>
  </si>
  <si>
    <t>BĐ528919</t>
  </si>
  <si>
    <t>BĐ528822</t>
  </si>
  <si>
    <t>BĐ528823</t>
  </si>
  <si>
    <t>BĐ636012</t>
  </si>
  <si>
    <t>BĐ636011</t>
  </si>
  <si>
    <t>AD137799</t>
  </si>
  <si>
    <t>AD137765</t>
  </si>
  <si>
    <t>BD528876</t>
  </si>
  <si>
    <t>BD528857</t>
  </si>
  <si>
    <t>BĐ528807</t>
  </si>
  <si>
    <t>BD528879</t>
  </si>
  <si>
    <t>BD528878</t>
  </si>
  <si>
    <t>BD528877</t>
  </si>
  <si>
    <t>BĐ636013</t>
  </si>
  <si>
    <t>Số thửa476</t>
  </si>
  <si>
    <t>BG287002</t>
  </si>
  <si>
    <t>BG287001</t>
  </si>
  <si>
    <t>BG287003</t>
  </si>
  <si>
    <t>BĐ528772</t>
  </si>
  <si>
    <t>Số thửa428</t>
  </si>
  <si>
    <t>BĐ528771</t>
  </si>
  <si>
    <t>BD528875</t>
  </si>
  <si>
    <t>BE976130</t>
  </si>
  <si>
    <t>BD528874</t>
  </si>
  <si>
    <t>BE976131</t>
  </si>
  <si>
    <t>BD528882</t>
  </si>
  <si>
    <t>BD528892</t>
  </si>
  <si>
    <t>BĐ636041</t>
  </si>
  <si>
    <t>BĐ636106</t>
  </si>
  <si>
    <t>BĐ636107</t>
  </si>
  <si>
    <t>BĐ636007</t>
  </si>
  <si>
    <t>BĐ528835</t>
  </si>
  <si>
    <t>BĐ528836</t>
  </si>
  <si>
    <t>BĐ528834</t>
  </si>
  <si>
    <t>BD528881</t>
  </si>
  <si>
    <t>BD528880</t>
  </si>
  <si>
    <t>BD528886</t>
  </si>
  <si>
    <t>BD528885</t>
  </si>
  <si>
    <t>BD528889</t>
  </si>
  <si>
    <t>BD528893</t>
  </si>
  <si>
    <t>BG287185</t>
  </si>
  <si>
    <t>BĐ636131</t>
  </si>
  <si>
    <t>BĐ636130</t>
  </si>
  <si>
    <t>BĐ636032</t>
  </si>
  <si>
    <t>BĐ636031</t>
  </si>
  <si>
    <t>BĐ636029</t>
  </si>
  <si>
    <t>BĐ636030</t>
  </si>
  <si>
    <t>BĐ636028</t>
  </si>
  <si>
    <t>BĐ528813</t>
  </si>
  <si>
    <t>BĐ528814</t>
  </si>
  <si>
    <t>BĐ528833</t>
  </si>
  <si>
    <t>BĐ528832</t>
  </si>
  <si>
    <t>BG287166</t>
  </si>
  <si>
    <t>BG287167</t>
  </si>
  <si>
    <t>BĐ528816</t>
  </si>
  <si>
    <t>BĐ528817</t>
  </si>
  <si>
    <t>BĐ636078</t>
  </si>
  <si>
    <t>BĐ636077</t>
  </si>
  <si>
    <t>Số thửa902</t>
  </si>
  <si>
    <t>BĐ528796</t>
  </si>
  <si>
    <t>BĐ528797</t>
  </si>
  <si>
    <t>BD528856</t>
  </si>
  <si>
    <t>AO842482</t>
  </si>
  <si>
    <t>BĐ528917</t>
  </si>
  <si>
    <t>BĐ528918</t>
  </si>
  <si>
    <t>BG287178</t>
  </si>
  <si>
    <t>BG287177</t>
  </si>
  <si>
    <t>BĐ528805</t>
  </si>
  <si>
    <t>BĐ528971</t>
  </si>
  <si>
    <t>BĐ528972</t>
  </si>
  <si>
    <t>BD528888</t>
  </si>
  <si>
    <t>BD528887</t>
  </si>
  <si>
    <t>BD528894</t>
  </si>
  <si>
    <t>BĐ636047</t>
  </si>
  <si>
    <t>BĐ636048</t>
  </si>
  <si>
    <t>BĐ636049</t>
  </si>
  <si>
    <t>BĐ636116</t>
  </si>
  <si>
    <t>BĐ636115</t>
  </si>
  <si>
    <t>BĐ636120</t>
  </si>
  <si>
    <t>BĐ636121</t>
  </si>
  <si>
    <t>BG287017</t>
  </si>
  <si>
    <t>BĐ528828</t>
  </si>
  <si>
    <t>BĐ528827</t>
  </si>
  <si>
    <t>AD137795</t>
  </si>
  <si>
    <t>AD137783</t>
  </si>
  <si>
    <t>AD137784</t>
  </si>
  <si>
    <t>AO842495</t>
  </si>
  <si>
    <t>BG287038</t>
  </si>
  <si>
    <t>BG287039</t>
  </si>
  <si>
    <t>BĐ636066</t>
  </si>
  <si>
    <t>BĐ636104</t>
  </si>
  <si>
    <t>BĐ636105</t>
  </si>
  <si>
    <t>BĐ528801</t>
  </si>
  <si>
    <t>BE976128</t>
  </si>
  <si>
    <t>BG287179</t>
  </si>
  <si>
    <t>BE976129</t>
  </si>
  <si>
    <t>BĐ528837</t>
  </si>
  <si>
    <t>BD528884</t>
  </si>
  <si>
    <t>BD528883</t>
  </si>
  <si>
    <t>Số thửa897</t>
  </si>
  <si>
    <t>BG287010</t>
  </si>
  <si>
    <t>BD528863</t>
  </si>
  <si>
    <t>BD528861</t>
  </si>
  <si>
    <t>BD528862</t>
  </si>
  <si>
    <t>BG287174</t>
  </si>
  <si>
    <t>BD528858</t>
  </si>
  <si>
    <t>AD137764</t>
  </si>
  <si>
    <t>AD137796</t>
  </si>
  <si>
    <t>Số thửa918</t>
  </si>
  <si>
    <t>AD137791</t>
  </si>
  <si>
    <t>AD137790</t>
  </si>
  <si>
    <t>AD137792</t>
  </si>
  <si>
    <t>AD137793</t>
  </si>
  <si>
    <t>BĐ528849</t>
  </si>
  <si>
    <t>BĐ528846</t>
  </si>
  <si>
    <t>BĐ528848</t>
  </si>
  <si>
    <t>BĐ528847</t>
  </si>
  <si>
    <t>BG287168</t>
  </si>
  <si>
    <t>BG287169</t>
  </si>
  <si>
    <t>BĐ528839</t>
  </si>
  <si>
    <t>BĐ528838</t>
  </si>
  <si>
    <t>Số thửa520</t>
  </si>
  <si>
    <t>BG287162</t>
  </si>
  <si>
    <t>BG287163</t>
  </si>
  <si>
    <t>BG287164</t>
  </si>
  <si>
    <t>BD528871</t>
  </si>
  <si>
    <t>BD528873</t>
  </si>
  <si>
    <t>BD528891</t>
  </si>
  <si>
    <t>BD528890</t>
  </si>
  <si>
    <t>BG287170</t>
  </si>
  <si>
    <t>BG287172</t>
  </si>
  <si>
    <t>BG287171</t>
  </si>
  <si>
    <t>Số thửa379</t>
  </si>
  <si>
    <t>BĐ528804</t>
  </si>
  <si>
    <t>BĐ528806</t>
  </si>
  <si>
    <t>BG287175</t>
  </si>
  <si>
    <t>BG287176</t>
  </si>
  <si>
    <t>BD528860</t>
  </si>
  <si>
    <t>BD528859</t>
  </si>
  <si>
    <t>BD528864</t>
  </si>
  <si>
    <t>BĐ528968</t>
  </si>
  <si>
    <t>BĐ528970</t>
  </si>
  <si>
    <t>BĐ528969</t>
  </si>
  <si>
    <t>BE976136</t>
  </si>
  <si>
    <t>BD528870</t>
  </si>
  <si>
    <t>BĐ528826</t>
  </si>
  <si>
    <t>BE976127</t>
  </si>
  <si>
    <t>BĐ528829</t>
  </si>
  <si>
    <t>BE976126</t>
  </si>
  <si>
    <t>BĐ636018</t>
  </si>
  <si>
    <t>Số thửa892</t>
  </si>
  <si>
    <t>BĐ636019</t>
  </si>
  <si>
    <t>BĐ636020</t>
  </si>
  <si>
    <t>BE976135</t>
  </si>
  <si>
    <t>BĐ636021</t>
  </si>
  <si>
    <t>BĐ528851</t>
  </si>
  <si>
    <t>BĐ636046</t>
  </si>
  <si>
    <t>BE976137</t>
  </si>
  <si>
    <t>BĐ636045</t>
  </si>
  <si>
    <t>BG287184</t>
  </si>
  <si>
    <t>BĐ636064</t>
  </si>
  <si>
    <t>BĐ528844</t>
  </si>
  <si>
    <t>BĐ528843</t>
  </si>
  <si>
    <t>BĐ528842</t>
  </si>
  <si>
    <t>BĐ528845</t>
  </si>
  <si>
    <t>BĐ636063</t>
  </si>
  <si>
    <t>BĐ636062</t>
  </si>
  <si>
    <t>AD137787</t>
  </si>
  <si>
    <t>AD137798</t>
  </si>
  <si>
    <t>AD137766</t>
  </si>
  <si>
    <t>AD137800</t>
  </si>
  <si>
    <t>BD528869</t>
  </si>
  <si>
    <t>AK849216</t>
  </si>
  <si>
    <t>BĐ528808</t>
  </si>
  <si>
    <t>AO842480</t>
  </si>
  <si>
    <t>BĐ528803</t>
  </si>
  <si>
    <t>BG287181</t>
  </si>
  <si>
    <t>BD528865</t>
  </si>
  <si>
    <t>BĐ528802</t>
  </si>
  <si>
    <t>BĐ528821</t>
  </si>
  <si>
    <t>AO842496</t>
  </si>
  <si>
    <t>AO842497</t>
  </si>
  <si>
    <t>BQL rừng phòng hộ Hướng Hóa - Đakrông</t>
  </si>
  <si>
    <t>Hồ Văn Tuấn</t>
  </si>
  <si>
    <t>Hồ Văn Xăng</t>
  </si>
  <si>
    <t>Cộng đồng thôn Ruộng</t>
  </si>
  <si>
    <t>Hồ Văn Hơm</t>
  </si>
  <si>
    <t>Hồ Văn Buông</t>
  </si>
  <si>
    <t>Hồ Xăm</t>
  </si>
  <si>
    <t>Hồ Thị Trầm</t>
  </si>
  <si>
    <t>Hồ Văn Nhề</t>
  </si>
  <si>
    <t>Hồ Văn Phong (Pả Đù)</t>
  </si>
  <si>
    <t>Hồ Văn Lê</t>
  </si>
  <si>
    <t>Hồ Văn Hất</t>
  </si>
  <si>
    <t>Hồ Văn Trai</t>
  </si>
  <si>
    <t>Hồ Văn Cất</t>
  </si>
  <si>
    <t>Hồ Ta Nề</t>
  </si>
  <si>
    <t>Hồ Văn Hưm</t>
  </si>
  <si>
    <t>Hồ Văn Lai (Pả Minh)</t>
  </si>
  <si>
    <t>Hồ Văn Hoàng</t>
  </si>
  <si>
    <t>Hồ Văn Sâm</t>
  </si>
  <si>
    <t>Hồ Văn Me</t>
  </si>
  <si>
    <t>Hồ Văn Hé</t>
  </si>
  <si>
    <t>Hồ Văn Ka</t>
  </si>
  <si>
    <t>UBND xă</t>
  </si>
  <si>
    <t>Hồ Thị Giúp</t>
  </si>
  <si>
    <t>Hồ Văn Khâm</t>
  </si>
  <si>
    <t>Hồ Văn A Xiêp</t>
  </si>
  <si>
    <t>Hồ Văn Ta Pưp</t>
  </si>
  <si>
    <t>Hồ Văn Ta</t>
  </si>
  <si>
    <t>Hồ Văn La</t>
  </si>
  <si>
    <t>Hồ Tuông</t>
  </si>
  <si>
    <t>Trần Văn Học</t>
  </si>
  <si>
    <t>Hồ Văn Phương</t>
  </si>
  <si>
    <t>Hồ Văn Bồ (Pả Nhân)</t>
  </si>
  <si>
    <t>Hồ Văn Choắt</t>
  </si>
  <si>
    <t>Hồ Văn Xã</t>
  </si>
  <si>
    <t>Hồ Văn Sửa</t>
  </si>
  <si>
    <t>Sân Vận Động</t>
  </si>
  <si>
    <t>Hồ Văn ưng</t>
  </si>
  <si>
    <t>Hồ Sưl</t>
  </si>
  <si>
    <t>Nguyễn Quang Thoại</t>
  </si>
  <si>
    <t>Hồ Văn Nghiêm</t>
  </si>
  <si>
    <t>CTCPQL và XDĐB Quảng Tri</t>
  </si>
  <si>
    <t>Lê Thị Thỉ</t>
  </si>
  <si>
    <t>Trần Hữu Tiếu</t>
  </si>
  <si>
    <t>Trần Đình Đạt</t>
  </si>
  <si>
    <t>Trần Hữu Quyện</t>
  </si>
  <si>
    <t>Trần Văn Dinh</t>
  </si>
  <si>
    <t>Nguyễn Văn Dũng</t>
  </si>
  <si>
    <t>Trần Xuân Hòe</t>
  </si>
  <si>
    <t>Hồ Văn Nuốt</t>
  </si>
  <si>
    <t>Trần Văn Dự</t>
  </si>
  <si>
    <t>Nguyễn Văn Lập</t>
  </si>
  <si>
    <t>Mầm Non Hướng Tân</t>
  </si>
  <si>
    <t>Nguyễn Quang Trung</t>
  </si>
  <si>
    <t>Nguyễn Văn Việt</t>
  </si>
  <si>
    <t>Nguyễn Văn Thanh</t>
  </si>
  <si>
    <t>Trần Thị Thuỷ</t>
  </si>
  <si>
    <t>Nguyễn Hữu Luyện</t>
  </si>
  <si>
    <t>Trần Minh Tuân</t>
  </si>
  <si>
    <t>Nguyễn Quang Tảo</t>
  </si>
  <si>
    <t>Nguyễn Hữu Sỹ</t>
  </si>
  <si>
    <t>Nguyễn Biên Cương</t>
  </si>
  <si>
    <t>Trần Minh Đoái</t>
  </si>
  <si>
    <t>Hồ Văn Phế</t>
  </si>
  <si>
    <t>Hồ Văn Xi</t>
  </si>
  <si>
    <t>Hồ Thị Pờn</t>
  </si>
  <si>
    <t>Hồ Trẹo</t>
  </si>
  <si>
    <t>Hồ Mát</t>
  </si>
  <si>
    <t>Hồ Ta Nia (Pả Vinh)</t>
  </si>
  <si>
    <t>Hồ Văn Thơ</t>
  </si>
  <si>
    <t>CTCPQLvà XDĐB Quảng Tri</t>
  </si>
  <si>
    <t>Hồ Căm</t>
  </si>
  <si>
    <t>Trần Văn Hoàng</t>
  </si>
  <si>
    <t>Nguyễn Đức Tâm</t>
  </si>
  <si>
    <t>Hồ Văn Xoan</t>
  </si>
  <si>
    <t>Lục Văn Lâm</t>
  </si>
  <si>
    <t>Hồ Văn Hoàn</t>
  </si>
  <si>
    <t>Nguyễn Hữu Sen</t>
  </si>
  <si>
    <t>Hồ Xa Lác</t>
  </si>
  <si>
    <t>CTQL vã XDĐB Quảng Trị</t>
  </si>
  <si>
    <t>Hồ Văn Kè</t>
  </si>
  <si>
    <t>Hồ Ta Quan</t>
  </si>
  <si>
    <t xml:space="preserve">UBND thị trấn </t>
  </si>
  <si>
    <t>Nguyễn Quang Tuân</t>
  </si>
  <si>
    <t>Lê Gia San</t>
  </si>
  <si>
    <t>Nguyễn Hữu Sĩ</t>
  </si>
  <si>
    <t>UBND thị trấn</t>
  </si>
  <si>
    <t>Phan Thị Ngọc Trâm</t>
  </si>
  <si>
    <t>Trương Ngọc Thanh</t>
  </si>
  <si>
    <t>UBND TT</t>
  </si>
  <si>
    <t>Nguyễn Hữu Chiến</t>
  </si>
  <si>
    <t>UBND thị trấn quản lý</t>
  </si>
  <si>
    <t>DANH SÁCH THU HỒI
TÊN DỰ ÁN: NHÀ MÁY ĐIỆN GIÓ LIG- HƯỚNG HÓA 1
ĐỊA ĐIỂM: XÃ HƯỚNG TÂN - HUYỆN HƯỚNG HÓA - QUẢNG TRỊ</t>
  </si>
  <si>
    <t>RPN</t>
  </si>
  <si>
    <t>RPT</t>
  </si>
  <si>
    <t>RST</t>
  </si>
  <si>
    <t>RPH</t>
  </si>
  <si>
    <t>RSN</t>
  </si>
  <si>
    <t>ONT</t>
  </si>
  <si>
    <t>NTD</t>
  </si>
  <si>
    <t>DTT</t>
  </si>
  <si>
    <t>DGD</t>
  </si>
  <si>
    <t>MNC</t>
  </si>
  <si>
    <t>ODT+CLN</t>
  </si>
  <si>
    <t>HH1_10</t>
  </si>
  <si>
    <t>VT12</t>
  </si>
  <si>
    <t>VT11-G6, VT10, VT9-G5, HH1_11, VT8, DGT, TD42, DGT, HH1_9, HH1_8, VT7, TD41, TD40, TD39, TD38, TD37, DGT, DGT</t>
  </si>
  <si>
    <t>VT15, VT14-G7, VT13</t>
  </si>
  <si>
    <t>TD42, DGT, HH1_9, HH1_8, DGT</t>
  </si>
  <si>
    <t>TD36, TD35, VT6-G4, TD34, DGT</t>
  </si>
  <si>
    <t>TD27, TD26, TD25</t>
  </si>
  <si>
    <t>TD28</t>
  </si>
  <si>
    <t>TD26</t>
  </si>
  <si>
    <t>TD33</t>
  </si>
  <si>
    <t>TD32</t>
  </si>
  <si>
    <t>DGT, DGT, DGT, DGT, DGT, DGT, DGT</t>
  </si>
  <si>
    <t>TD31</t>
  </si>
  <si>
    <t>TD30, TD29</t>
  </si>
  <si>
    <t>TD34</t>
  </si>
  <si>
    <t>TD29-1</t>
  </si>
  <si>
    <t>VT5-G3</t>
  </si>
  <si>
    <t>DGT, DGT</t>
  </si>
  <si>
    <t>VT4, DGT, DGT</t>
  </si>
  <si>
    <t>VT4</t>
  </si>
  <si>
    <t>DGT, DGT, DGT</t>
  </si>
  <si>
    <t>TD24</t>
  </si>
  <si>
    <t>TD23</t>
  </si>
  <si>
    <t>HH1_12, DGT</t>
  </si>
  <si>
    <t>TD22</t>
  </si>
  <si>
    <t>VT3-G2</t>
  </si>
  <si>
    <t>TD21</t>
  </si>
  <si>
    <t>TD20</t>
  </si>
  <si>
    <t>NDH</t>
  </si>
  <si>
    <t>TD19-1, NDH, DGT</t>
  </si>
  <si>
    <t>NDH, DGT</t>
  </si>
  <si>
    <t>TD18, DGT, DGT, DGT</t>
  </si>
  <si>
    <t>VT1, DGT</t>
  </si>
  <si>
    <t>TD17, HH1_10, DGT</t>
  </si>
  <si>
    <t>NDH, TD19</t>
  </si>
  <si>
    <t>VT2-G1</t>
  </si>
  <si>
    <t>HH1_10, DGT</t>
  </si>
  <si>
    <t>TD16</t>
  </si>
  <si>
    <t>TD14</t>
  </si>
  <si>
    <t>TD13</t>
  </si>
  <si>
    <t>TD12</t>
  </si>
  <si>
    <t>HH1_1</t>
  </si>
  <si>
    <t>TD2, DGT</t>
  </si>
  <si>
    <t>TD15</t>
  </si>
  <si>
    <t>HH1_10, HH1_10, DGT</t>
  </si>
  <si>
    <t>HH1_1, DGT</t>
  </si>
  <si>
    <t>HH1_2</t>
  </si>
  <si>
    <t>TD11</t>
  </si>
  <si>
    <t>TD10</t>
  </si>
  <si>
    <t>TD8</t>
  </si>
  <si>
    <t>TD7</t>
  </si>
  <si>
    <t>TD5, DGT</t>
  </si>
  <si>
    <t>TD7, DGT</t>
  </si>
  <si>
    <t>HH1_2, DGT</t>
  </si>
  <si>
    <t>HH1_3</t>
  </si>
  <si>
    <t>TD3, DGT</t>
  </si>
  <si>
    <t>TD6, DGT, DGT</t>
  </si>
  <si>
    <t>HH1_3, DGT</t>
  </si>
  <si>
    <t>TD9, HH1_2, DGT</t>
  </si>
  <si>
    <t/>
  </si>
  <si>
    <t>DANH SÁCH THU HỒI
TÊN DỰ ÁN: NHÀ MÁY ĐIỆN GIÓ LIG- HƯỚNG HÓA 1
ĐỊA ĐIỂM: XÃ HƯỚNG TÂN &amp; THỊ TRẤN KHE SANH - HUYỆN HƯỚNG HÓA - QUẢNG TRỊ</t>
  </si>
  <si>
    <t>Ghi Chú</t>
  </si>
  <si>
    <t>Đặng Đức Tài</t>
  </si>
  <si>
    <t>Nguyễn Xuân Thủy</t>
  </si>
  <si>
    <t>BẢNG TỔNG HỢP DIỆN TÍCH ĐẤT THU HỒI
TÊN DỰ ÁN: KHU TÁI ĐỊNH CƯ THÔN A XÓC - CHA LỲ
ĐỊA ĐIỂM: XÃ HƯỚNG LẬP - HUYỆN HƯỚNG HÓA - QUẢNG TRỊ</t>
  </si>
  <si>
    <t>(Kèm theo bản đo đạc chỉnh lý số              /ĐĐCLBĐ lập ngày         tháng         năm             )</t>
  </si>
  <si>
    <t>Đối tượng quản lý, sử dụng</t>
  </si>
  <si>
    <t>Diện tích thu hồi theo hiện trạng (m2)</t>
  </si>
  <si>
    <t>Diện tích thu hồi theo GCN (m2)</t>
  </si>
  <si>
    <t>Ghi chú</t>
  </si>
  <si>
    <t>GDC</t>
  </si>
  <si>
    <t>Đất trồng cây lâu năm (CLN)</t>
  </si>
  <si>
    <t>Ngày        tháng      năm 20</t>
  </si>
  <si>
    <t>Đơn vị thực hiện</t>
  </si>
  <si>
    <t>Chi nhánh Văn phòng đăng ký đất đai Hướng Hóa</t>
  </si>
  <si>
    <t>Giám Đốc</t>
  </si>
  <si>
    <t>TỔNG HỢP DIỆN TÍCH GIẢI TỎA THEO MĐSD</t>
  </si>
  <si>
    <t>MĐSD</t>
  </si>
  <si>
    <t>Diện tích(m²)</t>
  </si>
  <si>
    <t>NNP</t>
  </si>
  <si>
    <t>Đất nông nghiệp</t>
  </si>
  <si>
    <t>SXN</t>
  </si>
  <si>
    <t>Đất sản xuất nông nghiệp</t>
  </si>
  <si>
    <t>CHN</t>
  </si>
  <si>
    <t>Đất trồng cây hàng năm</t>
  </si>
  <si>
    <t>LUA</t>
  </si>
  <si>
    <t xml:space="preserve"> Đất trồng lúa </t>
  </si>
  <si>
    <t xml:space="preserve"> Đất chuyên trồng lúa nước</t>
  </si>
  <si>
    <t xml:space="preserve"> Đất trồng lúa nước còn lại</t>
  </si>
  <si>
    <t>LUN</t>
  </si>
  <si>
    <t xml:space="preserve"> Đất trồng lúa nương</t>
  </si>
  <si>
    <t>HNK</t>
  </si>
  <si>
    <t xml:space="preserve"> Đất trồng cây hàng năm khác</t>
  </si>
  <si>
    <t>BHK</t>
  </si>
  <si>
    <t xml:space="preserve"> Đất bằng trồng cây hàng năm khác</t>
  </si>
  <si>
    <t xml:space="preserve"> Đất nương rẫy trồng cây hàng năm khác</t>
  </si>
  <si>
    <t>Đất trồng cây lâu năm</t>
  </si>
  <si>
    <t>LNP</t>
  </si>
  <si>
    <t>Đất lâm nghiệp</t>
  </si>
  <si>
    <t>RSX</t>
  </si>
  <si>
    <t xml:space="preserve"> Đất rừng sản xuất</t>
  </si>
  <si>
    <t xml:space="preserve"> Đất có rừng sản xuất là rừng tự nhiên</t>
  </si>
  <si>
    <t xml:space="preserve"> Đất có rừng sản xuất là rừng trồng</t>
  </si>
  <si>
    <t>RSM</t>
  </si>
  <si>
    <t xml:space="preserve"> Đất đang sử dụng để bảo vệ, phát triển rừng sản xuất</t>
  </si>
  <si>
    <t xml:space="preserve"> Đất rừng phòng hộ</t>
  </si>
  <si>
    <t xml:space="preserve"> Đất có rừng phòng hộ là rừng tự nhiên </t>
  </si>
  <si>
    <t xml:space="preserve"> Đất có rừng phòng hộ là rừng trồng </t>
  </si>
  <si>
    <t>RPM</t>
  </si>
  <si>
    <t xml:space="preserve"> Đất đang sử dụng để bảo vệ, phát triển rừng phòng hộ</t>
  </si>
  <si>
    <t>RDD</t>
  </si>
  <si>
    <t xml:space="preserve"> Đất rừng đặc dụng</t>
  </si>
  <si>
    <t>RDN</t>
  </si>
  <si>
    <t xml:space="preserve"> Đất có rừng đặc dụng là rừng tự nhiên</t>
  </si>
  <si>
    <t>RDT</t>
  </si>
  <si>
    <t xml:space="preserve"> Đất có rừng đặc dụng là rừng trồng </t>
  </si>
  <si>
    <t>RDM</t>
  </si>
  <si>
    <t xml:space="preserve"> Đất đang sử dụng để bảo vệ, phát triển rừng đặc dụng</t>
  </si>
  <si>
    <t>NTS</t>
  </si>
  <si>
    <t>Đất nuôi trồng thủy sản</t>
  </si>
  <si>
    <t>LMU</t>
  </si>
  <si>
    <t>Đất làm muối</t>
  </si>
  <si>
    <t>NKH</t>
  </si>
  <si>
    <t>Đất nông nghiệp khác</t>
  </si>
  <si>
    <t>PNN</t>
  </si>
  <si>
    <t>Đất phi nông nghiệp</t>
  </si>
  <si>
    <t>OTC</t>
  </si>
  <si>
    <t>Đất ở</t>
  </si>
  <si>
    <t xml:space="preserve"> Đất ở tại nông thôn</t>
  </si>
  <si>
    <t>ODT</t>
  </si>
  <si>
    <t xml:space="preserve"> Đất ở tại đô thị</t>
  </si>
  <si>
    <t>CDG</t>
  </si>
  <si>
    <t>Đất chuyên dùng</t>
  </si>
  <si>
    <t>TSC</t>
  </si>
  <si>
    <t xml:space="preserve"> Đất xây dựng trụ sở cơ quan </t>
  </si>
  <si>
    <t>CQP</t>
  </si>
  <si>
    <t xml:space="preserve"> Đất quốc phòng</t>
  </si>
  <si>
    <t>CAN</t>
  </si>
  <si>
    <t xml:space="preserve"> Đất an ninh</t>
  </si>
  <si>
    <t>DSN</t>
  </si>
  <si>
    <t xml:space="preserve"> Đất xây dựng công trình sự nghiệp</t>
  </si>
  <si>
    <t>DTS</t>
  </si>
  <si>
    <t xml:space="preserve"> Đất xây dựng trụ sở của tổ chức sự nghiệp</t>
  </si>
  <si>
    <t>DVH</t>
  </si>
  <si>
    <t xml:space="preserve"> Đất xây dựng cơ sở văn hóa</t>
  </si>
  <si>
    <t>DXH</t>
  </si>
  <si>
    <t xml:space="preserve"> Đất xây dựng cơ sở dịch vụ xã hội</t>
  </si>
  <si>
    <t>DYT</t>
  </si>
  <si>
    <t xml:space="preserve"> Đất xây dựng cơ sở y tế</t>
  </si>
  <si>
    <t xml:space="preserve"> Đất xây dựng cơ sở giáo dục và đào tạo</t>
  </si>
  <si>
    <t xml:space="preserve"> Đất xây dựng cơ sở thể dục thể thao</t>
  </si>
  <si>
    <t>DKH</t>
  </si>
  <si>
    <t xml:space="preserve"> Đất xây dựng cơ sở khoa học và công nghệ</t>
  </si>
  <si>
    <t>DNG</t>
  </si>
  <si>
    <t xml:space="preserve"> Đất xây dựng cơ sở ngoại giao</t>
  </si>
  <si>
    <t>DSK</t>
  </si>
  <si>
    <t xml:space="preserve"> Đất xây dựng công trình sự nghiệp khác</t>
  </si>
  <si>
    <t>CSK</t>
  </si>
  <si>
    <t xml:space="preserve"> Đất sản xuất, kinh doanh phi nông nghiệp</t>
  </si>
  <si>
    <t>SKK</t>
  </si>
  <si>
    <t xml:space="preserve"> Đất khu công nghiệp</t>
  </si>
  <si>
    <t>SKN</t>
  </si>
  <si>
    <t xml:space="preserve"> Đất cụm công nghiệp</t>
  </si>
  <si>
    <t>SKT</t>
  </si>
  <si>
    <t xml:space="preserve"> Đất khu chế xuất</t>
  </si>
  <si>
    <t>TMD</t>
  </si>
  <si>
    <t xml:space="preserve"> Đất thương mại, dịch vụ</t>
  </si>
  <si>
    <t>SKC</t>
  </si>
  <si>
    <t xml:space="preserve"> Đất cơ sở sản xuất phi nông nghiệp</t>
  </si>
  <si>
    <t>SKS</t>
  </si>
  <si>
    <t xml:space="preserve"> Đất sử dụng cho hoạt động khoáng sản</t>
  </si>
  <si>
    <t>SKX</t>
  </si>
  <si>
    <t xml:space="preserve"> Đất sản xuất vật liệu xây dựng, làm đồ gốm </t>
  </si>
  <si>
    <t>CCC</t>
  </si>
  <si>
    <t xml:space="preserve"> Đất có mục đích công cộng</t>
  </si>
  <si>
    <t xml:space="preserve"> Đất giao thông</t>
  </si>
  <si>
    <t>DTL</t>
  </si>
  <si>
    <t xml:space="preserve"> Đất thủy lợi</t>
  </si>
  <si>
    <t>DDT</t>
  </si>
  <si>
    <t xml:space="preserve"> Đất có di tích lịch sử - văn hóa </t>
  </si>
  <si>
    <t>DDL</t>
  </si>
  <si>
    <t xml:space="preserve"> Đất danh lam thắng cảnh</t>
  </si>
  <si>
    <t>DSH</t>
  </si>
  <si>
    <t xml:space="preserve"> Đất sinh hoạt cộng đồng</t>
  </si>
  <si>
    <t>DKV</t>
  </si>
  <si>
    <t xml:space="preserve"> Đất khu vui chơi, giải trí công cộng</t>
  </si>
  <si>
    <t>DNL</t>
  </si>
  <si>
    <t xml:space="preserve"> Đất công trình năng lượng</t>
  </si>
  <si>
    <t>DBV</t>
  </si>
  <si>
    <t xml:space="preserve"> Đất công trình bưu chính, viễn thông</t>
  </si>
  <si>
    <t>DCH</t>
  </si>
  <si>
    <t xml:space="preserve"> Đất chợ</t>
  </si>
  <si>
    <t>DRA</t>
  </si>
  <si>
    <t xml:space="preserve"> Đất bãi thải, xử lý chất thải</t>
  </si>
  <si>
    <t>DCK</t>
  </si>
  <si>
    <t xml:space="preserve"> Đất công trình công cộng khác</t>
  </si>
  <si>
    <t>TON</t>
  </si>
  <si>
    <t xml:space="preserve"> Đất cơ sở tôn giáo</t>
  </si>
  <si>
    <t>TIN</t>
  </si>
  <si>
    <t xml:space="preserve"> Đất cơ sở tín ngưỡng</t>
  </si>
  <si>
    <t>Đất làm nghĩa trang, nghĩa địa, nhà tang lễ, NHT</t>
  </si>
  <si>
    <t>Đất sông, ngòi, kênh, rạch, suối</t>
  </si>
  <si>
    <t>Đất có mặt nước chuyên dùng</t>
  </si>
  <si>
    <t>PNK</t>
  </si>
  <si>
    <t xml:space="preserve"> Đất phi nông nghiệp khác </t>
  </si>
  <si>
    <t xml:space="preserve"> Đất có rừng sản xuất là rừng tự nhiên (RSN)</t>
  </si>
  <si>
    <t xml:space="preserve"> Đất rừng phòng hộ (RPH)</t>
  </si>
  <si>
    <t xml:space="preserve"> Đất có rừng phòng hộ là rừng tự nhiên  (RPN)</t>
  </si>
  <si>
    <t xml:space="preserve"> Đất xây dựng cơ sở giáo dục và đào tạo (DGD)</t>
  </si>
  <si>
    <t xml:space="preserve"> Đất xây dựng cơ sở thể dục thể thao (DTT)</t>
  </si>
  <si>
    <t>Đất có mặt nước chuyên dùng (MNC)</t>
  </si>
  <si>
    <t xml:space="preserve"> Đất trồng lúa nước còn lại (LUK)</t>
  </si>
  <si>
    <t xml:space="preserve"> Đất có rừng phòng hộ là rừng trồng  (RPT)</t>
  </si>
  <si>
    <t>Đất làm nghĩa trang, nghĩa địa, nhà tang lễ, NHT (NTD)</t>
  </si>
  <si>
    <t>Đất sông, ngòi, kênh, rạch, suối (SON)</t>
  </si>
  <si>
    <t xml:space="preserve"> Đất có rừng sản xuất là rừng trồng (RST)</t>
  </si>
  <si>
    <t xml:space="preserve"> Đất nương rẫy trồng cây hàng năm khác (NHK)</t>
  </si>
  <si>
    <t xml:space="preserve"> Đất giao thông (DGT)</t>
  </si>
  <si>
    <t xml:space="preserve"> Đất chuyên trồng lúa nước (LUC)</t>
  </si>
  <si>
    <t>TSN</t>
  </si>
  <si>
    <t>UBQ</t>
  </si>
  <si>
    <t xml:space="preserve"> Đất làm nghĩa trang, nghĩa địa, nhà tang lễ, NHT</t>
  </si>
  <si>
    <t>Đất phi nông nghiệp khác</t>
  </si>
  <si>
    <t xml:space="preserve"> Đất chưa sử dụng</t>
  </si>
  <si>
    <t>CSD</t>
  </si>
  <si>
    <t xml:space="preserve"> Đất bằng chưa sử dụng</t>
  </si>
  <si>
    <t>BCS</t>
  </si>
  <si>
    <t xml:space="preserve"> Đất đồi núi chưa sử dụng</t>
  </si>
  <si>
    <t xml:space="preserve"> Núi đá không có rừng cây</t>
  </si>
  <si>
    <t>NCS</t>
  </si>
  <si>
    <t>Đất có mặt nước ven biển (quan sát)</t>
  </si>
  <si>
    <t>MVB</t>
  </si>
  <si>
    <t xml:space="preserve"> Đất mặt nước ven biển nuôi trồng thủy sản</t>
  </si>
  <si>
    <t>MVT</t>
  </si>
  <si>
    <t xml:space="preserve"> Đất mặt nước ven biển có rừng ngập mặn</t>
  </si>
  <si>
    <t>MVR</t>
  </si>
  <si>
    <t xml:space="preserve"> Đất mặt nước ven biển có mục đích khác</t>
  </si>
  <si>
    <t>MVK</t>
  </si>
  <si>
    <t xml:space="preserve"> Đất đồi núi chưa sử dụng (DCS)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</si>
</sst>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6" x14ac:knownFonts="1"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000000"/>
      <name val="Times New Roman"/>
      <family val="1"/>
    </font>
    <font>
      <sz val="14"/>
      <name val="Times New Roman"/>
      <family val="1"/>
    </font>
    <font>
      <b/>
      <sz val="11"/>
      <color rgb="FF000000"/>
      <name val="Times New Roman"/>
      <family val="1"/>
    </font>
    <font>
      <b/>
      <sz val="12"/>
      <color theme="1"/>
      <name val="Times New Roman"/>
      <family val="1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i/>
      <sz val="11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i/>
      <sz val="11"/>
      <color theme="1"/>
      <name val="Calibri"/>
      <family val="2"/>
      <scheme val="minor"/>
    </font>
    <font>
      <b/>
      <sz val="17"/>
      <color theme="1"/>
      <name val="Times New Roman"/>
      <family val="1"/>
    </font>
    <font>
      <i/>
      <sz val="17"/>
      <color theme="1"/>
      <name val="Times New Roman"/>
      <family val="1"/>
    </font>
    <font>
      <b/>
      <sz val="15"/>
      <color theme="1"/>
      <name val="Times New Roman"/>
      <family val="1"/>
    </font>
    <font>
      <sz val="15"/>
      <color theme="1"/>
      <name val="Times New Roman"/>
      <family val="1"/>
    </font>
    <font>
      <b/>
      <i/>
      <sz val="15"/>
      <color theme="1"/>
      <name val="Times New Roman"/>
      <family val="1"/>
    </font>
    <font>
      <b/>
      <sz val="15"/>
      <name val="Times New Roman"/>
      <family val="1"/>
    </font>
    <font>
      <sz val="15"/>
      <name val="Times New Roman"/>
      <family val="1"/>
    </font>
    <font>
      <sz val="15"/>
      <color indexed="8"/>
      <name val="Times New Roman"/>
      <family val="1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5" fillId="0" borderId="0"/>
    <xf numFmtId="0" fontId="14" fillId="0" borderId="0"/>
    <xf numFmtId="0" fontId="25" fillId="0" borderId="0"/>
  </cellStyleXfs>
  <cellXfs count="106">
    <xf numFmtId="0" fontId="0" fillId="0" borderId="0" xfId="0"/>
    <xf numFmtId="0" fontId="2" fillId="0" borderId="0" xfId="0" applyFont="1"/>
    <xf numFmtId="0" fontId="9" fillId="2" borderId="0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" fontId="5" fillId="0" borderId="0" xfId="0" applyNumberFormat="1" applyFont="1" applyAlignment="1">
      <alignment horizontal="center"/>
    </xf>
    <xf numFmtId="1" fontId="6" fillId="0" borderId="0" xfId="0" applyNumberFormat="1" applyFont="1"/>
    <xf numFmtId="2" fontId="4" fillId="0" borderId="0" xfId="0" applyNumberFormat="1" applyFont="1" applyAlignment="1">
      <alignment horizontal="center"/>
    </xf>
    <xf numFmtId="1" fontId="5" fillId="0" borderId="0" xfId="0" applyNumberFormat="1" applyFont="1"/>
    <xf numFmtId="0" fontId="5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/>
    <xf numFmtId="164" fontId="11" fillId="0" borderId="0" xfId="0" applyNumberFormat="1" applyFont="1" applyAlignment="1">
      <alignment horizontal="center"/>
    </xf>
    <xf numFmtId="1" fontId="12" fillId="0" borderId="0" xfId="0" applyNumberFormat="1" applyFont="1"/>
    <xf numFmtId="0" fontId="11" fillId="0" borderId="0" xfId="0" applyFont="1"/>
    <xf numFmtId="2" fontId="12" fillId="0" borderId="0" xfId="0" applyNumberFormat="1" applyFont="1" applyAlignment="1">
      <alignment horizont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center" vertical="center"/>
    </xf>
    <xf numFmtId="1" fontId="13" fillId="0" borderId="0" xfId="0" applyNumberFormat="1" applyFont="1"/>
    <xf numFmtId="0" fontId="16" fillId="0" borderId="0" xfId="1" applyFont="1"/>
    <xf numFmtId="0" fontId="16" fillId="0" borderId="0" xfId="2" applyFont="1"/>
    <xf numFmtId="0" fontId="15" fillId="0" borderId="0" xfId="1"/>
    <xf numFmtId="0" fontId="14" fillId="0" borderId="0" xfId="2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1" xfId="0" applyNumberFormat="1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 wrapText="1"/>
    </xf>
    <xf numFmtId="1" fontId="11" fillId="0" borderId="1" xfId="0" applyNumberFormat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6" fillId="0" borderId="0" xfId="0" applyFont="1"/>
    <xf numFmtId="164" fontId="9" fillId="0" borderId="0" xfId="0" applyNumberFormat="1" applyFont="1"/>
    <xf numFmtId="1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7" fillId="0" borderId="0" xfId="1" applyNumberFormat="1" applyFont="1" applyAlignment="1">
      <alignment horizontal="center" vertical="center" wrapText="1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9" fillId="0" borderId="10" xfId="1" applyFont="1" applyBorder="1" applyAlignment="1">
      <alignment horizontal="center" vertical="center" wrapText="1"/>
    </xf>
    <xf numFmtId="0" fontId="19" fillId="0" borderId="11" xfId="1" applyNumberFormat="1" applyFont="1" applyBorder="1" applyAlignment="1">
      <alignment horizontal="center" vertical="center" wrapText="1"/>
    </xf>
    <xf numFmtId="0" fontId="19" fillId="0" borderId="12" xfId="1" applyNumberFormat="1" applyFont="1" applyBorder="1" applyAlignment="1">
      <alignment horizontal="center" vertical="center" wrapText="1"/>
    </xf>
    <xf numFmtId="0" fontId="20" fillId="0" borderId="13" xfId="1" applyFont="1" applyBorder="1" applyAlignment="1">
      <alignment horizontal="center" vertical="center" wrapText="1"/>
    </xf>
    <xf numFmtId="0" fontId="20" fillId="0" borderId="14" xfId="1" applyNumberFormat="1" applyFont="1" applyBorder="1" applyAlignment="1">
      <alignment horizontal="center" vertical="center" wrapText="1"/>
    </xf>
    <xf numFmtId="0" fontId="20" fillId="0" borderId="15" xfId="1" applyFont="1" applyBorder="1" applyAlignment="1">
      <alignment horizontal="center" vertical="center" wrapText="1"/>
    </xf>
    <xf numFmtId="0" fontId="20" fillId="0" borderId="16" xfId="1" applyNumberFormat="1" applyFont="1" applyBorder="1" applyAlignment="1">
      <alignment horizontal="center" vertical="center" wrapText="1"/>
    </xf>
    <xf numFmtId="0" fontId="20" fillId="0" borderId="17" xfId="1" applyFont="1" applyBorder="1" applyAlignment="1">
      <alignment horizontal="center" vertical="center" wrapText="1"/>
    </xf>
    <xf numFmtId="0" fontId="20" fillId="0" borderId="18" xfId="1" applyNumberFormat="1" applyFont="1" applyBorder="1" applyAlignment="1">
      <alignment horizontal="center" vertical="center" wrapText="1"/>
    </xf>
    <xf numFmtId="0" fontId="21" fillId="0" borderId="0" xfId="1" applyFont="1" applyBorder="1" applyAlignment="1">
      <alignment horizontal="center" vertical="center" wrapText="1"/>
    </xf>
    <xf numFmtId="164" fontId="19" fillId="0" borderId="0" xfId="1" applyNumberFormat="1" applyFont="1" applyBorder="1" applyAlignment="1">
      <alignment horizontal="center" vertical="center" wrapText="1"/>
    </xf>
    <xf numFmtId="0" fontId="20" fillId="0" borderId="0" xfId="1" applyFont="1" applyBorder="1" applyAlignment="1">
      <alignment vertical="center" wrapText="1"/>
    </xf>
    <xf numFmtId="0" fontId="20" fillId="0" borderId="0" xfId="1" applyNumberFormat="1" applyFont="1" applyFill="1" applyBorder="1" applyAlignment="1">
      <alignment horizontal="center" vertical="center"/>
    </xf>
    <xf numFmtId="0" fontId="19" fillId="0" borderId="0" xfId="1" applyNumberFormat="1" applyFont="1" applyFill="1" applyBorder="1" applyAlignment="1">
      <alignment horizontal="center" vertical="center"/>
    </xf>
    <xf numFmtId="0" fontId="22" fillId="0" borderId="0" xfId="1" applyFont="1" applyFill="1" applyBorder="1" applyAlignment="1">
      <alignment horizontal="center" vertical="center"/>
    </xf>
    <xf numFmtId="0" fontId="22" fillId="0" borderId="0" xfId="1" applyFont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2" fillId="0" borderId="0" xfId="1" applyFont="1" applyAlignment="1">
      <alignment horizontal="center" vertical="center"/>
    </xf>
    <xf numFmtId="164" fontId="23" fillId="0" borderId="0" xfId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1" applyNumberFormat="1" applyFont="1" applyFill="1" applyBorder="1" applyAlignment="1">
      <alignment horizontal="center" vertical="center"/>
    </xf>
    <xf numFmtId="0" fontId="1" fillId="0" borderId="0" xfId="3" applyFont="1" applyAlignment="1">
      <alignment horizontal="center"/>
    </xf>
    <xf numFmtId="0" fontId="2" fillId="0" borderId="0" xfId="3" applyFont="1"/>
    <xf numFmtId="0" fontId="2" fillId="0" borderId="0" xfId="3" applyFont="1" applyAlignment="1">
      <alignment horizontal="center"/>
    </xf>
    <xf numFmtId="0" fontId="20" fillId="0" borderId="20" xfId="1" applyFont="1" applyBorder="1" applyAlignment="1">
      <alignment horizontal="center" vertical="center" wrapText="1"/>
    </xf>
    <xf numFmtId="0" fontId="20" fillId="0" borderId="1" xfId="1" applyNumberFormat="1" applyFont="1" applyBorder="1" applyAlignment="1">
      <alignment horizontal="center" vertical="center" wrapText="1"/>
    </xf>
    <xf numFmtId="0" fontId="20" fillId="0" borderId="1" xfId="1" applyNumberFormat="1" applyFont="1" applyBorder="1" applyAlignment="1">
      <alignment horizontal="center" vertical="center" wrapText="1"/>
    </xf>
    <xf numFmtId="0" fontId="19" fillId="0" borderId="19" xfId="1" applyNumberFormat="1" applyFont="1" applyBorder="1" applyAlignment="1">
      <alignment horizontal="center" vertical="center" wrapText="1"/>
    </xf>
    <xf numFmtId="164" fontId="20" fillId="0" borderId="1" xfId="1" applyNumberFormat="1" applyFont="1" applyBorder="1" applyAlignment="1">
      <alignment horizontal="center" vertical="center" wrapText="1"/>
    </xf>
    <xf numFmtId="164" fontId="20" fillId="0" borderId="19" xfId="1" applyNumberFormat="1" applyFont="1" applyBorder="1" applyAlignment="1">
      <alignment horizontal="center" vertical="center" wrapText="1"/>
    </xf>
    <xf numFmtId="0" fontId="19" fillId="0" borderId="21" xfId="1" applyFont="1" applyBorder="1" applyAlignment="1">
      <alignment horizontal="center" vertical="center"/>
    </xf>
    <xf numFmtId="0" fontId="19" fillId="0" borderId="22" xfId="1" applyFont="1" applyBorder="1" applyAlignment="1">
      <alignment horizontal="center" vertical="center"/>
    </xf>
    <xf numFmtId="164" fontId="19" fillId="0" borderId="22" xfId="1" applyNumberFormat="1" applyFont="1" applyBorder="1" applyAlignment="1">
      <alignment horizontal="center" vertical="center" wrapText="1"/>
    </xf>
    <xf numFmtId="0" fontId="20" fillId="0" borderId="23" xfId="1" applyNumberFormat="1" applyFont="1" applyBorder="1" applyAlignment="1">
      <alignment horizontal="center" vertical="center" wrapText="1"/>
    </xf>
  </cellXfs>
  <cellStyles count="4">
    <cellStyle name="Normal" xfId="0" builtinId="0"/>
    <cellStyle name="Normal 10" xfId="2"/>
    <cellStyle name="Normal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NH-PC\Google%20Driver\ggg\1%20Ho%20so%202014\Hoso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N_HOP"/>
      <sheetName val="Hoa Thanh (2)"/>
      <sheetName val="Luong Le (2)"/>
      <sheetName val="Quyet Tam (2)"/>
      <sheetName val="Tan Xuyen (2)"/>
      <sheetName val="Hoa Thanh"/>
      <sheetName val="Luong Le"/>
      <sheetName val="Tan Xuyen"/>
      <sheetName val="Quyet Tam"/>
      <sheetName val="SOCGCNTH"/>
      <sheetName val="Tong"/>
      <sheetName val="BANGDIENTICH"/>
      <sheetName val="PROFILE"/>
      <sheetName val="TANHOP - TC"/>
      <sheetName val="TANHOP - CN"/>
      <sheetName val="DAUGIA"/>
      <sheetName val="TIENTHUE"/>
      <sheetName val="TANHOP - HTH"/>
      <sheetName val="BAOCAOTONGHOP"/>
      <sheetName val="CAPLAI"/>
      <sheetName val="SOMUCKETH"/>
      <sheetName val="MAPTH"/>
      <sheetName val="SOMUCKE97"/>
      <sheetName val="SOTHEOGIOI"/>
      <sheetName val="BCCT"/>
      <sheetName val="TT_QĐ_PCTT"/>
      <sheetName val="STGBDTH"/>
      <sheetName val="STGBDTHUAN"/>
      <sheetName val="STGBDHL"/>
      <sheetName val="SOMUCKETHUAN"/>
      <sheetName val="Ghichu"/>
      <sheetName val="Sheet1"/>
      <sheetName val="Sheet2"/>
      <sheetName val="DALN_TANHOP"/>
      <sheetName val="DANLNUPLY2_THUAN"/>
      <sheetName val="DSVINACAFE"/>
      <sheetName val="TU_2014"/>
      <sheetName val="00000000"/>
      <sheetName val="100000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>
            <v>24</v>
          </cell>
          <cell r="J1" t="str">
            <v>1/1000</v>
          </cell>
        </row>
        <row r="2">
          <cell r="B2">
            <v>0</v>
          </cell>
          <cell r="C2">
            <v>0</v>
          </cell>
          <cell r="D2">
            <v>0</v>
          </cell>
          <cell r="E2">
            <v>0</v>
          </cell>
        </row>
        <row r="3">
          <cell r="C3" t="str">
            <v>Nguyễn Xuân Tửu và bà Nguyễn Thị Gái</v>
          </cell>
          <cell r="J3" t="str">
            <v>164</v>
          </cell>
          <cell r="K3" t="str">
            <v>453</v>
          </cell>
        </row>
        <row r="4">
          <cell r="J4" t="str">
            <v>12</v>
          </cell>
          <cell r="K4" t="str">
            <v>12</v>
          </cell>
        </row>
        <row r="5">
          <cell r="C5" t="str">
            <v>Tân Xuyên</v>
          </cell>
          <cell r="J5" t="str">
            <v>BX 812835</v>
          </cell>
          <cell r="K5" t="str">
            <v>BI 204626</v>
          </cell>
        </row>
        <row r="6">
          <cell r="J6">
            <v>0</v>
          </cell>
          <cell r="K6" t="str">
            <v>880</v>
          </cell>
          <cell r="L6">
            <v>880</v>
          </cell>
        </row>
        <row r="7">
          <cell r="C7" t="str">
            <v>190270775/190270768</v>
          </cell>
        </row>
        <row r="9">
          <cell r="G9">
            <v>0</v>
          </cell>
          <cell r="J9" t="str">
            <v>64A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R248"/>
  <sheetViews>
    <sheetView view="pageBreakPreview" topLeftCell="A198" zoomScaleNormal="100" zoomScaleSheetLayoutView="100" workbookViewId="0">
      <selection activeCell="F203" sqref="F203"/>
    </sheetView>
  </sheetViews>
  <sheetFormatPr defaultRowHeight="15" x14ac:dyDescent="0.25"/>
  <cols>
    <col min="1" max="1" width="9.140625" style="43"/>
    <col min="2" max="2" width="26.140625" style="46" customWidth="1"/>
    <col min="3" max="3" width="11" style="43" customWidth="1"/>
    <col min="4" max="4" width="9.140625" style="43"/>
    <col min="5" max="5" width="11.7109375" style="43" customWidth="1"/>
    <col min="6" max="6" width="12.85546875" style="43" customWidth="1"/>
    <col min="7" max="7" width="13.28515625" style="43" customWidth="1"/>
    <col min="8" max="9" width="11.5703125" style="43" customWidth="1"/>
    <col min="10" max="10" width="10.140625" style="43" customWidth="1"/>
    <col min="11" max="11" width="11.7109375" style="43" bestFit="1" customWidth="1"/>
    <col min="12" max="12" width="23.7109375" style="43" customWidth="1"/>
    <col min="13" max="16384" width="9.140625" style="1"/>
  </cols>
  <sheetData>
    <row r="1" spans="1:18" ht="78" customHeight="1" x14ac:dyDescent="0.25">
      <c r="A1" s="59" t="s">
        <v>1750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2"/>
    </row>
    <row r="2" spans="1:18" ht="7.5" customHeight="1" thickBot="1" x14ac:dyDescent="0.3">
      <c r="A2" s="61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2"/>
    </row>
    <row r="3" spans="1:18" ht="45" customHeight="1" thickTop="1" x14ac:dyDescent="0.25">
      <c r="A3" s="63" t="s">
        <v>0</v>
      </c>
      <c r="B3" s="65" t="s">
        <v>1</v>
      </c>
      <c r="C3" s="65" t="s">
        <v>2</v>
      </c>
      <c r="D3" s="65" t="s">
        <v>3</v>
      </c>
      <c r="E3" s="65" t="s">
        <v>4</v>
      </c>
      <c r="F3" s="65" t="s">
        <v>38</v>
      </c>
      <c r="G3" s="65" t="s">
        <v>39</v>
      </c>
      <c r="H3" s="65" t="s">
        <v>40</v>
      </c>
      <c r="I3" s="65"/>
      <c r="J3" s="65"/>
      <c r="K3" s="65" t="s">
        <v>41</v>
      </c>
      <c r="L3" s="67" t="s">
        <v>1751</v>
      </c>
    </row>
    <row r="4" spans="1:18" ht="45" customHeight="1" x14ac:dyDescent="0.25">
      <c r="A4" s="64"/>
      <c r="B4" s="66"/>
      <c r="C4" s="66"/>
      <c r="D4" s="66"/>
      <c r="E4" s="66"/>
      <c r="F4" s="66"/>
      <c r="G4" s="66"/>
      <c r="H4" s="66"/>
      <c r="I4" s="66"/>
      <c r="J4" s="66"/>
      <c r="K4" s="66"/>
      <c r="L4" s="68"/>
    </row>
    <row r="5" spans="1:18" ht="45" customHeight="1" x14ac:dyDescent="0.25">
      <c r="A5" s="64"/>
      <c r="B5" s="66"/>
      <c r="C5" s="66"/>
      <c r="D5" s="66"/>
      <c r="E5" s="66"/>
      <c r="F5" s="66"/>
      <c r="G5" s="66"/>
      <c r="H5" s="31" t="s">
        <v>43</v>
      </c>
      <c r="I5" s="31" t="s">
        <v>44</v>
      </c>
      <c r="J5" s="31" t="s">
        <v>45</v>
      </c>
      <c r="K5" s="66"/>
      <c r="L5" s="68"/>
    </row>
    <row r="6" spans="1:18" ht="45" customHeight="1" x14ac:dyDescent="0.25">
      <c r="A6" s="32">
        <v>1</v>
      </c>
      <c r="B6" s="44" t="s">
        <v>1615</v>
      </c>
      <c r="C6" s="34">
        <v>10</v>
      </c>
      <c r="D6" s="34">
        <v>50</v>
      </c>
      <c r="E6" s="34" t="s">
        <v>6</v>
      </c>
      <c r="F6" s="34">
        <v>9734</v>
      </c>
      <c r="G6" s="33" t="s">
        <v>657</v>
      </c>
      <c r="H6" s="33">
        <f t="shared" ref="H6:H37" si="0">SUM(I6:J6)</f>
        <v>22</v>
      </c>
      <c r="I6" s="34">
        <v>22</v>
      </c>
      <c r="J6" s="34"/>
      <c r="K6" s="34">
        <f t="shared" ref="K6:K69" si="1">F6-H6</f>
        <v>9712</v>
      </c>
      <c r="L6" s="41" t="s">
        <v>1712</v>
      </c>
      <c r="M6" s="1" t="str">
        <f>IF(E6="ONT+CLN","CLN",IF(E6="ODT+CLN","CLN",E6))</f>
        <v>CLN</v>
      </c>
    </row>
    <row r="7" spans="1:18" ht="45" customHeight="1" x14ac:dyDescent="0.25">
      <c r="A7" s="32">
        <v>2</v>
      </c>
      <c r="B7" s="44" t="s">
        <v>1613</v>
      </c>
      <c r="C7" s="34">
        <v>9</v>
      </c>
      <c r="D7" s="34">
        <v>728</v>
      </c>
      <c r="E7" s="34" t="s">
        <v>6</v>
      </c>
      <c r="F7" s="34">
        <v>1506</v>
      </c>
      <c r="G7" s="33" t="s">
        <v>1234</v>
      </c>
      <c r="H7" s="33">
        <f t="shared" si="0"/>
        <v>500</v>
      </c>
      <c r="I7" s="34">
        <v>500</v>
      </c>
      <c r="J7" s="34"/>
      <c r="K7" s="34">
        <f t="shared" si="1"/>
        <v>1006</v>
      </c>
      <c r="L7" s="41" t="s">
        <v>7</v>
      </c>
      <c r="M7" s="1" t="str">
        <f t="shared" ref="M7:M70" si="2">IF(E7="ONT+CLN","CLN",IF(E7="ODT+CLN","CLN",E7))</f>
        <v>CLN</v>
      </c>
    </row>
    <row r="8" spans="1:18" ht="45" customHeight="1" x14ac:dyDescent="0.25">
      <c r="A8" s="32">
        <v>3</v>
      </c>
      <c r="B8" s="44" t="s">
        <v>1612</v>
      </c>
      <c r="C8" s="34">
        <v>9</v>
      </c>
      <c r="D8" s="34">
        <v>726</v>
      </c>
      <c r="E8" s="34" t="s">
        <v>6</v>
      </c>
      <c r="F8" s="34">
        <v>1699</v>
      </c>
      <c r="G8" s="33" t="s">
        <v>1254</v>
      </c>
      <c r="H8" s="33">
        <f t="shared" si="0"/>
        <v>7</v>
      </c>
      <c r="I8" s="34">
        <v>7</v>
      </c>
      <c r="J8" s="34"/>
      <c r="K8" s="34">
        <f t="shared" si="1"/>
        <v>1692</v>
      </c>
      <c r="L8" s="41" t="s">
        <v>7</v>
      </c>
      <c r="M8" s="1" t="str">
        <f t="shared" si="2"/>
        <v>CLN</v>
      </c>
    </row>
    <row r="9" spans="1:18" ht="45" customHeight="1" x14ac:dyDescent="0.25">
      <c r="A9" s="32">
        <v>4</v>
      </c>
      <c r="B9" s="44" t="s">
        <v>5</v>
      </c>
      <c r="C9" s="34">
        <v>13</v>
      </c>
      <c r="D9" s="34">
        <v>3</v>
      </c>
      <c r="E9" s="34" t="s">
        <v>6</v>
      </c>
      <c r="F9" s="34">
        <v>5644</v>
      </c>
      <c r="G9" s="33" t="s">
        <v>1224</v>
      </c>
      <c r="H9" s="33">
        <f t="shared" si="0"/>
        <v>4588</v>
      </c>
      <c r="I9" s="34">
        <v>4588</v>
      </c>
      <c r="J9" s="34"/>
      <c r="K9" s="34">
        <f t="shared" si="1"/>
        <v>1056</v>
      </c>
      <c r="L9" s="41" t="s">
        <v>1719</v>
      </c>
      <c r="M9" s="1" t="str">
        <f t="shared" si="2"/>
        <v>CLN</v>
      </c>
    </row>
    <row r="10" spans="1:18" ht="45" customHeight="1" x14ac:dyDescent="0.25">
      <c r="A10" s="32">
        <v>5</v>
      </c>
      <c r="B10" s="44" t="s">
        <v>5</v>
      </c>
      <c r="C10" s="34">
        <v>13</v>
      </c>
      <c r="D10" s="34">
        <v>37</v>
      </c>
      <c r="E10" s="34" t="s">
        <v>6</v>
      </c>
      <c r="F10" s="34">
        <v>5259</v>
      </c>
      <c r="G10" s="33" t="s">
        <v>1224</v>
      </c>
      <c r="H10" s="33">
        <f t="shared" si="0"/>
        <v>4760</v>
      </c>
      <c r="I10" s="34">
        <v>4760</v>
      </c>
      <c r="J10" s="34"/>
      <c r="K10" s="34">
        <f t="shared" si="1"/>
        <v>499</v>
      </c>
      <c r="L10" s="41" t="s">
        <v>1720</v>
      </c>
      <c r="M10" s="1" t="str">
        <f t="shared" si="2"/>
        <v>CLN</v>
      </c>
    </row>
    <row r="11" spans="1:18" ht="45" customHeight="1" x14ac:dyDescent="0.25">
      <c r="A11" s="32">
        <v>6</v>
      </c>
      <c r="B11" s="44" t="s">
        <v>1595</v>
      </c>
      <c r="C11" s="34">
        <v>9</v>
      </c>
      <c r="D11" s="34">
        <v>240</v>
      </c>
      <c r="E11" s="34" t="s">
        <v>6</v>
      </c>
      <c r="F11" s="34">
        <v>17911</v>
      </c>
      <c r="G11" s="33" t="s">
        <v>1223</v>
      </c>
      <c r="H11" s="33">
        <f t="shared" si="0"/>
        <v>63</v>
      </c>
      <c r="I11" s="34">
        <v>63</v>
      </c>
      <c r="J11" s="34"/>
      <c r="K11" s="34">
        <f t="shared" si="1"/>
        <v>17848</v>
      </c>
      <c r="L11" s="41" t="s">
        <v>1705</v>
      </c>
      <c r="M11" s="1" t="str">
        <f t="shared" si="2"/>
        <v>CLN</v>
      </c>
    </row>
    <row r="12" spans="1:18" ht="45" customHeight="1" x14ac:dyDescent="0.25">
      <c r="A12" s="32">
        <v>7</v>
      </c>
      <c r="B12" s="44" t="s">
        <v>1595</v>
      </c>
      <c r="C12" s="34">
        <v>13</v>
      </c>
      <c r="D12" s="34">
        <v>64</v>
      </c>
      <c r="E12" s="34" t="s">
        <v>6</v>
      </c>
      <c r="F12" s="34">
        <v>3180</v>
      </c>
      <c r="G12" s="33" t="s">
        <v>1223</v>
      </c>
      <c r="H12" s="33">
        <f t="shared" si="0"/>
        <v>241</v>
      </c>
      <c r="I12" s="34">
        <v>241</v>
      </c>
      <c r="J12" s="34"/>
      <c r="K12" s="34">
        <f t="shared" si="1"/>
        <v>2939</v>
      </c>
      <c r="L12" s="41" t="s">
        <v>1722</v>
      </c>
      <c r="M12" s="1" t="str">
        <f t="shared" si="2"/>
        <v>CLN</v>
      </c>
    </row>
    <row r="13" spans="1:18" ht="45" customHeight="1" x14ac:dyDescent="0.25">
      <c r="A13" s="32">
        <v>8</v>
      </c>
      <c r="B13" s="44" t="s">
        <v>1594</v>
      </c>
      <c r="C13" s="34">
        <v>9</v>
      </c>
      <c r="D13" s="34">
        <v>106</v>
      </c>
      <c r="E13" s="34" t="s">
        <v>6</v>
      </c>
      <c r="F13" s="34">
        <v>6010</v>
      </c>
      <c r="G13" s="33" t="s">
        <v>886</v>
      </c>
      <c r="H13" s="33">
        <f t="shared" si="0"/>
        <v>92</v>
      </c>
      <c r="I13" s="34">
        <v>92</v>
      </c>
      <c r="J13" s="34"/>
      <c r="K13" s="34">
        <f t="shared" si="1"/>
        <v>5918</v>
      </c>
      <c r="L13" s="41" t="s">
        <v>1703</v>
      </c>
      <c r="M13" s="1" t="str">
        <f t="shared" si="2"/>
        <v>CLN</v>
      </c>
    </row>
    <row r="14" spans="1:18" ht="45" customHeight="1" x14ac:dyDescent="0.25">
      <c r="A14" s="32">
        <v>9</v>
      </c>
      <c r="B14" s="44" t="s">
        <v>1600</v>
      </c>
      <c r="C14" s="34">
        <v>9</v>
      </c>
      <c r="D14" s="34">
        <v>466</v>
      </c>
      <c r="E14" s="34" t="s">
        <v>6</v>
      </c>
      <c r="F14" s="34">
        <v>1237</v>
      </c>
      <c r="G14" s="33" t="s">
        <v>421</v>
      </c>
      <c r="H14" s="33">
        <f t="shared" si="0"/>
        <v>196</v>
      </c>
      <c r="I14" s="34">
        <v>196</v>
      </c>
      <c r="J14" s="34"/>
      <c r="K14" s="34">
        <f t="shared" si="1"/>
        <v>1041</v>
      </c>
      <c r="L14" s="41" t="s">
        <v>7</v>
      </c>
      <c r="M14" s="1" t="str">
        <f t="shared" si="2"/>
        <v>CLN</v>
      </c>
    </row>
    <row r="15" spans="1:18" s="3" customFormat="1" ht="45" customHeight="1" x14ac:dyDescent="0.25">
      <c r="A15" s="32">
        <v>10</v>
      </c>
      <c r="B15" s="44" t="s">
        <v>1600</v>
      </c>
      <c r="C15" s="34">
        <v>9</v>
      </c>
      <c r="D15" s="34">
        <v>639</v>
      </c>
      <c r="E15" s="34" t="s">
        <v>6</v>
      </c>
      <c r="F15" s="34">
        <v>2357</v>
      </c>
      <c r="G15" s="33" t="s">
        <v>421</v>
      </c>
      <c r="H15" s="33">
        <f t="shared" si="0"/>
        <v>206</v>
      </c>
      <c r="I15" s="34">
        <v>206</v>
      </c>
      <c r="J15" s="34"/>
      <c r="K15" s="34">
        <f t="shared" si="1"/>
        <v>2151</v>
      </c>
      <c r="L15" s="41" t="s">
        <v>7</v>
      </c>
      <c r="M15" s="1" t="str">
        <f t="shared" si="2"/>
        <v>CLN</v>
      </c>
      <c r="N15" s="1"/>
      <c r="O15" s="1"/>
      <c r="P15" s="1"/>
      <c r="Q15" s="1"/>
      <c r="R15" s="1"/>
    </row>
    <row r="16" spans="1:18" ht="45" customHeight="1" x14ac:dyDescent="0.25">
      <c r="A16" s="32">
        <v>11</v>
      </c>
      <c r="B16" s="44" t="s">
        <v>1600</v>
      </c>
      <c r="C16" s="34">
        <v>9</v>
      </c>
      <c r="D16" s="34">
        <v>703</v>
      </c>
      <c r="E16" s="34" t="s">
        <v>6</v>
      </c>
      <c r="F16" s="34">
        <v>1221</v>
      </c>
      <c r="G16" s="33" t="s">
        <v>421</v>
      </c>
      <c r="H16" s="33">
        <f t="shared" si="0"/>
        <v>18</v>
      </c>
      <c r="I16" s="34">
        <v>18</v>
      </c>
      <c r="J16" s="34"/>
      <c r="K16" s="34">
        <f t="shared" si="1"/>
        <v>1203</v>
      </c>
      <c r="L16" s="41" t="s">
        <v>7</v>
      </c>
      <c r="M16" s="1" t="str">
        <f t="shared" si="2"/>
        <v>CLN</v>
      </c>
    </row>
    <row r="17" spans="1:18" ht="45" customHeight="1" x14ac:dyDescent="0.25">
      <c r="A17" s="32">
        <v>12</v>
      </c>
      <c r="B17" s="44" t="s">
        <v>1600</v>
      </c>
      <c r="C17" s="34">
        <v>9</v>
      </c>
      <c r="D17" s="34">
        <v>681</v>
      </c>
      <c r="E17" s="34" t="s">
        <v>9</v>
      </c>
      <c r="F17" s="34">
        <v>939</v>
      </c>
      <c r="G17" s="33" t="s">
        <v>424</v>
      </c>
      <c r="H17" s="33">
        <f t="shared" si="0"/>
        <v>117</v>
      </c>
      <c r="I17" s="34">
        <v>117</v>
      </c>
      <c r="J17" s="34"/>
      <c r="K17" s="34">
        <f t="shared" si="1"/>
        <v>822</v>
      </c>
      <c r="L17" s="41" t="s">
        <v>7</v>
      </c>
      <c r="M17" s="1" t="str">
        <f t="shared" si="2"/>
        <v>CLN</v>
      </c>
    </row>
    <row r="18" spans="1:18" ht="45" customHeight="1" x14ac:dyDescent="0.25">
      <c r="A18" s="32">
        <v>13</v>
      </c>
      <c r="B18" s="44" t="s">
        <v>1596</v>
      </c>
      <c r="C18" s="34">
        <v>9</v>
      </c>
      <c r="D18" s="34">
        <v>319</v>
      </c>
      <c r="E18" s="34" t="s">
        <v>6</v>
      </c>
      <c r="F18" s="34">
        <v>828</v>
      </c>
      <c r="G18" s="33" t="s">
        <v>1135</v>
      </c>
      <c r="H18" s="33">
        <f t="shared" si="0"/>
        <v>71</v>
      </c>
      <c r="I18" s="34">
        <v>71</v>
      </c>
      <c r="J18" s="34"/>
      <c r="K18" s="34">
        <f t="shared" si="1"/>
        <v>757</v>
      </c>
      <c r="L18" s="41" t="s">
        <v>7</v>
      </c>
      <c r="M18" s="1" t="str">
        <f t="shared" si="2"/>
        <v>CLN</v>
      </c>
    </row>
    <row r="19" spans="1:18" ht="45" customHeight="1" x14ac:dyDescent="0.25">
      <c r="A19" s="32">
        <v>14</v>
      </c>
      <c r="B19" s="44" t="s">
        <v>10</v>
      </c>
      <c r="C19" s="34">
        <v>9</v>
      </c>
      <c r="D19" s="34">
        <v>682</v>
      </c>
      <c r="E19" s="34" t="s">
        <v>6</v>
      </c>
      <c r="F19" s="34">
        <v>1078</v>
      </c>
      <c r="G19" s="33" t="s">
        <v>634</v>
      </c>
      <c r="H19" s="33">
        <f t="shared" si="0"/>
        <v>131</v>
      </c>
      <c r="I19" s="34">
        <v>131</v>
      </c>
      <c r="J19" s="34"/>
      <c r="K19" s="34">
        <f t="shared" si="1"/>
        <v>947</v>
      </c>
      <c r="L19" s="41" t="s">
        <v>7</v>
      </c>
      <c r="M19" s="1" t="str">
        <f t="shared" si="2"/>
        <v>CLN</v>
      </c>
    </row>
    <row r="20" spans="1:18" ht="45" customHeight="1" x14ac:dyDescent="0.25">
      <c r="A20" s="32">
        <v>15</v>
      </c>
      <c r="B20" s="44" t="s">
        <v>10</v>
      </c>
      <c r="C20" s="34">
        <v>9</v>
      </c>
      <c r="D20" s="34">
        <v>709</v>
      </c>
      <c r="E20" s="34" t="s">
        <v>6</v>
      </c>
      <c r="F20" s="34">
        <v>210</v>
      </c>
      <c r="G20" s="33" t="s">
        <v>634</v>
      </c>
      <c r="H20" s="33">
        <f t="shared" si="0"/>
        <v>12</v>
      </c>
      <c r="I20" s="34">
        <v>12</v>
      </c>
      <c r="J20" s="34"/>
      <c r="K20" s="34">
        <f t="shared" si="1"/>
        <v>198</v>
      </c>
      <c r="L20" s="41" t="s">
        <v>7</v>
      </c>
      <c r="M20" s="1" t="str">
        <f t="shared" si="2"/>
        <v>CLN</v>
      </c>
    </row>
    <row r="21" spans="1:18" ht="45" customHeight="1" x14ac:dyDescent="0.25">
      <c r="A21" s="32">
        <v>16</v>
      </c>
      <c r="B21" s="44" t="s">
        <v>10</v>
      </c>
      <c r="C21" s="34">
        <v>13</v>
      </c>
      <c r="D21" s="34">
        <v>126</v>
      </c>
      <c r="E21" s="34" t="s">
        <v>6</v>
      </c>
      <c r="F21" s="34">
        <v>3659</v>
      </c>
      <c r="G21" s="33" t="s">
        <v>634</v>
      </c>
      <c r="H21" s="33">
        <f t="shared" si="0"/>
        <v>2355</v>
      </c>
      <c r="I21" s="34">
        <v>2355</v>
      </c>
      <c r="J21" s="34"/>
      <c r="K21" s="34">
        <f t="shared" si="1"/>
        <v>1304</v>
      </c>
      <c r="L21" s="41" t="s">
        <v>1718</v>
      </c>
      <c r="M21" s="1" t="str">
        <f t="shared" si="2"/>
        <v>CLN</v>
      </c>
    </row>
    <row r="22" spans="1:18" s="3" customFormat="1" ht="45" customHeight="1" x14ac:dyDescent="0.25">
      <c r="A22" s="32">
        <v>17</v>
      </c>
      <c r="B22" s="44" t="s">
        <v>10</v>
      </c>
      <c r="C22" s="34">
        <v>13</v>
      </c>
      <c r="D22" s="34">
        <v>127</v>
      </c>
      <c r="E22" s="34" t="s">
        <v>6</v>
      </c>
      <c r="F22" s="34">
        <v>3053</v>
      </c>
      <c r="G22" s="33" t="s">
        <v>634</v>
      </c>
      <c r="H22" s="33">
        <f t="shared" si="0"/>
        <v>231</v>
      </c>
      <c r="I22" s="34">
        <v>231</v>
      </c>
      <c r="J22" s="34"/>
      <c r="K22" s="34">
        <f t="shared" si="1"/>
        <v>2822</v>
      </c>
      <c r="L22" s="41" t="s">
        <v>1718</v>
      </c>
      <c r="M22" s="1" t="str">
        <f t="shared" si="2"/>
        <v>CLN</v>
      </c>
      <c r="N22" s="1"/>
      <c r="O22" s="1"/>
      <c r="P22" s="1"/>
      <c r="Q22" s="1"/>
      <c r="R22" s="1"/>
    </row>
    <row r="23" spans="1:18" ht="45" customHeight="1" x14ac:dyDescent="0.25">
      <c r="A23" s="32">
        <v>18</v>
      </c>
      <c r="B23" s="44" t="s">
        <v>10</v>
      </c>
      <c r="C23" s="34">
        <v>13</v>
      </c>
      <c r="D23" s="34">
        <v>2</v>
      </c>
      <c r="E23" s="34" t="s">
        <v>11</v>
      </c>
      <c r="F23" s="34">
        <v>260</v>
      </c>
      <c r="G23" s="33" t="s">
        <v>639</v>
      </c>
      <c r="H23" s="33">
        <f t="shared" si="0"/>
        <v>44</v>
      </c>
      <c r="I23" s="34">
        <v>44</v>
      </c>
      <c r="J23" s="34"/>
      <c r="K23" s="34">
        <f t="shared" si="1"/>
        <v>216</v>
      </c>
      <c r="L23" s="41" t="s">
        <v>1718</v>
      </c>
      <c r="M23" s="1" t="str">
        <f t="shared" si="2"/>
        <v>LUK</v>
      </c>
    </row>
    <row r="24" spans="1:18" ht="45" customHeight="1" x14ac:dyDescent="0.25">
      <c r="A24" s="32">
        <v>19</v>
      </c>
      <c r="B24" s="44" t="s">
        <v>1602</v>
      </c>
      <c r="C24" s="34">
        <v>9</v>
      </c>
      <c r="D24" s="34">
        <v>542</v>
      </c>
      <c r="E24" s="34" t="s">
        <v>6</v>
      </c>
      <c r="F24" s="34">
        <v>1889</v>
      </c>
      <c r="G24" s="33" t="s">
        <v>1132</v>
      </c>
      <c r="H24" s="33">
        <f t="shared" si="0"/>
        <v>190</v>
      </c>
      <c r="I24" s="34">
        <v>190</v>
      </c>
      <c r="J24" s="34"/>
      <c r="K24" s="34">
        <f t="shared" si="1"/>
        <v>1699</v>
      </c>
      <c r="L24" s="41" t="s">
        <v>7</v>
      </c>
      <c r="M24" s="1" t="str">
        <f t="shared" si="2"/>
        <v>CLN</v>
      </c>
    </row>
    <row r="25" spans="1:18" ht="45" customHeight="1" x14ac:dyDescent="0.25">
      <c r="A25" s="32">
        <v>20</v>
      </c>
      <c r="B25" s="44" t="s">
        <v>1610</v>
      </c>
      <c r="C25" s="34">
        <v>9</v>
      </c>
      <c r="D25" s="34">
        <v>716</v>
      </c>
      <c r="E25" s="34" t="s">
        <v>6</v>
      </c>
      <c r="F25" s="34">
        <v>2355</v>
      </c>
      <c r="G25" s="33" t="s">
        <v>1098</v>
      </c>
      <c r="H25" s="33">
        <f t="shared" si="0"/>
        <v>42</v>
      </c>
      <c r="I25" s="34">
        <v>42</v>
      </c>
      <c r="J25" s="34"/>
      <c r="K25" s="34">
        <f t="shared" si="1"/>
        <v>2313</v>
      </c>
      <c r="L25" s="41" t="s">
        <v>7</v>
      </c>
      <c r="M25" s="1" t="str">
        <f t="shared" si="2"/>
        <v>CLN</v>
      </c>
    </row>
    <row r="26" spans="1:18" ht="45" customHeight="1" x14ac:dyDescent="0.25">
      <c r="A26" s="32">
        <v>21</v>
      </c>
      <c r="B26" s="44" t="s">
        <v>1607</v>
      </c>
      <c r="C26" s="34">
        <v>9</v>
      </c>
      <c r="D26" s="34">
        <v>686</v>
      </c>
      <c r="E26" s="34" t="s">
        <v>25</v>
      </c>
      <c r="F26" s="34">
        <v>89</v>
      </c>
      <c r="G26" s="33" t="s">
        <v>1097</v>
      </c>
      <c r="H26" s="33">
        <f t="shared" si="0"/>
        <v>20</v>
      </c>
      <c r="I26" s="34">
        <v>20</v>
      </c>
      <c r="J26" s="34"/>
      <c r="K26" s="34">
        <f t="shared" si="1"/>
        <v>69</v>
      </c>
      <c r="L26" s="41" t="s">
        <v>7</v>
      </c>
      <c r="M26" s="1" t="str">
        <f t="shared" si="2"/>
        <v>NHK</v>
      </c>
    </row>
    <row r="27" spans="1:18" ht="45" customHeight="1" x14ac:dyDescent="0.25">
      <c r="A27" s="32">
        <v>22</v>
      </c>
      <c r="B27" s="44" t="s">
        <v>1601</v>
      </c>
      <c r="C27" s="34">
        <v>9</v>
      </c>
      <c r="D27" s="34">
        <v>541</v>
      </c>
      <c r="E27" s="34" t="s">
        <v>6</v>
      </c>
      <c r="F27" s="34">
        <v>3676</v>
      </c>
      <c r="G27" s="33" t="s">
        <v>1090</v>
      </c>
      <c r="H27" s="33">
        <f t="shared" si="0"/>
        <v>479</v>
      </c>
      <c r="I27" s="34">
        <v>479</v>
      </c>
      <c r="J27" s="34"/>
      <c r="K27" s="34">
        <f t="shared" si="1"/>
        <v>3197</v>
      </c>
      <c r="L27" s="41" t="s">
        <v>7</v>
      </c>
      <c r="M27" s="1" t="str">
        <f t="shared" si="2"/>
        <v>CLN</v>
      </c>
    </row>
    <row r="28" spans="1:18" ht="45" customHeight="1" x14ac:dyDescent="0.25">
      <c r="A28" s="32">
        <v>23</v>
      </c>
      <c r="B28" s="44" t="s">
        <v>1601</v>
      </c>
      <c r="C28" s="34">
        <v>9</v>
      </c>
      <c r="D28" s="34">
        <v>705</v>
      </c>
      <c r="E28" s="34" t="s">
        <v>6</v>
      </c>
      <c r="F28" s="34">
        <v>135</v>
      </c>
      <c r="G28" s="33" t="s">
        <v>1090</v>
      </c>
      <c r="H28" s="33">
        <f t="shared" si="0"/>
        <v>22</v>
      </c>
      <c r="I28" s="34">
        <v>22</v>
      </c>
      <c r="J28" s="34"/>
      <c r="K28" s="34">
        <f t="shared" si="1"/>
        <v>113</v>
      </c>
      <c r="L28" s="41" t="s">
        <v>7</v>
      </c>
      <c r="M28" s="1" t="str">
        <f t="shared" si="2"/>
        <v>CLN</v>
      </c>
    </row>
    <row r="29" spans="1:18" ht="45" customHeight="1" x14ac:dyDescent="0.25">
      <c r="A29" s="32">
        <v>24</v>
      </c>
      <c r="B29" s="44" t="s">
        <v>1601</v>
      </c>
      <c r="C29" s="34">
        <v>9</v>
      </c>
      <c r="D29" s="34">
        <v>706</v>
      </c>
      <c r="E29" s="34" t="s">
        <v>6</v>
      </c>
      <c r="F29" s="34">
        <v>208</v>
      </c>
      <c r="G29" s="33" t="s">
        <v>1090</v>
      </c>
      <c r="H29" s="33">
        <f t="shared" si="0"/>
        <v>22</v>
      </c>
      <c r="I29" s="34">
        <v>22</v>
      </c>
      <c r="J29" s="34"/>
      <c r="K29" s="34">
        <f t="shared" si="1"/>
        <v>186</v>
      </c>
      <c r="L29" s="41" t="s">
        <v>7</v>
      </c>
      <c r="M29" s="1" t="str">
        <f t="shared" si="2"/>
        <v>CLN</v>
      </c>
    </row>
    <row r="30" spans="1:18" ht="45" customHeight="1" x14ac:dyDescent="0.25">
      <c r="A30" s="32">
        <v>25</v>
      </c>
      <c r="B30" s="44" t="s">
        <v>1606</v>
      </c>
      <c r="C30" s="34">
        <v>9</v>
      </c>
      <c r="D30" s="34">
        <v>640</v>
      </c>
      <c r="E30" s="34" t="s">
        <v>6</v>
      </c>
      <c r="F30" s="34">
        <v>977</v>
      </c>
      <c r="G30" s="33" t="s">
        <v>1062</v>
      </c>
      <c r="H30" s="33">
        <f t="shared" si="0"/>
        <v>5</v>
      </c>
      <c r="I30" s="34">
        <v>5</v>
      </c>
      <c r="J30" s="34"/>
      <c r="K30" s="34">
        <f t="shared" si="1"/>
        <v>972</v>
      </c>
      <c r="L30" s="41" t="s">
        <v>7</v>
      </c>
      <c r="M30" s="1" t="str">
        <f t="shared" si="2"/>
        <v>CLN</v>
      </c>
    </row>
    <row r="31" spans="1:18" ht="45" customHeight="1" x14ac:dyDescent="0.25">
      <c r="A31" s="32">
        <v>26</v>
      </c>
      <c r="B31" s="44" t="s">
        <v>36</v>
      </c>
      <c r="C31" s="34">
        <v>9</v>
      </c>
      <c r="D31" s="34">
        <v>151</v>
      </c>
      <c r="E31" s="34" t="s">
        <v>7</v>
      </c>
      <c r="F31" s="34">
        <v>3798</v>
      </c>
      <c r="G31" s="33" t="s">
        <v>1000</v>
      </c>
      <c r="H31" s="33">
        <f t="shared" si="0"/>
        <v>3119</v>
      </c>
      <c r="I31" s="34">
        <v>3119</v>
      </c>
      <c r="J31" s="34"/>
      <c r="K31" s="34">
        <f t="shared" si="1"/>
        <v>679</v>
      </c>
      <c r="L31" s="41" t="s">
        <v>7</v>
      </c>
      <c r="M31" s="1" t="str">
        <f t="shared" si="2"/>
        <v>DGT</v>
      </c>
    </row>
    <row r="32" spans="1:18" ht="45" customHeight="1" x14ac:dyDescent="0.25">
      <c r="A32" s="35">
        <v>27</v>
      </c>
      <c r="B32" s="44" t="s">
        <v>1619</v>
      </c>
      <c r="C32" s="34">
        <v>10</v>
      </c>
      <c r="D32" s="34">
        <v>336</v>
      </c>
      <c r="E32" s="34" t="s">
        <v>18</v>
      </c>
      <c r="F32" s="34">
        <v>1273</v>
      </c>
      <c r="G32" s="33" t="s">
        <v>703</v>
      </c>
      <c r="H32" s="33">
        <f t="shared" si="0"/>
        <v>4</v>
      </c>
      <c r="I32" s="34">
        <v>4</v>
      </c>
      <c r="J32" s="36"/>
      <c r="K32" s="34">
        <f t="shared" si="1"/>
        <v>1269</v>
      </c>
      <c r="L32" s="41" t="s">
        <v>7</v>
      </c>
      <c r="M32" s="1" t="str">
        <f t="shared" si="2"/>
        <v>LUC</v>
      </c>
    </row>
    <row r="33" spans="1:18" ht="45" customHeight="1" x14ac:dyDescent="0.25">
      <c r="A33" s="32">
        <v>28</v>
      </c>
      <c r="B33" s="44" t="s">
        <v>1619</v>
      </c>
      <c r="C33" s="34">
        <v>10</v>
      </c>
      <c r="D33" s="34">
        <v>298</v>
      </c>
      <c r="E33" s="34" t="s">
        <v>9</v>
      </c>
      <c r="F33" s="34">
        <v>6521</v>
      </c>
      <c r="G33" s="33" t="s">
        <v>712</v>
      </c>
      <c r="H33" s="33">
        <f t="shared" si="0"/>
        <v>22</v>
      </c>
      <c r="I33" s="34">
        <v>22</v>
      </c>
      <c r="J33" s="34"/>
      <c r="K33" s="34">
        <f t="shared" si="1"/>
        <v>6499</v>
      </c>
      <c r="L33" s="41" t="s">
        <v>1716</v>
      </c>
      <c r="M33" s="1" t="str">
        <f t="shared" si="2"/>
        <v>CLN</v>
      </c>
    </row>
    <row r="34" spans="1:18" ht="45" customHeight="1" x14ac:dyDescent="0.25">
      <c r="A34" s="35">
        <v>29</v>
      </c>
      <c r="B34" s="44" t="s">
        <v>1599</v>
      </c>
      <c r="C34" s="34">
        <v>9</v>
      </c>
      <c r="D34" s="34">
        <v>422</v>
      </c>
      <c r="E34" s="34" t="s">
        <v>18</v>
      </c>
      <c r="F34" s="34">
        <v>731</v>
      </c>
      <c r="G34" s="33" t="s">
        <v>972</v>
      </c>
      <c r="H34" s="33">
        <f t="shared" si="0"/>
        <v>240</v>
      </c>
      <c r="I34" s="34">
        <v>240</v>
      </c>
      <c r="J34" s="33"/>
      <c r="K34" s="34">
        <f t="shared" si="1"/>
        <v>491</v>
      </c>
      <c r="L34" s="41" t="s">
        <v>1706</v>
      </c>
      <c r="M34" s="1" t="str">
        <f t="shared" si="2"/>
        <v>LUC</v>
      </c>
      <c r="N34" s="3"/>
      <c r="O34" s="3"/>
      <c r="P34" s="3"/>
      <c r="Q34" s="3"/>
      <c r="R34" s="3"/>
    </row>
    <row r="35" spans="1:18" ht="45" customHeight="1" x14ac:dyDescent="0.25">
      <c r="A35" s="32">
        <v>30</v>
      </c>
      <c r="B35" s="44" t="s">
        <v>1599</v>
      </c>
      <c r="C35" s="34">
        <v>9</v>
      </c>
      <c r="D35" s="34">
        <v>435</v>
      </c>
      <c r="E35" s="34" t="s">
        <v>18</v>
      </c>
      <c r="F35" s="34">
        <v>1053</v>
      </c>
      <c r="G35" s="33" t="s">
        <v>972</v>
      </c>
      <c r="H35" s="33">
        <f t="shared" si="0"/>
        <v>26</v>
      </c>
      <c r="I35" s="34">
        <v>26</v>
      </c>
      <c r="J35" s="34"/>
      <c r="K35" s="34">
        <f t="shared" si="1"/>
        <v>1027</v>
      </c>
      <c r="L35" s="41" t="s">
        <v>1706</v>
      </c>
      <c r="M35" s="1" t="str">
        <f t="shared" si="2"/>
        <v>LUC</v>
      </c>
    </row>
    <row r="36" spans="1:18" ht="45" customHeight="1" x14ac:dyDescent="0.25">
      <c r="A36" s="32">
        <v>31</v>
      </c>
      <c r="B36" s="44" t="s">
        <v>1618</v>
      </c>
      <c r="C36" s="34">
        <v>10</v>
      </c>
      <c r="D36" s="34">
        <v>297</v>
      </c>
      <c r="E36" s="34" t="s">
        <v>9</v>
      </c>
      <c r="F36" s="34">
        <v>4454</v>
      </c>
      <c r="G36" s="33" t="s">
        <v>962</v>
      </c>
      <c r="H36" s="33">
        <f t="shared" si="0"/>
        <v>3</v>
      </c>
      <c r="I36" s="34">
        <v>3</v>
      </c>
      <c r="J36" s="34"/>
      <c r="K36" s="34">
        <f t="shared" si="1"/>
        <v>4451</v>
      </c>
      <c r="L36" s="41" t="s">
        <v>7</v>
      </c>
      <c r="M36" s="1" t="str">
        <f t="shared" si="2"/>
        <v>CLN</v>
      </c>
    </row>
    <row r="37" spans="1:18" ht="45" customHeight="1" x14ac:dyDescent="0.25">
      <c r="A37" s="32">
        <v>32</v>
      </c>
      <c r="B37" s="44" t="s">
        <v>8</v>
      </c>
      <c r="C37" s="34">
        <v>13</v>
      </c>
      <c r="D37" s="34">
        <v>65</v>
      </c>
      <c r="E37" s="34" t="s">
        <v>6</v>
      </c>
      <c r="F37" s="34">
        <v>3857</v>
      </c>
      <c r="G37" s="33" t="s">
        <v>929</v>
      </c>
      <c r="H37" s="33">
        <f t="shared" si="0"/>
        <v>6</v>
      </c>
      <c r="I37" s="34">
        <v>6</v>
      </c>
      <c r="J37" s="34"/>
      <c r="K37" s="34">
        <f t="shared" si="1"/>
        <v>3851</v>
      </c>
      <c r="L37" s="41" t="s">
        <v>7</v>
      </c>
      <c r="M37" s="1" t="str">
        <f t="shared" si="2"/>
        <v>CLN</v>
      </c>
    </row>
    <row r="38" spans="1:18" ht="45" customHeight="1" x14ac:dyDescent="0.25">
      <c r="A38" s="32">
        <v>33</v>
      </c>
      <c r="B38" s="44" t="s">
        <v>8</v>
      </c>
      <c r="C38" s="34">
        <v>13</v>
      </c>
      <c r="D38" s="34">
        <v>125</v>
      </c>
      <c r="E38" s="34" t="s">
        <v>6</v>
      </c>
      <c r="F38" s="34">
        <v>5873</v>
      </c>
      <c r="G38" s="33" t="s">
        <v>929</v>
      </c>
      <c r="H38" s="33">
        <f t="shared" ref="H38:H69" si="3">SUM(I38:J38)</f>
        <v>2941</v>
      </c>
      <c r="I38" s="34">
        <v>2941</v>
      </c>
      <c r="J38" s="34"/>
      <c r="K38" s="34">
        <f t="shared" si="1"/>
        <v>2932</v>
      </c>
      <c r="L38" s="41" t="s">
        <v>1718</v>
      </c>
      <c r="M38" s="1" t="str">
        <f t="shared" si="2"/>
        <v>CLN</v>
      </c>
    </row>
    <row r="39" spans="1:18" ht="45" customHeight="1" x14ac:dyDescent="0.25">
      <c r="A39" s="32">
        <v>34</v>
      </c>
      <c r="B39" s="44" t="s">
        <v>1660</v>
      </c>
      <c r="C39" s="34">
        <v>14</v>
      </c>
      <c r="D39" s="34">
        <v>138</v>
      </c>
      <c r="E39" s="34" t="s">
        <v>6</v>
      </c>
      <c r="F39" s="34">
        <v>4440</v>
      </c>
      <c r="G39" s="33" t="s">
        <v>1316</v>
      </c>
      <c r="H39" s="33">
        <f t="shared" si="3"/>
        <v>38</v>
      </c>
      <c r="I39" s="34">
        <v>38</v>
      </c>
      <c r="J39" s="34"/>
      <c r="K39" s="34">
        <f t="shared" si="1"/>
        <v>4402</v>
      </c>
      <c r="L39" s="41" t="s">
        <v>7</v>
      </c>
      <c r="M39" s="1" t="str">
        <f t="shared" si="2"/>
        <v>CLN</v>
      </c>
    </row>
    <row r="40" spans="1:18" ht="45" customHeight="1" x14ac:dyDescent="0.25">
      <c r="A40" s="32">
        <v>35</v>
      </c>
      <c r="B40" s="44" t="s">
        <v>1660</v>
      </c>
      <c r="C40" s="34">
        <v>14</v>
      </c>
      <c r="D40" s="34">
        <v>158</v>
      </c>
      <c r="E40" s="34" t="s">
        <v>6</v>
      </c>
      <c r="F40" s="34">
        <v>4339</v>
      </c>
      <c r="G40" s="33" t="s">
        <v>1316</v>
      </c>
      <c r="H40" s="33">
        <f t="shared" si="3"/>
        <v>999</v>
      </c>
      <c r="I40" s="34">
        <v>999</v>
      </c>
      <c r="J40" s="34"/>
      <c r="K40" s="34">
        <f t="shared" si="1"/>
        <v>3340</v>
      </c>
      <c r="L40" s="41" t="s">
        <v>1736</v>
      </c>
      <c r="M40" s="1" t="str">
        <f t="shared" si="2"/>
        <v>CLN</v>
      </c>
    </row>
    <row r="41" spans="1:18" ht="45" customHeight="1" x14ac:dyDescent="0.25">
      <c r="A41" s="32">
        <v>36</v>
      </c>
      <c r="B41" s="44" t="s">
        <v>1660</v>
      </c>
      <c r="C41" s="34">
        <v>14</v>
      </c>
      <c r="D41" s="34">
        <v>157</v>
      </c>
      <c r="E41" s="34" t="s">
        <v>6</v>
      </c>
      <c r="F41" s="34">
        <v>4970</v>
      </c>
      <c r="G41" s="33" t="s">
        <v>1316</v>
      </c>
      <c r="H41" s="33">
        <f t="shared" si="3"/>
        <v>1979</v>
      </c>
      <c r="I41" s="34">
        <v>1979</v>
      </c>
      <c r="J41" s="34"/>
      <c r="K41" s="34">
        <f t="shared" si="1"/>
        <v>2991</v>
      </c>
      <c r="L41" s="41" t="s">
        <v>1748</v>
      </c>
      <c r="M41" s="1" t="str">
        <f t="shared" si="2"/>
        <v>CLN</v>
      </c>
    </row>
    <row r="42" spans="1:18" ht="45" customHeight="1" x14ac:dyDescent="0.25">
      <c r="A42" s="32">
        <v>37</v>
      </c>
      <c r="B42" s="44" t="s">
        <v>1660</v>
      </c>
      <c r="C42" s="34">
        <v>14</v>
      </c>
      <c r="D42" s="34">
        <v>182</v>
      </c>
      <c r="E42" s="34" t="s">
        <v>9</v>
      </c>
      <c r="F42" s="34">
        <v>6962</v>
      </c>
      <c r="G42" s="33" t="s">
        <v>1317</v>
      </c>
      <c r="H42" s="33">
        <f t="shared" si="3"/>
        <v>1206</v>
      </c>
      <c r="I42" s="34">
        <v>1206</v>
      </c>
      <c r="J42" s="34"/>
      <c r="K42" s="34">
        <f t="shared" si="1"/>
        <v>5756</v>
      </c>
      <c r="L42" s="41" t="s">
        <v>7</v>
      </c>
      <c r="M42" s="1" t="str">
        <f t="shared" si="2"/>
        <v>CLN</v>
      </c>
    </row>
    <row r="43" spans="1:18" ht="45" customHeight="1" x14ac:dyDescent="0.25">
      <c r="A43" s="32">
        <v>38</v>
      </c>
      <c r="B43" s="44" t="s">
        <v>22</v>
      </c>
      <c r="C43" s="34">
        <v>14</v>
      </c>
      <c r="D43" s="34">
        <v>169</v>
      </c>
      <c r="E43" s="34" t="s">
        <v>6</v>
      </c>
      <c r="F43" s="34">
        <v>4626</v>
      </c>
      <c r="G43" s="33" t="s">
        <v>371</v>
      </c>
      <c r="H43" s="33">
        <f t="shared" si="3"/>
        <v>1193</v>
      </c>
      <c r="I43" s="34">
        <v>1193</v>
      </c>
      <c r="J43" s="34"/>
      <c r="K43" s="34">
        <f t="shared" si="1"/>
        <v>3433</v>
      </c>
      <c r="L43" s="41" t="s">
        <v>7</v>
      </c>
      <c r="M43" s="1" t="str">
        <f t="shared" si="2"/>
        <v>CLN</v>
      </c>
    </row>
    <row r="44" spans="1:18" ht="45" customHeight="1" x14ac:dyDescent="0.25">
      <c r="A44" s="32">
        <v>39</v>
      </c>
      <c r="B44" s="44" t="s">
        <v>22</v>
      </c>
      <c r="C44" s="34">
        <v>13</v>
      </c>
      <c r="D44" s="34">
        <v>229</v>
      </c>
      <c r="E44" s="34" t="s">
        <v>18</v>
      </c>
      <c r="F44" s="34">
        <v>264</v>
      </c>
      <c r="G44" s="33" t="s">
        <v>358</v>
      </c>
      <c r="H44" s="33">
        <f t="shared" si="3"/>
        <v>12</v>
      </c>
      <c r="I44" s="34">
        <v>12</v>
      </c>
      <c r="J44" s="34"/>
      <c r="K44" s="34">
        <f t="shared" si="1"/>
        <v>252</v>
      </c>
      <c r="L44" s="41" t="s">
        <v>1690</v>
      </c>
      <c r="M44" s="1" t="str">
        <f t="shared" si="2"/>
        <v>LUC</v>
      </c>
    </row>
    <row r="45" spans="1:18" ht="45" customHeight="1" x14ac:dyDescent="0.25">
      <c r="A45" s="32">
        <v>40</v>
      </c>
      <c r="B45" s="44" t="s">
        <v>17</v>
      </c>
      <c r="C45" s="34">
        <v>13</v>
      </c>
      <c r="D45" s="34">
        <v>191</v>
      </c>
      <c r="E45" s="34" t="s">
        <v>18</v>
      </c>
      <c r="F45" s="34">
        <v>182</v>
      </c>
      <c r="G45" s="33" t="s">
        <v>1309</v>
      </c>
      <c r="H45" s="33">
        <f t="shared" si="3"/>
        <v>182</v>
      </c>
      <c r="I45" s="34">
        <v>182</v>
      </c>
      <c r="J45" s="34"/>
      <c r="K45" s="34">
        <f t="shared" si="1"/>
        <v>0</v>
      </c>
      <c r="L45" s="41" t="s">
        <v>1690</v>
      </c>
      <c r="M45" s="1" t="str">
        <f t="shared" si="2"/>
        <v>LUC</v>
      </c>
    </row>
    <row r="46" spans="1:18" ht="45" customHeight="1" x14ac:dyDescent="0.25">
      <c r="A46" s="32">
        <v>41</v>
      </c>
      <c r="B46" s="44" t="s">
        <v>17</v>
      </c>
      <c r="C46" s="34">
        <v>13</v>
      </c>
      <c r="D46" s="34">
        <v>192</v>
      </c>
      <c r="E46" s="34" t="s">
        <v>18</v>
      </c>
      <c r="F46" s="34">
        <v>217</v>
      </c>
      <c r="G46" s="33" t="s">
        <v>1309</v>
      </c>
      <c r="H46" s="33">
        <f t="shared" si="3"/>
        <v>91</v>
      </c>
      <c r="I46" s="34">
        <v>91</v>
      </c>
      <c r="J46" s="34"/>
      <c r="K46" s="34">
        <f t="shared" si="1"/>
        <v>126</v>
      </c>
      <c r="L46" s="41" t="s">
        <v>1690</v>
      </c>
      <c r="M46" s="1" t="str">
        <f t="shared" si="2"/>
        <v>LUC</v>
      </c>
    </row>
    <row r="47" spans="1:18" ht="45" customHeight="1" x14ac:dyDescent="0.25">
      <c r="A47" s="32">
        <v>42</v>
      </c>
      <c r="B47" s="44" t="s">
        <v>17</v>
      </c>
      <c r="C47" s="34">
        <v>13</v>
      </c>
      <c r="D47" s="34">
        <v>193</v>
      </c>
      <c r="E47" s="34" t="s">
        <v>18</v>
      </c>
      <c r="F47" s="34">
        <v>143</v>
      </c>
      <c r="G47" s="33" t="s">
        <v>1309</v>
      </c>
      <c r="H47" s="33">
        <f t="shared" si="3"/>
        <v>1</v>
      </c>
      <c r="I47" s="34">
        <v>1</v>
      </c>
      <c r="J47" s="34"/>
      <c r="K47" s="34">
        <f t="shared" si="1"/>
        <v>142</v>
      </c>
      <c r="L47" s="41" t="s">
        <v>1690</v>
      </c>
      <c r="M47" s="1" t="str">
        <f t="shared" si="2"/>
        <v>LUC</v>
      </c>
    </row>
    <row r="48" spans="1:18" ht="45" customHeight="1" x14ac:dyDescent="0.25">
      <c r="A48" s="32">
        <v>43</v>
      </c>
      <c r="B48" s="44" t="s">
        <v>17</v>
      </c>
      <c r="C48" s="34">
        <v>14</v>
      </c>
      <c r="D48" s="34">
        <v>155</v>
      </c>
      <c r="E48" s="34" t="s">
        <v>6</v>
      </c>
      <c r="F48" s="34">
        <v>2584</v>
      </c>
      <c r="G48" s="33" t="s">
        <v>1310</v>
      </c>
      <c r="H48" s="33">
        <f t="shared" si="3"/>
        <v>412</v>
      </c>
      <c r="I48" s="34">
        <v>412</v>
      </c>
      <c r="J48" s="34"/>
      <c r="K48" s="34">
        <f t="shared" si="1"/>
        <v>2172</v>
      </c>
      <c r="L48" s="41" t="s">
        <v>1736</v>
      </c>
      <c r="M48" s="1" t="str">
        <f t="shared" si="2"/>
        <v>CLN</v>
      </c>
    </row>
    <row r="49" spans="1:13" ht="45" customHeight="1" x14ac:dyDescent="0.25">
      <c r="A49" s="32">
        <v>44</v>
      </c>
      <c r="B49" s="44" t="s">
        <v>29</v>
      </c>
      <c r="C49" s="34">
        <v>14</v>
      </c>
      <c r="D49" s="34">
        <v>242</v>
      </c>
      <c r="E49" s="34" t="s">
        <v>6</v>
      </c>
      <c r="F49" s="34">
        <v>1089</v>
      </c>
      <c r="G49" s="33" t="s">
        <v>606</v>
      </c>
      <c r="H49" s="33">
        <f t="shared" si="3"/>
        <v>269</v>
      </c>
      <c r="I49" s="34">
        <v>269</v>
      </c>
      <c r="J49" s="34"/>
      <c r="K49" s="34">
        <f t="shared" si="1"/>
        <v>820</v>
      </c>
      <c r="L49" s="41" t="s">
        <v>1741</v>
      </c>
      <c r="M49" s="1" t="str">
        <f t="shared" si="2"/>
        <v>CLN</v>
      </c>
    </row>
    <row r="50" spans="1:13" ht="45" customHeight="1" x14ac:dyDescent="0.25">
      <c r="A50" s="32">
        <v>45</v>
      </c>
      <c r="B50" s="44" t="s">
        <v>29</v>
      </c>
      <c r="C50" s="34">
        <v>16</v>
      </c>
      <c r="D50" s="34">
        <v>1</v>
      </c>
      <c r="E50" s="34" t="s">
        <v>6</v>
      </c>
      <c r="F50" s="34">
        <v>2396</v>
      </c>
      <c r="G50" s="33" t="s">
        <v>606</v>
      </c>
      <c r="H50" s="33">
        <f t="shared" si="3"/>
        <v>781</v>
      </c>
      <c r="I50" s="34">
        <v>781</v>
      </c>
      <c r="J50" s="34"/>
      <c r="K50" s="34">
        <f t="shared" si="1"/>
        <v>1615</v>
      </c>
      <c r="L50" s="41" t="s">
        <v>1745</v>
      </c>
      <c r="M50" s="1" t="str">
        <f t="shared" si="2"/>
        <v>CLN</v>
      </c>
    </row>
    <row r="51" spans="1:13" ht="45" customHeight="1" x14ac:dyDescent="0.25">
      <c r="A51" s="32">
        <v>46</v>
      </c>
      <c r="B51" s="44" t="s">
        <v>1639</v>
      </c>
      <c r="C51" s="34">
        <v>11</v>
      </c>
      <c r="D51" s="34">
        <v>204</v>
      </c>
      <c r="E51" s="34" t="s">
        <v>9</v>
      </c>
      <c r="F51" s="34">
        <v>7147</v>
      </c>
      <c r="G51" s="33" t="s">
        <v>1446</v>
      </c>
      <c r="H51" s="33">
        <f t="shared" si="3"/>
        <v>30</v>
      </c>
      <c r="I51" s="34">
        <v>30</v>
      </c>
      <c r="J51" s="37"/>
      <c r="K51" s="34">
        <f t="shared" si="1"/>
        <v>7117</v>
      </c>
      <c r="L51" s="41" t="s">
        <v>7</v>
      </c>
      <c r="M51" s="1" t="str">
        <f t="shared" si="2"/>
        <v>CLN</v>
      </c>
    </row>
    <row r="52" spans="1:13" ht="45" customHeight="1" x14ac:dyDescent="0.25">
      <c r="A52" s="32">
        <v>47</v>
      </c>
      <c r="B52" s="44" t="s">
        <v>1652</v>
      </c>
      <c r="C52" s="34">
        <v>13</v>
      </c>
      <c r="D52" s="34">
        <v>664</v>
      </c>
      <c r="E52" s="34" t="s">
        <v>6</v>
      </c>
      <c r="F52" s="34">
        <v>2000</v>
      </c>
      <c r="G52" s="33" t="s">
        <v>651</v>
      </c>
      <c r="H52" s="33">
        <f t="shared" si="3"/>
        <v>22</v>
      </c>
      <c r="I52" s="34">
        <v>22</v>
      </c>
      <c r="J52" s="34"/>
      <c r="K52" s="34">
        <f t="shared" si="1"/>
        <v>1978</v>
      </c>
      <c r="L52" s="41" t="s">
        <v>1730</v>
      </c>
      <c r="M52" s="1" t="str">
        <f t="shared" si="2"/>
        <v>CLN</v>
      </c>
    </row>
    <row r="53" spans="1:13" ht="45" customHeight="1" x14ac:dyDescent="0.25">
      <c r="A53" s="32">
        <v>48</v>
      </c>
      <c r="B53" s="44" t="s">
        <v>23</v>
      </c>
      <c r="C53" s="34">
        <v>14</v>
      </c>
      <c r="D53" s="34">
        <v>170</v>
      </c>
      <c r="E53" s="34" t="s">
        <v>6</v>
      </c>
      <c r="F53" s="34">
        <v>3000</v>
      </c>
      <c r="G53" s="33" t="s">
        <v>1297</v>
      </c>
      <c r="H53" s="33">
        <f t="shared" si="3"/>
        <v>157</v>
      </c>
      <c r="I53" s="34">
        <v>157</v>
      </c>
      <c r="J53" s="34"/>
      <c r="K53" s="34">
        <f t="shared" si="1"/>
        <v>2843</v>
      </c>
      <c r="L53" s="41" t="s">
        <v>7</v>
      </c>
      <c r="M53" s="1" t="str">
        <f t="shared" si="2"/>
        <v>CLN</v>
      </c>
    </row>
    <row r="54" spans="1:13" ht="45" customHeight="1" x14ac:dyDescent="0.25">
      <c r="A54" s="32">
        <v>49</v>
      </c>
      <c r="B54" s="44" t="s">
        <v>23</v>
      </c>
      <c r="C54" s="34">
        <v>13</v>
      </c>
      <c r="D54" s="34">
        <v>137</v>
      </c>
      <c r="E54" s="34" t="s">
        <v>18</v>
      </c>
      <c r="F54" s="34">
        <v>359</v>
      </c>
      <c r="G54" s="33" t="s">
        <v>1295</v>
      </c>
      <c r="H54" s="33">
        <f t="shared" si="3"/>
        <v>228</v>
      </c>
      <c r="I54" s="34">
        <v>228</v>
      </c>
      <c r="J54" s="34"/>
      <c r="K54" s="34">
        <f t="shared" si="1"/>
        <v>131</v>
      </c>
      <c r="L54" s="41" t="s">
        <v>1726</v>
      </c>
      <c r="M54" s="1" t="str">
        <f t="shared" si="2"/>
        <v>LUC</v>
      </c>
    </row>
    <row r="55" spans="1:13" ht="45" customHeight="1" x14ac:dyDescent="0.25">
      <c r="A55" s="32">
        <v>50</v>
      </c>
      <c r="B55" s="44" t="s">
        <v>23</v>
      </c>
      <c r="C55" s="34">
        <v>13</v>
      </c>
      <c r="D55" s="34">
        <v>138</v>
      </c>
      <c r="E55" s="34" t="s">
        <v>18</v>
      </c>
      <c r="F55" s="34">
        <v>351</v>
      </c>
      <c r="G55" s="33" t="s">
        <v>1295</v>
      </c>
      <c r="H55" s="33">
        <f t="shared" si="3"/>
        <v>102</v>
      </c>
      <c r="I55" s="34">
        <v>102</v>
      </c>
      <c r="J55" s="34"/>
      <c r="K55" s="34">
        <f t="shared" si="1"/>
        <v>249</v>
      </c>
      <c r="L55" s="41" t="s">
        <v>1690</v>
      </c>
      <c r="M55" s="1" t="str">
        <f t="shared" si="2"/>
        <v>LUC</v>
      </c>
    </row>
    <row r="56" spans="1:13" ht="45" customHeight="1" x14ac:dyDescent="0.25">
      <c r="A56" s="32">
        <v>51</v>
      </c>
      <c r="B56" s="44" t="s">
        <v>23</v>
      </c>
      <c r="C56" s="34">
        <v>13</v>
      </c>
      <c r="D56" s="34">
        <v>171</v>
      </c>
      <c r="E56" s="34" t="s">
        <v>18</v>
      </c>
      <c r="F56" s="34">
        <v>161</v>
      </c>
      <c r="G56" s="33" t="s">
        <v>1295</v>
      </c>
      <c r="H56" s="33">
        <f t="shared" si="3"/>
        <v>112</v>
      </c>
      <c r="I56" s="34">
        <v>112</v>
      </c>
      <c r="J56" s="34"/>
      <c r="K56" s="34">
        <f t="shared" si="1"/>
        <v>49</v>
      </c>
      <c r="L56" s="41" t="s">
        <v>1690</v>
      </c>
      <c r="M56" s="1" t="str">
        <f t="shared" si="2"/>
        <v>LUC</v>
      </c>
    </row>
    <row r="57" spans="1:13" ht="45" customHeight="1" x14ac:dyDescent="0.25">
      <c r="A57" s="32">
        <v>52</v>
      </c>
      <c r="B57" s="44" t="s">
        <v>23</v>
      </c>
      <c r="C57" s="34">
        <v>13</v>
      </c>
      <c r="D57" s="34">
        <v>172</v>
      </c>
      <c r="E57" s="34" t="s">
        <v>18</v>
      </c>
      <c r="F57" s="34">
        <v>282</v>
      </c>
      <c r="G57" s="33" t="s">
        <v>1295</v>
      </c>
      <c r="H57" s="33">
        <f t="shared" si="3"/>
        <v>282</v>
      </c>
      <c r="I57" s="34">
        <v>282</v>
      </c>
      <c r="J57" s="34"/>
      <c r="K57" s="34">
        <f t="shared" si="1"/>
        <v>0</v>
      </c>
      <c r="L57" s="41" t="s">
        <v>1690</v>
      </c>
      <c r="M57" s="1" t="str">
        <f t="shared" si="2"/>
        <v>LUC</v>
      </c>
    </row>
    <row r="58" spans="1:13" ht="45" customHeight="1" x14ac:dyDescent="0.25">
      <c r="A58" s="32">
        <v>53</v>
      </c>
      <c r="B58" s="44" t="s">
        <v>23</v>
      </c>
      <c r="C58" s="34">
        <v>13</v>
      </c>
      <c r="D58" s="34">
        <v>189</v>
      </c>
      <c r="E58" s="34" t="s">
        <v>18</v>
      </c>
      <c r="F58" s="34">
        <v>562</v>
      </c>
      <c r="G58" s="33" t="s">
        <v>1295</v>
      </c>
      <c r="H58" s="33">
        <f t="shared" si="3"/>
        <v>550</v>
      </c>
      <c r="I58" s="34">
        <v>550</v>
      </c>
      <c r="J58" s="34"/>
      <c r="K58" s="34">
        <f t="shared" si="1"/>
        <v>12</v>
      </c>
      <c r="L58" s="41" t="s">
        <v>1690</v>
      </c>
      <c r="M58" s="1" t="str">
        <f t="shared" si="2"/>
        <v>LUC</v>
      </c>
    </row>
    <row r="59" spans="1:13" ht="45" customHeight="1" x14ac:dyDescent="0.25">
      <c r="A59" s="32">
        <v>54</v>
      </c>
      <c r="B59" s="44" t="s">
        <v>1655</v>
      </c>
      <c r="C59" s="34">
        <v>13</v>
      </c>
      <c r="D59" s="34">
        <v>909</v>
      </c>
      <c r="E59" s="34" t="s">
        <v>25</v>
      </c>
      <c r="F59" s="34">
        <v>1711</v>
      </c>
      <c r="G59" s="33" t="s">
        <v>1289</v>
      </c>
      <c r="H59" s="33">
        <f t="shared" si="3"/>
        <v>24</v>
      </c>
      <c r="I59" s="34">
        <v>24</v>
      </c>
      <c r="J59" s="34"/>
      <c r="K59" s="34">
        <f t="shared" si="1"/>
        <v>1687</v>
      </c>
      <c r="L59" s="41" t="s">
        <v>1733</v>
      </c>
      <c r="M59" s="1" t="str">
        <f t="shared" si="2"/>
        <v>NHK</v>
      </c>
    </row>
    <row r="60" spans="1:13" ht="45" customHeight="1" x14ac:dyDescent="0.25">
      <c r="A60" s="32">
        <v>55</v>
      </c>
      <c r="B60" s="44" t="s">
        <v>1641</v>
      </c>
      <c r="C60" s="34">
        <v>11</v>
      </c>
      <c r="D60" s="34">
        <v>227</v>
      </c>
      <c r="E60" s="34" t="s">
        <v>9</v>
      </c>
      <c r="F60" s="34">
        <v>9131</v>
      </c>
      <c r="G60" s="33" t="s">
        <v>1481</v>
      </c>
      <c r="H60" s="33">
        <f t="shared" si="3"/>
        <v>12</v>
      </c>
      <c r="I60" s="34">
        <v>12</v>
      </c>
      <c r="J60" s="34"/>
      <c r="K60" s="34">
        <f t="shared" si="1"/>
        <v>9119</v>
      </c>
      <c r="L60" s="41" t="s">
        <v>1707</v>
      </c>
      <c r="M60" s="1" t="str">
        <f t="shared" si="2"/>
        <v>CLN</v>
      </c>
    </row>
    <row r="61" spans="1:13" ht="45" customHeight="1" x14ac:dyDescent="0.25">
      <c r="A61" s="32">
        <v>56</v>
      </c>
      <c r="B61" s="44" t="s">
        <v>1646</v>
      </c>
      <c r="C61" s="34">
        <v>14</v>
      </c>
      <c r="D61" s="34">
        <v>126</v>
      </c>
      <c r="E61" s="34" t="s">
        <v>6</v>
      </c>
      <c r="F61" s="34">
        <v>6478</v>
      </c>
      <c r="G61" s="33" t="s">
        <v>1433</v>
      </c>
      <c r="H61" s="33">
        <f t="shared" si="3"/>
        <v>230</v>
      </c>
      <c r="I61" s="34">
        <v>230</v>
      </c>
      <c r="J61" s="34"/>
      <c r="K61" s="34">
        <f t="shared" si="1"/>
        <v>6248</v>
      </c>
      <c r="L61" s="41" t="s">
        <v>7</v>
      </c>
      <c r="M61" s="1" t="str">
        <f t="shared" si="2"/>
        <v>CLN</v>
      </c>
    </row>
    <row r="62" spans="1:13" ht="45" customHeight="1" x14ac:dyDescent="0.25">
      <c r="A62" s="32">
        <v>57</v>
      </c>
      <c r="B62" s="44" t="s">
        <v>1646</v>
      </c>
      <c r="C62" s="34">
        <v>11</v>
      </c>
      <c r="D62" s="34">
        <v>258</v>
      </c>
      <c r="E62" s="34" t="s">
        <v>9</v>
      </c>
      <c r="F62" s="34">
        <v>5135</v>
      </c>
      <c r="G62" s="33" t="s">
        <v>1432</v>
      </c>
      <c r="H62" s="33">
        <f t="shared" si="3"/>
        <v>10</v>
      </c>
      <c r="I62" s="34">
        <v>10</v>
      </c>
      <c r="J62" s="34"/>
      <c r="K62" s="34">
        <f t="shared" si="1"/>
        <v>5125</v>
      </c>
      <c r="L62" s="41" t="s">
        <v>7</v>
      </c>
      <c r="M62" s="1" t="str">
        <f t="shared" si="2"/>
        <v>CLN</v>
      </c>
    </row>
    <row r="63" spans="1:13" ht="45" customHeight="1" x14ac:dyDescent="0.25">
      <c r="A63" s="32">
        <v>58</v>
      </c>
      <c r="B63" s="44" t="s">
        <v>1667</v>
      </c>
      <c r="C63" s="34">
        <v>15</v>
      </c>
      <c r="D63" s="34">
        <v>10</v>
      </c>
      <c r="E63" s="34" t="s">
        <v>6</v>
      </c>
      <c r="F63" s="34">
        <v>5236</v>
      </c>
      <c r="G63" s="33" t="s">
        <v>450</v>
      </c>
      <c r="H63" s="33">
        <f t="shared" si="3"/>
        <v>974</v>
      </c>
      <c r="I63" s="34">
        <v>974</v>
      </c>
      <c r="J63" s="34"/>
      <c r="K63" s="34">
        <f t="shared" si="1"/>
        <v>4262</v>
      </c>
      <c r="L63" s="41" t="s">
        <v>1747</v>
      </c>
      <c r="M63" s="1" t="str">
        <f t="shared" si="2"/>
        <v>CLN</v>
      </c>
    </row>
    <row r="64" spans="1:13" ht="45" customHeight="1" x14ac:dyDescent="0.25">
      <c r="A64" s="32">
        <v>59</v>
      </c>
      <c r="B64" s="44" t="s">
        <v>24</v>
      </c>
      <c r="C64" s="34">
        <v>14</v>
      </c>
      <c r="D64" s="34">
        <v>638</v>
      </c>
      <c r="E64" s="34" t="s">
        <v>25</v>
      </c>
      <c r="F64" s="34">
        <v>1607</v>
      </c>
      <c r="G64" s="33" t="s">
        <v>1210</v>
      </c>
      <c r="H64" s="33">
        <f t="shared" si="3"/>
        <v>43</v>
      </c>
      <c r="I64" s="34">
        <v>43</v>
      </c>
      <c r="J64" s="34"/>
      <c r="K64" s="34">
        <f t="shared" si="1"/>
        <v>1564</v>
      </c>
      <c r="L64" s="41" t="s">
        <v>7</v>
      </c>
      <c r="M64" s="1" t="str">
        <f t="shared" si="2"/>
        <v>NHK</v>
      </c>
    </row>
    <row r="65" spans="1:18" ht="45" customHeight="1" x14ac:dyDescent="0.25">
      <c r="A65" s="32">
        <v>60</v>
      </c>
      <c r="B65" s="44" t="s">
        <v>20</v>
      </c>
      <c r="C65" s="34">
        <v>15</v>
      </c>
      <c r="D65" s="34">
        <v>5</v>
      </c>
      <c r="E65" s="34" t="s">
        <v>6</v>
      </c>
      <c r="F65" s="34">
        <v>4189</v>
      </c>
      <c r="G65" s="33" t="s">
        <v>1178</v>
      </c>
      <c r="H65" s="33">
        <f t="shared" si="3"/>
        <v>31</v>
      </c>
      <c r="I65" s="34">
        <v>31</v>
      </c>
      <c r="J65" s="34"/>
      <c r="K65" s="34">
        <f t="shared" si="1"/>
        <v>4158</v>
      </c>
      <c r="L65" s="41" t="s">
        <v>7</v>
      </c>
      <c r="M65" s="1" t="str">
        <f t="shared" si="2"/>
        <v>CLN</v>
      </c>
    </row>
    <row r="66" spans="1:18" ht="45" customHeight="1" x14ac:dyDescent="0.25">
      <c r="A66" s="32">
        <v>61</v>
      </c>
      <c r="B66" s="44" t="s">
        <v>20</v>
      </c>
      <c r="C66" s="34">
        <v>16</v>
      </c>
      <c r="D66" s="34">
        <v>20</v>
      </c>
      <c r="E66" s="34" t="s">
        <v>6</v>
      </c>
      <c r="F66" s="34">
        <v>4074</v>
      </c>
      <c r="G66" s="33" t="s">
        <v>1173</v>
      </c>
      <c r="H66" s="33">
        <f t="shared" si="3"/>
        <v>1197</v>
      </c>
      <c r="I66" s="34">
        <v>1197</v>
      </c>
      <c r="J66" s="34"/>
      <c r="K66" s="34">
        <f t="shared" si="1"/>
        <v>2877</v>
      </c>
      <c r="L66" s="41" t="s">
        <v>1735</v>
      </c>
      <c r="M66" s="1" t="str">
        <f t="shared" si="2"/>
        <v>CLN</v>
      </c>
    </row>
    <row r="67" spans="1:18" ht="45" customHeight="1" x14ac:dyDescent="0.25">
      <c r="A67" s="32">
        <v>62</v>
      </c>
      <c r="B67" s="44" t="s">
        <v>20</v>
      </c>
      <c r="C67" s="34">
        <v>15</v>
      </c>
      <c r="D67" s="34">
        <v>11</v>
      </c>
      <c r="E67" s="34" t="s">
        <v>6</v>
      </c>
      <c r="F67" s="34">
        <v>3849</v>
      </c>
      <c r="G67" s="33" t="s">
        <v>1173</v>
      </c>
      <c r="H67" s="33">
        <f t="shared" si="3"/>
        <v>1503</v>
      </c>
      <c r="I67" s="34">
        <v>1503</v>
      </c>
      <c r="J67" s="34"/>
      <c r="K67" s="34">
        <f t="shared" si="1"/>
        <v>2346</v>
      </c>
      <c r="L67" s="41" t="s">
        <v>1744</v>
      </c>
      <c r="M67" s="1" t="str">
        <f t="shared" si="2"/>
        <v>CLN</v>
      </c>
    </row>
    <row r="68" spans="1:18" ht="45" customHeight="1" x14ac:dyDescent="0.25">
      <c r="A68" s="32">
        <v>63</v>
      </c>
      <c r="B68" s="44" t="s">
        <v>1654</v>
      </c>
      <c r="C68" s="34">
        <v>13</v>
      </c>
      <c r="D68" s="34">
        <v>877</v>
      </c>
      <c r="E68" s="34" t="s">
        <v>6</v>
      </c>
      <c r="F68" s="34">
        <v>2774</v>
      </c>
      <c r="G68" s="33" t="s">
        <v>438</v>
      </c>
      <c r="H68" s="33">
        <f t="shared" si="3"/>
        <v>557</v>
      </c>
      <c r="I68" s="34">
        <v>557</v>
      </c>
      <c r="J68" s="34"/>
      <c r="K68" s="34">
        <f t="shared" si="1"/>
        <v>2217</v>
      </c>
      <c r="L68" s="41" t="s">
        <v>1732</v>
      </c>
      <c r="M68" s="1" t="str">
        <f t="shared" si="2"/>
        <v>CLN</v>
      </c>
    </row>
    <row r="69" spans="1:18" ht="45" customHeight="1" x14ac:dyDescent="0.25">
      <c r="A69" s="32">
        <v>64</v>
      </c>
      <c r="B69" s="44" t="s">
        <v>16</v>
      </c>
      <c r="C69" s="34">
        <v>14</v>
      </c>
      <c r="D69" s="34">
        <v>152</v>
      </c>
      <c r="E69" s="34" t="s">
        <v>6</v>
      </c>
      <c r="F69" s="34">
        <v>8030</v>
      </c>
      <c r="G69" s="33" t="s">
        <v>1460</v>
      </c>
      <c r="H69" s="33">
        <f t="shared" si="3"/>
        <v>966</v>
      </c>
      <c r="I69" s="34">
        <v>966</v>
      </c>
      <c r="J69" s="34"/>
      <c r="K69" s="34">
        <f t="shared" si="1"/>
        <v>7064</v>
      </c>
      <c r="L69" s="41" t="s">
        <v>1736</v>
      </c>
      <c r="M69" s="1" t="str">
        <f t="shared" si="2"/>
        <v>CLN</v>
      </c>
    </row>
    <row r="70" spans="1:18" ht="45" customHeight="1" x14ac:dyDescent="0.25">
      <c r="A70" s="32">
        <v>65</v>
      </c>
      <c r="B70" s="44" t="s">
        <v>1664</v>
      </c>
      <c r="C70" s="34">
        <v>14</v>
      </c>
      <c r="D70" s="34">
        <v>196</v>
      </c>
      <c r="E70" s="34" t="s">
        <v>6</v>
      </c>
      <c r="F70" s="34">
        <v>2110</v>
      </c>
      <c r="G70" s="33" t="s">
        <v>1321</v>
      </c>
      <c r="H70" s="33">
        <f t="shared" ref="H70:H101" si="4">SUM(I70:J70)</f>
        <v>480</v>
      </c>
      <c r="I70" s="34">
        <v>480</v>
      </c>
      <c r="J70" s="34"/>
      <c r="K70" s="34">
        <f t="shared" ref="K70:K133" si="5">F70-H70</f>
        <v>1630</v>
      </c>
      <c r="L70" s="41" t="s">
        <v>7</v>
      </c>
      <c r="M70" s="1" t="str">
        <f t="shared" si="2"/>
        <v>CLN</v>
      </c>
    </row>
    <row r="71" spans="1:18" ht="45" customHeight="1" x14ac:dyDescent="0.25">
      <c r="A71" s="32">
        <v>66</v>
      </c>
      <c r="B71" s="44" t="s">
        <v>27</v>
      </c>
      <c r="C71" s="34">
        <v>16</v>
      </c>
      <c r="D71" s="34">
        <v>2</v>
      </c>
      <c r="E71" s="34" t="s">
        <v>6</v>
      </c>
      <c r="F71" s="34">
        <v>12437</v>
      </c>
      <c r="G71" s="33" t="s">
        <v>1117</v>
      </c>
      <c r="H71" s="33">
        <f t="shared" si="4"/>
        <v>829</v>
      </c>
      <c r="I71" s="34">
        <v>829</v>
      </c>
      <c r="J71" s="34"/>
      <c r="K71" s="34">
        <f t="shared" si="5"/>
        <v>11608</v>
      </c>
      <c r="L71" s="41" t="s">
        <v>1746</v>
      </c>
      <c r="M71" s="1" t="str">
        <f t="shared" ref="M71:M134" si="6">IF(E71="ONT+CLN","CLN",IF(E71="ODT+CLN","CLN",E71))</f>
        <v>CLN</v>
      </c>
    </row>
    <row r="72" spans="1:18" ht="45" customHeight="1" x14ac:dyDescent="0.25">
      <c r="A72" s="32">
        <v>67</v>
      </c>
      <c r="B72" s="44" t="s">
        <v>27</v>
      </c>
      <c r="C72" s="34">
        <v>13</v>
      </c>
      <c r="D72" s="34">
        <v>230</v>
      </c>
      <c r="E72" s="34" t="s">
        <v>18</v>
      </c>
      <c r="F72" s="34">
        <v>278</v>
      </c>
      <c r="G72" s="33" t="s">
        <v>1113</v>
      </c>
      <c r="H72" s="33">
        <f t="shared" si="4"/>
        <v>142</v>
      </c>
      <c r="I72" s="34">
        <v>142</v>
      </c>
      <c r="J72" s="34"/>
      <c r="K72" s="34">
        <f t="shared" si="5"/>
        <v>136</v>
      </c>
      <c r="L72" s="41" t="s">
        <v>1690</v>
      </c>
      <c r="M72" s="1" t="str">
        <f t="shared" si="6"/>
        <v>LUC</v>
      </c>
    </row>
    <row r="73" spans="1:18" ht="45" customHeight="1" x14ac:dyDescent="0.25">
      <c r="A73" s="32">
        <v>68</v>
      </c>
      <c r="B73" s="44" t="s">
        <v>27</v>
      </c>
      <c r="C73" s="34">
        <v>13</v>
      </c>
      <c r="D73" s="34">
        <v>235</v>
      </c>
      <c r="E73" s="34" t="s">
        <v>25</v>
      </c>
      <c r="F73" s="34">
        <v>415</v>
      </c>
      <c r="G73" s="33" t="s">
        <v>1113</v>
      </c>
      <c r="H73" s="33">
        <f t="shared" si="4"/>
        <v>161</v>
      </c>
      <c r="I73" s="34">
        <v>161</v>
      </c>
      <c r="J73" s="34"/>
      <c r="K73" s="34">
        <f t="shared" si="5"/>
        <v>254</v>
      </c>
      <c r="L73" s="41" t="s">
        <v>1690</v>
      </c>
      <c r="M73" s="1" t="str">
        <f t="shared" si="6"/>
        <v>NHK</v>
      </c>
    </row>
    <row r="74" spans="1:18" ht="45" customHeight="1" x14ac:dyDescent="0.25">
      <c r="A74" s="32">
        <v>69</v>
      </c>
      <c r="B74" s="44" t="s">
        <v>1616</v>
      </c>
      <c r="C74" s="34">
        <v>10</v>
      </c>
      <c r="D74" s="34">
        <v>217</v>
      </c>
      <c r="E74" s="34" t="s">
        <v>9</v>
      </c>
      <c r="F74" s="34">
        <v>3494</v>
      </c>
      <c r="G74" s="33" t="s">
        <v>1564</v>
      </c>
      <c r="H74" s="33">
        <f t="shared" si="4"/>
        <v>9</v>
      </c>
      <c r="I74" s="34">
        <v>9</v>
      </c>
      <c r="J74" s="34"/>
      <c r="K74" s="34">
        <f t="shared" si="5"/>
        <v>3485</v>
      </c>
      <c r="L74" s="41" t="s">
        <v>7</v>
      </c>
      <c r="M74" s="1" t="str">
        <f t="shared" si="6"/>
        <v>CLN</v>
      </c>
    </row>
    <row r="75" spans="1:18" ht="45" customHeight="1" x14ac:dyDescent="0.25">
      <c r="A75" s="35">
        <v>70</v>
      </c>
      <c r="B75" s="44" t="s">
        <v>1634</v>
      </c>
      <c r="C75" s="34">
        <v>11</v>
      </c>
      <c r="D75" s="34">
        <v>177</v>
      </c>
      <c r="E75" s="34" t="s">
        <v>6</v>
      </c>
      <c r="F75" s="34">
        <v>1063</v>
      </c>
      <c r="G75" s="33" t="s">
        <v>1569</v>
      </c>
      <c r="H75" s="33">
        <f t="shared" si="4"/>
        <v>62</v>
      </c>
      <c r="I75" s="34">
        <v>62</v>
      </c>
      <c r="J75" s="33"/>
      <c r="K75" s="34">
        <f t="shared" si="5"/>
        <v>1001</v>
      </c>
      <c r="L75" s="41" t="s">
        <v>7</v>
      </c>
      <c r="M75" s="1" t="str">
        <f t="shared" si="6"/>
        <v>CLN</v>
      </c>
      <c r="N75" s="3"/>
      <c r="O75" s="3"/>
      <c r="P75" s="3"/>
      <c r="Q75" s="3"/>
      <c r="R75" s="3"/>
    </row>
    <row r="76" spans="1:18" ht="45" customHeight="1" x14ac:dyDescent="0.25">
      <c r="A76" s="35">
        <v>71</v>
      </c>
      <c r="B76" s="44" t="s">
        <v>1634</v>
      </c>
      <c r="C76" s="34">
        <v>11</v>
      </c>
      <c r="D76" s="34">
        <v>188</v>
      </c>
      <c r="E76" s="34" t="s">
        <v>6</v>
      </c>
      <c r="F76" s="34">
        <v>4014</v>
      </c>
      <c r="G76" s="33" t="s">
        <v>1569</v>
      </c>
      <c r="H76" s="33">
        <f t="shared" si="4"/>
        <v>4</v>
      </c>
      <c r="I76" s="34">
        <v>4</v>
      </c>
      <c r="J76" s="33"/>
      <c r="K76" s="34">
        <f t="shared" si="5"/>
        <v>4010</v>
      </c>
      <c r="L76" s="41" t="s">
        <v>7</v>
      </c>
      <c r="M76" s="1" t="str">
        <f t="shared" si="6"/>
        <v>CLN</v>
      </c>
    </row>
    <row r="77" spans="1:18" ht="45" customHeight="1" x14ac:dyDescent="0.25">
      <c r="A77" s="32">
        <v>72</v>
      </c>
      <c r="B77" s="44" t="s">
        <v>28</v>
      </c>
      <c r="C77" s="34">
        <v>14</v>
      </c>
      <c r="D77" s="34">
        <v>231</v>
      </c>
      <c r="E77" s="34" t="s">
        <v>6</v>
      </c>
      <c r="F77" s="34">
        <v>2844</v>
      </c>
      <c r="G77" s="33" t="s">
        <v>1070</v>
      </c>
      <c r="H77" s="33">
        <f t="shared" si="4"/>
        <v>13</v>
      </c>
      <c r="I77" s="34">
        <v>13</v>
      </c>
      <c r="J77" s="34"/>
      <c r="K77" s="34">
        <f t="shared" si="5"/>
        <v>2831</v>
      </c>
      <c r="L77" s="41" t="s">
        <v>1740</v>
      </c>
      <c r="M77" s="1" t="str">
        <f t="shared" si="6"/>
        <v>CLN</v>
      </c>
    </row>
    <row r="78" spans="1:18" ht="45" customHeight="1" x14ac:dyDescent="0.25">
      <c r="A78" s="32">
        <v>73</v>
      </c>
      <c r="B78" s="44" t="s">
        <v>28</v>
      </c>
      <c r="C78" s="34">
        <v>13</v>
      </c>
      <c r="D78" s="34">
        <v>253</v>
      </c>
      <c r="E78" s="34" t="s">
        <v>25</v>
      </c>
      <c r="F78" s="34">
        <v>178</v>
      </c>
      <c r="G78" s="33" t="s">
        <v>1069</v>
      </c>
      <c r="H78" s="33">
        <f t="shared" si="4"/>
        <v>88</v>
      </c>
      <c r="I78" s="34">
        <v>88</v>
      </c>
      <c r="J78" s="34"/>
      <c r="K78" s="34">
        <f t="shared" si="5"/>
        <v>90</v>
      </c>
      <c r="L78" s="41" t="s">
        <v>1690</v>
      </c>
      <c r="M78" s="1" t="str">
        <f t="shared" si="6"/>
        <v>NHK</v>
      </c>
    </row>
    <row r="79" spans="1:18" ht="45" customHeight="1" x14ac:dyDescent="0.25">
      <c r="A79" s="32">
        <v>74</v>
      </c>
      <c r="B79" s="44" t="s">
        <v>28</v>
      </c>
      <c r="C79" s="34">
        <v>13</v>
      </c>
      <c r="D79" s="34">
        <v>254</v>
      </c>
      <c r="E79" s="34" t="s">
        <v>18</v>
      </c>
      <c r="F79" s="34">
        <v>379</v>
      </c>
      <c r="G79" s="33" t="s">
        <v>1069</v>
      </c>
      <c r="H79" s="33">
        <f t="shared" si="4"/>
        <v>94</v>
      </c>
      <c r="I79" s="34">
        <v>94</v>
      </c>
      <c r="J79" s="34"/>
      <c r="K79" s="34">
        <f t="shared" si="5"/>
        <v>285</v>
      </c>
      <c r="L79" s="41" t="s">
        <v>1690</v>
      </c>
      <c r="M79" s="1" t="str">
        <f t="shared" si="6"/>
        <v>LUC</v>
      </c>
    </row>
    <row r="80" spans="1:18" ht="45" customHeight="1" x14ac:dyDescent="0.25">
      <c r="A80" s="35">
        <v>75</v>
      </c>
      <c r="B80" s="44" t="s">
        <v>1633</v>
      </c>
      <c r="C80" s="34">
        <v>11</v>
      </c>
      <c r="D80" s="34">
        <v>178</v>
      </c>
      <c r="E80" s="34" t="s">
        <v>9</v>
      </c>
      <c r="F80" s="34">
        <v>6778</v>
      </c>
      <c r="G80" s="33" t="s">
        <v>1478</v>
      </c>
      <c r="H80" s="33">
        <f t="shared" si="4"/>
        <v>67</v>
      </c>
      <c r="I80" s="34">
        <v>67</v>
      </c>
      <c r="J80" s="33"/>
      <c r="K80" s="34">
        <f t="shared" si="5"/>
        <v>6711</v>
      </c>
      <c r="L80" s="41" t="s">
        <v>1710</v>
      </c>
      <c r="M80" s="1" t="str">
        <f t="shared" si="6"/>
        <v>CLN</v>
      </c>
    </row>
    <row r="81" spans="1:13" ht="45" customHeight="1" x14ac:dyDescent="0.25">
      <c r="A81" s="35">
        <v>76</v>
      </c>
      <c r="B81" s="44" t="s">
        <v>1633</v>
      </c>
      <c r="C81" s="34">
        <v>11</v>
      </c>
      <c r="D81" s="34">
        <v>173</v>
      </c>
      <c r="E81" s="34" t="s">
        <v>9</v>
      </c>
      <c r="F81" s="34">
        <v>7471</v>
      </c>
      <c r="G81" s="33" t="s">
        <v>1477</v>
      </c>
      <c r="H81" s="33">
        <f t="shared" si="4"/>
        <v>89</v>
      </c>
      <c r="I81" s="34">
        <v>89</v>
      </c>
      <c r="J81" s="33"/>
      <c r="K81" s="34">
        <f t="shared" si="5"/>
        <v>7382</v>
      </c>
      <c r="L81" s="41" t="s">
        <v>7</v>
      </c>
      <c r="M81" s="1" t="str">
        <f t="shared" si="6"/>
        <v>CLN</v>
      </c>
    </row>
    <row r="82" spans="1:13" ht="45" customHeight="1" x14ac:dyDescent="0.25">
      <c r="A82" s="35">
        <v>77</v>
      </c>
      <c r="B82" s="44" t="s">
        <v>1632</v>
      </c>
      <c r="C82" s="34">
        <v>11</v>
      </c>
      <c r="D82" s="34">
        <v>171</v>
      </c>
      <c r="E82" s="34" t="s">
        <v>9</v>
      </c>
      <c r="F82" s="34">
        <v>7879</v>
      </c>
      <c r="G82" s="33" t="s">
        <v>1562</v>
      </c>
      <c r="H82" s="33">
        <f t="shared" si="4"/>
        <v>48</v>
      </c>
      <c r="I82" s="34">
        <v>48</v>
      </c>
      <c r="J82" s="33"/>
      <c r="K82" s="34">
        <f t="shared" si="5"/>
        <v>7831</v>
      </c>
      <c r="L82" s="41" t="s">
        <v>7</v>
      </c>
      <c r="M82" s="1" t="str">
        <f t="shared" si="6"/>
        <v>CLN</v>
      </c>
    </row>
    <row r="83" spans="1:13" ht="45" customHeight="1" x14ac:dyDescent="0.25">
      <c r="A83" s="32">
        <v>78</v>
      </c>
      <c r="B83" s="44" t="s">
        <v>19</v>
      </c>
      <c r="C83" s="34">
        <v>16</v>
      </c>
      <c r="D83" s="34">
        <v>13</v>
      </c>
      <c r="E83" s="34" t="s">
        <v>6</v>
      </c>
      <c r="F83" s="34">
        <v>4701</v>
      </c>
      <c r="G83" s="33" t="s">
        <v>998</v>
      </c>
      <c r="H83" s="33">
        <f t="shared" si="4"/>
        <v>193</v>
      </c>
      <c r="I83" s="34">
        <v>193</v>
      </c>
      <c r="J83" s="34"/>
      <c r="K83" s="34">
        <f t="shared" si="5"/>
        <v>4508</v>
      </c>
      <c r="L83" s="41" t="s">
        <v>1735</v>
      </c>
      <c r="M83" s="1" t="str">
        <f t="shared" si="6"/>
        <v>CLN</v>
      </c>
    </row>
    <row r="84" spans="1:13" ht="45" customHeight="1" x14ac:dyDescent="0.25">
      <c r="A84" s="32">
        <v>79</v>
      </c>
      <c r="B84" s="44" t="s">
        <v>1657</v>
      </c>
      <c r="C84" s="34">
        <v>16</v>
      </c>
      <c r="D84" s="34">
        <v>37</v>
      </c>
      <c r="E84" s="34" t="s">
        <v>6</v>
      </c>
      <c r="F84" s="34">
        <v>8156</v>
      </c>
      <c r="G84" s="33" t="s">
        <v>268</v>
      </c>
      <c r="H84" s="33">
        <f t="shared" si="4"/>
        <v>522</v>
      </c>
      <c r="I84" s="34">
        <v>522</v>
      </c>
      <c r="J84" s="34"/>
      <c r="K84" s="34">
        <f t="shared" si="5"/>
        <v>7634</v>
      </c>
      <c r="L84" s="41" t="s">
        <v>1731</v>
      </c>
      <c r="M84" s="1" t="str">
        <f t="shared" si="6"/>
        <v>CLN</v>
      </c>
    </row>
    <row r="85" spans="1:13" ht="45" customHeight="1" x14ac:dyDescent="0.25">
      <c r="A85" s="32">
        <v>80</v>
      </c>
      <c r="B85" s="44" t="s">
        <v>21</v>
      </c>
      <c r="C85" s="34">
        <v>13</v>
      </c>
      <c r="D85" s="34">
        <v>873</v>
      </c>
      <c r="E85" s="34" t="s">
        <v>6</v>
      </c>
      <c r="F85" s="34">
        <v>5270</v>
      </c>
      <c r="G85" s="33" t="s">
        <v>561</v>
      </c>
      <c r="H85" s="33">
        <f t="shared" si="4"/>
        <v>1175</v>
      </c>
      <c r="I85" s="34">
        <v>1175</v>
      </c>
      <c r="J85" s="34"/>
      <c r="K85" s="34">
        <f t="shared" si="5"/>
        <v>4095</v>
      </c>
      <c r="L85" s="41" t="s">
        <v>1744</v>
      </c>
      <c r="M85" s="1" t="str">
        <f t="shared" si="6"/>
        <v>CLN</v>
      </c>
    </row>
    <row r="86" spans="1:13" ht="45" customHeight="1" x14ac:dyDescent="0.25">
      <c r="A86" s="32">
        <v>81</v>
      </c>
      <c r="B86" s="44" t="s">
        <v>1640</v>
      </c>
      <c r="C86" s="34">
        <v>11</v>
      </c>
      <c r="D86" s="34">
        <v>217</v>
      </c>
      <c r="E86" s="34" t="s">
        <v>9</v>
      </c>
      <c r="F86" s="34">
        <v>4389</v>
      </c>
      <c r="G86" s="33" t="s">
        <v>1476</v>
      </c>
      <c r="H86" s="33">
        <f t="shared" si="4"/>
        <v>22</v>
      </c>
      <c r="I86" s="34">
        <v>22</v>
      </c>
      <c r="J86" s="34"/>
      <c r="K86" s="34">
        <f t="shared" si="5"/>
        <v>4367</v>
      </c>
      <c r="L86" s="41" t="s">
        <v>7</v>
      </c>
      <c r="M86" s="1" t="str">
        <f t="shared" si="6"/>
        <v>CLN</v>
      </c>
    </row>
    <row r="87" spans="1:13" ht="45" customHeight="1" x14ac:dyDescent="0.25">
      <c r="A87" s="32">
        <v>82</v>
      </c>
      <c r="B87" s="44" t="s">
        <v>1644</v>
      </c>
      <c r="C87" s="34">
        <v>11</v>
      </c>
      <c r="D87" s="34">
        <v>241</v>
      </c>
      <c r="E87" s="34" t="s">
        <v>9</v>
      </c>
      <c r="F87" s="34">
        <v>4364</v>
      </c>
      <c r="G87" s="33" t="s">
        <v>1532</v>
      </c>
      <c r="H87" s="33">
        <f t="shared" si="4"/>
        <v>55</v>
      </c>
      <c r="I87" s="34">
        <v>55</v>
      </c>
      <c r="J87" s="34"/>
      <c r="K87" s="34">
        <f t="shared" si="5"/>
        <v>4309</v>
      </c>
      <c r="L87" s="41" t="s">
        <v>7</v>
      </c>
      <c r="M87" s="1" t="str">
        <f t="shared" si="6"/>
        <v>CLN</v>
      </c>
    </row>
    <row r="88" spans="1:13" ht="45" customHeight="1" x14ac:dyDescent="0.25">
      <c r="A88" s="32">
        <v>83</v>
      </c>
      <c r="B88" s="44" t="s">
        <v>1659</v>
      </c>
      <c r="C88" s="34">
        <v>14</v>
      </c>
      <c r="D88" s="34">
        <v>42</v>
      </c>
      <c r="E88" s="34" t="s">
        <v>6</v>
      </c>
      <c r="F88" s="34">
        <v>14240</v>
      </c>
      <c r="G88" s="33" t="s">
        <v>1414</v>
      </c>
      <c r="H88" s="33">
        <f t="shared" si="4"/>
        <v>1108</v>
      </c>
      <c r="I88" s="34">
        <v>1108</v>
      </c>
      <c r="J88" s="34"/>
      <c r="K88" s="34">
        <f t="shared" si="5"/>
        <v>13132</v>
      </c>
      <c r="L88" s="41" t="s">
        <v>7</v>
      </c>
      <c r="M88" s="1" t="str">
        <f t="shared" si="6"/>
        <v>CLN</v>
      </c>
    </row>
    <row r="89" spans="1:13" ht="45" customHeight="1" x14ac:dyDescent="0.25">
      <c r="A89" s="32">
        <v>84</v>
      </c>
      <c r="B89" s="44" t="s">
        <v>1631</v>
      </c>
      <c r="C89" s="34">
        <v>11</v>
      </c>
      <c r="D89" s="34">
        <v>169</v>
      </c>
      <c r="E89" s="34" t="s">
        <v>9</v>
      </c>
      <c r="F89" s="34">
        <v>10831</v>
      </c>
      <c r="G89" s="33" t="s">
        <v>1530</v>
      </c>
      <c r="H89" s="33">
        <f t="shared" si="4"/>
        <v>26</v>
      </c>
      <c r="I89" s="34">
        <v>26</v>
      </c>
      <c r="J89" s="34"/>
      <c r="K89" s="34">
        <f t="shared" si="5"/>
        <v>10805</v>
      </c>
      <c r="L89" s="41" t="s">
        <v>7</v>
      </c>
      <c r="M89" s="1" t="str">
        <f t="shared" si="6"/>
        <v>CLN</v>
      </c>
    </row>
    <row r="90" spans="1:13" ht="45" customHeight="1" x14ac:dyDescent="0.25">
      <c r="A90" s="32">
        <v>85</v>
      </c>
      <c r="B90" s="44" t="s">
        <v>1658</v>
      </c>
      <c r="C90" s="34">
        <v>14</v>
      </c>
      <c r="D90" s="34">
        <v>21</v>
      </c>
      <c r="E90" s="34" t="s">
        <v>6</v>
      </c>
      <c r="F90" s="34">
        <v>9424</v>
      </c>
      <c r="G90" s="33" t="s">
        <v>1543</v>
      </c>
      <c r="H90" s="33">
        <f t="shared" si="4"/>
        <v>5</v>
      </c>
      <c r="I90" s="34">
        <v>5</v>
      </c>
      <c r="J90" s="34"/>
      <c r="K90" s="34">
        <f t="shared" si="5"/>
        <v>9419</v>
      </c>
      <c r="L90" s="41" t="s">
        <v>7</v>
      </c>
      <c r="M90" s="1" t="str">
        <f t="shared" si="6"/>
        <v>CLN</v>
      </c>
    </row>
    <row r="91" spans="1:13" ht="45" customHeight="1" x14ac:dyDescent="0.25">
      <c r="A91" s="32">
        <v>86</v>
      </c>
      <c r="B91" s="44" t="s">
        <v>1636</v>
      </c>
      <c r="C91" s="34">
        <v>11</v>
      </c>
      <c r="D91" s="34">
        <v>215</v>
      </c>
      <c r="E91" s="34" t="s">
        <v>6</v>
      </c>
      <c r="F91" s="34">
        <v>9714</v>
      </c>
      <c r="G91" s="33" t="s">
        <v>1541</v>
      </c>
      <c r="H91" s="33">
        <f t="shared" si="4"/>
        <v>9</v>
      </c>
      <c r="I91" s="34">
        <v>9</v>
      </c>
      <c r="J91" s="34"/>
      <c r="K91" s="34">
        <f t="shared" si="5"/>
        <v>9705</v>
      </c>
      <c r="L91" s="41" t="s">
        <v>1707</v>
      </c>
      <c r="M91" s="1" t="str">
        <f t="shared" si="6"/>
        <v>CLN</v>
      </c>
    </row>
    <row r="92" spans="1:13" ht="45" customHeight="1" x14ac:dyDescent="0.25">
      <c r="A92" s="32">
        <v>87</v>
      </c>
      <c r="B92" s="44" t="s">
        <v>1647</v>
      </c>
      <c r="C92" s="34">
        <v>11</v>
      </c>
      <c r="D92" s="34">
        <v>274</v>
      </c>
      <c r="E92" s="34" t="s">
        <v>9</v>
      </c>
      <c r="F92" s="34">
        <v>5110</v>
      </c>
      <c r="G92" s="33" t="s">
        <v>1412</v>
      </c>
      <c r="H92" s="33">
        <f t="shared" si="4"/>
        <v>82</v>
      </c>
      <c r="I92" s="34">
        <v>82</v>
      </c>
      <c r="J92" s="34"/>
      <c r="K92" s="34">
        <f t="shared" si="5"/>
        <v>5028</v>
      </c>
      <c r="L92" s="41" t="s">
        <v>7</v>
      </c>
      <c r="M92" s="1" t="str">
        <f t="shared" si="6"/>
        <v>CLN</v>
      </c>
    </row>
    <row r="93" spans="1:13" ht="45" customHeight="1" x14ac:dyDescent="0.25">
      <c r="A93" s="32">
        <v>88</v>
      </c>
      <c r="B93" s="44" t="s">
        <v>1586</v>
      </c>
      <c r="C93" s="34">
        <v>1</v>
      </c>
      <c r="D93" s="34">
        <v>61</v>
      </c>
      <c r="E93" s="34" t="s">
        <v>1679</v>
      </c>
      <c r="F93" s="34">
        <v>657884</v>
      </c>
      <c r="G93" s="33" t="s">
        <v>57</v>
      </c>
      <c r="H93" s="33">
        <f t="shared" si="4"/>
        <v>1117</v>
      </c>
      <c r="I93" s="34">
        <v>1117</v>
      </c>
      <c r="J93" s="34"/>
      <c r="K93" s="34">
        <f t="shared" si="5"/>
        <v>656767</v>
      </c>
      <c r="L93" s="41" t="s">
        <v>1691</v>
      </c>
      <c r="M93" s="1" t="str">
        <f t="shared" si="6"/>
        <v>RPN</v>
      </c>
    </row>
    <row r="94" spans="1:13" ht="45" customHeight="1" x14ac:dyDescent="0.25">
      <c r="A94" s="32">
        <v>89</v>
      </c>
      <c r="B94" s="44" t="s">
        <v>1586</v>
      </c>
      <c r="C94" s="34">
        <v>1</v>
      </c>
      <c r="D94" s="34">
        <v>62</v>
      </c>
      <c r="E94" s="34" t="s">
        <v>1680</v>
      </c>
      <c r="F94" s="34">
        <v>2077550</v>
      </c>
      <c r="G94" s="33" t="s">
        <v>57</v>
      </c>
      <c r="H94" s="33">
        <f t="shared" si="4"/>
        <v>45947</v>
      </c>
      <c r="I94" s="34">
        <v>45947</v>
      </c>
      <c r="J94" s="34"/>
      <c r="K94" s="34">
        <f t="shared" si="5"/>
        <v>2031603</v>
      </c>
      <c r="L94" s="41" t="s">
        <v>1692</v>
      </c>
      <c r="M94" s="1" t="str">
        <f t="shared" si="6"/>
        <v>RPT</v>
      </c>
    </row>
    <row r="95" spans="1:13" ht="45" customHeight="1" x14ac:dyDescent="0.25">
      <c r="A95" s="32">
        <v>90</v>
      </c>
      <c r="B95" s="44" t="s">
        <v>1586</v>
      </c>
      <c r="C95" s="34">
        <v>1</v>
      </c>
      <c r="D95" s="34">
        <v>64</v>
      </c>
      <c r="E95" s="34" t="s">
        <v>1680</v>
      </c>
      <c r="F95" s="34">
        <v>1008762</v>
      </c>
      <c r="G95" s="33" t="s">
        <v>57</v>
      </c>
      <c r="H95" s="33">
        <f t="shared" si="4"/>
        <v>2914</v>
      </c>
      <c r="I95" s="34">
        <v>2914</v>
      </c>
      <c r="J95" s="34"/>
      <c r="K95" s="34">
        <f t="shared" si="5"/>
        <v>1005848</v>
      </c>
      <c r="L95" s="41" t="s">
        <v>1693</v>
      </c>
      <c r="M95" s="1" t="str">
        <f t="shared" si="6"/>
        <v>RPT</v>
      </c>
    </row>
    <row r="96" spans="1:13" ht="45" customHeight="1" x14ac:dyDescent="0.25">
      <c r="A96" s="32">
        <v>91</v>
      </c>
      <c r="B96" s="44" t="s">
        <v>1586</v>
      </c>
      <c r="C96" s="34">
        <v>1</v>
      </c>
      <c r="D96" s="34">
        <v>72</v>
      </c>
      <c r="E96" s="34" t="s">
        <v>1680</v>
      </c>
      <c r="F96" s="34">
        <v>1359003</v>
      </c>
      <c r="G96" s="33" t="s">
        <v>57</v>
      </c>
      <c r="H96" s="33">
        <f t="shared" si="4"/>
        <v>12808</v>
      </c>
      <c r="I96" s="34">
        <v>12808</v>
      </c>
      <c r="J96" s="34"/>
      <c r="K96" s="34">
        <f t="shared" si="5"/>
        <v>1346195</v>
      </c>
      <c r="L96" s="41" t="s">
        <v>1694</v>
      </c>
      <c r="M96" s="1" t="str">
        <f t="shared" si="6"/>
        <v>RPT</v>
      </c>
    </row>
    <row r="97" spans="1:18" ht="45" customHeight="1" x14ac:dyDescent="0.25">
      <c r="A97" s="35">
        <v>92</v>
      </c>
      <c r="B97" s="44" t="s">
        <v>1586</v>
      </c>
      <c r="C97" s="34">
        <v>1</v>
      </c>
      <c r="D97" s="34">
        <v>99</v>
      </c>
      <c r="E97" s="34" t="s">
        <v>1682</v>
      </c>
      <c r="F97" s="34">
        <v>102416</v>
      </c>
      <c r="G97" s="33" t="s">
        <v>57</v>
      </c>
      <c r="H97" s="33">
        <f t="shared" si="4"/>
        <v>6338</v>
      </c>
      <c r="I97" s="34">
        <v>6338</v>
      </c>
      <c r="J97" s="33"/>
      <c r="K97" s="34">
        <f t="shared" si="5"/>
        <v>96078</v>
      </c>
      <c r="L97" s="41" t="s">
        <v>1695</v>
      </c>
      <c r="M97" s="1" t="str">
        <f t="shared" si="6"/>
        <v>RPH</v>
      </c>
    </row>
    <row r="98" spans="1:18" ht="45" customHeight="1" x14ac:dyDescent="0.25">
      <c r="A98" s="32">
        <v>93</v>
      </c>
      <c r="B98" s="44" t="s">
        <v>1588</v>
      </c>
      <c r="C98" s="34">
        <v>1</v>
      </c>
      <c r="D98" s="34">
        <v>91</v>
      </c>
      <c r="E98" s="34" t="s">
        <v>1681</v>
      </c>
      <c r="F98" s="34">
        <v>14228</v>
      </c>
      <c r="G98" s="33" t="s">
        <v>923</v>
      </c>
      <c r="H98" s="33">
        <f t="shared" si="4"/>
        <v>39</v>
      </c>
      <c r="I98" s="34">
        <v>39</v>
      </c>
      <c r="J98" s="34"/>
      <c r="K98" s="34">
        <f t="shared" si="5"/>
        <v>14189</v>
      </c>
      <c r="L98" s="41" t="s">
        <v>7</v>
      </c>
      <c r="M98" s="1" t="str">
        <f t="shared" si="6"/>
        <v>RST</v>
      </c>
    </row>
    <row r="99" spans="1:18" ht="45" customHeight="1" x14ac:dyDescent="0.25">
      <c r="A99" s="32">
        <v>94</v>
      </c>
      <c r="B99" s="44" t="s">
        <v>1592</v>
      </c>
      <c r="C99" s="34">
        <v>1</v>
      </c>
      <c r="D99" s="34">
        <v>127</v>
      </c>
      <c r="E99" s="34" t="s">
        <v>1681</v>
      </c>
      <c r="F99" s="34">
        <v>22463</v>
      </c>
      <c r="G99" s="33" t="s">
        <v>193</v>
      </c>
      <c r="H99" s="33">
        <f t="shared" si="4"/>
        <v>329</v>
      </c>
      <c r="I99" s="34">
        <v>329</v>
      </c>
      <c r="J99" s="34"/>
      <c r="K99" s="34">
        <f t="shared" si="5"/>
        <v>22134</v>
      </c>
      <c r="L99" s="41" t="s">
        <v>1698</v>
      </c>
      <c r="M99" s="1" t="str">
        <f t="shared" si="6"/>
        <v>RST</v>
      </c>
    </row>
    <row r="100" spans="1:18" ht="45" customHeight="1" x14ac:dyDescent="0.25">
      <c r="A100" s="35">
        <v>95</v>
      </c>
      <c r="B100" s="44" t="s">
        <v>1587</v>
      </c>
      <c r="C100" s="34">
        <v>1</v>
      </c>
      <c r="D100" s="34">
        <v>83</v>
      </c>
      <c r="E100" s="34" t="s">
        <v>1681</v>
      </c>
      <c r="F100" s="34">
        <v>21910</v>
      </c>
      <c r="G100" s="33" t="s">
        <v>922</v>
      </c>
      <c r="H100" s="33">
        <f t="shared" si="4"/>
        <v>1349</v>
      </c>
      <c r="I100" s="34">
        <v>1349</v>
      </c>
      <c r="J100" s="33"/>
      <c r="K100" s="34">
        <f t="shared" si="5"/>
        <v>20561</v>
      </c>
      <c r="L100" s="41" t="s">
        <v>7</v>
      </c>
      <c r="M100" s="1" t="str">
        <f t="shared" si="6"/>
        <v>RST</v>
      </c>
      <c r="N100" s="3"/>
      <c r="O100" s="3"/>
      <c r="P100" s="3"/>
      <c r="Q100" s="3"/>
      <c r="R100" s="3"/>
    </row>
    <row r="101" spans="1:18" ht="45" customHeight="1" x14ac:dyDescent="0.25">
      <c r="A101" s="35">
        <v>96</v>
      </c>
      <c r="B101" s="44" t="s">
        <v>1593</v>
      </c>
      <c r="C101" s="34">
        <v>1</v>
      </c>
      <c r="D101" s="34">
        <v>130</v>
      </c>
      <c r="E101" s="34" t="s">
        <v>1681</v>
      </c>
      <c r="F101" s="34">
        <v>10911</v>
      </c>
      <c r="G101" s="33" t="s">
        <v>559</v>
      </c>
      <c r="H101" s="33">
        <f t="shared" si="4"/>
        <v>45</v>
      </c>
      <c r="I101" s="34">
        <v>45</v>
      </c>
      <c r="J101" s="33"/>
      <c r="K101" s="34">
        <f t="shared" si="5"/>
        <v>10866</v>
      </c>
      <c r="L101" s="41" t="s">
        <v>1699</v>
      </c>
      <c r="M101" s="1" t="str">
        <f t="shared" si="6"/>
        <v>RST</v>
      </c>
      <c r="N101" s="3"/>
      <c r="O101" s="3"/>
      <c r="P101" s="3"/>
      <c r="Q101" s="3"/>
      <c r="R101" s="3"/>
    </row>
    <row r="102" spans="1:18" ht="45" customHeight="1" x14ac:dyDescent="0.25">
      <c r="A102" s="32">
        <v>97</v>
      </c>
      <c r="B102" s="44" t="s">
        <v>1590</v>
      </c>
      <c r="C102" s="34">
        <v>1</v>
      </c>
      <c r="D102" s="34">
        <v>111</v>
      </c>
      <c r="E102" s="34" t="s">
        <v>1681</v>
      </c>
      <c r="F102" s="34">
        <v>30979</v>
      </c>
      <c r="G102" s="33" t="s">
        <v>781</v>
      </c>
      <c r="H102" s="33">
        <f t="shared" ref="H102:H133" si="7">SUM(I102:J102)</f>
        <v>2689</v>
      </c>
      <c r="I102" s="34">
        <v>2689</v>
      </c>
      <c r="J102" s="34"/>
      <c r="K102" s="34">
        <f t="shared" si="5"/>
        <v>28290</v>
      </c>
      <c r="L102" s="41" t="s">
        <v>7</v>
      </c>
      <c r="M102" s="1" t="str">
        <f t="shared" si="6"/>
        <v>RST</v>
      </c>
    </row>
    <row r="103" spans="1:18" ht="45" customHeight="1" x14ac:dyDescent="0.25">
      <c r="A103" s="32">
        <v>98</v>
      </c>
      <c r="B103" s="44" t="s">
        <v>1591</v>
      </c>
      <c r="C103" s="34">
        <v>1</v>
      </c>
      <c r="D103" s="34">
        <v>126</v>
      </c>
      <c r="E103" s="34" t="s">
        <v>1681</v>
      </c>
      <c r="F103" s="34">
        <v>23723</v>
      </c>
      <c r="G103" s="33" t="s">
        <v>695</v>
      </c>
      <c r="H103" s="33">
        <f t="shared" si="7"/>
        <v>47</v>
      </c>
      <c r="I103" s="34">
        <v>47</v>
      </c>
      <c r="J103" s="34"/>
      <c r="K103" s="34">
        <f t="shared" si="5"/>
        <v>23676</v>
      </c>
      <c r="L103" s="41" t="s">
        <v>1697</v>
      </c>
      <c r="M103" s="1" t="str">
        <f t="shared" si="6"/>
        <v>RST</v>
      </c>
    </row>
    <row r="104" spans="1:18" ht="45" customHeight="1" x14ac:dyDescent="0.25">
      <c r="A104" s="32">
        <v>99</v>
      </c>
      <c r="B104" s="44" t="s">
        <v>1638</v>
      </c>
      <c r="C104" s="34">
        <v>11</v>
      </c>
      <c r="D104" s="34">
        <v>197</v>
      </c>
      <c r="E104" s="34" t="s">
        <v>1687</v>
      </c>
      <c r="F104" s="34">
        <v>1329</v>
      </c>
      <c r="G104" s="33" t="s">
        <v>1409</v>
      </c>
      <c r="H104" s="33">
        <f t="shared" si="7"/>
        <v>1</v>
      </c>
      <c r="I104" s="34">
        <v>1</v>
      </c>
      <c r="J104" s="37"/>
      <c r="K104" s="34">
        <f t="shared" si="5"/>
        <v>1328</v>
      </c>
      <c r="L104" s="41" t="s">
        <v>7</v>
      </c>
      <c r="M104" s="1" t="str">
        <f t="shared" si="6"/>
        <v>DGD</v>
      </c>
    </row>
    <row r="105" spans="1:18" ht="45" customHeight="1" x14ac:dyDescent="0.25">
      <c r="A105" s="32">
        <v>100</v>
      </c>
      <c r="B105" s="44" t="s">
        <v>1622</v>
      </c>
      <c r="C105" s="34">
        <v>10</v>
      </c>
      <c r="D105" s="34">
        <v>315</v>
      </c>
      <c r="E105" s="34" t="s">
        <v>1686</v>
      </c>
      <c r="F105" s="34">
        <v>13159</v>
      </c>
      <c r="G105" s="33" t="s">
        <v>1511</v>
      </c>
      <c r="H105" s="33">
        <f t="shared" si="7"/>
        <v>14</v>
      </c>
      <c r="I105" s="34">
        <v>14</v>
      </c>
      <c r="J105" s="34"/>
      <c r="K105" s="34">
        <f t="shared" si="5"/>
        <v>13145</v>
      </c>
      <c r="L105" s="41" t="s">
        <v>1710</v>
      </c>
      <c r="M105" s="1" t="str">
        <f t="shared" si="6"/>
        <v>DTT</v>
      </c>
    </row>
    <row r="106" spans="1:18" ht="45" customHeight="1" x14ac:dyDescent="0.25">
      <c r="A106" s="32">
        <v>101</v>
      </c>
      <c r="B106" s="44" t="s">
        <v>36</v>
      </c>
      <c r="C106" s="34">
        <v>13</v>
      </c>
      <c r="D106" s="34">
        <v>954</v>
      </c>
      <c r="E106" s="34" t="s">
        <v>7</v>
      </c>
      <c r="F106" s="34">
        <v>61</v>
      </c>
      <c r="G106" s="33" t="s">
        <v>1749</v>
      </c>
      <c r="H106" s="33">
        <f t="shared" ref="H106:H137" si="8">SUM(J106:J106)</f>
        <v>1</v>
      </c>
      <c r="I106" s="34"/>
      <c r="J106" s="34">
        <v>1</v>
      </c>
      <c r="K106" s="34">
        <f t="shared" si="5"/>
        <v>60</v>
      </c>
      <c r="L106" s="41" t="s">
        <v>1690</v>
      </c>
      <c r="M106" s="1" t="str">
        <f t="shared" si="6"/>
        <v>DGT</v>
      </c>
    </row>
    <row r="107" spans="1:18" ht="45" customHeight="1" x14ac:dyDescent="0.25">
      <c r="A107" s="32">
        <v>102</v>
      </c>
      <c r="B107" s="44" t="s">
        <v>1589</v>
      </c>
      <c r="C107" s="34">
        <v>1</v>
      </c>
      <c r="D107" s="34">
        <v>101</v>
      </c>
      <c r="E107" s="34" t="s">
        <v>1683</v>
      </c>
      <c r="F107" s="34">
        <v>142960</v>
      </c>
      <c r="G107" s="33" t="s">
        <v>1749</v>
      </c>
      <c r="H107" s="33">
        <f t="shared" si="8"/>
        <v>93</v>
      </c>
      <c r="I107" s="34"/>
      <c r="J107" s="34">
        <v>93</v>
      </c>
      <c r="K107" s="34">
        <f t="shared" si="5"/>
        <v>142867</v>
      </c>
      <c r="L107" s="41" t="s">
        <v>1696</v>
      </c>
      <c r="M107" s="1" t="str">
        <f t="shared" si="6"/>
        <v>RSN</v>
      </c>
    </row>
    <row r="108" spans="1:18" ht="45" customHeight="1" x14ac:dyDescent="0.25">
      <c r="A108" s="32">
        <v>103</v>
      </c>
      <c r="B108" s="44" t="s">
        <v>36</v>
      </c>
      <c r="C108" s="34">
        <v>1</v>
      </c>
      <c r="D108" s="34">
        <v>132</v>
      </c>
      <c r="E108" s="34" t="s">
        <v>6</v>
      </c>
      <c r="F108" s="34">
        <v>9309</v>
      </c>
      <c r="G108" s="33" t="s">
        <v>1749</v>
      </c>
      <c r="H108" s="33">
        <f t="shared" si="8"/>
        <v>47</v>
      </c>
      <c r="I108" s="34"/>
      <c r="J108" s="34">
        <v>47</v>
      </c>
      <c r="K108" s="34">
        <f t="shared" si="5"/>
        <v>9262</v>
      </c>
      <c r="L108" s="41" t="s">
        <v>1700</v>
      </c>
      <c r="M108" s="1" t="str">
        <f t="shared" si="6"/>
        <v>CLN</v>
      </c>
    </row>
    <row r="109" spans="1:18" ht="45" customHeight="1" x14ac:dyDescent="0.25">
      <c r="A109" s="32">
        <v>104</v>
      </c>
      <c r="B109" s="44" t="s">
        <v>36</v>
      </c>
      <c r="C109" s="34">
        <v>1</v>
      </c>
      <c r="D109" s="34">
        <v>177</v>
      </c>
      <c r="E109" s="34" t="s">
        <v>1681</v>
      </c>
      <c r="F109" s="34">
        <v>1596328</v>
      </c>
      <c r="G109" s="33" t="s">
        <v>1749</v>
      </c>
      <c r="H109" s="33">
        <f t="shared" si="8"/>
        <v>467</v>
      </c>
      <c r="I109" s="34"/>
      <c r="J109" s="34">
        <v>467</v>
      </c>
      <c r="K109" s="34">
        <f t="shared" si="5"/>
        <v>1595861</v>
      </c>
      <c r="L109" s="41" t="s">
        <v>1701</v>
      </c>
      <c r="M109" s="1" t="str">
        <f t="shared" si="6"/>
        <v>RST</v>
      </c>
    </row>
    <row r="110" spans="1:18" ht="45" customHeight="1" x14ac:dyDescent="0.25">
      <c r="A110" s="32">
        <v>105</v>
      </c>
      <c r="B110" s="44" t="s">
        <v>1591</v>
      </c>
      <c r="C110" s="34">
        <v>9</v>
      </c>
      <c r="D110" s="34">
        <v>101</v>
      </c>
      <c r="E110" s="34" t="s">
        <v>6</v>
      </c>
      <c r="F110" s="34">
        <v>2956</v>
      </c>
      <c r="G110" s="33" t="s">
        <v>1749</v>
      </c>
      <c r="H110" s="33">
        <f t="shared" si="8"/>
        <v>45</v>
      </c>
      <c r="I110" s="34"/>
      <c r="J110" s="34">
        <v>45</v>
      </c>
      <c r="K110" s="34">
        <f t="shared" si="5"/>
        <v>2911</v>
      </c>
      <c r="L110" s="41" t="s">
        <v>1702</v>
      </c>
      <c r="M110" s="1" t="str">
        <f t="shared" si="6"/>
        <v>CLN</v>
      </c>
    </row>
    <row r="111" spans="1:18" ht="45" customHeight="1" x14ac:dyDescent="0.25">
      <c r="A111" s="32">
        <v>106</v>
      </c>
      <c r="B111" s="44" t="s">
        <v>1593</v>
      </c>
      <c r="C111" s="34">
        <v>9</v>
      </c>
      <c r="D111" s="34">
        <v>126</v>
      </c>
      <c r="E111" s="34" t="s">
        <v>6</v>
      </c>
      <c r="F111" s="34">
        <v>10770</v>
      </c>
      <c r="G111" s="33" t="s">
        <v>1749</v>
      </c>
      <c r="H111" s="33">
        <f t="shared" si="8"/>
        <v>1</v>
      </c>
      <c r="I111" s="34"/>
      <c r="J111" s="34">
        <v>1</v>
      </c>
      <c r="K111" s="34">
        <f t="shared" si="5"/>
        <v>10769</v>
      </c>
      <c r="L111" s="41" t="s">
        <v>1704</v>
      </c>
      <c r="M111" s="1" t="str">
        <f t="shared" si="6"/>
        <v>CLN</v>
      </c>
    </row>
    <row r="112" spans="1:18" ht="45" customHeight="1" x14ac:dyDescent="0.25">
      <c r="A112" s="32">
        <v>107</v>
      </c>
      <c r="B112" s="44" t="s">
        <v>1588</v>
      </c>
      <c r="C112" s="34">
        <v>9</v>
      </c>
      <c r="D112" s="34">
        <v>320</v>
      </c>
      <c r="E112" s="34" t="s">
        <v>6</v>
      </c>
      <c r="F112" s="34">
        <v>4114</v>
      </c>
      <c r="G112" s="33" t="s">
        <v>1749</v>
      </c>
      <c r="H112" s="33">
        <f t="shared" si="8"/>
        <v>724</v>
      </c>
      <c r="I112" s="34"/>
      <c r="J112" s="34">
        <v>724</v>
      </c>
      <c r="K112" s="34">
        <f t="shared" si="5"/>
        <v>3390</v>
      </c>
      <c r="L112" s="41" t="s">
        <v>7</v>
      </c>
      <c r="M112" s="1" t="str">
        <f t="shared" si="6"/>
        <v>CLN</v>
      </c>
    </row>
    <row r="113" spans="1:13" ht="45" customHeight="1" x14ac:dyDescent="0.25">
      <c r="A113" s="32">
        <v>108</v>
      </c>
      <c r="B113" s="44" t="s">
        <v>1597</v>
      </c>
      <c r="C113" s="34">
        <v>9</v>
      </c>
      <c r="D113" s="34">
        <v>361</v>
      </c>
      <c r="E113" s="34" t="s">
        <v>6</v>
      </c>
      <c r="F113" s="34">
        <v>1011</v>
      </c>
      <c r="G113" s="33" t="s">
        <v>1749</v>
      </c>
      <c r="H113" s="33">
        <f t="shared" si="8"/>
        <v>35</v>
      </c>
      <c r="I113" s="34"/>
      <c r="J113" s="34">
        <v>35</v>
      </c>
      <c r="K113" s="34">
        <f t="shared" si="5"/>
        <v>976</v>
      </c>
      <c r="L113" s="41" t="s">
        <v>1706</v>
      </c>
      <c r="M113" s="1" t="s">
        <v>6</v>
      </c>
    </row>
    <row r="114" spans="1:13" ht="45" customHeight="1" x14ac:dyDescent="0.25">
      <c r="A114" s="32">
        <v>109</v>
      </c>
      <c r="B114" s="44" t="s">
        <v>1588</v>
      </c>
      <c r="C114" s="34">
        <v>9</v>
      </c>
      <c r="D114" s="34">
        <v>392</v>
      </c>
      <c r="E114" s="34" t="s">
        <v>6</v>
      </c>
      <c r="F114" s="34">
        <v>4543</v>
      </c>
      <c r="G114" s="33" t="s">
        <v>1749</v>
      </c>
      <c r="H114" s="33">
        <f t="shared" si="8"/>
        <v>354</v>
      </c>
      <c r="I114" s="34"/>
      <c r="J114" s="34">
        <v>354</v>
      </c>
      <c r="K114" s="34">
        <f t="shared" si="5"/>
        <v>4189</v>
      </c>
      <c r="L114" s="41" t="s">
        <v>7</v>
      </c>
      <c r="M114" s="1" t="str">
        <f t="shared" si="6"/>
        <v>CLN</v>
      </c>
    </row>
    <row r="115" spans="1:13" ht="45" customHeight="1" x14ac:dyDescent="0.25">
      <c r="A115" s="32">
        <v>110</v>
      </c>
      <c r="B115" s="44" t="s">
        <v>1598</v>
      </c>
      <c r="C115" s="34">
        <v>9</v>
      </c>
      <c r="D115" s="34">
        <v>393</v>
      </c>
      <c r="E115" s="34" t="s">
        <v>6</v>
      </c>
      <c r="F115" s="34">
        <v>3363</v>
      </c>
      <c r="G115" s="33" t="s">
        <v>1749</v>
      </c>
      <c r="H115" s="33">
        <f t="shared" si="8"/>
        <v>203</v>
      </c>
      <c r="I115" s="34"/>
      <c r="J115" s="34">
        <v>203</v>
      </c>
      <c r="K115" s="34">
        <f t="shared" si="5"/>
        <v>3160</v>
      </c>
      <c r="L115" s="41" t="s">
        <v>7</v>
      </c>
      <c r="M115" s="1" t="str">
        <f t="shared" si="6"/>
        <v>CLN</v>
      </c>
    </row>
    <row r="116" spans="1:13" ht="45" customHeight="1" x14ac:dyDescent="0.25">
      <c r="A116" s="32">
        <v>111</v>
      </c>
      <c r="B116" s="44" t="s">
        <v>1603</v>
      </c>
      <c r="C116" s="34">
        <v>9</v>
      </c>
      <c r="D116" s="34">
        <v>543</v>
      </c>
      <c r="E116" s="34" t="s">
        <v>6</v>
      </c>
      <c r="F116" s="34">
        <v>3800</v>
      </c>
      <c r="G116" s="33" t="s">
        <v>1749</v>
      </c>
      <c r="H116" s="33">
        <f t="shared" si="8"/>
        <v>48</v>
      </c>
      <c r="I116" s="34"/>
      <c r="J116" s="34">
        <v>48</v>
      </c>
      <c r="K116" s="34">
        <f t="shared" si="5"/>
        <v>3752</v>
      </c>
      <c r="L116" s="41" t="s">
        <v>7</v>
      </c>
      <c r="M116" s="1" t="str">
        <f t="shared" si="6"/>
        <v>CLN</v>
      </c>
    </row>
    <row r="117" spans="1:13" ht="45" customHeight="1" x14ac:dyDescent="0.25">
      <c r="A117" s="32">
        <v>112</v>
      </c>
      <c r="B117" s="44" t="s">
        <v>36</v>
      </c>
      <c r="C117" s="34">
        <v>9</v>
      </c>
      <c r="D117" s="34">
        <v>566</v>
      </c>
      <c r="E117" s="34" t="s">
        <v>34</v>
      </c>
      <c r="F117" s="34">
        <v>2991</v>
      </c>
      <c r="G117" s="33" t="s">
        <v>1749</v>
      </c>
      <c r="H117" s="33">
        <f t="shared" si="8"/>
        <v>38</v>
      </c>
      <c r="I117" s="34"/>
      <c r="J117" s="34">
        <v>38</v>
      </c>
      <c r="K117" s="34">
        <f t="shared" si="5"/>
        <v>2953</v>
      </c>
      <c r="L117" s="41" t="s">
        <v>7</v>
      </c>
      <c r="M117" s="1" t="str">
        <f t="shared" si="6"/>
        <v>DCS</v>
      </c>
    </row>
    <row r="118" spans="1:13" ht="45" customHeight="1" x14ac:dyDescent="0.25">
      <c r="A118" s="32">
        <v>113</v>
      </c>
      <c r="B118" s="44" t="s">
        <v>1604</v>
      </c>
      <c r="C118" s="34">
        <v>9</v>
      </c>
      <c r="D118" s="34">
        <v>567</v>
      </c>
      <c r="E118" s="34" t="s">
        <v>18</v>
      </c>
      <c r="F118" s="34">
        <v>124</v>
      </c>
      <c r="G118" s="33" t="s">
        <v>1749</v>
      </c>
      <c r="H118" s="33">
        <f t="shared" si="8"/>
        <v>8</v>
      </c>
      <c r="I118" s="34"/>
      <c r="J118" s="34">
        <v>8</v>
      </c>
      <c r="K118" s="34">
        <f t="shared" si="5"/>
        <v>116</v>
      </c>
      <c r="L118" s="41" t="s">
        <v>1707</v>
      </c>
      <c r="M118" s="1" t="str">
        <f t="shared" si="6"/>
        <v>LUC</v>
      </c>
    </row>
    <row r="119" spans="1:13" ht="45" customHeight="1" x14ac:dyDescent="0.25">
      <c r="A119" s="32">
        <v>114</v>
      </c>
      <c r="B119" s="44" t="s">
        <v>1604</v>
      </c>
      <c r="C119" s="34">
        <v>9</v>
      </c>
      <c r="D119" s="34">
        <v>568</v>
      </c>
      <c r="E119" s="34" t="s">
        <v>18</v>
      </c>
      <c r="F119" s="34">
        <v>346</v>
      </c>
      <c r="G119" s="33" t="s">
        <v>1749</v>
      </c>
      <c r="H119" s="33">
        <f t="shared" si="8"/>
        <v>64</v>
      </c>
      <c r="I119" s="34"/>
      <c r="J119" s="34">
        <v>64</v>
      </c>
      <c r="K119" s="34">
        <f t="shared" si="5"/>
        <v>282</v>
      </c>
      <c r="L119" s="41" t="s">
        <v>7</v>
      </c>
      <c r="M119" s="1" t="str">
        <f t="shared" si="6"/>
        <v>LUC</v>
      </c>
    </row>
    <row r="120" spans="1:13" ht="45" customHeight="1" x14ac:dyDescent="0.25">
      <c r="A120" s="32">
        <v>115</v>
      </c>
      <c r="B120" s="44" t="s">
        <v>1605</v>
      </c>
      <c r="C120" s="34">
        <v>9</v>
      </c>
      <c r="D120" s="34">
        <v>593</v>
      </c>
      <c r="E120" s="34" t="s">
        <v>6</v>
      </c>
      <c r="F120" s="34">
        <v>3380</v>
      </c>
      <c r="G120" s="33" t="s">
        <v>1749</v>
      </c>
      <c r="H120" s="33">
        <f t="shared" si="8"/>
        <v>527</v>
      </c>
      <c r="I120" s="34"/>
      <c r="J120" s="34">
        <v>527</v>
      </c>
      <c r="K120" s="34">
        <f t="shared" si="5"/>
        <v>2853</v>
      </c>
      <c r="L120" s="41" t="s">
        <v>7</v>
      </c>
      <c r="M120" s="1" t="str">
        <f t="shared" si="6"/>
        <v>CLN</v>
      </c>
    </row>
    <row r="121" spans="1:13" ht="45" customHeight="1" x14ac:dyDescent="0.25">
      <c r="A121" s="32">
        <v>116</v>
      </c>
      <c r="B121" s="44" t="s">
        <v>36</v>
      </c>
      <c r="C121" s="34">
        <v>9</v>
      </c>
      <c r="D121" s="34">
        <v>659</v>
      </c>
      <c r="E121" s="34" t="s">
        <v>34</v>
      </c>
      <c r="F121" s="34">
        <v>3530</v>
      </c>
      <c r="G121" s="33" t="s">
        <v>1749</v>
      </c>
      <c r="H121" s="33">
        <f t="shared" si="8"/>
        <v>635</v>
      </c>
      <c r="I121" s="34"/>
      <c r="J121" s="34">
        <v>635</v>
      </c>
      <c r="K121" s="34">
        <f t="shared" si="5"/>
        <v>2895</v>
      </c>
      <c r="L121" s="41" t="s">
        <v>1708</v>
      </c>
      <c r="M121" s="1" t="str">
        <f t="shared" si="6"/>
        <v>DCS</v>
      </c>
    </row>
    <row r="122" spans="1:13" ht="45" customHeight="1" x14ac:dyDescent="0.25">
      <c r="A122" s="32">
        <v>117</v>
      </c>
      <c r="B122" s="44" t="s">
        <v>1604</v>
      </c>
      <c r="C122" s="34">
        <v>9</v>
      </c>
      <c r="D122" s="34">
        <v>660</v>
      </c>
      <c r="E122" s="34" t="s">
        <v>11</v>
      </c>
      <c r="F122" s="34">
        <v>404</v>
      </c>
      <c r="G122" s="33" t="s">
        <v>1749</v>
      </c>
      <c r="H122" s="33">
        <f t="shared" si="8"/>
        <v>132</v>
      </c>
      <c r="I122" s="34"/>
      <c r="J122" s="34">
        <v>132</v>
      </c>
      <c r="K122" s="34">
        <f t="shared" si="5"/>
        <v>272</v>
      </c>
      <c r="L122" s="41" t="s">
        <v>1709</v>
      </c>
      <c r="M122" s="1" t="str">
        <f t="shared" si="6"/>
        <v>LUK</v>
      </c>
    </row>
    <row r="123" spans="1:13" ht="45" customHeight="1" x14ac:dyDescent="0.25">
      <c r="A123" s="32">
        <v>118</v>
      </c>
      <c r="B123" s="44" t="s">
        <v>1600</v>
      </c>
      <c r="C123" s="34">
        <v>9</v>
      </c>
      <c r="D123" s="34">
        <v>677</v>
      </c>
      <c r="E123" s="34" t="s">
        <v>6</v>
      </c>
      <c r="F123" s="34">
        <v>948</v>
      </c>
      <c r="G123" s="33" t="s">
        <v>1749</v>
      </c>
      <c r="H123" s="33">
        <f t="shared" si="8"/>
        <v>215</v>
      </c>
      <c r="I123" s="34"/>
      <c r="J123" s="34">
        <v>215</v>
      </c>
      <c r="K123" s="34">
        <f t="shared" si="5"/>
        <v>733</v>
      </c>
      <c r="L123" s="41" t="s">
        <v>7</v>
      </c>
      <c r="M123" s="1" t="str">
        <f t="shared" si="6"/>
        <v>CLN</v>
      </c>
    </row>
    <row r="124" spans="1:13" ht="45" customHeight="1" x14ac:dyDescent="0.25">
      <c r="A124" s="32">
        <v>119</v>
      </c>
      <c r="B124" s="44" t="s">
        <v>1608</v>
      </c>
      <c r="C124" s="34">
        <v>9</v>
      </c>
      <c r="D124" s="34">
        <v>687</v>
      </c>
      <c r="E124" s="34" t="s">
        <v>34</v>
      </c>
      <c r="F124" s="34">
        <v>4535</v>
      </c>
      <c r="G124" s="33" t="s">
        <v>1749</v>
      </c>
      <c r="H124" s="33">
        <f t="shared" si="8"/>
        <v>208</v>
      </c>
      <c r="I124" s="34"/>
      <c r="J124" s="34">
        <v>208</v>
      </c>
      <c r="K124" s="34">
        <f t="shared" si="5"/>
        <v>4327</v>
      </c>
      <c r="L124" s="41" t="s">
        <v>7</v>
      </c>
      <c r="M124" s="1" t="str">
        <f t="shared" si="6"/>
        <v>DCS</v>
      </c>
    </row>
    <row r="125" spans="1:13" ht="45" customHeight="1" x14ac:dyDescent="0.25">
      <c r="A125" s="32">
        <v>120</v>
      </c>
      <c r="B125" s="44" t="s">
        <v>1609</v>
      </c>
      <c r="C125" s="34">
        <v>9</v>
      </c>
      <c r="D125" s="34">
        <v>708</v>
      </c>
      <c r="E125" s="34" t="s">
        <v>9</v>
      </c>
      <c r="F125" s="34">
        <v>1155</v>
      </c>
      <c r="G125" s="33" t="s">
        <v>1749</v>
      </c>
      <c r="H125" s="33">
        <f t="shared" si="8"/>
        <v>6</v>
      </c>
      <c r="I125" s="34"/>
      <c r="J125" s="34">
        <v>6</v>
      </c>
      <c r="K125" s="34">
        <f t="shared" si="5"/>
        <v>1149</v>
      </c>
      <c r="L125" s="41" t="s">
        <v>7</v>
      </c>
      <c r="M125" s="1" t="str">
        <f t="shared" si="6"/>
        <v>CLN</v>
      </c>
    </row>
    <row r="126" spans="1:13" ht="45" customHeight="1" x14ac:dyDescent="0.25">
      <c r="A126" s="32">
        <v>121</v>
      </c>
      <c r="B126" s="44" t="s">
        <v>10</v>
      </c>
      <c r="C126" s="34">
        <v>9</v>
      </c>
      <c r="D126" s="34">
        <v>715</v>
      </c>
      <c r="E126" s="34" t="s">
        <v>9</v>
      </c>
      <c r="F126" s="34">
        <v>749</v>
      </c>
      <c r="G126" s="33" t="s">
        <v>1749</v>
      </c>
      <c r="H126" s="33">
        <f t="shared" si="8"/>
        <v>142</v>
      </c>
      <c r="I126" s="34"/>
      <c r="J126" s="34">
        <v>142</v>
      </c>
      <c r="K126" s="34">
        <f t="shared" si="5"/>
        <v>607</v>
      </c>
      <c r="L126" s="41" t="s">
        <v>7</v>
      </c>
      <c r="M126" s="1" t="str">
        <f t="shared" si="6"/>
        <v>CLN</v>
      </c>
    </row>
    <row r="127" spans="1:13" ht="45" customHeight="1" x14ac:dyDescent="0.25">
      <c r="A127" s="32">
        <v>122</v>
      </c>
      <c r="B127" s="44" t="s">
        <v>1611</v>
      </c>
      <c r="C127" s="34">
        <v>9</v>
      </c>
      <c r="D127" s="34">
        <v>718</v>
      </c>
      <c r="E127" s="34" t="s">
        <v>25</v>
      </c>
      <c r="F127" s="34">
        <v>569</v>
      </c>
      <c r="G127" s="33" t="s">
        <v>1749</v>
      </c>
      <c r="H127" s="33">
        <f t="shared" si="8"/>
        <v>2</v>
      </c>
      <c r="I127" s="34"/>
      <c r="J127" s="34">
        <v>2</v>
      </c>
      <c r="K127" s="34">
        <f t="shared" si="5"/>
        <v>567</v>
      </c>
      <c r="L127" s="41" t="s">
        <v>7</v>
      </c>
      <c r="M127" s="1" t="str">
        <f t="shared" si="6"/>
        <v>NHK</v>
      </c>
    </row>
    <row r="128" spans="1:13" ht="45" customHeight="1" x14ac:dyDescent="0.25">
      <c r="A128" s="32">
        <v>123</v>
      </c>
      <c r="B128" s="44" t="s">
        <v>1611</v>
      </c>
      <c r="C128" s="34">
        <v>9</v>
      </c>
      <c r="D128" s="34">
        <v>719</v>
      </c>
      <c r="E128" s="34" t="s">
        <v>25</v>
      </c>
      <c r="F128" s="34">
        <v>289</v>
      </c>
      <c r="G128" s="33" t="s">
        <v>1749</v>
      </c>
      <c r="H128" s="33">
        <f t="shared" si="8"/>
        <v>1</v>
      </c>
      <c r="I128" s="34"/>
      <c r="J128" s="34">
        <v>1</v>
      </c>
      <c r="K128" s="34">
        <f t="shared" si="5"/>
        <v>288</v>
      </c>
      <c r="L128" s="41" t="s">
        <v>7</v>
      </c>
      <c r="M128" s="1" t="str">
        <f t="shared" si="6"/>
        <v>NHK</v>
      </c>
    </row>
    <row r="129" spans="1:13" ht="45" customHeight="1" x14ac:dyDescent="0.25">
      <c r="A129" s="32">
        <v>124</v>
      </c>
      <c r="B129" s="44" t="s">
        <v>36</v>
      </c>
      <c r="C129" s="34">
        <v>9</v>
      </c>
      <c r="D129" s="34">
        <v>721</v>
      </c>
      <c r="E129" s="34" t="s">
        <v>34</v>
      </c>
      <c r="F129" s="34">
        <v>771</v>
      </c>
      <c r="G129" s="33" t="s">
        <v>1749</v>
      </c>
      <c r="H129" s="33">
        <f t="shared" si="8"/>
        <v>27</v>
      </c>
      <c r="I129" s="34"/>
      <c r="J129" s="34">
        <v>27</v>
      </c>
      <c r="K129" s="34">
        <f t="shared" si="5"/>
        <v>744</v>
      </c>
      <c r="L129" s="41" t="s">
        <v>7</v>
      </c>
      <c r="M129" s="1" t="str">
        <f t="shared" si="6"/>
        <v>DCS</v>
      </c>
    </row>
    <row r="130" spans="1:13" ht="45" customHeight="1" x14ac:dyDescent="0.25">
      <c r="A130" s="32">
        <v>125</v>
      </c>
      <c r="B130" s="44" t="s">
        <v>1598</v>
      </c>
      <c r="C130" s="34">
        <v>9</v>
      </c>
      <c r="D130" s="34">
        <v>727</v>
      </c>
      <c r="E130" s="34" t="s">
        <v>9</v>
      </c>
      <c r="F130" s="34">
        <v>140</v>
      </c>
      <c r="G130" s="33" t="s">
        <v>1749</v>
      </c>
      <c r="H130" s="33">
        <f t="shared" si="8"/>
        <v>13</v>
      </c>
      <c r="I130" s="34"/>
      <c r="J130" s="34">
        <v>13</v>
      </c>
      <c r="K130" s="34">
        <f t="shared" si="5"/>
        <v>127</v>
      </c>
      <c r="L130" s="41" t="s">
        <v>7</v>
      </c>
      <c r="M130" s="1" t="str">
        <f t="shared" si="6"/>
        <v>CLN</v>
      </c>
    </row>
    <row r="131" spans="1:13" ht="45" customHeight="1" x14ac:dyDescent="0.25">
      <c r="A131" s="32">
        <v>126</v>
      </c>
      <c r="B131" s="44" t="s">
        <v>1613</v>
      </c>
      <c r="C131" s="34">
        <v>9</v>
      </c>
      <c r="D131" s="34">
        <v>729</v>
      </c>
      <c r="E131" s="34" t="s">
        <v>9</v>
      </c>
      <c r="F131" s="34">
        <v>323</v>
      </c>
      <c r="G131" s="33" t="s">
        <v>1749</v>
      </c>
      <c r="H131" s="33">
        <f t="shared" si="8"/>
        <v>4</v>
      </c>
      <c r="I131" s="34"/>
      <c r="J131" s="34">
        <v>4</v>
      </c>
      <c r="K131" s="34">
        <f t="shared" si="5"/>
        <v>319</v>
      </c>
      <c r="L131" s="41" t="s">
        <v>7</v>
      </c>
      <c r="M131" s="1" t="str">
        <f t="shared" si="6"/>
        <v>CLN</v>
      </c>
    </row>
    <row r="132" spans="1:13" ht="45" customHeight="1" x14ac:dyDescent="0.25">
      <c r="A132" s="32">
        <v>127</v>
      </c>
      <c r="B132" s="44" t="s">
        <v>1614</v>
      </c>
      <c r="C132" s="34">
        <v>9</v>
      </c>
      <c r="D132" s="34">
        <v>742</v>
      </c>
      <c r="E132" s="34" t="s">
        <v>6</v>
      </c>
      <c r="F132" s="34">
        <v>2380</v>
      </c>
      <c r="G132" s="33" t="s">
        <v>1749</v>
      </c>
      <c r="H132" s="33">
        <f t="shared" si="8"/>
        <v>6</v>
      </c>
      <c r="I132" s="34"/>
      <c r="J132" s="34">
        <v>6</v>
      </c>
      <c r="K132" s="34">
        <f t="shared" si="5"/>
        <v>2374</v>
      </c>
      <c r="L132" s="41" t="s">
        <v>7</v>
      </c>
      <c r="M132" s="1" t="str">
        <f t="shared" si="6"/>
        <v>CLN</v>
      </c>
    </row>
    <row r="133" spans="1:13" ht="45" customHeight="1" x14ac:dyDescent="0.25">
      <c r="A133" s="32">
        <v>128</v>
      </c>
      <c r="B133" s="44" t="s">
        <v>36</v>
      </c>
      <c r="C133" s="34">
        <v>9</v>
      </c>
      <c r="D133" s="34">
        <v>909</v>
      </c>
      <c r="E133" s="34" t="s">
        <v>7</v>
      </c>
      <c r="F133" s="34">
        <v>40</v>
      </c>
      <c r="G133" s="33" t="s">
        <v>1749</v>
      </c>
      <c r="H133" s="33">
        <f t="shared" si="8"/>
        <v>7</v>
      </c>
      <c r="I133" s="34"/>
      <c r="J133" s="34">
        <v>7</v>
      </c>
      <c r="K133" s="34">
        <f t="shared" si="5"/>
        <v>33</v>
      </c>
      <c r="L133" s="41" t="s">
        <v>1706</v>
      </c>
      <c r="M133" s="1" t="str">
        <f t="shared" si="6"/>
        <v>DGT</v>
      </c>
    </row>
    <row r="134" spans="1:13" ht="45" customHeight="1" x14ac:dyDescent="0.25">
      <c r="A134" s="32">
        <v>129</v>
      </c>
      <c r="B134" s="44" t="s">
        <v>36</v>
      </c>
      <c r="C134" s="34">
        <v>9</v>
      </c>
      <c r="D134" s="34">
        <v>912</v>
      </c>
      <c r="E134" s="34" t="s">
        <v>7</v>
      </c>
      <c r="F134" s="34">
        <v>592</v>
      </c>
      <c r="G134" s="33" t="s">
        <v>1749</v>
      </c>
      <c r="H134" s="33">
        <f t="shared" si="8"/>
        <v>3</v>
      </c>
      <c r="I134" s="34"/>
      <c r="J134" s="34">
        <v>3</v>
      </c>
      <c r="K134" s="34">
        <f t="shared" ref="K134:K197" si="9">F134-H134</f>
        <v>589</v>
      </c>
      <c r="L134" s="41" t="s">
        <v>7</v>
      </c>
      <c r="M134" s="1" t="str">
        <f t="shared" si="6"/>
        <v>DGT</v>
      </c>
    </row>
    <row r="135" spans="1:13" ht="45" customHeight="1" x14ac:dyDescent="0.25">
      <c r="A135" s="32">
        <v>130</v>
      </c>
      <c r="B135" s="44" t="s">
        <v>36</v>
      </c>
      <c r="C135" s="34">
        <v>9</v>
      </c>
      <c r="D135" s="34">
        <v>914</v>
      </c>
      <c r="E135" s="34" t="s">
        <v>7</v>
      </c>
      <c r="F135" s="34">
        <v>12960</v>
      </c>
      <c r="G135" s="33" t="s">
        <v>1749</v>
      </c>
      <c r="H135" s="33">
        <f t="shared" si="8"/>
        <v>4563</v>
      </c>
      <c r="I135" s="34"/>
      <c r="J135" s="34">
        <v>4563</v>
      </c>
      <c r="K135" s="34">
        <f t="shared" si="9"/>
        <v>8397</v>
      </c>
      <c r="L135" s="41" t="s">
        <v>1710</v>
      </c>
      <c r="M135" s="1" t="str">
        <f t="shared" ref="M135:M198" si="10">IF(E135="ONT+CLN","CLN",IF(E135="ODT+CLN","CLN",E135))</f>
        <v>DGT</v>
      </c>
    </row>
    <row r="136" spans="1:13" ht="45" customHeight="1" x14ac:dyDescent="0.25">
      <c r="A136" s="32">
        <v>131</v>
      </c>
      <c r="B136" s="44" t="s">
        <v>36</v>
      </c>
      <c r="C136" s="34">
        <v>9</v>
      </c>
      <c r="D136" s="34">
        <v>922</v>
      </c>
      <c r="E136" s="34" t="s">
        <v>37</v>
      </c>
      <c r="F136" s="34">
        <v>10966</v>
      </c>
      <c r="G136" s="33" t="s">
        <v>1749</v>
      </c>
      <c r="H136" s="33">
        <f t="shared" si="8"/>
        <v>191</v>
      </c>
      <c r="I136" s="34"/>
      <c r="J136" s="34">
        <v>191</v>
      </c>
      <c r="K136" s="34">
        <f t="shared" si="9"/>
        <v>10775</v>
      </c>
      <c r="L136" s="41" t="s">
        <v>1707</v>
      </c>
      <c r="M136" s="1" t="str">
        <f t="shared" si="10"/>
        <v>SON</v>
      </c>
    </row>
    <row r="137" spans="1:13" ht="45" customHeight="1" x14ac:dyDescent="0.25">
      <c r="A137" s="32">
        <v>132</v>
      </c>
      <c r="B137" s="44" t="s">
        <v>36</v>
      </c>
      <c r="C137" s="34">
        <v>9</v>
      </c>
      <c r="D137" s="34">
        <v>923</v>
      </c>
      <c r="E137" s="34" t="s">
        <v>37</v>
      </c>
      <c r="F137" s="34">
        <v>10520</v>
      </c>
      <c r="G137" s="33" t="s">
        <v>1749</v>
      </c>
      <c r="H137" s="33">
        <f t="shared" si="8"/>
        <v>7</v>
      </c>
      <c r="I137" s="34"/>
      <c r="J137" s="34">
        <v>7</v>
      </c>
      <c r="K137" s="34">
        <f t="shared" si="9"/>
        <v>10513</v>
      </c>
      <c r="L137" s="41" t="s">
        <v>7</v>
      </c>
      <c r="M137" s="1" t="str">
        <f t="shared" si="10"/>
        <v>SON</v>
      </c>
    </row>
    <row r="138" spans="1:13" ht="45" customHeight="1" x14ac:dyDescent="0.25">
      <c r="A138" s="32">
        <v>133</v>
      </c>
      <c r="B138" s="44" t="s">
        <v>1591</v>
      </c>
      <c r="C138" s="34">
        <v>10</v>
      </c>
      <c r="D138" s="34">
        <v>25</v>
      </c>
      <c r="E138" s="34" t="s">
        <v>6</v>
      </c>
      <c r="F138" s="34">
        <v>6544</v>
      </c>
      <c r="G138" s="33" t="s">
        <v>1749</v>
      </c>
      <c r="H138" s="33">
        <f t="shared" ref="H138:H169" si="11">SUM(J138:J138)</f>
        <v>22</v>
      </c>
      <c r="I138" s="34"/>
      <c r="J138" s="34">
        <v>22</v>
      </c>
      <c r="K138" s="34">
        <f t="shared" si="9"/>
        <v>6522</v>
      </c>
      <c r="L138" s="41" t="s">
        <v>1711</v>
      </c>
      <c r="M138" s="1" t="str">
        <f t="shared" si="10"/>
        <v>CLN</v>
      </c>
    </row>
    <row r="139" spans="1:13" ht="45" customHeight="1" x14ac:dyDescent="0.25">
      <c r="A139" s="32">
        <v>134</v>
      </c>
      <c r="B139" s="44" t="s">
        <v>36</v>
      </c>
      <c r="C139" s="34">
        <v>10</v>
      </c>
      <c r="D139" s="34">
        <v>63</v>
      </c>
      <c r="E139" s="34" t="s">
        <v>1685</v>
      </c>
      <c r="F139" s="34">
        <v>94119</v>
      </c>
      <c r="G139" s="33" t="s">
        <v>1749</v>
      </c>
      <c r="H139" s="33">
        <f t="shared" si="11"/>
        <v>5423</v>
      </c>
      <c r="I139" s="34"/>
      <c r="J139" s="34">
        <v>5423</v>
      </c>
      <c r="K139" s="34">
        <f t="shared" si="9"/>
        <v>88696</v>
      </c>
      <c r="L139" s="41" t="s">
        <v>1713</v>
      </c>
      <c r="M139" s="1" t="str">
        <f t="shared" si="10"/>
        <v>NTD</v>
      </c>
    </row>
    <row r="140" spans="1:13" ht="45" customHeight="1" x14ac:dyDescent="0.25">
      <c r="A140" s="32">
        <v>135</v>
      </c>
      <c r="B140" s="44" t="s">
        <v>36</v>
      </c>
      <c r="C140" s="34">
        <v>10</v>
      </c>
      <c r="D140" s="34">
        <v>188</v>
      </c>
      <c r="E140" s="34" t="s">
        <v>6</v>
      </c>
      <c r="F140" s="34">
        <v>2642</v>
      </c>
      <c r="G140" s="33" t="s">
        <v>1749</v>
      </c>
      <c r="H140" s="33">
        <f t="shared" si="11"/>
        <v>19</v>
      </c>
      <c r="I140" s="34"/>
      <c r="J140" s="34">
        <v>19</v>
      </c>
      <c r="K140" s="34">
        <f t="shared" si="9"/>
        <v>2623</v>
      </c>
      <c r="L140" s="41" t="s">
        <v>7</v>
      </c>
      <c r="M140" s="1" t="str">
        <f t="shared" si="10"/>
        <v>CLN</v>
      </c>
    </row>
    <row r="141" spans="1:13" ht="45" customHeight="1" x14ac:dyDescent="0.25">
      <c r="A141" s="32">
        <v>136</v>
      </c>
      <c r="B141" s="44" t="s">
        <v>1617</v>
      </c>
      <c r="C141" s="34">
        <v>10</v>
      </c>
      <c r="D141" s="34">
        <v>230</v>
      </c>
      <c r="E141" s="34" t="s">
        <v>6</v>
      </c>
      <c r="F141" s="34">
        <v>5850</v>
      </c>
      <c r="G141" s="33" t="s">
        <v>1749</v>
      </c>
      <c r="H141" s="33">
        <f t="shared" si="11"/>
        <v>35</v>
      </c>
      <c r="I141" s="34"/>
      <c r="J141" s="34">
        <v>35</v>
      </c>
      <c r="K141" s="34">
        <f t="shared" si="9"/>
        <v>5815</v>
      </c>
      <c r="L141" s="41" t="s">
        <v>1714</v>
      </c>
      <c r="M141" s="1" t="str">
        <f t="shared" si="10"/>
        <v>CLN</v>
      </c>
    </row>
    <row r="142" spans="1:13" ht="45" customHeight="1" x14ac:dyDescent="0.25">
      <c r="A142" s="32">
        <v>137</v>
      </c>
      <c r="B142" s="44" t="s">
        <v>35</v>
      </c>
      <c r="C142" s="34">
        <v>10</v>
      </c>
      <c r="D142" s="34">
        <v>251</v>
      </c>
      <c r="E142" s="34" t="s">
        <v>18</v>
      </c>
      <c r="F142" s="34">
        <v>111</v>
      </c>
      <c r="G142" s="33" t="s">
        <v>1749</v>
      </c>
      <c r="H142" s="33">
        <f t="shared" si="11"/>
        <v>31</v>
      </c>
      <c r="I142" s="34"/>
      <c r="J142" s="34">
        <v>31</v>
      </c>
      <c r="K142" s="34">
        <f t="shared" si="9"/>
        <v>80</v>
      </c>
      <c r="L142" s="41" t="s">
        <v>1715</v>
      </c>
      <c r="M142" s="1" t="str">
        <f t="shared" si="10"/>
        <v>LUC</v>
      </c>
    </row>
    <row r="143" spans="1:13" ht="45" customHeight="1" x14ac:dyDescent="0.25">
      <c r="A143" s="32">
        <v>138</v>
      </c>
      <c r="B143" s="44" t="s">
        <v>35</v>
      </c>
      <c r="C143" s="34">
        <v>10</v>
      </c>
      <c r="D143" s="34">
        <v>252</v>
      </c>
      <c r="E143" s="34" t="s">
        <v>18</v>
      </c>
      <c r="F143" s="34">
        <v>367</v>
      </c>
      <c r="G143" s="33" t="s">
        <v>1749</v>
      </c>
      <c r="H143" s="33">
        <f t="shared" si="11"/>
        <v>2</v>
      </c>
      <c r="I143" s="34"/>
      <c r="J143" s="34">
        <v>2</v>
      </c>
      <c r="K143" s="34">
        <f t="shared" si="9"/>
        <v>365</v>
      </c>
      <c r="L143" s="41" t="s">
        <v>1715</v>
      </c>
      <c r="M143" s="1" t="str">
        <f t="shared" si="10"/>
        <v>LUC</v>
      </c>
    </row>
    <row r="144" spans="1:13" ht="45" customHeight="1" x14ac:dyDescent="0.25">
      <c r="A144" s="32">
        <v>139</v>
      </c>
      <c r="B144" s="44" t="s">
        <v>35</v>
      </c>
      <c r="C144" s="34">
        <v>10</v>
      </c>
      <c r="D144" s="34">
        <v>258</v>
      </c>
      <c r="E144" s="34" t="s">
        <v>25</v>
      </c>
      <c r="F144" s="34">
        <v>452</v>
      </c>
      <c r="G144" s="33" t="s">
        <v>1749</v>
      </c>
      <c r="H144" s="33">
        <f t="shared" si="11"/>
        <v>145</v>
      </c>
      <c r="I144" s="34"/>
      <c r="J144" s="34">
        <v>145</v>
      </c>
      <c r="K144" s="34">
        <f t="shared" si="9"/>
        <v>307</v>
      </c>
      <c r="L144" s="41" t="s">
        <v>1715</v>
      </c>
      <c r="M144" s="1" t="str">
        <f t="shared" si="10"/>
        <v>NHK</v>
      </c>
    </row>
    <row r="145" spans="1:18" ht="45" customHeight="1" x14ac:dyDescent="0.25">
      <c r="A145" s="32">
        <v>140</v>
      </c>
      <c r="B145" s="44" t="s">
        <v>35</v>
      </c>
      <c r="C145" s="34">
        <v>10</v>
      </c>
      <c r="D145" s="34">
        <v>259</v>
      </c>
      <c r="E145" s="34" t="s">
        <v>18</v>
      </c>
      <c r="F145" s="34">
        <v>395</v>
      </c>
      <c r="G145" s="33" t="s">
        <v>1749</v>
      </c>
      <c r="H145" s="33">
        <f t="shared" si="11"/>
        <v>67</v>
      </c>
      <c r="I145" s="34"/>
      <c r="J145" s="34">
        <v>67</v>
      </c>
      <c r="K145" s="34">
        <f t="shared" si="9"/>
        <v>328</v>
      </c>
      <c r="L145" s="41" t="s">
        <v>1715</v>
      </c>
      <c r="M145" s="1" t="str">
        <f t="shared" si="10"/>
        <v>LUC</v>
      </c>
    </row>
    <row r="146" spans="1:18" ht="45" customHeight="1" x14ac:dyDescent="0.25">
      <c r="A146" s="32">
        <v>141</v>
      </c>
      <c r="B146" s="44" t="s">
        <v>35</v>
      </c>
      <c r="C146" s="34">
        <v>10</v>
      </c>
      <c r="D146" s="34">
        <v>277</v>
      </c>
      <c r="E146" s="34" t="s">
        <v>25</v>
      </c>
      <c r="F146" s="34">
        <v>650</v>
      </c>
      <c r="G146" s="33" t="s">
        <v>1749</v>
      </c>
      <c r="H146" s="33">
        <f t="shared" si="11"/>
        <v>11</v>
      </c>
      <c r="I146" s="34"/>
      <c r="J146" s="34">
        <v>11</v>
      </c>
      <c r="K146" s="34">
        <f t="shared" si="9"/>
        <v>639</v>
      </c>
      <c r="L146" s="41" t="s">
        <v>1715</v>
      </c>
      <c r="M146" s="1" t="str">
        <f t="shared" si="10"/>
        <v>NHK</v>
      </c>
    </row>
    <row r="147" spans="1:18" ht="45" customHeight="1" x14ac:dyDescent="0.25">
      <c r="A147" s="32">
        <v>142</v>
      </c>
      <c r="B147" s="44" t="s">
        <v>36</v>
      </c>
      <c r="C147" s="34">
        <v>10</v>
      </c>
      <c r="D147" s="34">
        <v>280</v>
      </c>
      <c r="E147" s="34" t="s">
        <v>34</v>
      </c>
      <c r="F147" s="34">
        <v>4473</v>
      </c>
      <c r="G147" s="33" t="s">
        <v>1749</v>
      </c>
      <c r="H147" s="33">
        <f t="shared" si="11"/>
        <v>110</v>
      </c>
      <c r="I147" s="34"/>
      <c r="J147" s="34">
        <v>110</v>
      </c>
      <c r="K147" s="34">
        <f t="shared" si="9"/>
        <v>4363</v>
      </c>
      <c r="L147" s="41" t="s">
        <v>7</v>
      </c>
      <c r="M147" s="1" t="str">
        <f t="shared" si="10"/>
        <v>DCS</v>
      </c>
    </row>
    <row r="148" spans="1:18" ht="45" customHeight="1" x14ac:dyDescent="0.25">
      <c r="A148" s="32">
        <v>143</v>
      </c>
      <c r="B148" s="44" t="s">
        <v>36</v>
      </c>
      <c r="C148" s="34">
        <v>10</v>
      </c>
      <c r="D148" s="34">
        <v>293</v>
      </c>
      <c r="E148" s="34" t="s">
        <v>34</v>
      </c>
      <c r="F148" s="34">
        <v>154</v>
      </c>
      <c r="G148" s="33" t="s">
        <v>1749</v>
      </c>
      <c r="H148" s="33">
        <f t="shared" si="11"/>
        <v>9</v>
      </c>
      <c r="I148" s="34"/>
      <c r="J148" s="34">
        <v>9</v>
      </c>
      <c r="K148" s="34">
        <f t="shared" si="9"/>
        <v>145</v>
      </c>
      <c r="L148" s="41" t="s">
        <v>7</v>
      </c>
      <c r="M148" s="1" t="str">
        <f t="shared" si="10"/>
        <v>DCS</v>
      </c>
    </row>
    <row r="149" spans="1:18" ht="45" customHeight="1" x14ac:dyDescent="0.25">
      <c r="A149" s="32">
        <v>144</v>
      </c>
      <c r="B149" s="44" t="s">
        <v>1620</v>
      </c>
      <c r="C149" s="34">
        <v>10</v>
      </c>
      <c r="D149" s="34">
        <v>311</v>
      </c>
      <c r="E149" s="34" t="s">
        <v>25</v>
      </c>
      <c r="F149" s="34">
        <v>133</v>
      </c>
      <c r="G149" s="33" t="s">
        <v>1749</v>
      </c>
      <c r="H149" s="33">
        <f t="shared" si="11"/>
        <v>1</v>
      </c>
      <c r="I149" s="34"/>
      <c r="J149" s="34">
        <v>1</v>
      </c>
      <c r="K149" s="34">
        <f t="shared" si="9"/>
        <v>132</v>
      </c>
      <c r="L149" s="41" t="s">
        <v>7</v>
      </c>
      <c r="M149" s="1" t="str">
        <f t="shared" si="10"/>
        <v>NHK</v>
      </c>
    </row>
    <row r="150" spans="1:18" ht="45" customHeight="1" x14ac:dyDescent="0.25">
      <c r="A150" s="32">
        <v>145</v>
      </c>
      <c r="B150" s="44" t="s">
        <v>36</v>
      </c>
      <c r="C150" s="34">
        <v>10</v>
      </c>
      <c r="D150" s="34">
        <v>313</v>
      </c>
      <c r="E150" s="34" t="s">
        <v>34</v>
      </c>
      <c r="F150" s="34">
        <v>100</v>
      </c>
      <c r="G150" s="33" t="s">
        <v>1749</v>
      </c>
      <c r="H150" s="33">
        <f t="shared" si="11"/>
        <v>4</v>
      </c>
      <c r="I150" s="34"/>
      <c r="J150" s="34">
        <v>4</v>
      </c>
      <c r="K150" s="34">
        <f t="shared" si="9"/>
        <v>96</v>
      </c>
      <c r="L150" s="41" t="s">
        <v>7</v>
      </c>
      <c r="M150" s="1" t="str">
        <f t="shared" si="10"/>
        <v>DCS</v>
      </c>
    </row>
    <row r="151" spans="1:18" ht="45" customHeight="1" x14ac:dyDescent="0.25">
      <c r="A151" s="32">
        <v>146</v>
      </c>
      <c r="B151" s="44" t="s">
        <v>1621</v>
      </c>
      <c r="C151" s="34">
        <v>10</v>
      </c>
      <c r="D151" s="34">
        <v>314</v>
      </c>
      <c r="E151" s="34" t="s">
        <v>18</v>
      </c>
      <c r="F151" s="34">
        <v>335</v>
      </c>
      <c r="G151" s="33" t="s">
        <v>1749</v>
      </c>
      <c r="H151" s="33">
        <f t="shared" si="11"/>
        <v>1</v>
      </c>
      <c r="I151" s="34"/>
      <c r="J151" s="34">
        <v>1</v>
      </c>
      <c r="K151" s="34">
        <f t="shared" si="9"/>
        <v>334</v>
      </c>
      <c r="L151" s="41" t="s">
        <v>7</v>
      </c>
      <c r="M151" s="1" t="str">
        <f t="shared" si="10"/>
        <v>LUC</v>
      </c>
    </row>
    <row r="152" spans="1:18" ht="45" customHeight="1" x14ac:dyDescent="0.25">
      <c r="A152" s="32">
        <v>147</v>
      </c>
      <c r="B152" s="44" t="s">
        <v>36</v>
      </c>
      <c r="C152" s="34">
        <v>10</v>
      </c>
      <c r="D152" s="34">
        <v>316</v>
      </c>
      <c r="E152" s="34" t="s">
        <v>34</v>
      </c>
      <c r="F152" s="34">
        <v>1974</v>
      </c>
      <c r="G152" s="33" t="s">
        <v>1749</v>
      </c>
      <c r="H152" s="33">
        <f t="shared" si="11"/>
        <v>1</v>
      </c>
      <c r="I152" s="34"/>
      <c r="J152" s="34">
        <v>1</v>
      </c>
      <c r="K152" s="34">
        <f t="shared" si="9"/>
        <v>1973</v>
      </c>
      <c r="L152" s="41" t="s">
        <v>7</v>
      </c>
      <c r="M152" s="1" t="str">
        <f t="shared" si="10"/>
        <v>DCS</v>
      </c>
    </row>
    <row r="153" spans="1:18" ht="45" customHeight="1" x14ac:dyDescent="0.25">
      <c r="A153" s="32">
        <v>148</v>
      </c>
      <c r="B153" s="44" t="s">
        <v>1620</v>
      </c>
      <c r="C153" s="34">
        <v>10</v>
      </c>
      <c r="D153" s="34">
        <v>323</v>
      </c>
      <c r="E153" s="34" t="s">
        <v>18</v>
      </c>
      <c r="F153" s="34">
        <v>195</v>
      </c>
      <c r="G153" s="33" t="s">
        <v>1749</v>
      </c>
      <c r="H153" s="33">
        <f t="shared" si="11"/>
        <v>1</v>
      </c>
      <c r="I153" s="34"/>
      <c r="J153" s="34">
        <v>1</v>
      </c>
      <c r="K153" s="34">
        <f t="shared" si="9"/>
        <v>194</v>
      </c>
      <c r="L153" s="41" t="s">
        <v>7</v>
      </c>
      <c r="M153" s="1" t="str">
        <f t="shared" si="10"/>
        <v>LUC</v>
      </c>
    </row>
    <row r="154" spans="1:18" ht="45" customHeight="1" x14ac:dyDescent="0.25">
      <c r="A154" s="32">
        <v>149</v>
      </c>
      <c r="B154" s="44" t="s">
        <v>1620</v>
      </c>
      <c r="C154" s="34">
        <v>10</v>
      </c>
      <c r="D154" s="34">
        <v>324</v>
      </c>
      <c r="E154" s="34" t="s">
        <v>18</v>
      </c>
      <c r="F154" s="34">
        <v>230</v>
      </c>
      <c r="G154" s="33" t="s">
        <v>1749</v>
      </c>
      <c r="H154" s="33">
        <f t="shared" si="11"/>
        <v>1</v>
      </c>
      <c r="I154" s="34"/>
      <c r="J154" s="34">
        <v>1</v>
      </c>
      <c r="K154" s="34">
        <f t="shared" si="9"/>
        <v>229</v>
      </c>
      <c r="L154" s="41" t="s">
        <v>7</v>
      </c>
      <c r="M154" s="1" t="str">
        <f t="shared" si="10"/>
        <v>LUC</v>
      </c>
    </row>
    <row r="155" spans="1:18" ht="45" customHeight="1" x14ac:dyDescent="0.25">
      <c r="A155" s="32">
        <v>150</v>
      </c>
      <c r="B155" s="44" t="s">
        <v>1623</v>
      </c>
      <c r="C155" s="34">
        <v>10</v>
      </c>
      <c r="D155" s="34">
        <v>325</v>
      </c>
      <c r="E155" s="34" t="s">
        <v>6</v>
      </c>
      <c r="F155" s="34">
        <v>3218</v>
      </c>
      <c r="G155" s="33" t="s">
        <v>1749</v>
      </c>
      <c r="H155" s="33">
        <f t="shared" si="11"/>
        <v>26</v>
      </c>
      <c r="I155" s="34"/>
      <c r="J155" s="34">
        <v>26</v>
      </c>
      <c r="K155" s="34">
        <f t="shared" si="9"/>
        <v>3192</v>
      </c>
      <c r="L155" s="41" t="s">
        <v>1717</v>
      </c>
      <c r="M155" s="1" t="str">
        <f t="shared" si="10"/>
        <v>CLN</v>
      </c>
    </row>
    <row r="156" spans="1:18" ht="45" customHeight="1" x14ac:dyDescent="0.25">
      <c r="A156" s="35">
        <v>151</v>
      </c>
      <c r="B156" s="44" t="s">
        <v>1608</v>
      </c>
      <c r="C156" s="34">
        <v>10</v>
      </c>
      <c r="D156" s="34">
        <v>327</v>
      </c>
      <c r="E156" s="34" t="s">
        <v>1685</v>
      </c>
      <c r="F156" s="34">
        <v>16584</v>
      </c>
      <c r="G156" s="33" t="s">
        <v>1749</v>
      </c>
      <c r="H156" s="33">
        <f t="shared" si="11"/>
        <v>37</v>
      </c>
      <c r="I156" s="34"/>
      <c r="J156" s="34">
        <v>37</v>
      </c>
      <c r="K156" s="34">
        <f t="shared" si="9"/>
        <v>16547</v>
      </c>
      <c r="L156" s="41" t="s">
        <v>1710</v>
      </c>
      <c r="M156" s="1" t="str">
        <f t="shared" si="10"/>
        <v>NTD</v>
      </c>
    </row>
    <row r="157" spans="1:18" ht="45" customHeight="1" x14ac:dyDescent="0.25">
      <c r="A157" s="35">
        <v>152</v>
      </c>
      <c r="B157" s="44" t="s">
        <v>1624</v>
      </c>
      <c r="C157" s="34">
        <v>10</v>
      </c>
      <c r="D157" s="34">
        <v>337</v>
      </c>
      <c r="E157" s="34" t="s">
        <v>25</v>
      </c>
      <c r="F157" s="34">
        <v>3243</v>
      </c>
      <c r="G157" s="33" t="s">
        <v>1749</v>
      </c>
      <c r="H157" s="33">
        <f t="shared" si="11"/>
        <v>131</v>
      </c>
      <c r="I157" s="34"/>
      <c r="J157" s="34">
        <v>131</v>
      </c>
      <c r="K157" s="34">
        <f t="shared" si="9"/>
        <v>3112</v>
      </c>
      <c r="L157" s="41" t="s">
        <v>7</v>
      </c>
      <c r="M157" s="1" t="str">
        <f t="shared" si="10"/>
        <v>NHK</v>
      </c>
      <c r="N157" s="3"/>
      <c r="O157" s="3"/>
      <c r="P157" s="3"/>
      <c r="Q157" s="3"/>
      <c r="R157" s="3"/>
    </row>
    <row r="158" spans="1:18" ht="45" customHeight="1" x14ac:dyDescent="0.25">
      <c r="A158" s="35">
        <v>153</v>
      </c>
      <c r="B158" s="44" t="s">
        <v>1625</v>
      </c>
      <c r="C158" s="34">
        <v>10</v>
      </c>
      <c r="D158" s="34">
        <v>343</v>
      </c>
      <c r="E158" s="34" t="s">
        <v>9</v>
      </c>
      <c r="F158" s="34">
        <v>7703</v>
      </c>
      <c r="G158" s="33" t="s">
        <v>1749</v>
      </c>
      <c r="H158" s="33">
        <f t="shared" si="11"/>
        <v>6</v>
      </c>
      <c r="I158" s="34"/>
      <c r="J158" s="34">
        <v>6</v>
      </c>
      <c r="K158" s="34">
        <f t="shared" si="9"/>
        <v>7697</v>
      </c>
      <c r="L158" s="41" t="s">
        <v>1707</v>
      </c>
      <c r="M158" s="1" t="str">
        <f t="shared" si="10"/>
        <v>CLN</v>
      </c>
      <c r="N158" s="3"/>
      <c r="O158" s="3"/>
      <c r="P158" s="3"/>
      <c r="Q158" s="3"/>
      <c r="R158" s="3"/>
    </row>
    <row r="159" spans="1:18" ht="45" customHeight="1" x14ac:dyDescent="0.25">
      <c r="A159" s="35">
        <v>154</v>
      </c>
      <c r="B159" s="44" t="s">
        <v>1626</v>
      </c>
      <c r="C159" s="34">
        <v>10</v>
      </c>
      <c r="D159" s="34">
        <v>350</v>
      </c>
      <c r="E159" s="34" t="s">
        <v>18</v>
      </c>
      <c r="F159" s="34">
        <v>1396</v>
      </c>
      <c r="G159" s="33" t="s">
        <v>1749</v>
      </c>
      <c r="H159" s="33">
        <f t="shared" si="11"/>
        <v>1</v>
      </c>
      <c r="I159" s="34"/>
      <c r="J159" s="34">
        <v>1</v>
      </c>
      <c r="K159" s="34">
        <f t="shared" si="9"/>
        <v>1395</v>
      </c>
      <c r="L159" s="41" t="s">
        <v>7</v>
      </c>
      <c r="M159" s="1" t="str">
        <f t="shared" si="10"/>
        <v>LUC</v>
      </c>
    </row>
    <row r="160" spans="1:18" ht="45" customHeight="1" x14ac:dyDescent="0.25">
      <c r="A160" s="35">
        <v>155</v>
      </c>
      <c r="B160" s="44" t="s">
        <v>36</v>
      </c>
      <c r="C160" s="34">
        <v>10</v>
      </c>
      <c r="D160" s="34">
        <v>815</v>
      </c>
      <c r="E160" s="34" t="s">
        <v>7</v>
      </c>
      <c r="F160" s="34">
        <v>10673</v>
      </c>
      <c r="G160" s="33" t="s">
        <v>1749</v>
      </c>
      <c r="H160" s="33">
        <f t="shared" si="11"/>
        <v>5566</v>
      </c>
      <c r="I160" s="34"/>
      <c r="J160" s="34">
        <v>5566</v>
      </c>
      <c r="K160" s="34">
        <f t="shared" si="9"/>
        <v>5107</v>
      </c>
      <c r="L160" s="41" t="s">
        <v>7</v>
      </c>
      <c r="M160" s="1" t="str">
        <f t="shared" si="10"/>
        <v>DGT</v>
      </c>
      <c r="N160" s="3"/>
      <c r="O160" s="3"/>
      <c r="P160" s="3"/>
      <c r="Q160" s="3"/>
      <c r="R160" s="3"/>
    </row>
    <row r="161" spans="1:18" ht="45" customHeight="1" x14ac:dyDescent="0.25">
      <c r="A161" s="35">
        <v>156</v>
      </c>
      <c r="B161" s="44" t="s">
        <v>1627</v>
      </c>
      <c r="C161" s="34">
        <v>10</v>
      </c>
      <c r="D161" s="34">
        <v>816</v>
      </c>
      <c r="E161" s="34" t="s">
        <v>7</v>
      </c>
      <c r="F161" s="34">
        <v>3833</v>
      </c>
      <c r="G161" s="33" t="s">
        <v>1749</v>
      </c>
      <c r="H161" s="33">
        <f t="shared" si="11"/>
        <v>2951</v>
      </c>
      <c r="I161" s="34"/>
      <c r="J161" s="34">
        <v>2951</v>
      </c>
      <c r="K161" s="34">
        <f t="shared" si="9"/>
        <v>882</v>
      </c>
      <c r="L161" s="41" t="s">
        <v>7</v>
      </c>
      <c r="M161" s="1" t="str">
        <f t="shared" si="10"/>
        <v>DGT</v>
      </c>
      <c r="N161" s="3"/>
      <c r="O161" s="3"/>
      <c r="P161" s="3"/>
      <c r="Q161" s="3"/>
      <c r="R161" s="3"/>
    </row>
    <row r="162" spans="1:18" ht="45" customHeight="1" x14ac:dyDescent="0.25">
      <c r="A162" s="35">
        <v>157</v>
      </c>
      <c r="B162" s="44" t="s">
        <v>1628</v>
      </c>
      <c r="C162" s="34">
        <v>11</v>
      </c>
      <c r="D162" s="34">
        <v>160</v>
      </c>
      <c r="E162" s="34" t="s">
        <v>9</v>
      </c>
      <c r="F162" s="34">
        <v>4464</v>
      </c>
      <c r="G162" s="33" t="s">
        <v>1749</v>
      </c>
      <c r="H162" s="33">
        <f t="shared" si="11"/>
        <v>11</v>
      </c>
      <c r="I162" s="34"/>
      <c r="J162" s="34">
        <v>11</v>
      </c>
      <c r="K162" s="34">
        <f t="shared" si="9"/>
        <v>4453</v>
      </c>
      <c r="L162" s="41" t="s">
        <v>7</v>
      </c>
      <c r="M162" s="1" t="str">
        <f t="shared" si="10"/>
        <v>CLN</v>
      </c>
      <c r="N162" s="3"/>
      <c r="O162" s="3"/>
      <c r="P162" s="3"/>
      <c r="Q162" s="3"/>
      <c r="R162" s="3"/>
    </row>
    <row r="163" spans="1:18" ht="45" customHeight="1" x14ac:dyDescent="0.25">
      <c r="A163" s="35">
        <v>158</v>
      </c>
      <c r="B163" s="44" t="s">
        <v>1629</v>
      </c>
      <c r="C163" s="34">
        <v>11</v>
      </c>
      <c r="D163" s="34">
        <v>161</v>
      </c>
      <c r="E163" s="34" t="s">
        <v>6</v>
      </c>
      <c r="F163" s="34">
        <v>2036</v>
      </c>
      <c r="G163" s="33" t="s">
        <v>1749</v>
      </c>
      <c r="H163" s="33">
        <f t="shared" si="11"/>
        <v>12</v>
      </c>
      <c r="I163" s="34"/>
      <c r="J163" s="34">
        <v>12</v>
      </c>
      <c r="K163" s="34">
        <f t="shared" si="9"/>
        <v>2024</v>
      </c>
      <c r="L163" s="41" t="s">
        <v>7</v>
      </c>
      <c r="M163" s="1" t="str">
        <f t="shared" si="10"/>
        <v>CLN</v>
      </c>
      <c r="N163" s="3"/>
      <c r="O163" s="3"/>
      <c r="P163" s="3"/>
      <c r="Q163" s="3"/>
      <c r="R163" s="3"/>
    </row>
    <row r="164" spans="1:18" ht="45" customHeight="1" x14ac:dyDescent="0.25">
      <c r="A164" s="35">
        <v>159</v>
      </c>
      <c r="B164" s="44" t="s">
        <v>36</v>
      </c>
      <c r="C164" s="34">
        <v>11</v>
      </c>
      <c r="D164" s="34">
        <v>161</v>
      </c>
      <c r="E164" s="34" t="s">
        <v>9</v>
      </c>
      <c r="F164" s="34">
        <v>6690</v>
      </c>
      <c r="G164" s="33" t="s">
        <v>1749</v>
      </c>
      <c r="H164" s="33">
        <f t="shared" si="11"/>
        <v>21</v>
      </c>
      <c r="I164" s="34"/>
      <c r="J164" s="34">
        <v>21</v>
      </c>
      <c r="K164" s="34">
        <f t="shared" si="9"/>
        <v>6669</v>
      </c>
      <c r="L164" s="41" t="s">
        <v>7</v>
      </c>
      <c r="M164" s="1" t="str">
        <f t="shared" si="10"/>
        <v>CLN</v>
      </c>
    </row>
    <row r="165" spans="1:18" ht="45" customHeight="1" x14ac:dyDescent="0.25">
      <c r="A165" s="35">
        <v>160</v>
      </c>
      <c r="B165" s="44" t="s">
        <v>1630</v>
      </c>
      <c r="C165" s="34">
        <v>11</v>
      </c>
      <c r="D165" s="34">
        <v>162</v>
      </c>
      <c r="E165" s="34" t="s">
        <v>6</v>
      </c>
      <c r="F165" s="34">
        <v>10979</v>
      </c>
      <c r="G165" s="33" t="s">
        <v>1749</v>
      </c>
      <c r="H165" s="33">
        <f t="shared" si="11"/>
        <v>10</v>
      </c>
      <c r="I165" s="34"/>
      <c r="J165" s="34">
        <v>10</v>
      </c>
      <c r="K165" s="34">
        <f t="shared" si="9"/>
        <v>10969</v>
      </c>
      <c r="L165" s="41" t="s">
        <v>1707</v>
      </c>
      <c r="M165" s="1" t="str">
        <f t="shared" si="10"/>
        <v>CLN</v>
      </c>
      <c r="N165" s="3"/>
      <c r="O165" s="3"/>
      <c r="P165" s="3"/>
      <c r="Q165" s="3"/>
      <c r="R165" s="3"/>
    </row>
    <row r="166" spans="1:18" ht="45" customHeight="1" x14ac:dyDescent="0.25">
      <c r="A166" s="32">
        <v>161</v>
      </c>
      <c r="B166" s="44" t="s">
        <v>1629</v>
      </c>
      <c r="C166" s="34">
        <v>11</v>
      </c>
      <c r="D166" s="34">
        <v>170</v>
      </c>
      <c r="E166" s="34" t="s">
        <v>9</v>
      </c>
      <c r="F166" s="34">
        <v>972</v>
      </c>
      <c r="G166" s="33" t="s">
        <v>1749</v>
      </c>
      <c r="H166" s="33">
        <f t="shared" si="11"/>
        <v>25</v>
      </c>
      <c r="I166" s="34"/>
      <c r="J166" s="34">
        <v>25</v>
      </c>
      <c r="K166" s="34">
        <f t="shared" si="9"/>
        <v>947</v>
      </c>
      <c r="L166" s="41" t="s">
        <v>7</v>
      </c>
      <c r="M166" s="1" t="str">
        <f t="shared" si="10"/>
        <v>CLN</v>
      </c>
    </row>
    <row r="167" spans="1:18" ht="45" customHeight="1" x14ac:dyDescent="0.25">
      <c r="A167" s="35">
        <v>162</v>
      </c>
      <c r="B167" s="44" t="s">
        <v>1635</v>
      </c>
      <c r="C167" s="34">
        <v>11</v>
      </c>
      <c r="D167" s="34">
        <v>179</v>
      </c>
      <c r="E167" s="34" t="s">
        <v>6</v>
      </c>
      <c r="F167" s="34">
        <v>2053</v>
      </c>
      <c r="G167" s="33" t="s">
        <v>1749</v>
      </c>
      <c r="H167" s="33">
        <f t="shared" si="11"/>
        <v>45</v>
      </c>
      <c r="I167" s="34"/>
      <c r="J167" s="34">
        <v>45</v>
      </c>
      <c r="K167" s="34">
        <f t="shared" si="9"/>
        <v>2008</v>
      </c>
      <c r="L167" s="41" t="s">
        <v>7</v>
      </c>
      <c r="M167" s="1" t="str">
        <f t="shared" si="10"/>
        <v>CLN</v>
      </c>
    </row>
    <row r="168" spans="1:18" ht="45" customHeight="1" x14ac:dyDescent="0.25">
      <c r="A168" s="35">
        <v>163</v>
      </c>
      <c r="B168" s="44" t="s">
        <v>1636</v>
      </c>
      <c r="C168" s="34">
        <v>11</v>
      </c>
      <c r="D168" s="34">
        <v>181</v>
      </c>
      <c r="E168" s="34" t="s">
        <v>9</v>
      </c>
      <c r="F168" s="34">
        <v>310</v>
      </c>
      <c r="G168" s="33" t="s">
        <v>1749</v>
      </c>
      <c r="H168" s="33">
        <f t="shared" si="11"/>
        <v>6</v>
      </c>
      <c r="I168" s="34"/>
      <c r="J168" s="34">
        <v>6</v>
      </c>
      <c r="K168" s="34">
        <f t="shared" si="9"/>
        <v>304</v>
      </c>
      <c r="L168" s="41" t="s">
        <v>7</v>
      </c>
      <c r="M168" s="1" t="str">
        <f t="shared" si="10"/>
        <v>CLN</v>
      </c>
      <c r="N168" s="3"/>
      <c r="O168" s="3"/>
      <c r="P168" s="3"/>
      <c r="Q168" s="3"/>
      <c r="R168" s="3"/>
    </row>
    <row r="169" spans="1:18" ht="45" customHeight="1" x14ac:dyDescent="0.25">
      <c r="A169" s="35">
        <v>164</v>
      </c>
      <c r="B169" s="44" t="s">
        <v>1637</v>
      </c>
      <c r="C169" s="34">
        <v>11</v>
      </c>
      <c r="D169" s="34">
        <v>189</v>
      </c>
      <c r="E169" s="34" t="s">
        <v>9</v>
      </c>
      <c r="F169" s="34">
        <v>2483</v>
      </c>
      <c r="G169" s="33" t="s">
        <v>1749</v>
      </c>
      <c r="H169" s="33">
        <f t="shared" si="11"/>
        <v>2</v>
      </c>
      <c r="I169" s="34"/>
      <c r="J169" s="34">
        <v>2</v>
      </c>
      <c r="K169" s="34">
        <f t="shared" si="9"/>
        <v>2481</v>
      </c>
      <c r="L169" s="41" t="s">
        <v>7</v>
      </c>
      <c r="M169" s="1" t="str">
        <f t="shared" si="10"/>
        <v>CLN</v>
      </c>
    </row>
    <row r="170" spans="1:18" ht="45" customHeight="1" x14ac:dyDescent="0.25">
      <c r="A170" s="32">
        <v>165</v>
      </c>
      <c r="B170" s="44" t="s">
        <v>1642</v>
      </c>
      <c r="C170" s="34">
        <v>11</v>
      </c>
      <c r="D170" s="34">
        <v>239</v>
      </c>
      <c r="E170" s="34" t="s">
        <v>9</v>
      </c>
      <c r="F170" s="34">
        <v>7661</v>
      </c>
      <c r="G170" s="33" t="s">
        <v>1749</v>
      </c>
      <c r="H170" s="33">
        <f t="shared" ref="H170:H201" si="12">SUM(J170:J170)</f>
        <v>256</v>
      </c>
      <c r="I170" s="34"/>
      <c r="J170" s="34">
        <v>256</v>
      </c>
      <c r="K170" s="34">
        <f t="shared" si="9"/>
        <v>7405</v>
      </c>
      <c r="L170" s="41" t="s">
        <v>7</v>
      </c>
      <c r="M170" s="1" t="str">
        <f t="shared" si="10"/>
        <v>CLN</v>
      </c>
    </row>
    <row r="171" spans="1:18" ht="45" customHeight="1" x14ac:dyDescent="0.25">
      <c r="A171" s="32">
        <v>166</v>
      </c>
      <c r="B171" s="44" t="s">
        <v>1643</v>
      </c>
      <c r="C171" s="34">
        <v>11</v>
      </c>
      <c r="D171" s="34">
        <v>240</v>
      </c>
      <c r="E171" s="34" t="s">
        <v>9</v>
      </c>
      <c r="F171" s="34">
        <v>7926</v>
      </c>
      <c r="G171" s="33" t="s">
        <v>1749</v>
      </c>
      <c r="H171" s="33">
        <f t="shared" si="12"/>
        <v>528</v>
      </c>
      <c r="I171" s="34"/>
      <c r="J171" s="34">
        <v>528</v>
      </c>
      <c r="K171" s="34">
        <f t="shared" si="9"/>
        <v>7398</v>
      </c>
      <c r="L171" s="41" t="s">
        <v>7</v>
      </c>
      <c r="M171" s="1" t="str">
        <f t="shared" si="10"/>
        <v>CLN</v>
      </c>
    </row>
    <row r="172" spans="1:18" ht="45" customHeight="1" x14ac:dyDescent="0.25">
      <c r="A172" s="32">
        <v>167</v>
      </c>
      <c r="B172" s="44" t="s">
        <v>1645</v>
      </c>
      <c r="C172" s="34">
        <v>11</v>
      </c>
      <c r="D172" s="34">
        <v>244</v>
      </c>
      <c r="E172" s="34" t="s">
        <v>9</v>
      </c>
      <c r="F172" s="34">
        <v>8977</v>
      </c>
      <c r="G172" s="33" t="s">
        <v>1749</v>
      </c>
      <c r="H172" s="33">
        <f t="shared" si="12"/>
        <v>73</v>
      </c>
      <c r="I172" s="34"/>
      <c r="J172" s="34">
        <v>73</v>
      </c>
      <c r="K172" s="34">
        <f t="shared" si="9"/>
        <v>8904</v>
      </c>
      <c r="L172" s="41" t="s">
        <v>7</v>
      </c>
      <c r="M172" s="1" t="str">
        <f t="shared" si="10"/>
        <v>CLN</v>
      </c>
    </row>
    <row r="173" spans="1:18" ht="45" customHeight="1" x14ac:dyDescent="0.25">
      <c r="A173" s="32">
        <v>168</v>
      </c>
      <c r="B173" s="44" t="s">
        <v>1648</v>
      </c>
      <c r="C173" s="34">
        <v>11</v>
      </c>
      <c r="D173" s="34">
        <v>275</v>
      </c>
      <c r="E173" s="34" t="s">
        <v>6</v>
      </c>
      <c r="F173" s="34">
        <v>6921</v>
      </c>
      <c r="G173" s="33" t="s">
        <v>1749</v>
      </c>
      <c r="H173" s="33">
        <f t="shared" si="12"/>
        <v>273</v>
      </c>
      <c r="I173" s="34"/>
      <c r="J173" s="34">
        <v>273</v>
      </c>
      <c r="K173" s="34">
        <f t="shared" si="9"/>
        <v>6648</v>
      </c>
      <c r="L173" s="41" t="s">
        <v>7</v>
      </c>
      <c r="M173" s="1" t="str">
        <f t="shared" si="10"/>
        <v>CLN</v>
      </c>
    </row>
    <row r="174" spans="1:18" ht="45" customHeight="1" x14ac:dyDescent="0.25">
      <c r="A174" s="32">
        <v>169</v>
      </c>
      <c r="B174" s="44" t="s">
        <v>1608</v>
      </c>
      <c r="C174" s="34">
        <v>13</v>
      </c>
      <c r="D174" s="34">
        <v>4</v>
      </c>
      <c r="E174" s="34" t="s">
        <v>1685</v>
      </c>
      <c r="F174" s="34">
        <v>3946</v>
      </c>
      <c r="G174" s="33" t="s">
        <v>1749</v>
      </c>
      <c r="H174" s="33">
        <f t="shared" si="12"/>
        <v>91</v>
      </c>
      <c r="I174" s="34"/>
      <c r="J174" s="34">
        <v>91</v>
      </c>
      <c r="K174" s="34">
        <f t="shared" si="9"/>
        <v>3855</v>
      </c>
      <c r="L174" s="41" t="s">
        <v>1720</v>
      </c>
      <c r="M174" s="1" t="str">
        <f t="shared" si="10"/>
        <v>NTD</v>
      </c>
    </row>
    <row r="175" spans="1:18" ht="45" customHeight="1" x14ac:dyDescent="0.25">
      <c r="A175" s="32">
        <v>170</v>
      </c>
      <c r="B175" s="44" t="s">
        <v>8</v>
      </c>
      <c r="C175" s="34">
        <v>13</v>
      </c>
      <c r="D175" s="34">
        <v>5</v>
      </c>
      <c r="E175" s="34" t="s">
        <v>9</v>
      </c>
      <c r="F175" s="34">
        <v>11936</v>
      </c>
      <c r="G175" s="33" t="s">
        <v>1749</v>
      </c>
      <c r="H175" s="33">
        <f t="shared" si="12"/>
        <v>194</v>
      </c>
      <c r="I175" s="34"/>
      <c r="J175" s="34">
        <v>194</v>
      </c>
      <c r="K175" s="34">
        <f t="shared" si="9"/>
        <v>11742</v>
      </c>
      <c r="L175" s="41" t="s">
        <v>1721</v>
      </c>
      <c r="M175" s="1" t="str">
        <f t="shared" si="10"/>
        <v>CLN</v>
      </c>
    </row>
    <row r="176" spans="1:18" ht="45" customHeight="1" x14ac:dyDescent="0.25">
      <c r="A176" s="32">
        <v>171</v>
      </c>
      <c r="B176" s="44" t="s">
        <v>36</v>
      </c>
      <c r="C176" s="34">
        <v>13</v>
      </c>
      <c r="D176" s="34">
        <v>36</v>
      </c>
      <c r="E176" s="34" t="s">
        <v>34</v>
      </c>
      <c r="F176" s="34">
        <v>3883</v>
      </c>
      <c r="G176" s="33" t="s">
        <v>1749</v>
      </c>
      <c r="H176" s="33">
        <f t="shared" si="12"/>
        <v>107</v>
      </c>
      <c r="I176" s="34"/>
      <c r="J176" s="34">
        <v>107</v>
      </c>
      <c r="K176" s="34">
        <f t="shared" si="9"/>
        <v>3776</v>
      </c>
      <c r="L176" s="41" t="s">
        <v>7</v>
      </c>
      <c r="M176" s="1" t="str">
        <f t="shared" si="10"/>
        <v>DCS</v>
      </c>
    </row>
    <row r="177" spans="1:13" ht="45" customHeight="1" x14ac:dyDescent="0.25">
      <c r="A177" s="32">
        <v>172</v>
      </c>
      <c r="B177" s="44" t="s">
        <v>36</v>
      </c>
      <c r="C177" s="34">
        <v>13</v>
      </c>
      <c r="D177" s="34">
        <v>39</v>
      </c>
      <c r="E177" s="34" t="s">
        <v>34</v>
      </c>
      <c r="F177" s="34">
        <v>1005</v>
      </c>
      <c r="G177" s="33" t="s">
        <v>1749</v>
      </c>
      <c r="H177" s="33">
        <f t="shared" si="12"/>
        <v>30</v>
      </c>
      <c r="I177" s="34"/>
      <c r="J177" s="34">
        <v>30</v>
      </c>
      <c r="K177" s="34">
        <f t="shared" si="9"/>
        <v>975</v>
      </c>
      <c r="L177" s="41" t="s">
        <v>7</v>
      </c>
      <c r="M177" s="1" t="str">
        <f t="shared" si="10"/>
        <v>DCS</v>
      </c>
    </row>
    <row r="178" spans="1:13" ht="45" customHeight="1" x14ac:dyDescent="0.25">
      <c r="A178" s="32">
        <v>173</v>
      </c>
      <c r="B178" s="44" t="s">
        <v>1649</v>
      </c>
      <c r="C178" s="34">
        <v>13</v>
      </c>
      <c r="D178" s="34">
        <v>112</v>
      </c>
      <c r="E178" s="34" t="s">
        <v>18</v>
      </c>
      <c r="F178" s="34">
        <v>347</v>
      </c>
      <c r="G178" s="33" t="s">
        <v>1749</v>
      </c>
      <c r="H178" s="33">
        <f t="shared" si="12"/>
        <v>19</v>
      </c>
      <c r="I178" s="34"/>
      <c r="J178" s="34">
        <v>19</v>
      </c>
      <c r="K178" s="34">
        <f t="shared" si="9"/>
        <v>328</v>
      </c>
      <c r="L178" s="41" t="s">
        <v>7</v>
      </c>
      <c r="M178" s="1" t="str">
        <f t="shared" si="10"/>
        <v>LUC</v>
      </c>
    </row>
    <row r="179" spans="1:13" ht="45" customHeight="1" x14ac:dyDescent="0.25">
      <c r="A179" s="32">
        <v>174</v>
      </c>
      <c r="B179" s="44" t="s">
        <v>1650</v>
      </c>
      <c r="C179" s="34">
        <v>13</v>
      </c>
      <c r="D179" s="34">
        <v>114</v>
      </c>
      <c r="E179" s="34" t="s">
        <v>25</v>
      </c>
      <c r="F179" s="34">
        <v>616</v>
      </c>
      <c r="G179" s="33" t="s">
        <v>1749</v>
      </c>
      <c r="H179" s="33">
        <f t="shared" si="12"/>
        <v>52</v>
      </c>
      <c r="I179" s="34"/>
      <c r="J179" s="34">
        <v>52</v>
      </c>
      <c r="K179" s="34">
        <f t="shared" si="9"/>
        <v>564</v>
      </c>
      <c r="L179" s="41" t="s">
        <v>1723</v>
      </c>
      <c r="M179" s="1" t="str">
        <f t="shared" si="10"/>
        <v>NHK</v>
      </c>
    </row>
    <row r="180" spans="1:13" ht="45" customHeight="1" x14ac:dyDescent="0.25">
      <c r="A180" s="32">
        <v>175</v>
      </c>
      <c r="B180" s="44" t="s">
        <v>36</v>
      </c>
      <c r="C180" s="34">
        <v>13</v>
      </c>
      <c r="D180" s="34">
        <v>124</v>
      </c>
      <c r="E180" s="34" t="s">
        <v>25</v>
      </c>
      <c r="F180" s="34">
        <v>6535</v>
      </c>
      <c r="G180" s="33" t="s">
        <v>1749</v>
      </c>
      <c r="H180" s="33">
        <f t="shared" si="12"/>
        <v>1187</v>
      </c>
      <c r="I180" s="34"/>
      <c r="J180" s="34">
        <v>1187</v>
      </c>
      <c r="K180" s="34">
        <f t="shared" si="9"/>
        <v>5348</v>
      </c>
      <c r="L180" s="41" t="s">
        <v>1724</v>
      </c>
      <c r="M180" s="1" t="str">
        <f t="shared" si="10"/>
        <v>NHK</v>
      </c>
    </row>
    <row r="181" spans="1:13" ht="45" customHeight="1" x14ac:dyDescent="0.25">
      <c r="A181" s="32">
        <v>176</v>
      </c>
      <c r="B181" s="44" t="s">
        <v>36</v>
      </c>
      <c r="C181" s="34">
        <v>13</v>
      </c>
      <c r="D181" s="34">
        <v>128</v>
      </c>
      <c r="E181" s="34" t="s">
        <v>34</v>
      </c>
      <c r="F181" s="34">
        <v>4257</v>
      </c>
      <c r="G181" s="33" t="s">
        <v>1749</v>
      </c>
      <c r="H181" s="33">
        <f t="shared" si="12"/>
        <v>207</v>
      </c>
      <c r="I181" s="34"/>
      <c r="J181" s="34">
        <v>207</v>
      </c>
      <c r="K181" s="34">
        <f t="shared" si="9"/>
        <v>4050</v>
      </c>
      <c r="L181" s="41" t="s">
        <v>1725</v>
      </c>
      <c r="M181" s="1" t="str">
        <f t="shared" si="10"/>
        <v>DCS</v>
      </c>
    </row>
    <row r="182" spans="1:13" ht="45" customHeight="1" x14ac:dyDescent="0.25">
      <c r="A182" s="32">
        <v>177</v>
      </c>
      <c r="B182" s="44" t="s">
        <v>36</v>
      </c>
      <c r="C182" s="34">
        <v>13</v>
      </c>
      <c r="D182" s="34">
        <v>190</v>
      </c>
      <c r="E182" s="34" t="s">
        <v>18</v>
      </c>
      <c r="F182" s="34">
        <v>72</v>
      </c>
      <c r="G182" s="33" t="s">
        <v>1749</v>
      </c>
      <c r="H182" s="33">
        <f t="shared" si="12"/>
        <v>72</v>
      </c>
      <c r="I182" s="34"/>
      <c r="J182" s="34">
        <v>72</v>
      </c>
      <c r="K182" s="34">
        <f t="shared" si="9"/>
        <v>0</v>
      </c>
      <c r="L182" s="41" t="s">
        <v>1690</v>
      </c>
      <c r="M182" s="1" t="str">
        <f t="shared" si="10"/>
        <v>LUC</v>
      </c>
    </row>
    <row r="183" spans="1:13" ht="45" customHeight="1" x14ac:dyDescent="0.25">
      <c r="A183" s="32">
        <v>178</v>
      </c>
      <c r="B183" s="44" t="s">
        <v>17</v>
      </c>
      <c r="C183" s="34">
        <v>13</v>
      </c>
      <c r="D183" s="34">
        <v>231</v>
      </c>
      <c r="E183" s="34" t="s">
        <v>18</v>
      </c>
      <c r="F183" s="34">
        <v>210</v>
      </c>
      <c r="G183" s="33" t="s">
        <v>1749</v>
      </c>
      <c r="H183" s="33">
        <f t="shared" si="12"/>
        <v>185</v>
      </c>
      <c r="I183" s="34"/>
      <c r="J183" s="34">
        <v>185</v>
      </c>
      <c r="K183" s="34">
        <f t="shared" si="9"/>
        <v>25</v>
      </c>
      <c r="L183" s="41" t="s">
        <v>1690</v>
      </c>
      <c r="M183" s="1" t="str">
        <f t="shared" si="10"/>
        <v>LUC</v>
      </c>
    </row>
    <row r="184" spans="1:13" ht="45" customHeight="1" x14ac:dyDescent="0.25">
      <c r="A184" s="32">
        <v>179</v>
      </c>
      <c r="B184" s="44" t="s">
        <v>17</v>
      </c>
      <c r="C184" s="34">
        <v>13</v>
      </c>
      <c r="D184" s="34">
        <v>232</v>
      </c>
      <c r="E184" s="34" t="s">
        <v>18</v>
      </c>
      <c r="F184" s="34">
        <v>105</v>
      </c>
      <c r="G184" s="33" t="s">
        <v>1749</v>
      </c>
      <c r="H184" s="33">
        <f t="shared" si="12"/>
        <v>105</v>
      </c>
      <c r="I184" s="34"/>
      <c r="J184" s="34">
        <v>105</v>
      </c>
      <c r="K184" s="34">
        <f t="shared" si="9"/>
        <v>0</v>
      </c>
      <c r="L184" s="41" t="s">
        <v>1690</v>
      </c>
      <c r="M184" s="1" t="str">
        <f t="shared" si="10"/>
        <v>LUC</v>
      </c>
    </row>
    <row r="185" spans="1:13" ht="45" customHeight="1" x14ac:dyDescent="0.25">
      <c r="A185" s="32">
        <v>180</v>
      </c>
      <c r="B185" s="44" t="s">
        <v>17</v>
      </c>
      <c r="C185" s="34">
        <v>13</v>
      </c>
      <c r="D185" s="34">
        <v>233</v>
      </c>
      <c r="E185" s="34" t="s">
        <v>18</v>
      </c>
      <c r="F185" s="34">
        <v>144</v>
      </c>
      <c r="G185" s="33" t="s">
        <v>1749</v>
      </c>
      <c r="H185" s="33">
        <f t="shared" si="12"/>
        <v>144</v>
      </c>
      <c r="I185" s="34"/>
      <c r="J185" s="34">
        <v>144</v>
      </c>
      <c r="K185" s="34">
        <f t="shared" si="9"/>
        <v>0</v>
      </c>
      <c r="L185" s="41" t="s">
        <v>1690</v>
      </c>
      <c r="M185" s="1" t="str">
        <f t="shared" si="10"/>
        <v>LUC</v>
      </c>
    </row>
    <row r="186" spans="1:13" ht="45" customHeight="1" x14ac:dyDescent="0.25">
      <c r="A186" s="32">
        <v>181</v>
      </c>
      <c r="B186" s="44" t="s">
        <v>17</v>
      </c>
      <c r="C186" s="34">
        <v>13</v>
      </c>
      <c r="D186" s="34">
        <v>234</v>
      </c>
      <c r="E186" s="34" t="s">
        <v>18</v>
      </c>
      <c r="F186" s="34">
        <v>178</v>
      </c>
      <c r="G186" s="33" t="s">
        <v>1749</v>
      </c>
      <c r="H186" s="33">
        <f t="shared" si="12"/>
        <v>178</v>
      </c>
      <c r="I186" s="34"/>
      <c r="J186" s="34">
        <v>178</v>
      </c>
      <c r="K186" s="34">
        <f t="shared" si="9"/>
        <v>0</v>
      </c>
      <c r="L186" s="41" t="s">
        <v>1690</v>
      </c>
      <c r="M186" s="1" t="str">
        <f t="shared" si="10"/>
        <v>LUC</v>
      </c>
    </row>
    <row r="187" spans="1:13" ht="45" customHeight="1" x14ac:dyDescent="0.25">
      <c r="A187" s="32">
        <v>182</v>
      </c>
      <c r="B187" s="44" t="s">
        <v>36</v>
      </c>
      <c r="C187" s="34">
        <v>13</v>
      </c>
      <c r="D187" s="34">
        <v>236</v>
      </c>
      <c r="E187" s="34" t="s">
        <v>25</v>
      </c>
      <c r="F187" s="34">
        <v>776</v>
      </c>
      <c r="G187" s="33" t="s">
        <v>1749</v>
      </c>
      <c r="H187" s="33">
        <f t="shared" si="12"/>
        <v>638</v>
      </c>
      <c r="I187" s="34"/>
      <c r="J187" s="34">
        <v>638</v>
      </c>
      <c r="K187" s="34">
        <f t="shared" si="9"/>
        <v>138</v>
      </c>
      <c r="L187" s="41" t="s">
        <v>1690</v>
      </c>
      <c r="M187" s="1" t="str">
        <f t="shared" si="10"/>
        <v>NHK</v>
      </c>
    </row>
    <row r="188" spans="1:13" ht="45" customHeight="1" x14ac:dyDescent="0.25">
      <c r="A188" s="32">
        <v>183</v>
      </c>
      <c r="B188" s="44" t="s">
        <v>1650</v>
      </c>
      <c r="C188" s="34">
        <v>13</v>
      </c>
      <c r="D188" s="34">
        <v>250</v>
      </c>
      <c r="E188" s="34" t="s">
        <v>25</v>
      </c>
      <c r="F188" s="34">
        <v>3296</v>
      </c>
      <c r="G188" s="33" t="s">
        <v>1749</v>
      </c>
      <c r="H188" s="33">
        <f t="shared" si="12"/>
        <v>26</v>
      </c>
      <c r="I188" s="34"/>
      <c r="J188" s="34">
        <v>26</v>
      </c>
      <c r="K188" s="34">
        <f t="shared" si="9"/>
        <v>3270</v>
      </c>
      <c r="L188" s="41" t="s">
        <v>1727</v>
      </c>
      <c r="M188" s="1" t="str">
        <f t="shared" si="10"/>
        <v>NHK</v>
      </c>
    </row>
    <row r="189" spans="1:13" ht="45" customHeight="1" x14ac:dyDescent="0.25">
      <c r="A189" s="32">
        <v>184</v>
      </c>
      <c r="B189" s="44" t="s">
        <v>1650</v>
      </c>
      <c r="C189" s="34">
        <v>13</v>
      </c>
      <c r="D189" s="34">
        <v>559</v>
      </c>
      <c r="E189" s="34" t="s">
        <v>6</v>
      </c>
      <c r="F189" s="34">
        <v>6152</v>
      </c>
      <c r="G189" s="33" t="s">
        <v>1749</v>
      </c>
      <c r="H189" s="33">
        <f t="shared" si="12"/>
        <v>149</v>
      </c>
      <c r="I189" s="34"/>
      <c r="J189" s="34">
        <v>149</v>
      </c>
      <c r="K189" s="34">
        <f t="shared" si="9"/>
        <v>6003</v>
      </c>
      <c r="L189" s="41" t="s">
        <v>1728</v>
      </c>
      <c r="M189" s="1" t="str">
        <f t="shared" si="10"/>
        <v>CLN</v>
      </c>
    </row>
    <row r="190" spans="1:13" ht="45" customHeight="1" x14ac:dyDescent="0.25">
      <c r="A190" s="32">
        <v>185</v>
      </c>
      <c r="B190" s="44" t="s">
        <v>1651</v>
      </c>
      <c r="C190" s="34">
        <v>13</v>
      </c>
      <c r="D190" s="34">
        <v>631</v>
      </c>
      <c r="E190" s="34" t="s">
        <v>6</v>
      </c>
      <c r="F190" s="34">
        <v>2952</v>
      </c>
      <c r="G190" s="33" t="s">
        <v>1749</v>
      </c>
      <c r="H190" s="33">
        <f t="shared" si="12"/>
        <v>22</v>
      </c>
      <c r="I190" s="34"/>
      <c r="J190" s="34">
        <v>22</v>
      </c>
      <c r="K190" s="34">
        <f t="shared" si="9"/>
        <v>2930</v>
      </c>
      <c r="L190" s="41" t="s">
        <v>1729</v>
      </c>
      <c r="M190" s="1" t="str">
        <f t="shared" si="10"/>
        <v>CLN</v>
      </c>
    </row>
    <row r="191" spans="1:13" ht="45" customHeight="1" x14ac:dyDescent="0.25">
      <c r="A191" s="32">
        <v>186</v>
      </c>
      <c r="B191" s="44" t="s">
        <v>30</v>
      </c>
      <c r="C191" s="34">
        <v>13</v>
      </c>
      <c r="D191" s="34">
        <v>843</v>
      </c>
      <c r="E191" s="34" t="s">
        <v>6</v>
      </c>
      <c r="F191" s="34">
        <v>9875</v>
      </c>
      <c r="G191" s="33" t="s">
        <v>1749</v>
      </c>
      <c r="H191" s="33">
        <f t="shared" si="12"/>
        <v>710</v>
      </c>
      <c r="I191" s="34"/>
      <c r="J191" s="34">
        <v>710</v>
      </c>
      <c r="K191" s="34">
        <f t="shared" si="9"/>
        <v>9165</v>
      </c>
      <c r="L191" s="41" t="s">
        <v>7</v>
      </c>
      <c r="M191" s="1" t="str">
        <f t="shared" si="10"/>
        <v>CLN</v>
      </c>
    </row>
    <row r="192" spans="1:13" ht="45" customHeight="1" x14ac:dyDescent="0.25">
      <c r="A192" s="32">
        <v>187</v>
      </c>
      <c r="B192" s="44" t="s">
        <v>32</v>
      </c>
      <c r="C192" s="34">
        <v>13</v>
      </c>
      <c r="D192" s="34">
        <v>846</v>
      </c>
      <c r="E192" s="34" t="s">
        <v>6</v>
      </c>
      <c r="F192" s="34">
        <v>7242</v>
      </c>
      <c r="G192" s="33" t="s">
        <v>1749</v>
      </c>
      <c r="H192" s="33">
        <f t="shared" si="12"/>
        <v>1039</v>
      </c>
      <c r="I192" s="34"/>
      <c r="J192" s="34">
        <v>1039</v>
      </c>
      <c r="K192" s="34">
        <f t="shared" si="9"/>
        <v>6203</v>
      </c>
      <c r="L192" s="41" t="s">
        <v>7</v>
      </c>
      <c r="M192" s="1" t="str">
        <f t="shared" si="10"/>
        <v>CLN</v>
      </c>
    </row>
    <row r="193" spans="1:13" ht="45" customHeight="1" x14ac:dyDescent="0.25">
      <c r="A193" s="32">
        <v>188</v>
      </c>
      <c r="B193" s="44" t="s">
        <v>1653</v>
      </c>
      <c r="C193" s="34">
        <v>16</v>
      </c>
      <c r="D193" s="34">
        <v>30</v>
      </c>
      <c r="E193" s="34" t="s">
        <v>6</v>
      </c>
      <c r="F193" s="34">
        <v>4780</v>
      </c>
      <c r="G193" s="33" t="s">
        <v>1749</v>
      </c>
      <c r="H193" s="33">
        <f t="shared" si="12"/>
        <v>1869</v>
      </c>
      <c r="I193" s="34"/>
      <c r="J193" s="34">
        <v>1869</v>
      </c>
      <c r="K193" s="34">
        <f t="shared" si="9"/>
        <v>2911</v>
      </c>
      <c r="L193" s="41" t="s">
        <v>1731</v>
      </c>
      <c r="M193" s="1" t="str">
        <f t="shared" si="10"/>
        <v>CLN</v>
      </c>
    </row>
    <row r="194" spans="1:13" ht="45" customHeight="1" x14ac:dyDescent="0.25">
      <c r="A194" s="32">
        <v>189</v>
      </c>
      <c r="B194" s="44" t="s">
        <v>31</v>
      </c>
      <c r="C194" s="34">
        <v>13</v>
      </c>
      <c r="D194" s="34">
        <v>874</v>
      </c>
      <c r="E194" s="34" t="s">
        <v>18</v>
      </c>
      <c r="F194" s="34">
        <v>268</v>
      </c>
      <c r="G194" s="33" t="s">
        <v>1749</v>
      </c>
      <c r="H194" s="33">
        <f t="shared" si="12"/>
        <v>27</v>
      </c>
      <c r="I194" s="34"/>
      <c r="J194" s="34">
        <v>27</v>
      </c>
      <c r="K194" s="34">
        <f t="shared" si="9"/>
        <v>241</v>
      </c>
      <c r="L194" s="41" t="s">
        <v>7</v>
      </c>
      <c r="M194" s="1" t="str">
        <f t="shared" si="10"/>
        <v>LUC</v>
      </c>
    </row>
    <row r="195" spans="1:13" ht="45" customHeight="1" x14ac:dyDescent="0.25">
      <c r="A195" s="32">
        <v>190</v>
      </c>
      <c r="B195" s="44" t="s">
        <v>31</v>
      </c>
      <c r="C195" s="34">
        <v>13</v>
      </c>
      <c r="D195" s="34">
        <v>875</v>
      </c>
      <c r="E195" s="34" t="s">
        <v>18</v>
      </c>
      <c r="F195" s="34">
        <v>236</v>
      </c>
      <c r="G195" s="33" t="s">
        <v>1749</v>
      </c>
      <c r="H195" s="33">
        <f t="shared" si="12"/>
        <v>10</v>
      </c>
      <c r="I195" s="34"/>
      <c r="J195" s="34">
        <v>10</v>
      </c>
      <c r="K195" s="34">
        <f t="shared" si="9"/>
        <v>226</v>
      </c>
      <c r="L195" s="41" t="s">
        <v>7</v>
      </c>
      <c r="M195" s="1" t="str">
        <f t="shared" si="10"/>
        <v>LUC</v>
      </c>
    </row>
    <row r="196" spans="1:13" ht="45" customHeight="1" x14ac:dyDescent="0.25">
      <c r="A196" s="32">
        <v>191</v>
      </c>
      <c r="B196" s="44" t="s">
        <v>31</v>
      </c>
      <c r="C196" s="34">
        <v>13</v>
      </c>
      <c r="D196" s="34">
        <v>876</v>
      </c>
      <c r="E196" s="34" t="s">
        <v>18</v>
      </c>
      <c r="F196" s="34">
        <v>164</v>
      </c>
      <c r="G196" s="33" t="s">
        <v>1749</v>
      </c>
      <c r="H196" s="33">
        <f t="shared" si="12"/>
        <v>121</v>
      </c>
      <c r="I196" s="34"/>
      <c r="J196" s="34">
        <v>121</v>
      </c>
      <c r="K196" s="34">
        <f t="shared" si="9"/>
        <v>43</v>
      </c>
      <c r="L196" s="41" t="s">
        <v>7</v>
      </c>
      <c r="M196" s="1" t="str">
        <f t="shared" si="10"/>
        <v>LUC</v>
      </c>
    </row>
    <row r="197" spans="1:13" ht="45" customHeight="1" x14ac:dyDescent="0.25">
      <c r="A197" s="32">
        <v>192</v>
      </c>
      <c r="B197" s="44" t="s">
        <v>36</v>
      </c>
      <c r="C197" s="34">
        <v>13</v>
      </c>
      <c r="D197" s="34">
        <v>951</v>
      </c>
      <c r="E197" s="34" t="s">
        <v>7</v>
      </c>
      <c r="F197" s="34">
        <v>2166</v>
      </c>
      <c r="G197" s="33" t="s">
        <v>1749</v>
      </c>
      <c r="H197" s="33">
        <f t="shared" si="12"/>
        <v>1797</v>
      </c>
      <c r="I197" s="34"/>
      <c r="J197" s="34">
        <v>1797</v>
      </c>
      <c r="K197" s="34">
        <f t="shared" si="9"/>
        <v>369</v>
      </c>
      <c r="L197" s="41" t="s">
        <v>7</v>
      </c>
      <c r="M197" s="1" t="str">
        <f t="shared" si="10"/>
        <v>DGT</v>
      </c>
    </row>
    <row r="198" spans="1:13" ht="45" customHeight="1" x14ac:dyDescent="0.25">
      <c r="A198" s="32">
        <v>193</v>
      </c>
      <c r="B198" s="44" t="s">
        <v>36</v>
      </c>
      <c r="C198" s="34">
        <v>13</v>
      </c>
      <c r="D198" s="34">
        <v>956</v>
      </c>
      <c r="E198" s="34" t="s">
        <v>7</v>
      </c>
      <c r="F198" s="34">
        <v>5502</v>
      </c>
      <c r="G198" s="33" t="s">
        <v>1749</v>
      </c>
      <c r="H198" s="33">
        <f t="shared" si="12"/>
        <v>1328</v>
      </c>
      <c r="I198" s="34"/>
      <c r="J198" s="34">
        <v>1328</v>
      </c>
      <c r="K198" s="34">
        <f t="shared" ref="K198:K238" si="13">F198-H198</f>
        <v>4174</v>
      </c>
      <c r="L198" s="41" t="s">
        <v>1734</v>
      </c>
      <c r="M198" s="1" t="str">
        <f t="shared" si="10"/>
        <v>DGT</v>
      </c>
    </row>
    <row r="199" spans="1:13" ht="45" customHeight="1" x14ac:dyDescent="0.25">
      <c r="A199" s="32">
        <v>194</v>
      </c>
      <c r="B199" s="44" t="s">
        <v>1656</v>
      </c>
      <c r="C199" s="34">
        <v>13</v>
      </c>
      <c r="D199" s="34">
        <v>959</v>
      </c>
      <c r="E199" s="34" t="s">
        <v>7</v>
      </c>
      <c r="F199" s="34">
        <v>13702</v>
      </c>
      <c r="G199" s="33" t="s">
        <v>1749</v>
      </c>
      <c r="H199" s="33">
        <f t="shared" si="12"/>
        <v>756</v>
      </c>
      <c r="I199" s="34"/>
      <c r="J199" s="34">
        <v>756</v>
      </c>
      <c r="K199" s="34">
        <f t="shared" si="13"/>
        <v>12946</v>
      </c>
      <c r="L199" s="41" t="s">
        <v>7</v>
      </c>
      <c r="M199" s="1" t="str">
        <f t="shared" ref="M199:M238" si="14">IF(E199="ONT+CLN","CLN",IF(E199="ODT+CLN","CLN",E199))</f>
        <v>DGT</v>
      </c>
    </row>
    <row r="200" spans="1:13" ht="45" customHeight="1" x14ac:dyDescent="0.25">
      <c r="A200" s="32">
        <v>195</v>
      </c>
      <c r="B200" s="44" t="s">
        <v>36</v>
      </c>
      <c r="C200" s="34">
        <v>13</v>
      </c>
      <c r="D200" s="34">
        <v>981</v>
      </c>
      <c r="E200" s="34" t="s">
        <v>37</v>
      </c>
      <c r="F200" s="34">
        <v>826</v>
      </c>
      <c r="G200" s="33" t="s">
        <v>1749</v>
      </c>
      <c r="H200" s="33">
        <f t="shared" si="12"/>
        <v>4</v>
      </c>
      <c r="I200" s="34"/>
      <c r="J200" s="34">
        <v>4</v>
      </c>
      <c r="K200" s="34">
        <f t="shared" si="13"/>
        <v>822</v>
      </c>
      <c r="L200" s="41" t="s">
        <v>7</v>
      </c>
      <c r="M200" s="1" t="str">
        <f t="shared" si="14"/>
        <v>SON</v>
      </c>
    </row>
    <row r="201" spans="1:13" ht="45" customHeight="1" x14ac:dyDescent="0.25">
      <c r="A201" s="32">
        <v>196</v>
      </c>
      <c r="B201" s="44" t="s">
        <v>36</v>
      </c>
      <c r="C201" s="34">
        <v>13</v>
      </c>
      <c r="D201" s="34">
        <v>982</v>
      </c>
      <c r="E201" s="34" t="s">
        <v>37</v>
      </c>
      <c r="F201" s="34">
        <v>7608</v>
      </c>
      <c r="G201" s="33" t="s">
        <v>1749</v>
      </c>
      <c r="H201" s="33">
        <f t="shared" si="12"/>
        <v>12</v>
      </c>
      <c r="I201" s="34"/>
      <c r="J201" s="34">
        <v>12</v>
      </c>
      <c r="K201" s="34">
        <f t="shared" si="13"/>
        <v>7596</v>
      </c>
      <c r="L201" s="41" t="s">
        <v>7</v>
      </c>
      <c r="M201" s="1" t="str">
        <f t="shared" si="14"/>
        <v>SON</v>
      </c>
    </row>
    <row r="202" spans="1:13" ht="45" customHeight="1" x14ac:dyDescent="0.25">
      <c r="A202" s="32">
        <v>197</v>
      </c>
      <c r="B202" s="44" t="s">
        <v>1658</v>
      </c>
      <c r="C202" s="34">
        <v>14</v>
      </c>
      <c r="D202" s="34">
        <v>20</v>
      </c>
      <c r="E202" s="34" t="s">
        <v>9</v>
      </c>
      <c r="F202" s="34">
        <v>475</v>
      </c>
      <c r="G202" s="33" t="s">
        <v>1749</v>
      </c>
      <c r="H202" s="33">
        <f t="shared" ref="H202:H238" si="15">SUM(J202:J202)</f>
        <v>3</v>
      </c>
      <c r="I202" s="34"/>
      <c r="J202" s="34">
        <v>3</v>
      </c>
      <c r="K202" s="34">
        <f t="shared" si="13"/>
        <v>472</v>
      </c>
      <c r="L202" s="41" t="s">
        <v>7</v>
      </c>
      <c r="M202" s="1" t="str">
        <f t="shared" si="14"/>
        <v>CLN</v>
      </c>
    </row>
    <row r="203" spans="1:13" ht="45" customHeight="1" x14ac:dyDescent="0.25">
      <c r="A203" s="32">
        <v>198</v>
      </c>
      <c r="B203" s="44" t="s">
        <v>36</v>
      </c>
      <c r="C203" s="34">
        <v>14</v>
      </c>
      <c r="D203" s="34">
        <v>72</v>
      </c>
      <c r="E203" s="34" t="s">
        <v>34</v>
      </c>
      <c r="F203" s="34">
        <v>16859</v>
      </c>
      <c r="G203" s="33" t="s">
        <v>1749</v>
      </c>
      <c r="H203" s="33">
        <f t="shared" si="15"/>
        <v>171</v>
      </c>
      <c r="I203" s="34"/>
      <c r="J203" s="34">
        <v>171</v>
      </c>
      <c r="K203" s="34">
        <f t="shared" si="13"/>
        <v>16688</v>
      </c>
      <c r="L203" s="41" t="s">
        <v>7</v>
      </c>
      <c r="M203" s="1" t="str">
        <f t="shared" si="14"/>
        <v>DCS</v>
      </c>
    </row>
    <row r="204" spans="1:13" ht="45" customHeight="1" x14ac:dyDescent="0.25">
      <c r="A204" s="32">
        <v>199</v>
      </c>
      <c r="B204" s="44" t="s">
        <v>1629</v>
      </c>
      <c r="C204" s="34">
        <v>14</v>
      </c>
      <c r="D204" s="34">
        <v>94</v>
      </c>
      <c r="E204" s="34" t="s">
        <v>6</v>
      </c>
      <c r="F204" s="34">
        <v>11788</v>
      </c>
      <c r="G204" s="33" t="s">
        <v>1749</v>
      </c>
      <c r="H204" s="33">
        <f t="shared" si="15"/>
        <v>567</v>
      </c>
      <c r="I204" s="34"/>
      <c r="J204" s="34">
        <v>567</v>
      </c>
      <c r="K204" s="34">
        <f t="shared" si="13"/>
        <v>11221</v>
      </c>
      <c r="L204" s="41" t="s">
        <v>7</v>
      </c>
      <c r="M204" s="1" t="str">
        <f t="shared" si="14"/>
        <v>CLN</v>
      </c>
    </row>
    <row r="205" spans="1:13" ht="45" customHeight="1" x14ac:dyDescent="0.25">
      <c r="A205" s="32">
        <v>200</v>
      </c>
      <c r="B205" s="44" t="s">
        <v>36</v>
      </c>
      <c r="C205" s="34">
        <v>16</v>
      </c>
      <c r="D205" s="34">
        <v>111</v>
      </c>
      <c r="E205" s="34" t="s">
        <v>7</v>
      </c>
      <c r="F205" s="34">
        <v>1053</v>
      </c>
      <c r="G205" s="33" t="s">
        <v>1749</v>
      </c>
      <c r="H205" s="33">
        <f t="shared" si="15"/>
        <v>638</v>
      </c>
      <c r="I205" s="34"/>
      <c r="J205" s="34">
        <v>638</v>
      </c>
      <c r="K205" s="34">
        <f t="shared" si="13"/>
        <v>415</v>
      </c>
      <c r="L205" s="41" t="s">
        <v>1735</v>
      </c>
      <c r="M205" s="1" t="str">
        <f t="shared" si="14"/>
        <v>DGT</v>
      </c>
    </row>
    <row r="206" spans="1:13" ht="45" customHeight="1" x14ac:dyDescent="0.25">
      <c r="A206" s="32">
        <v>201</v>
      </c>
      <c r="B206" s="44" t="s">
        <v>1661</v>
      </c>
      <c r="C206" s="34">
        <v>14</v>
      </c>
      <c r="D206" s="34">
        <v>156</v>
      </c>
      <c r="E206" s="34" t="s">
        <v>6</v>
      </c>
      <c r="F206" s="34">
        <v>8300</v>
      </c>
      <c r="G206" s="33" t="s">
        <v>1749</v>
      </c>
      <c r="H206" s="33">
        <f t="shared" si="15"/>
        <v>682</v>
      </c>
      <c r="I206" s="34"/>
      <c r="J206" s="34">
        <v>682</v>
      </c>
      <c r="K206" s="34">
        <f t="shared" si="13"/>
        <v>7618</v>
      </c>
      <c r="L206" s="41" t="s">
        <v>7</v>
      </c>
      <c r="M206" s="1" t="str">
        <f t="shared" si="14"/>
        <v>CLN</v>
      </c>
    </row>
    <row r="207" spans="1:13" ht="45" customHeight="1" x14ac:dyDescent="0.25">
      <c r="A207" s="32">
        <v>202</v>
      </c>
      <c r="B207" s="44" t="s">
        <v>1662</v>
      </c>
      <c r="C207" s="34">
        <v>14</v>
      </c>
      <c r="D207" s="34">
        <v>154</v>
      </c>
      <c r="E207" s="34" t="s">
        <v>6</v>
      </c>
      <c r="F207" s="34">
        <v>1170</v>
      </c>
      <c r="G207" s="33" t="s">
        <v>1749</v>
      </c>
      <c r="H207" s="33">
        <f t="shared" si="15"/>
        <v>790</v>
      </c>
      <c r="I207" s="34"/>
      <c r="J207" s="34">
        <v>790</v>
      </c>
      <c r="K207" s="34">
        <f t="shared" si="13"/>
        <v>380</v>
      </c>
      <c r="L207" s="41" t="s">
        <v>1736</v>
      </c>
      <c r="M207" s="1" t="str">
        <f t="shared" si="14"/>
        <v>CLN</v>
      </c>
    </row>
    <row r="208" spans="1:13" ht="45" customHeight="1" x14ac:dyDescent="0.25">
      <c r="A208" s="32">
        <v>203</v>
      </c>
      <c r="B208" s="44" t="s">
        <v>1663</v>
      </c>
      <c r="C208" s="34">
        <v>14</v>
      </c>
      <c r="D208" s="34">
        <v>160</v>
      </c>
      <c r="E208" s="34" t="s">
        <v>6</v>
      </c>
      <c r="F208" s="34">
        <v>9208</v>
      </c>
      <c r="G208" s="33" t="s">
        <v>1749</v>
      </c>
      <c r="H208" s="33">
        <f t="shared" si="15"/>
        <v>2080</v>
      </c>
      <c r="I208" s="34"/>
      <c r="J208" s="34">
        <v>2080</v>
      </c>
      <c r="K208" s="34">
        <f t="shared" si="13"/>
        <v>7128</v>
      </c>
      <c r="L208" s="41" t="s">
        <v>7</v>
      </c>
      <c r="M208" s="1" t="str">
        <f t="shared" si="14"/>
        <v>CLN</v>
      </c>
    </row>
    <row r="209" spans="1:13" ht="45" customHeight="1" x14ac:dyDescent="0.25">
      <c r="A209" s="32">
        <v>204</v>
      </c>
      <c r="B209" s="44" t="s">
        <v>36</v>
      </c>
      <c r="C209" s="34">
        <v>14</v>
      </c>
      <c r="D209" s="34">
        <v>161</v>
      </c>
      <c r="E209" s="34" t="s">
        <v>34</v>
      </c>
      <c r="F209" s="34">
        <v>30530</v>
      </c>
      <c r="G209" s="33" t="s">
        <v>1749</v>
      </c>
      <c r="H209" s="33">
        <f t="shared" si="15"/>
        <v>150</v>
      </c>
      <c r="I209" s="34"/>
      <c r="J209" s="34">
        <v>150</v>
      </c>
      <c r="K209" s="34">
        <f t="shared" si="13"/>
        <v>30380</v>
      </c>
      <c r="L209" s="41" t="s">
        <v>1737</v>
      </c>
      <c r="M209" s="1" t="str">
        <f t="shared" si="14"/>
        <v>DCS</v>
      </c>
    </row>
    <row r="210" spans="1:13" ht="45" customHeight="1" x14ac:dyDescent="0.25">
      <c r="A210" s="32">
        <v>205</v>
      </c>
      <c r="B210" s="44" t="s">
        <v>36</v>
      </c>
      <c r="C210" s="34">
        <v>14</v>
      </c>
      <c r="D210" s="34">
        <v>163</v>
      </c>
      <c r="E210" s="34" t="s">
        <v>34</v>
      </c>
      <c r="F210" s="34">
        <v>8708</v>
      </c>
      <c r="G210" s="33" t="s">
        <v>1749</v>
      </c>
      <c r="H210" s="33">
        <f t="shared" si="15"/>
        <v>50</v>
      </c>
      <c r="I210" s="34"/>
      <c r="J210" s="34">
        <v>50</v>
      </c>
      <c r="K210" s="34">
        <f t="shared" si="13"/>
        <v>8658</v>
      </c>
      <c r="L210" s="41" t="s">
        <v>1738</v>
      </c>
      <c r="M210" s="1" t="str">
        <f t="shared" si="14"/>
        <v>DCS</v>
      </c>
    </row>
    <row r="211" spans="1:13" ht="45" customHeight="1" x14ac:dyDescent="0.25">
      <c r="A211" s="32">
        <v>206</v>
      </c>
      <c r="B211" s="44" t="s">
        <v>36</v>
      </c>
      <c r="C211" s="34">
        <v>14</v>
      </c>
      <c r="D211" s="34">
        <v>176</v>
      </c>
      <c r="E211" s="34" t="s">
        <v>7</v>
      </c>
      <c r="F211" s="34">
        <v>19250</v>
      </c>
      <c r="G211" s="33" t="s">
        <v>1749</v>
      </c>
      <c r="H211" s="33">
        <f t="shared" si="15"/>
        <v>9798</v>
      </c>
      <c r="I211" s="34"/>
      <c r="J211" s="34">
        <v>9798</v>
      </c>
      <c r="K211" s="34">
        <f t="shared" si="13"/>
        <v>9452</v>
      </c>
      <c r="L211" s="41" t="s">
        <v>7</v>
      </c>
      <c r="M211" s="1" t="str">
        <f t="shared" si="14"/>
        <v>DGT</v>
      </c>
    </row>
    <row r="212" spans="1:13" ht="45" customHeight="1" x14ac:dyDescent="0.25">
      <c r="A212" s="32">
        <v>207</v>
      </c>
      <c r="B212" s="44" t="s">
        <v>36</v>
      </c>
      <c r="C212" s="34">
        <v>14</v>
      </c>
      <c r="D212" s="34">
        <v>211</v>
      </c>
      <c r="E212" s="34" t="s">
        <v>34</v>
      </c>
      <c r="F212" s="34">
        <v>2879</v>
      </c>
      <c r="G212" s="33" t="s">
        <v>1749</v>
      </c>
      <c r="H212" s="33">
        <f t="shared" si="15"/>
        <v>18</v>
      </c>
      <c r="I212" s="34"/>
      <c r="J212" s="34">
        <v>18</v>
      </c>
      <c r="K212" s="34">
        <f t="shared" si="13"/>
        <v>2861</v>
      </c>
      <c r="L212" s="41" t="s">
        <v>7</v>
      </c>
      <c r="M212" s="1" t="str">
        <f t="shared" si="14"/>
        <v>DCS</v>
      </c>
    </row>
    <row r="213" spans="1:13" ht="45" customHeight="1" x14ac:dyDescent="0.25">
      <c r="A213" s="32">
        <v>208</v>
      </c>
      <c r="B213" s="44" t="s">
        <v>33</v>
      </c>
      <c r="C213" s="34">
        <v>14</v>
      </c>
      <c r="D213" s="34">
        <v>228</v>
      </c>
      <c r="E213" s="34" t="s">
        <v>6</v>
      </c>
      <c r="F213" s="34">
        <v>5037</v>
      </c>
      <c r="G213" s="33" t="s">
        <v>1749</v>
      </c>
      <c r="H213" s="33">
        <f t="shared" si="15"/>
        <v>149</v>
      </c>
      <c r="I213" s="34"/>
      <c r="J213" s="34">
        <v>149</v>
      </c>
      <c r="K213" s="34">
        <f t="shared" si="13"/>
        <v>4888</v>
      </c>
      <c r="L213" s="41" t="s">
        <v>1739</v>
      </c>
      <c r="M213" s="1" t="str">
        <f t="shared" si="14"/>
        <v>CLN</v>
      </c>
    </row>
    <row r="214" spans="1:13" ht="45" customHeight="1" x14ac:dyDescent="0.25">
      <c r="A214" s="32">
        <v>209</v>
      </c>
      <c r="B214" s="44" t="s">
        <v>26</v>
      </c>
      <c r="C214" s="34">
        <v>14</v>
      </c>
      <c r="D214" s="34">
        <v>232</v>
      </c>
      <c r="E214" s="34" t="s">
        <v>9</v>
      </c>
      <c r="F214" s="34">
        <v>7107</v>
      </c>
      <c r="G214" s="33" t="s">
        <v>1749</v>
      </c>
      <c r="H214" s="33">
        <f t="shared" si="15"/>
        <v>809</v>
      </c>
      <c r="I214" s="34"/>
      <c r="J214" s="34">
        <v>809</v>
      </c>
      <c r="K214" s="34">
        <f t="shared" si="13"/>
        <v>6298</v>
      </c>
      <c r="L214" s="41" t="s">
        <v>7</v>
      </c>
      <c r="M214" s="1" t="str">
        <f t="shared" si="14"/>
        <v>CLN</v>
      </c>
    </row>
    <row r="215" spans="1:13" ht="45" customHeight="1" x14ac:dyDescent="0.25">
      <c r="A215" s="32">
        <v>210</v>
      </c>
      <c r="B215" s="44" t="s">
        <v>36</v>
      </c>
      <c r="C215" s="34">
        <v>14</v>
      </c>
      <c r="D215" s="34">
        <v>640</v>
      </c>
      <c r="E215" s="34" t="s">
        <v>34</v>
      </c>
      <c r="F215" s="34">
        <v>1833</v>
      </c>
      <c r="G215" s="33" t="s">
        <v>1749</v>
      </c>
      <c r="H215" s="33">
        <f t="shared" si="15"/>
        <v>6</v>
      </c>
      <c r="I215" s="34"/>
      <c r="J215" s="34">
        <v>6</v>
      </c>
      <c r="K215" s="34">
        <f t="shared" si="13"/>
        <v>1827</v>
      </c>
      <c r="L215" s="41" t="s">
        <v>7</v>
      </c>
      <c r="M215" s="1" t="str">
        <f t="shared" si="14"/>
        <v>DCS</v>
      </c>
    </row>
    <row r="216" spans="1:13" ht="45" customHeight="1" x14ac:dyDescent="0.25">
      <c r="A216" s="32">
        <v>211</v>
      </c>
      <c r="B216" s="44" t="s">
        <v>1665</v>
      </c>
      <c r="C216" s="34">
        <v>14</v>
      </c>
      <c r="D216" s="34">
        <v>810</v>
      </c>
      <c r="E216" s="34" t="s">
        <v>7</v>
      </c>
      <c r="F216" s="34">
        <v>10683</v>
      </c>
      <c r="G216" s="33" t="s">
        <v>1749</v>
      </c>
      <c r="H216" s="33">
        <f t="shared" si="15"/>
        <v>2951</v>
      </c>
      <c r="I216" s="34"/>
      <c r="J216" s="34">
        <v>2951</v>
      </c>
      <c r="K216" s="34">
        <f t="shared" si="13"/>
        <v>7732</v>
      </c>
      <c r="L216" s="41" t="s">
        <v>1742</v>
      </c>
      <c r="M216" s="1" t="str">
        <f t="shared" si="14"/>
        <v>DGT</v>
      </c>
    </row>
    <row r="217" spans="1:13" ht="45" customHeight="1" x14ac:dyDescent="0.25">
      <c r="A217" s="32">
        <v>212</v>
      </c>
      <c r="B217" s="44" t="s">
        <v>36</v>
      </c>
      <c r="C217" s="34">
        <v>14</v>
      </c>
      <c r="D217" s="34">
        <v>812</v>
      </c>
      <c r="E217" s="34" t="s">
        <v>7</v>
      </c>
      <c r="F217" s="34">
        <v>172</v>
      </c>
      <c r="G217" s="33" t="s">
        <v>1749</v>
      </c>
      <c r="H217" s="33">
        <f t="shared" si="15"/>
        <v>54</v>
      </c>
      <c r="I217" s="34"/>
      <c r="J217" s="34">
        <v>54</v>
      </c>
      <c r="K217" s="34">
        <f t="shared" si="13"/>
        <v>118</v>
      </c>
      <c r="L217" s="41" t="s">
        <v>7</v>
      </c>
      <c r="M217" s="1" t="str">
        <f t="shared" si="14"/>
        <v>DGT</v>
      </c>
    </row>
    <row r="218" spans="1:13" ht="45" customHeight="1" x14ac:dyDescent="0.25">
      <c r="A218" s="32">
        <v>213</v>
      </c>
      <c r="B218" s="44" t="s">
        <v>36</v>
      </c>
      <c r="C218" s="34">
        <v>14</v>
      </c>
      <c r="D218" s="34">
        <v>821</v>
      </c>
      <c r="E218" s="34" t="s">
        <v>37</v>
      </c>
      <c r="F218" s="34">
        <v>8590</v>
      </c>
      <c r="G218" s="33" t="s">
        <v>1749</v>
      </c>
      <c r="H218" s="33">
        <f t="shared" si="15"/>
        <v>13</v>
      </c>
      <c r="I218" s="34"/>
      <c r="J218" s="34">
        <v>13</v>
      </c>
      <c r="K218" s="34">
        <f t="shared" si="13"/>
        <v>8577</v>
      </c>
      <c r="L218" s="41" t="s">
        <v>7</v>
      </c>
      <c r="M218" s="1" t="str">
        <f t="shared" si="14"/>
        <v>SON</v>
      </c>
    </row>
    <row r="219" spans="1:13" ht="45" customHeight="1" x14ac:dyDescent="0.25">
      <c r="A219" s="32">
        <v>214</v>
      </c>
      <c r="B219" s="44" t="s">
        <v>36</v>
      </c>
      <c r="C219" s="34">
        <v>14</v>
      </c>
      <c r="D219" s="34">
        <v>822</v>
      </c>
      <c r="E219" s="34" t="s">
        <v>37</v>
      </c>
      <c r="F219" s="34">
        <v>9920</v>
      </c>
      <c r="G219" s="33" t="s">
        <v>1749</v>
      </c>
      <c r="H219" s="33">
        <f t="shared" si="15"/>
        <v>6</v>
      </c>
      <c r="I219" s="34"/>
      <c r="J219" s="34">
        <v>6</v>
      </c>
      <c r="K219" s="34">
        <f t="shared" si="13"/>
        <v>9914</v>
      </c>
      <c r="L219" s="41" t="s">
        <v>7</v>
      </c>
      <c r="M219" s="1" t="str">
        <f t="shared" si="14"/>
        <v>SON</v>
      </c>
    </row>
    <row r="220" spans="1:13" ht="45" customHeight="1" x14ac:dyDescent="0.25">
      <c r="A220" s="32">
        <v>215</v>
      </c>
      <c r="B220" s="44" t="s">
        <v>36</v>
      </c>
      <c r="C220" s="34">
        <v>14</v>
      </c>
      <c r="D220" s="34">
        <v>806</v>
      </c>
      <c r="E220" s="34" t="s">
        <v>7</v>
      </c>
      <c r="F220" s="34">
        <v>2179</v>
      </c>
      <c r="G220" s="33" t="s">
        <v>1749</v>
      </c>
      <c r="H220" s="33">
        <f t="shared" si="15"/>
        <v>403</v>
      </c>
      <c r="I220" s="34"/>
      <c r="J220" s="34">
        <v>403</v>
      </c>
      <c r="K220" s="34">
        <f t="shared" si="13"/>
        <v>1776</v>
      </c>
      <c r="L220" s="41" t="s">
        <v>1743</v>
      </c>
      <c r="M220" s="1" t="str">
        <f t="shared" si="14"/>
        <v>DGT</v>
      </c>
    </row>
    <row r="221" spans="1:13" ht="45" customHeight="1" x14ac:dyDescent="0.25">
      <c r="A221" s="32">
        <v>216</v>
      </c>
      <c r="B221" s="44" t="s">
        <v>36</v>
      </c>
      <c r="C221" s="34">
        <v>15</v>
      </c>
      <c r="D221" s="34">
        <v>20</v>
      </c>
      <c r="E221" s="34" t="s">
        <v>34</v>
      </c>
      <c r="F221" s="34">
        <v>15725</v>
      </c>
      <c r="G221" s="33" t="s">
        <v>1749</v>
      </c>
      <c r="H221" s="33">
        <f t="shared" si="15"/>
        <v>764</v>
      </c>
      <c r="I221" s="34"/>
      <c r="J221" s="34">
        <v>764</v>
      </c>
      <c r="K221" s="34">
        <f t="shared" si="13"/>
        <v>14961</v>
      </c>
      <c r="L221" s="41" t="s">
        <v>7</v>
      </c>
      <c r="M221" s="1" t="str">
        <f t="shared" si="14"/>
        <v>DCS</v>
      </c>
    </row>
    <row r="222" spans="1:13" ht="45" customHeight="1" x14ac:dyDescent="0.25">
      <c r="A222" s="32">
        <v>217</v>
      </c>
      <c r="B222" s="44" t="s">
        <v>1666</v>
      </c>
      <c r="C222" s="34">
        <v>16</v>
      </c>
      <c r="D222" s="34">
        <v>10</v>
      </c>
      <c r="E222" s="34" t="s">
        <v>6</v>
      </c>
      <c r="F222" s="34">
        <v>3993</v>
      </c>
      <c r="G222" s="33" t="s">
        <v>1749</v>
      </c>
      <c r="H222" s="33">
        <f t="shared" si="15"/>
        <v>625</v>
      </c>
      <c r="I222" s="34"/>
      <c r="J222" s="34">
        <v>625</v>
      </c>
      <c r="K222" s="34">
        <f t="shared" si="13"/>
        <v>3368</v>
      </c>
      <c r="L222" s="41" t="s">
        <v>7</v>
      </c>
      <c r="M222" s="1" t="str">
        <f t="shared" si="14"/>
        <v>CLN</v>
      </c>
    </row>
    <row r="223" spans="1:13" ht="45" customHeight="1" x14ac:dyDescent="0.25">
      <c r="A223" s="32">
        <v>218</v>
      </c>
      <c r="B223" s="44" t="s">
        <v>36</v>
      </c>
      <c r="C223" s="34">
        <v>13</v>
      </c>
      <c r="D223" s="34">
        <v>968</v>
      </c>
      <c r="E223" s="34" t="s">
        <v>7</v>
      </c>
      <c r="F223" s="34">
        <v>352</v>
      </c>
      <c r="G223" s="33" t="s">
        <v>1749</v>
      </c>
      <c r="H223" s="33">
        <f t="shared" si="15"/>
        <v>46</v>
      </c>
      <c r="I223" s="34"/>
      <c r="J223" s="34">
        <v>46</v>
      </c>
      <c r="K223" s="34">
        <f t="shared" si="13"/>
        <v>306</v>
      </c>
      <c r="L223" s="41" t="s">
        <v>1744</v>
      </c>
      <c r="M223" s="1" t="str">
        <f t="shared" si="14"/>
        <v>DGT</v>
      </c>
    </row>
    <row r="224" spans="1:13" ht="45" customHeight="1" x14ac:dyDescent="0.25">
      <c r="A224" s="32">
        <v>219</v>
      </c>
      <c r="B224" s="44" t="s">
        <v>36</v>
      </c>
      <c r="C224" s="34">
        <v>15</v>
      </c>
      <c r="D224" s="34">
        <v>81</v>
      </c>
      <c r="E224" s="34" t="s">
        <v>7</v>
      </c>
      <c r="F224" s="34">
        <v>782</v>
      </c>
      <c r="G224" s="33" t="s">
        <v>1749</v>
      </c>
      <c r="H224" s="33">
        <f t="shared" si="15"/>
        <v>55</v>
      </c>
      <c r="I224" s="34"/>
      <c r="J224" s="34">
        <v>55</v>
      </c>
      <c r="K224" s="34">
        <f t="shared" si="13"/>
        <v>727</v>
      </c>
      <c r="L224" s="41" t="s">
        <v>1744</v>
      </c>
      <c r="M224" s="1" t="str">
        <f t="shared" si="14"/>
        <v>DGT</v>
      </c>
    </row>
    <row r="225" spans="1:13" ht="45" customHeight="1" x14ac:dyDescent="0.25">
      <c r="A225" s="32">
        <v>220</v>
      </c>
      <c r="B225" s="44" t="s">
        <v>1668</v>
      </c>
      <c r="C225" s="34">
        <v>46</v>
      </c>
      <c r="D225" s="34">
        <v>36</v>
      </c>
      <c r="E225" s="34" t="s">
        <v>6</v>
      </c>
      <c r="F225" s="34">
        <v>297</v>
      </c>
      <c r="G225" s="33" t="s">
        <v>1749</v>
      </c>
      <c r="H225" s="33">
        <f t="shared" si="15"/>
        <v>14</v>
      </c>
      <c r="I225" s="34"/>
      <c r="J225" s="34">
        <v>14</v>
      </c>
      <c r="K225" s="34">
        <f t="shared" si="13"/>
        <v>283</v>
      </c>
      <c r="L225" s="41" t="s">
        <v>34</v>
      </c>
      <c r="M225" s="1" t="str">
        <f t="shared" si="14"/>
        <v>CLN</v>
      </c>
    </row>
    <row r="226" spans="1:13" ht="45" customHeight="1" x14ac:dyDescent="0.25">
      <c r="A226" s="32">
        <v>221</v>
      </c>
      <c r="B226" s="44" t="s">
        <v>1669</v>
      </c>
      <c r="C226" s="34">
        <v>46</v>
      </c>
      <c r="D226" s="34">
        <v>3</v>
      </c>
      <c r="E226" s="34" t="s">
        <v>6</v>
      </c>
      <c r="F226" s="34">
        <v>2639</v>
      </c>
      <c r="G226" s="33" t="s">
        <v>1749</v>
      </c>
      <c r="H226" s="33">
        <f t="shared" si="15"/>
        <v>37</v>
      </c>
      <c r="I226" s="34"/>
      <c r="J226" s="34">
        <v>37</v>
      </c>
      <c r="K226" s="34">
        <f t="shared" si="13"/>
        <v>2602</v>
      </c>
      <c r="L226" s="41" t="s">
        <v>7</v>
      </c>
      <c r="M226" s="1" t="str">
        <f t="shared" si="14"/>
        <v>CLN</v>
      </c>
    </row>
    <row r="227" spans="1:13" ht="45" customHeight="1" x14ac:dyDescent="0.25">
      <c r="A227" s="32">
        <v>222</v>
      </c>
      <c r="B227" s="44" t="s">
        <v>1669</v>
      </c>
      <c r="C227" s="34">
        <v>46</v>
      </c>
      <c r="D227" s="34">
        <v>4</v>
      </c>
      <c r="E227" s="34" t="s">
        <v>6</v>
      </c>
      <c r="F227" s="34">
        <v>2686</v>
      </c>
      <c r="G227" s="33" t="s">
        <v>1749</v>
      </c>
      <c r="H227" s="33">
        <f t="shared" si="15"/>
        <v>39</v>
      </c>
      <c r="I227" s="34"/>
      <c r="J227" s="34">
        <v>39</v>
      </c>
      <c r="K227" s="34">
        <f t="shared" si="13"/>
        <v>2647</v>
      </c>
      <c r="L227" s="41" t="s">
        <v>7</v>
      </c>
      <c r="M227" s="1" t="str">
        <f t="shared" si="14"/>
        <v>CLN</v>
      </c>
    </row>
    <row r="228" spans="1:13" ht="45" customHeight="1" x14ac:dyDescent="0.25">
      <c r="A228" s="32">
        <v>223</v>
      </c>
      <c r="B228" s="44" t="s">
        <v>1669</v>
      </c>
      <c r="C228" s="34">
        <v>46</v>
      </c>
      <c r="D228" s="34">
        <v>5</v>
      </c>
      <c r="E228" s="34" t="s">
        <v>6</v>
      </c>
      <c r="F228" s="34">
        <v>1277</v>
      </c>
      <c r="G228" s="33" t="s">
        <v>1749</v>
      </c>
      <c r="H228" s="33">
        <f t="shared" si="15"/>
        <v>59</v>
      </c>
      <c r="I228" s="34"/>
      <c r="J228" s="34">
        <v>59</v>
      </c>
      <c r="K228" s="34">
        <f t="shared" si="13"/>
        <v>1218</v>
      </c>
      <c r="L228" s="41" t="s">
        <v>7</v>
      </c>
      <c r="M228" s="1" t="str">
        <f t="shared" si="14"/>
        <v>CLN</v>
      </c>
    </row>
    <row r="229" spans="1:13" ht="45" customHeight="1" x14ac:dyDescent="0.25">
      <c r="A229" s="32">
        <v>224</v>
      </c>
      <c r="B229" s="44" t="s">
        <v>1670</v>
      </c>
      <c r="C229" s="34">
        <v>46</v>
      </c>
      <c r="D229" s="34">
        <v>6</v>
      </c>
      <c r="E229" s="34" t="s">
        <v>6</v>
      </c>
      <c r="F229" s="34">
        <v>8689</v>
      </c>
      <c r="G229" s="33" t="s">
        <v>1749</v>
      </c>
      <c r="H229" s="33">
        <f t="shared" si="15"/>
        <v>151</v>
      </c>
      <c r="I229" s="34"/>
      <c r="J229" s="34">
        <v>151</v>
      </c>
      <c r="K229" s="34">
        <f t="shared" si="13"/>
        <v>8538</v>
      </c>
      <c r="L229" s="41" t="s">
        <v>1707</v>
      </c>
      <c r="M229" s="1" t="str">
        <f t="shared" si="14"/>
        <v>CLN</v>
      </c>
    </row>
    <row r="230" spans="1:13" ht="45" customHeight="1" x14ac:dyDescent="0.25">
      <c r="A230" s="32">
        <v>225</v>
      </c>
      <c r="B230" s="44" t="s">
        <v>1637</v>
      </c>
      <c r="C230" s="34">
        <v>46</v>
      </c>
      <c r="D230" s="34">
        <v>8</v>
      </c>
      <c r="E230" s="34" t="s">
        <v>6</v>
      </c>
      <c r="F230" s="34">
        <v>5612</v>
      </c>
      <c r="G230" s="33" t="s">
        <v>1749</v>
      </c>
      <c r="H230" s="33">
        <f t="shared" si="15"/>
        <v>151</v>
      </c>
      <c r="I230" s="34"/>
      <c r="J230" s="34">
        <v>151</v>
      </c>
      <c r="K230" s="34">
        <f t="shared" si="13"/>
        <v>5461</v>
      </c>
      <c r="L230" s="41" t="s">
        <v>7</v>
      </c>
      <c r="M230" s="1" t="str">
        <f t="shared" si="14"/>
        <v>CLN</v>
      </c>
    </row>
    <row r="231" spans="1:13" ht="45" customHeight="1" x14ac:dyDescent="0.25">
      <c r="A231" s="32">
        <v>226</v>
      </c>
      <c r="B231" s="44" t="s">
        <v>1671</v>
      </c>
      <c r="C231" s="34">
        <v>46</v>
      </c>
      <c r="D231" s="34">
        <v>11</v>
      </c>
      <c r="E231" s="34" t="s">
        <v>6</v>
      </c>
      <c r="F231" s="34">
        <v>5523</v>
      </c>
      <c r="G231" s="33" t="s">
        <v>1749</v>
      </c>
      <c r="H231" s="33">
        <f t="shared" si="15"/>
        <v>44</v>
      </c>
      <c r="I231" s="34"/>
      <c r="J231" s="34">
        <v>44</v>
      </c>
      <c r="K231" s="34">
        <f t="shared" si="13"/>
        <v>5479</v>
      </c>
      <c r="L231" s="41" t="s">
        <v>7</v>
      </c>
      <c r="M231" s="1" t="str">
        <f t="shared" si="14"/>
        <v>CLN</v>
      </c>
    </row>
    <row r="232" spans="1:13" ht="45" customHeight="1" x14ac:dyDescent="0.25">
      <c r="A232" s="32">
        <v>227</v>
      </c>
      <c r="B232" s="44" t="s">
        <v>1637</v>
      </c>
      <c r="C232" s="34">
        <v>46</v>
      </c>
      <c r="D232" s="34">
        <v>19</v>
      </c>
      <c r="E232" s="34" t="s">
        <v>6</v>
      </c>
      <c r="F232" s="34">
        <v>6595</v>
      </c>
      <c r="G232" s="33" t="s">
        <v>1749</v>
      </c>
      <c r="H232" s="33">
        <f t="shared" si="15"/>
        <v>181</v>
      </c>
      <c r="I232" s="34"/>
      <c r="J232" s="34">
        <v>181</v>
      </c>
      <c r="K232" s="34">
        <f t="shared" si="13"/>
        <v>6414</v>
      </c>
      <c r="L232" s="41" t="s">
        <v>1710</v>
      </c>
      <c r="M232" s="1" t="str">
        <f t="shared" si="14"/>
        <v>CLN</v>
      </c>
    </row>
    <row r="233" spans="1:13" ht="45" customHeight="1" x14ac:dyDescent="0.25">
      <c r="A233" s="32">
        <v>228</v>
      </c>
      <c r="B233" s="44" t="s">
        <v>1672</v>
      </c>
      <c r="C233" s="34">
        <v>46</v>
      </c>
      <c r="D233" s="34">
        <v>35</v>
      </c>
      <c r="E233" s="34" t="s">
        <v>1688</v>
      </c>
      <c r="F233" s="34">
        <v>26371</v>
      </c>
      <c r="G233" s="33" t="s">
        <v>1749</v>
      </c>
      <c r="H233" s="33">
        <f t="shared" si="15"/>
        <v>105</v>
      </c>
      <c r="I233" s="34"/>
      <c r="J233" s="34">
        <v>105</v>
      </c>
      <c r="K233" s="34">
        <f t="shared" si="13"/>
        <v>26266</v>
      </c>
      <c r="L233" s="41" t="s">
        <v>7</v>
      </c>
      <c r="M233" s="1" t="str">
        <f t="shared" si="14"/>
        <v>MNC</v>
      </c>
    </row>
    <row r="234" spans="1:13" ht="45" customHeight="1" x14ac:dyDescent="0.25">
      <c r="A234" s="32">
        <v>229</v>
      </c>
      <c r="B234" s="44" t="s">
        <v>1673</v>
      </c>
      <c r="C234" s="34">
        <v>46</v>
      </c>
      <c r="D234" s="34">
        <v>65</v>
      </c>
      <c r="E234" s="34" t="s">
        <v>6</v>
      </c>
      <c r="F234" s="34">
        <v>415</v>
      </c>
      <c r="G234" s="33" t="s">
        <v>1749</v>
      </c>
      <c r="H234" s="33">
        <f t="shared" si="15"/>
        <v>1</v>
      </c>
      <c r="I234" s="34"/>
      <c r="J234" s="34">
        <v>1</v>
      </c>
      <c r="K234" s="34">
        <f t="shared" si="13"/>
        <v>414</v>
      </c>
      <c r="L234" s="41" t="s">
        <v>7</v>
      </c>
      <c r="M234" s="1" t="str">
        <f t="shared" si="14"/>
        <v>CLN</v>
      </c>
    </row>
    <row r="235" spans="1:13" ht="45" customHeight="1" x14ac:dyDescent="0.25">
      <c r="A235" s="32">
        <v>230</v>
      </c>
      <c r="B235" s="44" t="s">
        <v>1674</v>
      </c>
      <c r="C235" s="34">
        <v>46</v>
      </c>
      <c r="D235" s="34">
        <v>66</v>
      </c>
      <c r="E235" s="34" t="s">
        <v>6</v>
      </c>
      <c r="F235" s="34">
        <v>235</v>
      </c>
      <c r="G235" s="33" t="s">
        <v>1749</v>
      </c>
      <c r="H235" s="33">
        <f t="shared" si="15"/>
        <v>77</v>
      </c>
      <c r="I235" s="34"/>
      <c r="J235" s="34">
        <v>77</v>
      </c>
      <c r="K235" s="34">
        <f t="shared" si="13"/>
        <v>158</v>
      </c>
      <c r="L235" s="41" t="s">
        <v>7</v>
      </c>
      <c r="M235" s="1" t="str">
        <f t="shared" si="14"/>
        <v>CLN</v>
      </c>
    </row>
    <row r="236" spans="1:13" ht="45" customHeight="1" x14ac:dyDescent="0.25">
      <c r="A236" s="32">
        <v>231</v>
      </c>
      <c r="B236" s="44" t="s">
        <v>1675</v>
      </c>
      <c r="C236" s="34">
        <v>46</v>
      </c>
      <c r="D236" s="34">
        <v>4000</v>
      </c>
      <c r="E236" s="34" t="s">
        <v>7</v>
      </c>
      <c r="F236" s="34">
        <v>18471</v>
      </c>
      <c r="G236" s="33" t="s">
        <v>1749</v>
      </c>
      <c r="H236" s="33">
        <f t="shared" si="15"/>
        <v>2846</v>
      </c>
      <c r="I236" s="34"/>
      <c r="J236" s="34">
        <v>2846</v>
      </c>
      <c r="K236" s="34">
        <f t="shared" si="13"/>
        <v>15625</v>
      </c>
      <c r="L236" s="41" t="s">
        <v>7</v>
      </c>
      <c r="M236" s="1" t="str">
        <f t="shared" si="14"/>
        <v>DGT</v>
      </c>
    </row>
    <row r="237" spans="1:13" ht="45" customHeight="1" x14ac:dyDescent="0.25">
      <c r="A237" s="32">
        <v>232</v>
      </c>
      <c r="B237" s="44" t="s">
        <v>1676</v>
      </c>
      <c r="C237" s="34">
        <v>50</v>
      </c>
      <c r="D237" s="34">
        <v>8</v>
      </c>
      <c r="E237" s="34" t="s">
        <v>1689</v>
      </c>
      <c r="F237" s="34">
        <v>5811</v>
      </c>
      <c r="G237" s="33" t="s">
        <v>1749</v>
      </c>
      <c r="H237" s="33">
        <f t="shared" si="15"/>
        <v>20</v>
      </c>
      <c r="I237" s="34"/>
      <c r="J237" s="34">
        <v>20</v>
      </c>
      <c r="K237" s="34">
        <f t="shared" si="13"/>
        <v>5791</v>
      </c>
      <c r="L237" s="41" t="s">
        <v>1710</v>
      </c>
      <c r="M237" s="1" t="str">
        <f t="shared" si="14"/>
        <v>CLN</v>
      </c>
    </row>
    <row r="238" spans="1:13" ht="45" customHeight="1" thickBot="1" x14ac:dyDescent="0.3">
      <c r="A238" s="38">
        <v>233</v>
      </c>
      <c r="B238" s="45" t="s">
        <v>1677</v>
      </c>
      <c r="C238" s="40">
        <v>50</v>
      </c>
      <c r="D238" s="40">
        <v>36</v>
      </c>
      <c r="E238" s="40" t="s">
        <v>7</v>
      </c>
      <c r="F238" s="40">
        <v>254</v>
      </c>
      <c r="G238" s="39" t="s">
        <v>1749</v>
      </c>
      <c r="H238" s="39">
        <f t="shared" si="15"/>
        <v>111</v>
      </c>
      <c r="I238" s="40"/>
      <c r="J238" s="40">
        <v>111</v>
      </c>
      <c r="K238" s="40">
        <f t="shared" si="13"/>
        <v>143</v>
      </c>
      <c r="L238" s="42" t="s">
        <v>7</v>
      </c>
      <c r="M238" s="1" t="str">
        <f t="shared" si="14"/>
        <v>DGT</v>
      </c>
    </row>
    <row r="239" spans="1:13" ht="32.25" customHeight="1" thickTop="1" x14ac:dyDescent="0.25">
      <c r="A239" s="4"/>
      <c r="B239" s="28" t="s">
        <v>43</v>
      </c>
      <c r="C239" s="4"/>
      <c r="D239" s="4"/>
      <c r="E239" s="29"/>
      <c r="F239" s="5">
        <f>SUM(F6:F238)</f>
        <v>8094838</v>
      </c>
      <c r="G239" s="5"/>
      <c r="H239" s="5">
        <f>SUM(H6:H238)</f>
        <v>174331</v>
      </c>
      <c r="I239" s="5">
        <f>SUM(I6:I238)</f>
        <v>113908</v>
      </c>
      <c r="J239" s="5">
        <f>SUM(J6:J238)</f>
        <v>60423</v>
      </c>
      <c r="K239" s="5">
        <f>SUM(K6:K238)</f>
        <v>7920507</v>
      </c>
      <c r="L239" s="6"/>
    </row>
    <row r="240" spans="1:13" x14ac:dyDescent="0.25">
      <c r="A240" s="7" t="s">
        <v>46</v>
      </c>
      <c r="B240" s="52" t="s">
        <v>47</v>
      </c>
      <c r="C240" s="52"/>
      <c r="D240" s="52"/>
      <c r="E240" s="52"/>
      <c r="F240" s="53" t="s">
        <v>48</v>
      </c>
      <c r="G240" s="54"/>
      <c r="H240" s="54"/>
      <c r="I240" s="54"/>
      <c r="J240" s="54"/>
      <c r="K240" s="54"/>
      <c r="L240" s="54"/>
    </row>
    <row r="241" spans="1:12" x14ac:dyDescent="0.25">
      <c r="A241" s="27" t="s">
        <v>49</v>
      </c>
      <c r="B241" s="55" t="s">
        <v>50</v>
      </c>
      <c r="C241" s="56"/>
      <c r="D241" s="56"/>
      <c r="E241" s="56"/>
      <c r="F241" s="56" t="s">
        <v>51</v>
      </c>
      <c r="G241" s="57"/>
      <c r="H241" s="57"/>
      <c r="I241" s="57"/>
      <c r="J241" s="57"/>
      <c r="K241" s="57"/>
      <c r="L241" s="57"/>
    </row>
    <row r="242" spans="1:12" x14ac:dyDescent="0.25">
      <c r="A242" s="47"/>
      <c r="B242" s="28" t="s">
        <v>12</v>
      </c>
      <c r="C242" s="58" t="s">
        <v>13</v>
      </c>
      <c r="D242" s="58"/>
      <c r="E242" s="58"/>
      <c r="F242" s="8"/>
      <c r="G242" s="49" t="s">
        <v>14</v>
      </c>
      <c r="H242" s="49"/>
      <c r="I242" s="9"/>
      <c r="J242" s="49" t="s">
        <v>15</v>
      </c>
      <c r="K242" s="49"/>
      <c r="L242" s="10"/>
    </row>
    <row r="243" spans="1:12" x14ac:dyDescent="0.25">
      <c r="A243" s="9"/>
      <c r="B243" s="9"/>
      <c r="C243" s="49"/>
      <c r="D243" s="49"/>
      <c r="E243" s="49"/>
      <c r="F243" s="8"/>
      <c r="G243" s="8"/>
      <c r="H243" s="8"/>
      <c r="I243" s="11"/>
      <c r="J243" s="11"/>
      <c r="K243" s="12"/>
      <c r="L243" s="10"/>
    </row>
    <row r="244" spans="1:12" x14ac:dyDescent="0.25">
      <c r="A244" s="9"/>
      <c r="B244" s="9"/>
      <c r="C244" s="30"/>
      <c r="D244" s="30"/>
      <c r="E244" s="30"/>
      <c r="F244" s="8"/>
      <c r="G244" s="8"/>
      <c r="H244" s="8"/>
      <c r="I244" s="11"/>
      <c r="J244" s="11"/>
      <c r="K244" s="12"/>
      <c r="L244" s="10"/>
    </row>
    <row r="245" spans="1:12" x14ac:dyDescent="0.25">
      <c r="A245" s="13"/>
      <c r="B245" s="14"/>
      <c r="C245" s="15"/>
      <c r="D245" s="13"/>
      <c r="E245" s="16"/>
      <c r="F245" s="17"/>
      <c r="G245" s="17"/>
      <c r="H245" s="17"/>
      <c r="I245" s="13"/>
      <c r="J245" s="15"/>
      <c r="K245" s="18"/>
      <c r="L245" s="19"/>
    </row>
    <row r="246" spans="1:12" x14ac:dyDescent="0.25">
      <c r="A246" s="13"/>
      <c r="B246" s="14"/>
      <c r="C246" s="15"/>
      <c r="D246" s="13"/>
      <c r="E246" s="16"/>
      <c r="F246" s="13"/>
      <c r="G246" s="13"/>
      <c r="H246" s="13"/>
      <c r="I246" s="15"/>
      <c r="J246" s="15"/>
      <c r="K246" s="18"/>
      <c r="L246" s="19"/>
    </row>
    <row r="247" spans="1:12" x14ac:dyDescent="0.25">
      <c r="A247" s="13"/>
      <c r="B247" s="14"/>
      <c r="C247" s="15"/>
      <c r="D247" s="13"/>
      <c r="E247" s="16"/>
      <c r="F247" s="13"/>
      <c r="G247" s="13"/>
      <c r="H247" s="13"/>
      <c r="I247" s="15"/>
      <c r="J247" s="15"/>
      <c r="K247" s="18"/>
      <c r="L247" s="19"/>
    </row>
    <row r="248" spans="1:12" x14ac:dyDescent="0.25">
      <c r="A248" s="20"/>
      <c r="B248" s="21" t="s">
        <v>52</v>
      </c>
      <c r="C248" s="50" t="s">
        <v>53</v>
      </c>
      <c r="D248" s="50"/>
      <c r="E248" s="50"/>
      <c r="F248" s="48"/>
      <c r="G248" s="51" t="s">
        <v>1752</v>
      </c>
      <c r="H248" s="51"/>
      <c r="I248" s="22"/>
      <c r="J248" s="51" t="s">
        <v>1753</v>
      </c>
      <c r="K248" s="51"/>
      <c r="L248" s="1"/>
    </row>
  </sheetData>
  <mergeCells count="23">
    <mergeCell ref="A1:L1"/>
    <mergeCell ref="A2:L2"/>
    <mergeCell ref="A3:A5"/>
    <mergeCell ref="B3:B5"/>
    <mergeCell ref="C3:C5"/>
    <mergeCell ref="D3:D5"/>
    <mergeCell ref="E3:E5"/>
    <mergeCell ref="F3:F5"/>
    <mergeCell ref="G3:G5"/>
    <mergeCell ref="H3:J4"/>
    <mergeCell ref="K3:K5"/>
    <mergeCell ref="L3:L5"/>
    <mergeCell ref="C243:E243"/>
    <mergeCell ref="C248:E248"/>
    <mergeCell ref="G248:H248"/>
    <mergeCell ref="J248:K248"/>
    <mergeCell ref="B240:E240"/>
    <mergeCell ref="F240:L240"/>
    <mergeCell ref="B241:E241"/>
    <mergeCell ref="F241:L241"/>
    <mergeCell ref="C242:E242"/>
    <mergeCell ref="G242:H242"/>
    <mergeCell ref="J242:K242"/>
  </mergeCells>
  <pageMargins left="0.7" right="0.7" top="0.75" bottom="0.75" header="0.3" footer="0.3"/>
  <pageSetup paperSize="9" scale="80" fitToHeight="0" orientation="landscape" r:id="rId1"/>
  <rowBreaks count="1" manualBreakCount="1">
    <brk id="1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A1:J30"/>
  <sheetViews>
    <sheetView tabSelected="1" view="pageBreakPreview" topLeftCell="A10" zoomScaleNormal="100" zoomScaleSheetLayoutView="100" workbookViewId="0">
      <selection activeCell="C4" sqref="A4:XFD20"/>
    </sheetView>
  </sheetViews>
  <sheetFormatPr defaultRowHeight="15" x14ac:dyDescent="0.25"/>
  <cols>
    <col min="1" max="1" width="6.28515625" style="1" customWidth="1"/>
    <col min="2" max="2" width="36.42578125" style="1" customWidth="1"/>
    <col min="3" max="3" width="65" style="1" customWidth="1"/>
    <col min="4" max="4" width="28" style="1" customWidth="1"/>
    <col min="5" max="5" width="24.85546875" style="1" customWidth="1"/>
    <col min="6" max="6" width="36.28515625" style="1" customWidth="1"/>
    <col min="7" max="16384" width="9.140625" style="1"/>
  </cols>
  <sheetData>
    <row r="1" spans="1:7" ht="21.75" x14ac:dyDescent="0.25">
      <c r="A1" s="69" t="s">
        <v>1754</v>
      </c>
      <c r="B1" s="70"/>
      <c r="C1" s="70"/>
      <c r="D1" s="70"/>
      <c r="E1" s="70"/>
      <c r="F1" s="70"/>
    </row>
    <row r="2" spans="1:7" ht="23.25" thickBot="1" x14ac:dyDescent="0.3">
      <c r="A2" s="71" t="s">
        <v>1755</v>
      </c>
      <c r="B2" s="71"/>
      <c r="C2" s="71"/>
      <c r="D2" s="71"/>
      <c r="E2" s="71"/>
      <c r="F2" s="71"/>
    </row>
    <row r="3" spans="1:7" ht="39" x14ac:dyDescent="0.25">
      <c r="A3" s="72" t="s">
        <v>0</v>
      </c>
      <c r="B3" s="73" t="s">
        <v>1756</v>
      </c>
      <c r="C3" s="73" t="s">
        <v>4</v>
      </c>
      <c r="D3" s="73" t="s">
        <v>1757</v>
      </c>
      <c r="E3" s="73" t="s">
        <v>1758</v>
      </c>
      <c r="F3" s="74" t="s">
        <v>1759</v>
      </c>
    </row>
    <row r="4" spans="1:7" ht="27.95" customHeight="1" x14ac:dyDescent="0.25">
      <c r="A4" s="96">
        <v>1</v>
      </c>
      <c r="B4" s="97" t="s">
        <v>1760</v>
      </c>
      <c r="C4" s="98" t="s">
        <v>1895</v>
      </c>
      <c r="D4" s="98">
        <f t="array" ref="D4">SUMIFS(DS!$J$6:$J$238,DS!$M$6:$M$238,TongHop!G4)</f>
        <v>93</v>
      </c>
      <c r="E4" s="98">
        <f t="array" ref="E4">SUMIFS(DS!$I$6:$I$238,DS!$M$6:$M$238,TongHop!G4)</f>
        <v>0</v>
      </c>
      <c r="F4" s="99"/>
      <c r="G4" s="1" t="s">
        <v>1683</v>
      </c>
    </row>
    <row r="5" spans="1:7" ht="27.95" customHeight="1" x14ac:dyDescent="0.25">
      <c r="A5" s="96"/>
      <c r="B5" s="97"/>
      <c r="C5" s="100" t="s">
        <v>1908</v>
      </c>
      <c r="D5" s="98">
        <f t="array" ref="D5">SUMIFS(DS!$J$6:$J$238,DS!$M$6:$M$238,TongHop!G5)</f>
        <v>1037</v>
      </c>
      <c r="E5" s="98">
        <f t="array" ref="E5">SUMIFS(DS!$I$6:$I$238,DS!$M$6:$M$238,TongHop!G5)</f>
        <v>2066</v>
      </c>
      <c r="F5" s="101"/>
      <c r="G5" s="1" t="s">
        <v>18</v>
      </c>
    </row>
    <row r="6" spans="1:7" ht="27.95" customHeight="1" x14ac:dyDescent="0.25">
      <c r="A6" s="96"/>
      <c r="B6" s="97"/>
      <c r="C6" s="100" t="s">
        <v>1905</v>
      </c>
      <c r="D6" s="98">
        <f t="array" ref="D6">SUMIFS(DS!$J$6:$J$238,DS!$M$6:$M$238,TongHop!G6)</f>
        <v>467</v>
      </c>
      <c r="E6" s="98">
        <f t="array" ref="E6">SUMIFS(DS!$I$6:$I$238,DS!$M$6:$M$238,TongHop!G6)</f>
        <v>4498</v>
      </c>
      <c r="F6" s="101"/>
      <c r="G6" s="1" t="s">
        <v>1681</v>
      </c>
    </row>
    <row r="7" spans="1:7" ht="27.95" customHeight="1" x14ac:dyDescent="0.25">
      <c r="A7" s="96"/>
      <c r="B7" s="97"/>
      <c r="C7" s="100" t="s">
        <v>1906</v>
      </c>
      <c r="D7" s="98">
        <f t="array" ref="D7">SUMIFS(DS!$J$6:$J$238,DS!$M$6:$M$238,TongHop!G7)</f>
        <v>2194</v>
      </c>
      <c r="E7" s="98">
        <f t="array" ref="E7">SUMIFS(DS!$I$6:$I$238,DS!$M$6:$M$238,TongHop!G7)</f>
        <v>336</v>
      </c>
      <c r="F7" s="101"/>
      <c r="G7" s="1" t="s">
        <v>25</v>
      </c>
    </row>
    <row r="8" spans="1:7" ht="27.95" customHeight="1" x14ac:dyDescent="0.25">
      <c r="A8" s="96"/>
      <c r="B8" s="97"/>
      <c r="C8" s="100" t="s">
        <v>1901</v>
      </c>
      <c r="D8" s="98">
        <f t="array" ref="D8">SUMIFS(DS!$J$6:$J$238,DS!$M$6:$M$238,TongHop!G8)</f>
        <v>132</v>
      </c>
      <c r="E8" s="98">
        <f t="array" ref="E8">SUMIFS(DS!$I$6:$I$238,DS!$M$6:$M$238,TongHop!G8)</f>
        <v>44</v>
      </c>
      <c r="F8" s="101"/>
      <c r="G8" s="1" t="s">
        <v>11</v>
      </c>
    </row>
    <row r="9" spans="1:7" ht="27.95" customHeight="1" x14ac:dyDescent="0.25">
      <c r="A9" s="96"/>
      <c r="B9" s="97"/>
      <c r="C9" s="100" t="s">
        <v>1761</v>
      </c>
      <c r="D9" s="98">
        <f t="array" ref="D9">SUMIFS(DS!$J$6:$J$238,DS!$M$6:$M$238,TongHop!G9)</f>
        <v>14202</v>
      </c>
      <c r="E9" s="98">
        <f t="array" ref="E9">SUMIFS(DS!$I$6:$I$238,DS!$M$6:$M$238,TongHop!G9)</f>
        <v>34706</v>
      </c>
      <c r="F9" s="101"/>
      <c r="G9" s="1" t="s">
        <v>6</v>
      </c>
    </row>
    <row r="10" spans="1:7" ht="27.95" customHeight="1" x14ac:dyDescent="0.25">
      <c r="A10" s="75">
        <v>2</v>
      </c>
      <c r="B10" s="76" t="s">
        <v>1909</v>
      </c>
      <c r="C10" s="100" t="s">
        <v>1902</v>
      </c>
      <c r="D10" s="98">
        <f t="array" ref="D10">SUMIFS(DS!$J$6:$J$238,DS!$M$6:$M$238,TongHop!G10)</f>
        <v>0</v>
      </c>
      <c r="E10" s="98">
        <f t="array" ref="E10">SUMIFS(DS!$I$6:$I$238,DS!$M$6:$M$238,TongHop!G10)</f>
        <v>61669</v>
      </c>
      <c r="F10" s="101"/>
      <c r="G10" s="1" t="s">
        <v>1680</v>
      </c>
    </row>
    <row r="11" spans="1:7" ht="27.95" customHeight="1" x14ac:dyDescent="0.25">
      <c r="A11" s="77"/>
      <c r="B11" s="78"/>
      <c r="C11" s="100" t="s">
        <v>1896</v>
      </c>
      <c r="D11" s="98">
        <f t="array" ref="D11">SUMIFS(DS!$J$6:$J$238,DS!$M$6:$M$238,TongHop!G11)</f>
        <v>0</v>
      </c>
      <c r="E11" s="98">
        <f t="array" ref="E11">SUMIFS(DS!$I$6:$I$238,DS!$M$6:$M$238,TongHop!G11)</f>
        <v>6338</v>
      </c>
      <c r="F11" s="101"/>
      <c r="G11" s="1" t="s">
        <v>1682</v>
      </c>
    </row>
    <row r="12" spans="1:7" ht="27.95" customHeight="1" x14ac:dyDescent="0.25">
      <c r="A12" s="77"/>
      <c r="B12" s="78"/>
      <c r="C12" s="100" t="s">
        <v>1897</v>
      </c>
      <c r="D12" s="98">
        <f t="array" ref="D12">SUMIFS(DS!$J$6:$J$238,DS!$M$6:$M$238,TongHop!G12)</f>
        <v>0</v>
      </c>
      <c r="E12" s="98">
        <f t="array" ref="E12">SUMIFS(DS!$I$6:$I$238,DS!$M$6:$M$238,TongHop!G12)</f>
        <v>1117</v>
      </c>
      <c r="F12" s="101"/>
      <c r="G12" s="1" t="s">
        <v>1679</v>
      </c>
    </row>
    <row r="13" spans="1:7" ht="27.95" customHeight="1" x14ac:dyDescent="0.25">
      <c r="A13" s="77"/>
      <c r="B13" s="78"/>
      <c r="C13" s="100" t="s">
        <v>1898</v>
      </c>
      <c r="D13" s="98">
        <f t="array" ref="D13">SUMIFS(DS!$J$6:$J$238,DS!$M$6:$M$238,TongHop!G13)</f>
        <v>0</v>
      </c>
      <c r="E13" s="98">
        <f t="array" ref="E13">SUMIFS(DS!$I$6:$I$238,DS!$M$6:$M$238,TongHop!G13)</f>
        <v>1</v>
      </c>
      <c r="F13" s="101"/>
      <c r="G13" s="1" t="s">
        <v>1687</v>
      </c>
    </row>
    <row r="14" spans="1:7" ht="27.95" customHeight="1" x14ac:dyDescent="0.25">
      <c r="A14" s="79"/>
      <c r="B14" s="80"/>
      <c r="C14" s="100" t="s">
        <v>1899</v>
      </c>
      <c r="D14" s="98">
        <f t="array" ref="D14">SUMIFS(DS!$J$6:$J$238,DS!$M$6:$M$238,TongHop!G14)</f>
        <v>0</v>
      </c>
      <c r="E14" s="98">
        <f t="array" ref="E14">SUMIFS(DS!$I$6:$I$238,DS!$M$6:$M$238,TongHop!G14)</f>
        <v>14</v>
      </c>
      <c r="F14" s="101"/>
      <c r="G14" s="1" t="s">
        <v>1686</v>
      </c>
    </row>
    <row r="15" spans="1:7" ht="27.95" customHeight="1" x14ac:dyDescent="0.25">
      <c r="A15" s="75">
        <v>3</v>
      </c>
      <c r="B15" s="76" t="s">
        <v>1910</v>
      </c>
      <c r="C15" s="100" t="s">
        <v>1928</v>
      </c>
      <c r="D15" s="98">
        <f t="array" ref="D15">SUMIFS(DS!$J$6:$J$238,DS!$M$6:$M$238,TongHop!G15)</f>
        <v>2535</v>
      </c>
      <c r="E15" s="98">
        <f t="array" ref="E15">SUMIFS(DS!$I$6:$I$238,DS!$M$6:$M$238,TongHop!G15)</f>
        <v>0</v>
      </c>
      <c r="F15" s="101"/>
      <c r="G15" s="1" t="s">
        <v>34</v>
      </c>
    </row>
    <row r="16" spans="1:7" ht="27.95" customHeight="1" x14ac:dyDescent="0.25">
      <c r="A16" s="77"/>
      <c r="B16" s="78"/>
      <c r="C16" s="100" t="s">
        <v>1903</v>
      </c>
      <c r="D16" s="98">
        <f t="array" ref="D16">SUMIFS(DS!$J$6:$J$238,DS!$M$6:$M$238,TongHop!G16)</f>
        <v>5551</v>
      </c>
      <c r="E16" s="98">
        <f t="array" ref="E16">SUMIFS(DS!$I$6:$I$238,DS!$M$6:$M$238,TongHop!G16)</f>
        <v>0</v>
      </c>
      <c r="F16" s="101"/>
      <c r="G16" s="1" t="s">
        <v>1685</v>
      </c>
    </row>
    <row r="17" spans="1:10" ht="27.95" customHeight="1" x14ac:dyDescent="0.25">
      <c r="A17" s="77"/>
      <c r="B17" s="78"/>
      <c r="C17" s="100" t="s">
        <v>1904</v>
      </c>
      <c r="D17" s="98">
        <f t="array" ref="D17">SUMIFS(DS!$J$6:$J$238,DS!$M$6:$M$238,TongHop!G17)</f>
        <v>233</v>
      </c>
      <c r="E17" s="98">
        <f t="array" ref="E17">SUMIFS(DS!$I$6:$I$238,DS!$M$6:$M$238,TongHop!G17)</f>
        <v>0</v>
      </c>
      <c r="F17" s="101"/>
      <c r="G17" s="1" t="s">
        <v>37</v>
      </c>
    </row>
    <row r="18" spans="1:10" ht="27.95" customHeight="1" x14ac:dyDescent="0.25">
      <c r="A18" s="77"/>
      <c r="B18" s="78"/>
      <c r="C18" s="100" t="s">
        <v>1900</v>
      </c>
      <c r="D18" s="98">
        <f t="array" ref="D18">SUMIFS(DS!$J$6:$J$238,DS!$M$6:$M$238,TongHop!G18)</f>
        <v>105</v>
      </c>
      <c r="E18" s="98">
        <f t="array" ref="E18">SUMIFS(DS!$I$6:$I$238,DS!$M$6:$M$238,TongHop!G18)</f>
        <v>0</v>
      </c>
      <c r="F18" s="101"/>
      <c r="G18" s="1" t="s">
        <v>1688</v>
      </c>
    </row>
    <row r="19" spans="1:10" ht="27.95" customHeight="1" x14ac:dyDescent="0.25">
      <c r="A19" s="79"/>
      <c r="B19" s="80"/>
      <c r="C19" s="100" t="s">
        <v>1907</v>
      </c>
      <c r="D19" s="98">
        <f t="array" ref="D19">SUMIFS(DS!$J$6:$J$238,DS!$M$6:$M$238,TongHop!G19)</f>
        <v>33874</v>
      </c>
      <c r="E19" s="98">
        <f t="array" ref="E19">SUMIFS(DS!$I$6:$I$238,DS!$M$6:$M$238,TongHop!G19)</f>
        <v>3119</v>
      </c>
      <c r="F19" s="101"/>
      <c r="G19" s="1" t="s">
        <v>7</v>
      </c>
    </row>
    <row r="20" spans="1:10" ht="27.95" customHeight="1" thickBot="1" x14ac:dyDescent="0.3">
      <c r="A20" s="102" t="str">
        <f>"Tổng cộng: "&amp;SUM(D20:E20)&amp; " m2"</f>
        <v>Tổng cộng: 174331 m2</v>
      </c>
      <c r="B20" s="103"/>
      <c r="C20" s="103"/>
      <c r="D20" s="104">
        <f>SUM(D4:D19)</f>
        <v>60423</v>
      </c>
      <c r="E20" s="104">
        <f>SUM(E4:E19)</f>
        <v>113908</v>
      </c>
      <c r="F20" s="105"/>
      <c r="G20" s="1" t="s">
        <v>1749</v>
      </c>
    </row>
    <row r="21" spans="1:10" ht="20.25" x14ac:dyDescent="0.25">
      <c r="A21" s="81"/>
      <c r="B21" s="81"/>
      <c r="C21" s="81"/>
      <c r="D21" s="82"/>
      <c r="E21" s="82"/>
      <c r="F21" s="83"/>
      <c r="I21" s="98">
        <f t="array" ref="I21">SUMIFS(DS!$J$6:$J$238,DS!$M$6:$M$238,TongHop!#REF!)</f>
        <v>0</v>
      </c>
      <c r="J21" s="98">
        <f t="array" ref="J21">SUMIFS(DS!$I$6:$I$238,DS!$M$6:$M$238,TongHop!#REF!)</f>
        <v>0</v>
      </c>
    </row>
    <row r="22" spans="1:10" ht="19.5" x14ac:dyDescent="0.25">
      <c r="A22" s="84" t="s">
        <v>1762</v>
      </c>
      <c r="B22" s="84"/>
      <c r="C22" s="84"/>
      <c r="D22" s="84"/>
      <c r="E22" s="84"/>
      <c r="F22" s="84"/>
    </row>
    <row r="23" spans="1:10" ht="19.5" x14ac:dyDescent="0.25">
      <c r="A23" s="85" t="s">
        <v>1763</v>
      </c>
      <c r="B23" s="85"/>
      <c r="C23" s="85"/>
      <c r="D23" s="85"/>
      <c r="E23" s="85"/>
      <c r="F23" s="85"/>
    </row>
    <row r="24" spans="1:10" ht="19.5" x14ac:dyDescent="0.25">
      <c r="A24" s="85" t="s">
        <v>1764</v>
      </c>
      <c r="B24" s="85"/>
      <c r="C24" s="85"/>
      <c r="D24" s="85"/>
      <c r="E24" s="85"/>
      <c r="F24" s="85"/>
    </row>
    <row r="25" spans="1:10" ht="19.5" x14ac:dyDescent="0.25">
      <c r="A25" s="86" t="s">
        <v>1765</v>
      </c>
      <c r="B25" s="86"/>
      <c r="C25" s="86"/>
      <c r="D25" s="86"/>
      <c r="E25" s="86"/>
      <c r="F25" s="86"/>
    </row>
    <row r="26" spans="1:10" ht="19.5" x14ac:dyDescent="0.25">
      <c r="A26" s="87"/>
      <c r="B26" s="87"/>
      <c r="C26" s="87"/>
      <c r="D26" s="87"/>
      <c r="E26" s="87"/>
      <c r="F26" s="87"/>
    </row>
    <row r="27" spans="1:10" ht="19.5" x14ac:dyDescent="0.25">
      <c r="A27" s="88"/>
      <c r="B27" s="88"/>
      <c r="C27" s="89"/>
      <c r="D27" s="90"/>
      <c r="E27" s="90"/>
      <c r="F27" s="88"/>
    </row>
    <row r="28" spans="1:10" ht="19.5" x14ac:dyDescent="0.25">
      <c r="A28" s="91"/>
      <c r="B28" s="91"/>
      <c r="C28" s="91"/>
      <c r="D28" s="91"/>
      <c r="E28" s="91"/>
      <c r="F28" s="91"/>
    </row>
    <row r="29" spans="1:10" ht="19.5" x14ac:dyDescent="0.25">
      <c r="A29" s="91"/>
      <c r="B29" s="91"/>
      <c r="C29" s="91"/>
      <c r="D29" s="91"/>
      <c r="E29" s="91"/>
      <c r="F29" s="91"/>
    </row>
    <row r="30" spans="1:10" ht="19.5" x14ac:dyDescent="0.25">
      <c r="A30" s="92" t="s">
        <v>53</v>
      </c>
      <c r="B30" s="92"/>
      <c r="C30" s="92"/>
      <c r="D30" s="92"/>
      <c r="E30" s="92"/>
      <c r="F30" s="92"/>
    </row>
  </sheetData>
  <mergeCells count="15">
    <mergeCell ref="B15:B19"/>
    <mergeCell ref="A15:A19"/>
    <mergeCell ref="A23:F23"/>
    <mergeCell ref="A24:F24"/>
    <mergeCell ref="A25:F25"/>
    <mergeCell ref="A26:F26"/>
    <mergeCell ref="A30:F30"/>
    <mergeCell ref="B4:B9"/>
    <mergeCell ref="A4:A9"/>
    <mergeCell ref="A1:F1"/>
    <mergeCell ref="A2:F2"/>
    <mergeCell ref="A20:C20"/>
    <mergeCell ref="A22:F22"/>
    <mergeCell ref="B10:B14"/>
    <mergeCell ref="A10:A14"/>
  </mergeCells>
  <pageMargins left="0.7" right="0.7" top="0.75" bottom="0.75" header="0.3" footer="0.3"/>
  <pageSetup paperSize="9" scale="6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11"/>
  <sheetViews>
    <sheetView topLeftCell="A7" workbookViewId="0">
      <selection activeCell="A10" sqref="A10"/>
    </sheetView>
  </sheetViews>
  <sheetFormatPr defaultRowHeight="15" x14ac:dyDescent="0.25"/>
  <cols>
    <col min="1" max="1" width="18.28515625" style="94" customWidth="1"/>
    <col min="2" max="2" width="14" style="94" customWidth="1"/>
    <col min="3" max="3" width="17.85546875" style="95" customWidth="1"/>
    <col min="4" max="4" width="42.85546875" style="94" bestFit="1" customWidth="1"/>
    <col min="5" max="5" width="49.42578125" style="94" bestFit="1" customWidth="1"/>
    <col min="6" max="12" width="9.140625" style="94"/>
    <col min="13" max="13" width="48.28515625" style="94" bestFit="1" customWidth="1"/>
    <col min="14" max="256" width="9.140625" style="94"/>
    <col min="257" max="257" width="18.28515625" style="94" customWidth="1"/>
    <col min="258" max="258" width="14" style="94" customWidth="1"/>
    <col min="259" max="259" width="17.85546875" style="94" customWidth="1"/>
    <col min="260" max="260" width="42.85546875" style="94" bestFit="1" customWidth="1"/>
    <col min="261" max="261" width="49.42578125" style="94" bestFit="1" customWidth="1"/>
    <col min="262" max="268" width="9.140625" style="94"/>
    <col min="269" max="269" width="48.28515625" style="94" bestFit="1" customWidth="1"/>
    <col min="270" max="512" width="9.140625" style="94"/>
    <col min="513" max="513" width="18.28515625" style="94" customWidth="1"/>
    <col min="514" max="514" width="14" style="94" customWidth="1"/>
    <col min="515" max="515" width="17.85546875" style="94" customWidth="1"/>
    <col min="516" max="516" width="42.85546875" style="94" bestFit="1" customWidth="1"/>
    <col min="517" max="517" width="49.42578125" style="94" bestFit="1" customWidth="1"/>
    <col min="518" max="524" width="9.140625" style="94"/>
    <col min="525" max="525" width="48.28515625" style="94" bestFit="1" customWidth="1"/>
    <col min="526" max="768" width="9.140625" style="94"/>
    <col min="769" max="769" width="18.28515625" style="94" customWidth="1"/>
    <col min="770" max="770" width="14" style="94" customWidth="1"/>
    <col min="771" max="771" width="17.85546875" style="94" customWidth="1"/>
    <col min="772" max="772" width="42.85546875" style="94" bestFit="1" customWidth="1"/>
    <col min="773" max="773" width="49.42578125" style="94" bestFit="1" customWidth="1"/>
    <col min="774" max="780" width="9.140625" style="94"/>
    <col min="781" max="781" width="48.28515625" style="94" bestFit="1" customWidth="1"/>
    <col min="782" max="1024" width="9.140625" style="94"/>
    <col min="1025" max="1025" width="18.28515625" style="94" customWidth="1"/>
    <col min="1026" max="1026" width="14" style="94" customWidth="1"/>
    <col min="1027" max="1027" width="17.85546875" style="94" customWidth="1"/>
    <col min="1028" max="1028" width="42.85546875" style="94" bestFit="1" customWidth="1"/>
    <col min="1029" max="1029" width="49.42578125" style="94" bestFit="1" customWidth="1"/>
    <col min="1030" max="1036" width="9.140625" style="94"/>
    <col min="1037" max="1037" width="48.28515625" style="94" bestFit="1" customWidth="1"/>
    <col min="1038" max="1280" width="9.140625" style="94"/>
    <col min="1281" max="1281" width="18.28515625" style="94" customWidth="1"/>
    <col min="1282" max="1282" width="14" style="94" customWidth="1"/>
    <col min="1283" max="1283" width="17.85546875" style="94" customWidth="1"/>
    <col min="1284" max="1284" width="42.85546875" style="94" bestFit="1" customWidth="1"/>
    <col min="1285" max="1285" width="49.42578125" style="94" bestFit="1" customWidth="1"/>
    <col min="1286" max="1292" width="9.140625" style="94"/>
    <col min="1293" max="1293" width="48.28515625" style="94" bestFit="1" customWidth="1"/>
    <col min="1294" max="1536" width="9.140625" style="94"/>
    <col min="1537" max="1537" width="18.28515625" style="94" customWidth="1"/>
    <col min="1538" max="1538" width="14" style="94" customWidth="1"/>
    <col min="1539" max="1539" width="17.85546875" style="94" customWidth="1"/>
    <col min="1540" max="1540" width="42.85546875" style="94" bestFit="1" customWidth="1"/>
    <col min="1541" max="1541" width="49.42578125" style="94" bestFit="1" customWidth="1"/>
    <col min="1542" max="1548" width="9.140625" style="94"/>
    <col min="1549" max="1549" width="48.28515625" style="94" bestFit="1" customWidth="1"/>
    <col min="1550" max="1792" width="9.140625" style="94"/>
    <col min="1793" max="1793" width="18.28515625" style="94" customWidth="1"/>
    <col min="1794" max="1794" width="14" style="94" customWidth="1"/>
    <col min="1795" max="1795" width="17.85546875" style="94" customWidth="1"/>
    <col min="1796" max="1796" width="42.85546875" style="94" bestFit="1" customWidth="1"/>
    <col min="1797" max="1797" width="49.42578125" style="94" bestFit="1" customWidth="1"/>
    <col min="1798" max="1804" width="9.140625" style="94"/>
    <col min="1805" max="1805" width="48.28515625" style="94" bestFit="1" customWidth="1"/>
    <col min="1806" max="2048" width="9.140625" style="94"/>
    <col min="2049" max="2049" width="18.28515625" style="94" customWidth="1"/>
    <col min="2050" max="2050" width="14" style="94" customWidth="1"/>
    <col min="2051" max="2051" width="17.85546875" style="94" customWidth="1"/>
    <col min="2052" max="2052" width="42.85546875" style="94" bestFit="1" customWidth="1"/>
    <col min="2053" max="2053" width="49.42578125" style="94" bestFit="1" customWidth="1"/>
    <col min="2054" max="2060" width="9.140625" style="94"/>
    <col min="2061" max="2061" width="48.28515625" style="94" bestFit="1" customWidth="1"/>
    <col min="2062" max="2304" width="9.140625" style="94"/>
    <col min="2305" max="2305" width="18.28515625" style="94" customWidth="1"/>
    <col min="2306" max="2306" width="14" style="94" customWidth="1"/>
    <col min="2307" max="2307" width="17.85546875" style="94" customWidth="1"/>
    <col min="2308" max="2308" width="42.85546875" style="94" bestFit="1" customWidth="1"/>
    <col min="2309" max="2309" width="49.42578125" style="94" bestFit="1" customWidth="1"/>
    <col min="2310" max="2316" width="9.140625" style="94"/>
    <col min="2317" max="2317" width="48.28515625" style="94" bestFit="1" customWidth="1"/>
    <col min="2318" max="2560" width="9.140625" style="94"/>
    <col min="2561" max="2561" width="18.28515625" style="94" customWidth="1"/>
    <col min="2562" max="2562" width="14" style="94" customWidth="1"/>
    <col min="2563" max="2563" width="17.85546875" style="94" customWidth="1"/>
    <col min="2564" max="2564" width="42.85546875" style="94" bestFit="1" customWidth="1"/>
    <col min="2565" max="2565" width="49.42578125" style="94" bestFit="1" customWidth="1"/>
    <col min="2566" max="2572" width="9.140625" style="94"/>
    <col min="2573" max="2573" width="48.28515625" style="94" bestFit="1" customWidth="1"/>
    <col min="2574" max="2816" width="9.140625" style="94"/>
    <col min="2817" max="2817" width="18.28515625" style="94" customWidth="1"/>
    <col min="2818" max="2818" width="14" style="94" customWidth="1"/>
    <col min="2819" max="2819" width="17.85546875" style="94" customWidth="1"/>
    <col min="2820" max="2820" width="42.85546875" style="94" bestFit="1" customWidth="1"/>
    <col min="2821" max="2821" width="49.42578125" style="94" bestFit="1" customWidth="1"/>
    <col min="2822" max="2828" width="9.140625" style="94"/>
    <col min="2829" max="2829" width="48.28515625" style="94" bestFit="1" customWidth="1"/>
    <col min="2830" max="3072" width="9.140625" style="94"/>
    <col min="3073" max="3073" width="18.28515625" style="94" customWidth="1"/>
    <col min="3074" max="3074" width="14" style="94" customWidth="1"/>
    <col min="3075" max="3075" width="17.85546875" style="94" customWidth="1"/>
    <col min="3076" max="3076" width="42.85546875" style="94" bestFit="1" customWidth="1"/>
    <col min="3077" max="3077" width="49.42578125" style="94" bestFit="1" customWidth="1"/>
    <col min="3078" max="3084" width="9.140625" style="94"/>
    <col min="3085" max="3085" width="48.28515625" style="94" bestFit="1" customWidth="1"/>
    <col min="3086" max="3328" width="9.140625" style="94"/>
    <col min="3329" max="3329" width="18.28515625" style="94" customWidth="1"/>
    <col min="3330" max="3330" width="14" style="94" customWidth="1"/>
    <col min="3331" max="3331" width="17.85546875" style="94" customWidth="1"/>
    <col min="3332" max="3332" width="42.85546875" style="94" bestFit="1" customWidth="1"/>
    <col min="3333" max="3333" width="49.42578125" style="94" bestFit="1" customWidth="1"/>
    <col min="3334" max="3340" width="9.140625" style="94"/>
    <col min="3341" max="3341" width="48.28515625" style="94" bestFit="1" customWidth="1"/>
    <col min="3342" max="3584" width="9.140625" style="94"/>
    <col min="3585" max="3585" width="18.28515625" style="94" customWidth="1"/>
    <col min="3586" max="3586" width="14" style="94" customWidth="1"/>
    <col min="3587" max="3587" width="17.85546875" style="94" customWidth="1"/>
    <col min="3588" max="3588" width="42.85546875" style="94" bestFit="1" customWidth="1"/>
    <col min="3589" max="3589" width="49.42578125" style="94" bestFit="1" customWidth="1"/>
    <col min="3590" max="3596" width="9.140625" style="94"/>
    <col min="3597" max="3597" width="48.28515625" style="94" bestFit="1" customWidth="1"/>
    <col min="3598" max="3840" width="9.140625" style="94"/>
    <col min="3841" max="3841" width="18.28515625" style="94" customWidth="1"/>
    <col min="3842" max="3842" width="14" style="94" customWidth="1"/>
    <col min="3843" max="3843" width="17.85546875" style="94" customWidth="1"/>
    <col min="3844" max="3844" width="42.85546875" style="94" bestFit="1" customWidth="1"/>
    <col min="3845" max="3845" width="49.42578125" style="94" bestFit="1" customWidth="1"/>
    <col min="3846" max="3852" width="9.140625" style="94"/>
    <col min="3853" max="3853" width="48.28515625" style="94" bestFit="1" customWidth="1"/>
    <col min="3854" max="4096" width="9.140625" style="94"/>
    <col min="4097" max="4097" width="18.28515625" style="94" customWidth="1"/>
    <col min="4098" max="4098" width="14" style="94" customWidth="1"/>
    <col min="4099" max="4099" width="17.85546875" style="94" customWidth="1"/>
    <col min="4100" max="4100" width="42.85546875" style="94" bestFit="1" customWidth="1"/>
    <col min="4101" max="4101" width="49.42578125" style="94" bestFit="1" customWidth="1"/>
    <col min="4102" max="4108" width="9.140625" style="94"/>
    <col min="4109" max="4109" width="48.28515625" style="94" bestFit="1" customWidth="1"/>
    <col min="4110" max="4352" width="9.140625" style="94"/>
    <col min="4353" max="4353" width="18.28515625" style="94" customWidth="1"/>
    <col min="4354" max="4354" width="14" style="94" customWidth="1"/>
    <col min="4355" max="4355" width="17.85546875" style="94" customWidth="1"/>
    <col min="4356" max="4356" width="42.85546875" style="94" bestFit="1" customWidth="1"/>
    <col min="4357" max="4357" width="49.42578125" style="94" bestFit="1" customWidth="1"/>
    <col min="4358" max="4364" width="9.140625" style="94"/>
    <col min="4365" max="4365" width="48.28515625" style="94" bestFit="1" customWidth="1"/>
    <col min="4366" max="4608" width="9.140625" style="94"/>
    <col min="4609" max="4609" width="18.28515625" style="94" customWidth="1"/>
    <col min="4610" max="4610" width="14" style="94" customWidth="1"/>
    <col min="4611" max="4611" width="17.85546875" style="94" customWidth="1"/>
    <col min="4612" max="4612" width="42.85546875" style="94" bestFit="1" customWidth="1"/>
    <col min="4613" max="4613" width="49.42578125" style="94" bestFit="1" customWidth="1"/>
    <col min="4614" max="4620" width="9.140625" style="94"/>
    <col min="4621" max="4621" width="48.28515625" style="94" bestFit="1" customWidth="1"/>
    <col min="4622" max="4864" width="9.140625" style="94"/>
    <col min="4865" max="4865" width="18.28515625" style="94" customWidth="1"/>
    <col min="4866" max="4866" width="14" style="94" customWidth="1"/>
    <col min="4867" max="4867" width="17.85546875" style="94" customWidth="1"/>
    <col min="4868" max="4868" width="42.85546875" style="94" bestFit="1" customWidth="1"/>
    <col min="4869" max="4869" width="49.42578125" style="94" bestFit="1" customWidth="1"/>
    <col min="4870" max="4876" width="9.140625" style="94"/>
    <col min="4877" max="4877" width="48.28515625" style="94" bestFit="1" customWidth="1"/>
    <col min="4878" max="5120" width="9.140625" style="94"/>
    <col min="5121" max="5121" width="18.28515625" style="94" customWidth="1"/>
    <col min="5122" max="5122" width="14" style="94" customWidth="1"/>
    <col min="5123" max="5123" width="17.85546875" style="94" customWidth="1"/>
    <col min="5124" max="5124" width="42.85546875" style="94" bestFit="1" customWidth="1"/>
    <col min="5125" max="5125" width="49.42578125" style="94" bestFit="1" customWidth="1"/>
    <col min="5126" max="5132" width="9.140625" style="94"/>
    <col min="5133" max="5133" width="48.28515625" style="94" bestFit="1" customWidth="1"/>
    <col min="5134" max="5376" width="9.140625" style="94"/>
    <col min="5377" max="5377" width="18.28515625" style="94" customWidth="1"/>
    <col min="5378" max="5378" width="14" style="94" customWidth="1"/>
    <col min="5379" max="5379" width="17.85546875" style="94" customWidth="1"/>
    <col min="5380" max="5380" width="42.85546875" style="94" bestFit="1" customWidth="1"/>
    <col min="5381" max="5381" width="49.42578125" style="94" bestFit="1" customWidth="1"/>
    <col min="5382" max="5388" width="9.140625" style="94"/>
    <col min="5389" max="5389" width="48.28515625" style="94" bestFit="1" customWidth="1"/>
    <col min="5390" max="5632" width="9.140625" style="94"/>
    <col min="5633" max="5633" width="18.28515625" style="94" customWidth="1"/>
    <col min="5634" max="5634" width="14" style="94" customWidth="1"/>
    <col min="5635" max="5635" width="17.85546875" style="94" customWidth="1"/>
    <col min="5636" max="5636" width="42.85546875" style="94" bestFit="1" customWidth="1"/>
    <col min="5637" max="5637" width="49.42578125" style="94" bestFit="1" customWidth="1"/>
    <col min="5638" max="5644" width="9.140625" style="94"/>
    <col min="5645" max="5645" width="48.28515625" style="94" bestFit="1" customWidth="1"/>
    <col min="5646" max="5888" width="9.140625" style="94"/>
    <col min="5889" max="5889" width="18.28515625" style="94" customWidth="1"/>
    <col min="5890" max="5890" width="14" style="94" customWidth="1"/>
    <col min="5891" max="5891" width="17.85546875" style="94" customWidth="1"/>
    <col min="5892" max="5892" width="42.85546875" style="94" bestFit="1" customWidth="1"/>
    <col min="5893" max="5893" width="49.42578125" style="94" bestFit="1" customWidth="1"/>
    <col min="5894" max="5900" width="9.140625" style="94"/>
    <col min="5901" max="5901" width="48.28515625" style="94" bestFit="1" customWidth="1"/>
    <col min="5902" max="6144" width="9.140625" style="94"/>
    <col min="6145" max="6145" width="18.28515625" style="94" customWidth="1"/>
    <col min="6146" max="6146" width="14" style="94" customWidth="1"/>
    <col min="6147" max="6147" width="17.85546875" style="94" customWidth="1"/>
    <col min="6148" max="6148" width="42.85546875" style="94" bestFit="1" customWidth="1"/>
    <col min="6149" max="6149" width="49.42578125" style="94" bestFit="1" customWidth="1"/>
    <col min="6150" max="6156" width="9.140625" style="94"/>
    <col min="6157" max="6157" width="48.28515625" style="94" bestFit="1" customWidth="1"/>
    <col min="6158" max="6400" width="9.140625" style="94"/>
    <col min="6401" max="6401" width="18.28515625" style="94" customWidth="1"/>
    <col min="6402" max="6402" width="14" style="94" customWidth="1"/>
    <col min="6403" max="6403" width="17.85546875" style="94" customWidth="1"/>
    <col min="6404" max="6404" width="42.85546875" style="94" bestFit="1" customWidth="1"/>
    <col min="6405" max="6405" width="49.42578125" style="94" bestFit="1" customWidth="1"/>
    <col min="6406" max="6412" width="9.140625" style="94"/>
    <col min="6413" max="6413" width="48.28515625" style="94" bestFit="1" customWidth="1"/>
    <col min="6414" max="6656" width="9.140625" style="94"/>
    <col min="6657" max="6657" width="18.28515625" style="94" customWidth="1"/>
    <col min="6658" max="6658" width="14" style="94" customWidth="1"/>
    <col min="6659" max="6659" width="17.85546875" style="94" customWidth="1"/>
    <col min="6660" max="6660" width="42.85546875" style="94" bestFit="1" customWidth="1"/>
    <col min="6661" max="6661" width="49.42578125" style="94" bestFit="1" customWidth="1"/>
    <col min="6662" max="6668" width="9.140625" style="94"/>
    <col min="6669" max="6669" width="48.28515625" style="94" bestFit="1" customWidth="1"/>
    <col min="6670" max="6912" width="9.140625" style="94"/>
    <col min="6913" max="6913" width="18.28515625" style="94" customWidth="1"/>
    <col min="6914" max="6914" width="14" style="94" customWidth="1"/>
    <col min="6915" max="6915" width="17.85546875" style="94" customWidth="1"/>
    <col min="6916" max="6916" width="42.85546875" style="94" bestFit="1" customWidth="1"/>
    <col min="6917" max="6917" width="49.42578125" style="94" bestFit="1" customWidth="1"/>
    <col min="6918" max="6924" width="9.140625" style="94"/>
    <col min="6925" max="6925" width="48.28515625" style="94" bestFit="1" customWidth="1"/>
    <col min="6926" max="7168" width="9.140625" style="94"/>
    <col min="7169" max="7169" width="18.28515625" style="94" customWidth="1"/>
    <col min="7170" max="7170" width="14" style="94" customWidth="1"/>
    <col min="7171" max="7171" width="17.85546875" style="94" customWidth="1"/>
    <col min="7172" max="7172" width="42.85546875" style="94" bestFit="1" customWidth="1"/>
    <col min="7173" max="7173" width="49.42578125" style="94" bestFit="1" customWidth="1"/>
    <col min="7174" max="7180" width="9.140625" style="94"/>
    <col min="7181" max="7181" width="48.28515625" style="94" bestFit="1" customWidth="1"/>
    <col min="7182" max="7424" width="9.140625" style="94"/>
    <col min="7425" max="7425" width="18.28515625" style="94" customWidth="1"/>
    <col min="7426" max="7426" width="14" style="94" customWidth="1"/>
    <col min="7427" max="7427" width="17.85546875" style="94" customWidth="1"/>
    <col min="7428" max="7428" width="42.85546875" style="94" bestFit="1" customWidth="1"/>
    <col min="7429" max="7429" width="49.42578125" style="94" bestFit="1" customWidth="1"/>
    <col min="7430" max="7436" width="9.140625" style="94"/>
    <col min="7437" max="7437" width="48.28515625" style="94" bestFit="1" customWidth="1"/>
    <col min="7438" max="7680" width="9.140625" style="94"/>
    <col min="7681" max="7681" width="18.28515625" style="94" customWidth="1"/>
    <col min="7682" max="7682" width="14" style="94" customWidth="1"/>
    <col min="7683" max="7683" width="17.85546875" style="94" customWidth="1"/>
    <col min="7684" max="7684" width="42.85546875" style="94" bestFit="1" customWidth="1"/>
    <col min="7685" max="7685" width="49.42578125" style="94" bestFit="1" customWidth="1"/>
    <col min="7686" max="7692" width="9.140625" style="94"/>
    <col min="7693" max="7693" width="48.28515625" style="94" bestFit="1" customWidth="1"/>
    <col min="7694" max="7936" width="9.140625" style="94"/>
    <col min="7937" max="7937" width="18.28515625" style="94" customWidth="1"/>
    <col min="7938" max="7938" width="14" style="94" customWidth="1"/>
    <col min="7939" max="7939" width="17.85546875" style="94" customWidth="1"/>
    <col min="7940" max="7940" width="42.85546875" style="94" bestFit="1" customWidth="1"/>
    <col min="7941" max="7941" width="49.42578125" style="94" bestFit="1" customWidth="1"/>
    <col min="7942" max="7948" width="9.140625" style="94"/>
    <col min="7949" max="7949" width="48.28515625" style="94" bestFit="1" customWidth="1"/>
    <col min="7950" max="8192" width="9.140625" style="94"/>
    <col min="8193" max="8193" width="18.28515625" style="94" customWidth="1"/>
    <col min="8194" max="8194" width="14" style="94" customWidth="1"/>
    <col min="8195" max="8195" width="17.85546875" style="94" customWidth="1"/>
    <col min="8196" max="8196" width="42.85546875" style="94" bestFit="1" customWidth="1"/>
    <col min="8197" max="8197" width="49.42578125" style="94" bestFit="1" customWidth="1"/>
    <col min="8198" max="8204" width="9.140625" style="94"/>
    <col min="8205" max="8205" width="48.28515625" style="94" bestFit="1" customWidth="1"/>
    <col min="8206" max="8448" width="9.140625" style="94"/>
    <col min="8449" max="8449" width="18.28515625" style="94" customWidth="1"/>
    <col min="8450" max="8450" width="14" style="94" customWidth="1"/>
    <col min="8451" max="8451" width="17.85546875" style="94" customWidth="1"/>
    <col min="8452" max="8452" width="42.85546875" style="94" bestFit="1" customWidth="1"/>
    <col min="8453" max="8453" width="49.42578125" style="94" bestFit="1" customWidth="1"/>
    <col min="8454" max="8460" width="9.140625" style="94"/>
    <col min="8461" max="8461" width="48.28515625" style="94" bestFit="1" customWidth="1"/>
    <col min="8462" max="8704" width="9.140625" style="94"/>
    <col min="8705" max="8705" width="18.28515625" style="94" customWidth="1"/>
    <col min="8706" max="8706" width="14" style="94" customWidth="1"/>
    <col min="8707" max="8707" width="17.85546875" style="94" customWidth="1"/>
    <col min="8708" max="8708" width="42.85546875" style="94" bestFit="1" customWidth="1"/>
    <col min="8709" max="8709" width="49.42578125" style="94" bestFit="1" customWidth="1"/>
    <col min="8710" max="8716" width="9.140625" style="94"/>
    <col min="8717" max="8717" width="48.28515625" style="94" bestFit="1" customWidth="1"/>
    <col min="8718" max="8960" width="9.140625" style="94"/>
    <col min="8961" max="8961" width="18.28515625" style="94" customWidth="1"/>
    <col min="8962" max="8962" width="14" style="94" customWidth="1"/>
    <col min="8963" max="8963" width="17.85546875" style="94" customWidth="1"/>
    <col min="8964" max="8964" width="42.85546875" style="94" bestFit="1" customWidth="1"/>
    <col min="8965" max="8965" width="49.42578125" style="94" bestFit="1" customWidth="1"/>
    <col min="8966" max="8972" width="9.140625" style="94"/>
    <col min="8973" max="8973" width="48.28515625" style="94" bestFit="1" customWidth="1"/>
    <col min="8974" max="9216" width="9.140625" style="94"/>
    <col min="9217" max="9217" width="18.28515625" style="94" customWidth="1"/>
    <col min="9218" max="9218" width="14" style="94" customWidth="1"/>
    <col min="9219" max="9219" width="17.85546875" style="94" customWidth="1"/>
    <col min="9220" max="9220" width="42.85546875" style="94" bestFit="1" customWidth="1"/>
    <col min="9221" max="9221" width="49.42578125" style="94" bestFit="1" customWidth="1"/>
    <col min="9222" max="9228" width="9.140625" style="94"/>
    <col min="9229" max="9229" width="48.28515625" style="94" bestFit="1" customWidth="1"/>
    <col min="9230" max="9472" width="9.140625" style="94"/>
    <col min="9473" max="9473" width="18.28515625" style="94" customWidth="1"/>
    <col min="9474" max="9474" width="14" style="94" customWidth="1"/>
    <col min="9475" max="9475" width="17.85546875" style="94" customWidth="1"/>
    <col min="9476" max="9476" width="42.85546875" style="94" bestFit="1" customWidth="1"/>
    <col min="9477" max="9477" width="49.42578125" style="94" bestFit="1" customWidth="1"/>
    <col min="9478" max="9484" width="9.140625" style="94"/>
    <col min="9485" max="9485" width="48.28515625" style="94" bestFit="1" customWidth="1"/>
    <col min="9486" max="9728" width="9.140625" style="94"/>
    <col min="9729" max="9729" width="18.28515625" style="94" customWidth="1"/>
    <col min="9730" max="9730" width="14" style="94" customWidth="1"/>
    <col min="9731" max="9731" width="17.85546875" style="94" customWidth="1"/>
    <col min="9732" max="9732" width="42.85546875" style="94" bestFit="1" customWidth="1"/>
    <col min="9733" max="9733" width="49.42578125" style="94" bestFit="1" customWidth="1"/>
    <col min="9734" max="9740" width="9.140625" style="94"/>
    <col min="9741" max="9741" width="48.28515625" style="94" bestFit="1" customWidth="1"/>
    <col min="9742" max="9984" width="9.140625" style="94"/>
    <col min="9985" max="9985" width="18.28515625" style="94" customWidth="1"/>
    <col min="9986" max="9986" width="14" style="94" customWidth="1"/>
    <col min="9987" max="9987" width="17.85546875" style="94" customWidth="1"/>
    <col min="9988" max="9988" width="42.85546875" style="94" bestFit="1" customWidth="1"/>
    <col min="9989" max="9989" width="49.42578125" style="94" bestFit="1" customWidth="1"/>
    <col min="9990" max="9996" width="9.140625" style="94"/>
    <col min="9997" max="9997" width="48.28515625" style="94" bestFit="1" customWidth="1"/>
    <col min="9998" max="10240" width="9.140625" style="94"/>
    <col min="10241" max="10241" width="18.28515625" style="94" customWidth="1"/>
    <col min="10242" max="10242" width="14" style="94" customWidth="1"/>
    <col min="10243" max="10243" width="17.85546875" style="94" customWidth="1"/>
    <col min="10244" max="10244" width="42.85546875" style="94" bestFit="1" customWidth="1"/>
    <col min="10245" max="10245" width="49.42578125" style="94" bestFit="1" customWidth="1"/>
    <col min="10246" max="10252" width="9.140625" style="94"/>
    <col min="10253" max="10253" width="48.28515625" style="94" bestFit="1" customWidth="1"/>
    <col min="10254" max="10496" width="9.140625" style="94"/>
    <col min="10497" max="10497" width="18.28515625" style="94" customWidth="1"/>
    <col min="10498" max="10498" width="14" style="94" customWidth="1"/>
    <col min="10499" max="10499" width="17.85546875" style="94" customWidth="1"/>
    <col min="10500" max="10500" width="42.85546875" style="94" bestFit="1" customWidth="1"/>
    <col min="10501" max="10501" width="49.42578125" style="94" bestFit="1" customWidth="1"/>
    <col min="10502" max="10508" width="9.140625" style="94"/>
    <col min="10509" max="10509" width="48.28515625" style="94" bestFit="1" customWidth="1"/>
    <col min="10510" max="10752" width="9.140625" style="94"/>
    <col min="10753" max="10753" width="18.28515625" style="94" customWidth="1"/>
    <col min="10754" max="10754" width="14" style="94" customWidth="1"/>
    <col min="10755" max="10755" width="17.85546875" style="94" customWidth="1"/>
    <col min="10756" max="10756" width="42.85546875" style="94" bestFit="1" customWidth="1"/>
    <col min="10757" max="10757" width="49.42578125" style="94" bestFit="1" customWidth="1"/>
    <col min="10758" max="10764" width="9.140625" style="94"/>
    <col min="10765" max="10765" width="48.28515625" style="94" bestFit="1" customWidth="1"/>
    <col min="10766" max="11008" width="9.140625" style="94"/>
    <col min="11009" max="11009" width="18.28515625" style="94" customWidth="1"/>
    <col min="11010" max="11010" width="14" style="94" customWidth="1"/>
    <col min="11011" max="11011" width="17.85546875" style="94" customWidth="1"/>
    <col min="11012" max="11012" width="42.85546875" style="94" bestFit="1" customWidth="1"/>
    <col min="11013" max="11013" width="49.42578125" style="94" bestFit="1" customWidth="1"/>
    <col min="11014" max="11020" width="9.140625" style="94"/>
    <col min="11021" max="11021" width="48.28515625" style="94" bestFit="1" customWidth="1"/>
    <col min="11022" max="11264" width="9.140625" style="94"/>
    <col min="11265" max="11265" width="18.28515625" style="94" customWidth="1"/>
    <col min="11266" max="11266" width="14" style="94" customWidth="1"/>
    <col min="11267" max="11267" width="17.85546875" style="94" customWidth="1"/>
    <col min="11268" max="11268" width="42.85546875" style="94" bestFit="1" customWidth="1"/>
    <col min="11269" max="11269" width="49.42578125" style="94" bestFit="1" customWidth="1"/>
    <col min="11270" max="11276" width="9.140625" style="94"/>
    <col min="11277" max="11277" width="48.28515625" style="94" bestFit="1" customWidth="1"/>
    <col min="11278" max="11520" width="9.140625" style="94"/>
    <col min="11521" max="11521" width="18.28515625" style="94" customWidth="1"/>
    <col min="11522" max="11522" width="14" style="94" customWidth="1"/>
    <col min="11523" max="11523" width="17.85546875" style="94" customWidth="1"/>
    <col min="11524" max="11524" width="42.85546875" style="94" bestFit="1" customWidth="1"/>
    <col min="11525" max="11525" width="49.42578125" style="94" bestFit="1" customWidth="1"/>
    <col min="11526" max="11532" width="9.140625" style="94"/>
    <col min="11533" max="11533" width="48.28515625" style="94" bestFit="1" customWidth="1"/>
    <col min="11534" max="11776" width="9.140625" style="94"/>
    <col min="11777" max="11777" width="18.28515625" style="94" customWidth="1"/>
    <col min="11778" max="11778" width="14" style="94" customWidth="1"/>
    <col min="11779" max="11779" width="17.85546875" style="94" customWidth="1"/>
    <col min="11780" max="11780" width="42.85546875" style="94" bestFit="1" customWidth="1"/>
    <col min="11781" max="11781" width="49.42578125" style="94" bestFit="1" customWidth="1"/>
    <col min="11782" max="11788" width="9.140625" style="94"/>
    <col min="11789" max="11789" width="48.28515625" style="94" bestFit="1" customWidth="1"/>
    <col min="11790" max="12032" width="9.140625" style="94"/>
    <col min="12033" max="12033" width="18.28515625" style="94" customWidth="1"/>
    <col min="12034" max="12034" width="14" style="94" customWidth="1"/>
    <col min="12035" max="12035" width="17.85546875" style="94" customWidth="1"/>
    <col min="12036" max="12036" width="42.85546875" style="94" bestFit="1" customWidth="1"/>
    <col min="12037" max="12037" width="49.42578125" style="94" bestFit="1" customWidth="1"/>
    <col min="12038" max="12044" width="9.140625" style="94"/>
    <col min="12045" max="12045" width="48.28515625" style="94" bestFit="1" customWidth="1"/>
    <col min="12046" max="12288" width="9.140625" style="94"/>
    <col min="12289" max="12289" width="18.28515625" style="94" customWidth="1"/>
    <col min="12290" max="12290" width="14" style="94" customWidth="1"/>
    <col min="12291" max="12291" width="17.85546875" style="94" customWidth="1"/>
    <col min="12292" max="12292" width="42.85546875" style="94" bestFit="1" customWidth="1"/>
    <col min="12293" max="12293" width="49.42578125" style="94" bestFit="1" customWidth="1"/>
    <col min="12294" max="12300" width="9.140625" style="94"/>
    <col min="12301" max="12301" width="48.28515625" style="94" bestFit="1" customWidth="1"/>
    <col min="12302" max="12544" width="9.140625" style="94"/>
    <col min="12545" max="12545" width="18.28515625" style="94" customWidth="1"/>
    <col min="12546" max="12546" width="14" style="94" customWidth="1"/>
    <col min="12547" max="12547" width="17.85546875" style="94" customWidth="1"/>
    <col min="12548" max="12548" width="42.85546875" style="94" bestFit="1" customWidth="1"/>
    <col min="12549" max="12549" width="49.42578125" style="94" bestFit="1" customWidth="1"/>
    <col min="12550" max="12556" width="9.140625" style="94"/>
    <col min="12557" max="12557" width="48.28515625" style="94" bestFit="1" customWidth="1"/>
    <col min="12558" max="12800" width="9.140625" style="94"/>
    <col min="12801" max="12801" width="18.28515625" style="94" customWidth="1"/>
    <col min="12802" max="12802" width="14" style="94" customWidth="1"/>
    <col min="12803" max="12803" width="17.85546875" style="94" customWidth="1"/>
    <col min="12804" max="12804" width="42.85546875" style="94" bestFit="1" customWidth="1"/>
    <col min="12805" max="12805" width="49.42578125" style="94" bestFit="1" customWidth="1"/>
    <col min="12806" max="12812" width="9.140625" style="94"/>
    <col min="12813" max="12813" width="48.28515625" style="94" bestFit="1" customWidth="1"/>
    <col min="12814" max="13056" width="9.140625" style="94"/>
    <col min="13057" max="13057" width="18.28515625" style="94" customWidth="1"/>
    <col min="13058" max="13058" width="14" style="94" customWidth="1"/>
    <col min="13059" max="13059" width="17.85546875" style="94" customWidth="1"/>
    <col min="13060" max="13060" width="42.85546875" style="94" bestFit="1" customWidth="1"/>
    <col min="13061" max="13061" width="49.42578125" style="94" bestFit="1" customWidth="1"/>
    <col min="13062" max="13068" width="9.140625" style="94"/>
    <col min="13069" max="13069" width="48.28515625" style="94" bestFit="1" customWidth="1"/>
    <col min="13070" max="13312" width="9.140625" style="94"/>
    <col min="13313" max="13313" width="18.28515625" style="94" customWidth="1"/>
    <col min="13314" max="13314" width="14" style="94" customWidth="1"/>
    <col min="13315" max="13315" width="17.85546875" style="94" customWidth="1"/>
    <col min="13316" max="13316" width="42.85546875" style="94" bestFit="1" customWidth="1"/>
    <col min="13317" max="13317" width="49.42578125" style="94" bestFit="1" customWidth="1"/>
    <col min="13318" max="13324" width="9.140625" style="94"/>
    <col min="13325" max="13325" width="48.28515625" style="94" bestFit="1" customWidth="1"/>
    <col min="13326" max="13568" width="9.140625" style="94"/>
    <col min="13569" max="13569" width="18.28515625" style="94" customWidth="1"/>
    <col min="13570" max="13570" width="14" style="94" customWidth="1"/>
    <col min="13571" max="13571" width="17.85546875" style="94" customWidth="1"/>
    <col min="13572" max="13572" width="42.85546875" style="94" bestFit="1" customWidth="1"/>
    <col min="13573" max="13573" width="49.42578125" style="94" bestFit="1" customWidth="1"/>
    <col min="13574" max="13580" width="9.140625" style="94"/>
    <col min="13581" max="13581" width="48.28515625" style="94" bestFit="1" customWidth="1"/>
    <col min="13582" max="13824" width="9.140625" style="94"/>
    <col min="13825" max="13825" width="18.28515625" style="94" customWidth="1"/>
    <col min="13826" max="13826" width="14" style="94" customWidth="1"/>
    <col min="13827" max="13827" width="17.85546875" style="94" customWidth="1"/>
    <col min="13828" max="13828" width="42.85546875" style="94" bestFit="1" customWidth="1"/>
    <col min="13829" max="13829" width="49.42578125" style="94" bestFit="1" customWidth="1"/>
    <col min="13830" max="13836" width="9.140625" style="94"/>
    <col min="13837" max="13837" width="48.28515625" style="94" bestFit="1" customWidth="1"/>
    <col min="13838" max="14080" width="9.140625" style="94"/>
    <col min="14081" max="14081" width="18.28515625" style="94" customWidth="1"/>
    <col min="14082" max="14082" width="14" style="94" customWidth="1"/>
    <col min="14083" max="14083" width="17.85546875" style="94" customWidth="1"/>
    <col min="14084" max="14084" width="42.85546875" style="94" bestFit="1" customWidth="1"/>
    <col min="14085" max="14085" width="49.42578125" style="94" bestFit="1" customWidth="1"/>
    <col min="14086" max="14092" width="9.140625" style="94"/>
    <col min="14093" max="14093" width="48.28515625" style="94" bestFit="1" customWidth="1"/>
    <col min="14094" max="14336" width="9.140625" style="94"/>
    <col min="14337" max="14337" width="18.28515625" style="94" customWidth="1"/>
    <col min="14338" max="14338" width="14" style="94" customWidth="1"/>
    <col min="14339" max="14339" width="17.85546875" style="94" customWidth="1"/>
    <col min="14340" max="14340" width="42.85546875" style="94" bestFit="1" customWidth="1"/>
    <col min="14341" max="14341" width="49.42578125" style="94" bestFit="1" customWidth="1"/>
    <col min="14342" max="14348" width="9.140625" style="94"/>
    <col min="14349" max="14349" width="48.28515625" style="94" bestFit="1" customWidth="1"/>
    <col min="14350" max="14592" width="9.140625" style="94"/>
    <col min="14593" max="14593" width="18.28515625" style="94" customWidth="1"/>
    <col min="14594" max="14594" width="14" style="94" customWidth="1"/>
    <col min="14595" max="14595" width="17.85546875" style="94" customWidth="1"/>
    <col min="14596" max="14596" width="42.85546875" style="94" bestFit="1" customWidth="1"/>
    <col min="14597" max="14597" width="49.42578125" style="94" bestFit="1" customWidth="1"/>
    <col min="14598" max="14604" width="9.140625" style="94"/>
    <col min="14605" max="14605" width="48.28515625" style="94" bestFit="1" customWidth="1"/>
    <col min="14606" max="14848" width="9.140625" style="94"/>
    <col min="14849" max="14849" width="18.28515625" style="94" customWidth="1"/>
    <col min="14850" max="14850" width="14" style="94" customWidth="1"/>
    <col min="14851" max="14851" width="17.85546875" style="94" customWidth="1"/>
    <col min="14852" max="14852" width="42.85546875" style="94" bestFit="1" customWidth="1"/>
    <col min="14853" max="14853" width="49.42578125" style="94" bestFit="1" customWidth="1"/>
    <col min="14854" max="14860" width="9.140625" style="94"/>
    <col min="14861" max="14861" width="48.28515625" style="94" bestFit="1" customWidth="1"/>
    <col min="14862" max="15104" width="9.140625" style="94"/>
    <col min="15105" max="15105" width="18.28515625" style="94" customWidth="1"/>
    <col min="15106" max="15106" width="14" style="94" customWidth="1"/>
    <col min="15107" max="15107" width="17.85546875" style="94" customWidth="1"/>
    <col min="15108" max="15108" width="42.85546875" style="94" bestFit="1" customWidth="1"/>
    <col min="15109" max="15109" width="49.42578125" style="94" bestFit="1" customWidth="1"/>
    <col min="15110" max="15116" width="9.140625" style="94"/>
    <col min="15117" max="15117" width="48.28515625" style="94" bestFit="1" customWidth="1"/>
    <col min="15118" max="15360" width="9.140625" style="94"/>
    <col min="15361" max="15361" width="18.28515625" style="94" customWidth="1"/>
    <col min="15362" max="15362" width="14" style="94" customWidth="1"/>
    <col min="15363" max="15363" width="17.85546875" style="94" customWidth="1"/>
    <col min="15364" max="15364" width="42.85546875" style="94" bestFit="1" customWidth="1"/>
    <col min="15365" max="15365" width="49.42578125" style="94" bestFit="1" customWidth="1"/>
    <col min="15366" max="15372" width="9.140625" style="94"/>
    <col min="15373" max="15373" width="48.28515625" style="94" bestFit="1" customWidth="1"/>
    <col min="15374" max="15616" width="9.140625" style="94"/>
    <col min="15617" max="15617" width="18.28515625" style="94" customWidth="1"/>
    <col min="15618" max="15618" width="14" style="94" customWidth="1"/>
    <col min="15619" max="15619" width="17.85546875" style="94" customWidth="1"/>
    <col min="15620" max="15620" width="42.85546875" style="94" bestFit="1" customWidth="1"/>
    <col min="15621" max="15621" width="49.42578125" style="94" bestFit="1" customWidth="1"/>
    <col min="15622" max="15628" width="9.140625" style="94"/>
    <col min="15629" max="15629" width="48.28515625" style="94" bestFit="1" customWidth="1"/>
    <col min="15630" max="15872" width="9.140625" style="94"/>
    <col min="15873" max="15873" width="18.28515625" style="94" customWidth="1"/>
    <col min="15874" max="15874" width="14" style="94" customWidth="1"/>
    <col min="15875" max="15875" width="17.85546875" style="94" customWidth="1"/>
    <col min="15876" max="15876" width="42.85546875" style="94" bestFit="1" customWidth="1"/>
    <col min="15877" max="15877" width="49.42578125" style="94" bestFit="1" customWidth="1"/>
    <col min="15878" max="15884" width="9.140625" style="94"/>
    <col min="15885" max="15885" width="48.28515625" style="94" bestFit="1" customWidth="1"/>
    <col min="15886" max="16128" width="9.140625" style="94"/>
    <col min="16129" max="16129" width="18.28515625" style="94" customWidth="1"/>
    <col min="16130" max="16130" width="14" style="94" customWidth="1"/>
    <col min="16131" max="16131" width="17.85546875" style="94" customWidth="1"/>
    <col min="16132" max="16132" width="42.85546875" style="94" bestFit="1" customWidth="1"/>
    <col min="16133" max="16133" width="49.42578125" style="94" bestFit="1" customWidth="1"/>
    <col min="16134" max="16140" width="9.140625" style="94"/>
    <col min="16141" max="16141" width="48.28515625" style="94" bestFit="1" customWidth="1"/>
    <col min="16142" max="16384" width="9.140625" style="94"/>
  </cols>
  <sheetData>
    <row r="2" spans="1:13" x14ac:dyDescent="0.25">
      <c r="A2" s="93" t="s">
        <v>1766</v>
      </c>
      <c r="B2" s="93"/>
      <c r="C2" s="93"/>
    </row>
    <row r="3" spans="1:13" s="95" customFormat="1" x14ac:dyDescent="0.25">
      <c r="A3" s="95" t="s">
        <v>1767</v>
      </c>
      <c r="B3" s="95" t="s">
        <v>1768</v>
      </c>
      <c r="C3" s="95" t="s">
        <v>3</v>
      </c>
      <c r="L3" s="95" t="s">
        <v>1769</v>
      </c>
      <c r="M3" s="95" t="s">
        <v>1770</v>
      </c>
    </row>
    <row r="4" spans="1:13" ht="15" customHeight="1" x14ac:dyDescent="0.25">
      <c r="A4" s="94" t="s">
        <v>1683</v>
      </c>
      <c r="B4" s="94">
        <v>93</v>
      </c>
      <c r="C4" s="95">
        <v>1</v>
      </c>
      <c r="D4" s="94" t="str">
        <f>VLOOKUP(A4,$L$4:$M$111,2,0)</f>
        <v xml:space="preserve"> Đất có rừng sản xuất là rừng tự nhiên</v>
      </c>
      <c r="E4" s="94" t="str">
        <f>D4&amp;" ("&amp;A4&amp;")"</f>
        <v xml:space="preserve"> Đất có rừng sản xuất là rừng tự nhiên (RSN)</v>
      </c>
      <c r="L4" s="94" t="s">
        <v>1771</v>
      </c>
      <c r="M4" s="94" t="s">
        <v>1772</v>
      </c>
    </row>
    <row r="5" spans="1:13" ht="15" customHeight="1" x14ac:dyDescent="0.25">
      <c r="A5" s="94" t="s">
        <v>1682</v>
      </c>
      <c r="B5" s="94">
        <v>6338</v>
      </c>
      <c r="C5" s="95">
        <v>1</v>
      </c>
      <c r="D5" s="94" t="str">
        <f t="shared" ref="D5:D24" si="0">VLOOKUP(A5,$L$4:$M$111,2,0)</f>
        <v xml:space="preserve"> Đất rừng phòng hộ</v>
      </c>
      <c r="E5" s="94" t="str">
        <f t="shared" ref="E5:E24" si="1">D5&amp;" ("&amp;A5&amp;")"</f>
        <v xml:space="preserve"> Đất rừng phòng hộ (RPH)</v>
      </c>
      <c r="L5" s="94" t="s">
        <v>1773</v>
      </c>
      <c r="M5" s="94" t="s">
        <v>1774</v>
      </c>
    </row>
    <row r="6" spans="1:13" ht="15" customHeight="1" x14ac:dyDescent="0.25">
      <c r="A6" s="94" t="s">
        <v>1679</v>
      </c>
      <c r="B6" s="94">
        <v>1117</v>
      </c>
      <c r="C6" s="95">
        <v>1</v>
      </c>
      <c r="D6" s="94" t="str">
        <f t="shared" si="0"/>
        <v xml:space="preserve"> Đất có rừng phòng hộ là rừng tự nhiên </v>
      </c>
      <c r="E6" s="94" t="str">
        <f t="shared" si="1"/>
        <v xml:space="preserve"> Đất có rừng phòng hộ là rừng tự nhiên  (RPN)</v>
      </c>
      <c r="L6" s="94" t="s">
        <v>1775</v>
      </c>
      <c r="M6" s="94" t="s">
        <v>1776</v>
      </c>
    </row>
    <row r="7" spans="1:13" ht="15" customHeight="1" x14ac:dyDescent="0.25">
      <c r="A7" s="94" t="s">
        <v>1687</v>
      </c>
      <c r="B7" s="94">
        <v>1</v>
      </c>
      <c r="C7" s="95">
        <v>1</v>
      </c>
      <c r="D7" s="94" t="str">
        <f t="shared" si="0"/>
        <v xml:space="preserve"> Đất xây dựng cơ sở giáo dục và đào tạo</v>
      </c>
      <c r="E7" s="94" t="str">
        <f t="shared" si="1"/>
        <v xml:space="preserve"> Đất xây dựng cơ sở giáo dục và đào tạo (DGD)</v>
      </c>
      <c r="L7" s="94" t="s">
        <v>18</v>
      </c>
      <c r="M7" s="94" t="s">
        <v>1777</v>
      </c>
    </row>
    <row r="8" spans="1:13" ht="15" customHeight="1" x14ac:dyDescent="0.25">
      <c r="A8" s="94" t="s">
        <v>1686</v>
      </c>
      <c r="B8" s="94">
        <v>14</v>
      </c>
      <c r="C8" s="95">
        <v>1</v>
      </c>
      <c r="D8" s="94" t="str">
        <f t="shared" si="0"/>
        <v xml:space="preserve"> Đất xây dựng cơ sở thể dục thể thao</v>
      </c>
      <c r="E8" s="94" t="str">
        <f t="shared" si="1"/>
        <v xml:space="preserve"> Đất xây dựng cơ sở thể dục thể thao (DTT)</v>
      </c>
      <c r="L8" s="94" t="s">
        <v>11</v>
      </c>
      <c r="M8" s="94" t="s">
        <v>1778</v>
      </c>
    </row>
    <row r="9" spans="1:13" ht="15" customHeight="1" x14ac:dyDescent="0.25">
      <c r="A9" s="94" t="s">
        <v>1688</v>
      </c>
      <c r="B9" s="94">
        <v>104</v>
      </c>
      <c r="C9" s="95">
        <v>1</v>
      </c>
      <c r="D9" s="94" t="str">
        <f t="shared" si="0"/>
        <v>Đất có mặt nước chuyên dùng</v>
      </c>
      <c r="E9" s="94" t="str">
        <f t="shared" si="1"/>
        <v>Đất có mặt nước chuyên dùng (MNC)</v>
      </c>
      <c r="L9" s="94" t="s">
        <v>1779</v>
      </c>
      <c r="M9" s="94" t="s">
        <v>1780</v>
      </c>
    </row>
    <row r="10" spans="1:13" ht="15" customHeight="1" x14ac:dyDescent="0.25">
      <c r="A10" s="94" t="s">
        <v>1689</v>
      </c>
      <c r="B10" s="94">
        <v>20</v>
      </c>
      <c r="C10" s="95">
        <v>1</v>
      </c>
      <c r="D10" s="94" t="e">
        <f t="shared" si="0"/>
        <v>#N/A</v>
      </c>
      <c r="E10" s="94" t="e">
        <f t="shared" si="1"/>
        <v>#N/A</v>
      </c>
      <c r="L10" s="94" t="s">
        <v>1781</v>
      </c>
      <c r="M10" s="94" t="s">
        <v>1782</v>
      </c>
    </row>
    <row r="11" spans="1:13" ht="15" customHeight="1" x14ac:dyDescent="0.25">
      <c r="A11" s="94" t="s">
        <v>11</v>
      </c>
      <c r="B11" s="94">
        <v>176</v>
      </c>
      <c r="C11" s="95">
        <v>2</v>
      </c>
      <c r="D11" s="94" t="str">
        <f t="shared" si="0"/>
        <v xml:space="preserve"> Đất trồng lúa nước còn lại</v>
      </c>
      <c r="E11" s="94" t="str">
        <f t="shared" si="1"/>
        <v xml:space="preserve"> Đất trồng lúa nước còn lại (LUK)</v>
      </c>
      <c r="L11" s="94" t="s">
        <v>1783</v>
      </c>
      <c r="M11" s="94" t="s">
        <v>1784</v>
      </c>
    </row>
    <row r="12" spans="1:13" ht="15" customHeight="1" x14ac:dyDescent="0.25">
      <c r="A12" s="94" t="s">
        <v>6</v>
      </c>
      <c r="B12" s="94">
        <v>44</v>
      </c>
      <c r="C12" s="95">
        <v>2</v>
      </c>
      <c r="D12" s="94" t="str">
        <f t="shared" si="0"/>
        <v>Đất trồng cây lâu năm</v>
      </c>
      <c r="E12" s="94" t="str">
        <f t="shared" si="1"/>
        <v>Đất trồng cây lâu năm (CLN)</v>
      </c>
      <c r="L12" s="94" t="s">
        <v>25</v>
      </c>
      <c r="M12" s="94" t="s">
        <v>1785</v>
      </c>
    </row>
    <row r="13" spans="1:13" ht="15" customHeight="1" x14ac:dyDescent="0.25">
      <c r="A13" s="94" t="s">
        <v>1684</v>
      </c>
      <c r="B13" s="94">
        <v>184</v>
      </c>
      <c r="C13" s="95">
        <v>2</v>
      </c>
      <c r="D13" s="94" t="str">
        <f t="shared" si="0"/>
        <v xml:space="preserve"> Đất ở tại nông thôn</v>
      </c>
      <c r="E13" s="94" t="str">
        <f t="shared" si="1"/>
        <v xml:space="preserve"> Đất ở tại nông thôn (ONT)</v>
      </c>
      <c r="L13" s="94" t="s">
        <v>6</v>
      </c>
      <c r="M13" s="94" t="s">
        <v>1786</v>
      </c>
    </row>
    <row r="14" spans="1:13" ht="15" customHeight="1" x14ac:dyDescent="0.25">
      <c r="A14" s="94" t="s">
        <v>1680</v>
      </c>
      <c r="B14" s="94">
        <v>61669</v>
      </c>
      <c r="C14" s="95">
        <v>3</v>
      </c>
      <c r="D14" s="94" t="str">
        <f t="shared" si="0"/>
        <v xml:space="preserve"> Đất có rừng phòng hộ là rừng trồng </v>
      </c>
      <c r="E14" s="94" t="str">
        <f t="shared" si="1"/>
        <v xml:space="preserve"> Đất có rừng phòng hộ là rừng trồng  (RPT)</v>
      </c>
      <c r="L14" s="94" t="s">
        <v>1787</v>
      </c>
      <c r="M14" s="94" t="s">
        <v>1788</v>
      </c>
    </row>
    <row r="15" spans="1:13" ht="15" customHeight="1" x14ac:dyDescent="0.25">
      <c r="A15" s="94" t="s">
        <v>1685</v>
      </c>
      <c r="B15" s="94">
        <v>5551</v>
      </c>
      <c r="C15" s="95">
        <v>3</v>
      </c>
      <c r="D15" s="94" t="str">
        <f t="shared" si="0"/>
        <v>Đất làm nghĩa trang, nghĩa địa, nhà tang lễ, NHT</v>
      </c>
      <c r="E15" s="94" t="str">
        <f t="shared" si="1"/>
        <v>Đất làm nghĩa trang, nghĩa địa, nhà tang lễ, NHT (NTD)</v>
      </c>
      <c r="L15" s="94" t="s">
        <v>1789</v>
      </c>
      <c r="M15" s="94" t="s">
        <v>1790</v>
      </c>
    </row>
    <row r="16" spans="1:13" ht="15" customHeight="1" x14ac:dyDescent="0.25">
      <c r="A16" s="94" t="s">
        <v>6</v>
      </c>
      <c r="B16" s="94">
        <v>322</v>
      </c>
      <c r="C16" s="95">
        <v>4</v>
      </c>
      <c r="D16" s="94" t="str">
        <f t="shared" si="0"/>
        <v>Đất trồng cây lâu năm</v>
      </c>
      <c r="E16" s="94" t="str">
        <f t="shared" si="1"/>
        <v>Đất trồng cây lâu năm (CLN)</v>
      </c>
      <c r="L16" s="94" t="s">
        <v>1683</v>
      </c>
      <c r="M16" s="94" t="s">
        <v>1791</v>
      </c>
    </row>
    <row r="17" spans="1:13" ht="15" customHeight="1" x14ac:dyDescent="0.25">
      <c r="A17" s="94" t="s">
        <v>37</v>
      </c>
      <c r="B17" s="94">
        <v>233</v>
      </c>
      <c r="C17" s="95">
        <v>6</v>
      </c>
      <c r="D17" s="94" t="str">
        <f t="shared" si="0"/>
        <v>Đất sông, ngòi, kênh, rạch, suối</v>
      </c>
      <c r="E17" s="94" t="str">
        <f t="shared" si="1"/>
        <v>Đất sông, ngòi, kênh, rạch, suối (SON)</v>
      </c>
      <c r="L17" s="94" t="s">
        <v>1681</v>
      </c>
      <c r="M17" s="94" t="s">
        <v>1792</v>
      </c>
    </row>
    <row r="18" spans="1:13" ht="15" customHeight="1" x14ac:dyDescent="0.25">
      <c r="A18" s="94" t="s">
        <v>1681</v>
      </c>
      <c r="B18" s="94">
        <v>4965</v>
      </c>
      <c r="C18" s="95">
        <v>7</v>
      </c>
      <c r="D18" s="94" t="str">
        <f t="shared" si="0"/>
        <v xml:space="preserve"> Đất có rừng sản xuất là rừng trồng</v>
      </c>
      <c r="E18" s="94" t="str">
        <f t="shared" si="1"/>
        <v xml:space="preserve"> Đất có rừng sản xuất là rừng trồng (RST)</v>
      </c>
      <c r="L18" s="94" t="s">
        <v>1793</v>
      </c>
      <c r="M18" s="94" t="s">
        <v>1794</v>
      </c>
    </row>
    <row r="19" spans="1:13" ht="15" customHeight="1" x14ac:dyDescent="0.25">
      <c r="A19" s="94" t="s">
        <v>25</v>
      </c>
      <c r="B19" s="94">
        <v>2530</v>
      </c>
      <c r="C19" s="95">
        <v>15</v>
      </c>
      <c r="D19" s="94" t="str">
        <f t="shared" si="0"/>
        <v xml:space="preserve"> Đất nương rẫy trồng cây hàng năm khác</v>
      </c>
      <c r="E19" s="94" t="str">
        <f t="shared" si="1"/>
        <v xml:space="preserve"> Đất nương rẫy trồng cây hàng năm khác (NHK)</v>
      </c>
      <c r="L19" s="94" t="s">
        <v>1682</v>
      </c>
      <c r="M19" s="94" t="s">
        <v>1795</v>
      </c>
    </row>
    <row r="20" spans="1:13" ht="15" customHeight="1" x14ac:dyDescent="0.25">
      <c r="A20" s="94" t="s">
        <v>34</v>
      </c>
      <c r="B20" s="94">
        <v>2532</v>
      </c>
      <c r="C20" s="95">
        <v>17</v>
      </c>
      <c r="D20" s="94" t="str">
        <f t="shared" si="0"/>
        <v xml:space="preserve"> Đất đồi núi chưa sử dụng</v>
      </c>
      <c r="E20" s="94" t="str">
        <f t="shared" si="1"/>
        <v xml:space="preserve"> Đất đồi núi chưa sử dụng (DCS)</v>
      </c>
      <c r="L20" s="94" t="s">
        <v>1679</v>
      </c>
      <c r="M20" s="94" t="s">
        <v>1796</v>
      </c>
    </row>
    <row r="21" spans="1:13" ht="15" customHeight="1" x14ac:dyDescent="0.25">
      <c r="A21" s="94" t="s">
        <v>7</v>
      </c>
      <c r="B21" s="94">
        <v>36993</v>
      </c>
      <c r="C21" s="95">
        <v>18</v>
      </c>
      <c r="D21" s="94" t="str">
        <f t="shared" si="0"/>
        <v xml:space="preserve"> Đất giao thông</v>
      </c>
      <c r="E21" s="94" t="str">
        <f t="shared" si="1"/>
        <v xml:space="preserve"> Đất giao thông (DGT)</v>
      </c>
      <c r="L21" s="94" t="s">
        <v>1680</v>
      </c>
      <c r="M21" s="94" t="s">
        <v>1797</v>
      </c>
    </row>
    <row r="22" spans="1:13" ht="15" customHeight="1" x14ac:dyDescent="0.25">
      <c r="A22" s="94" t="s">
        <v>6</v>
      </c>
      <c r="B22" s="94">
        <v>3897</v>
      </c>
      <c r="C22" s="95">
        <v>31</v>
      </c>
      <c r="D22" s="94" t="str">
        <f t="shared" si="0"/>
        <v>Đất trồng cây lâu năm</v>
      </c>
      <c r="E22" s="94" t="str">
        <f t="shared" si="1"/>
        <v>Đất trồng cây lâu năm (CLN)</v>
      </c>
      <c r="L22" s="94" t="s">
        <v>1798</v>
      </c>
      <c r="M22" s="94" t="s">
        <v>1799</v>
      </c>
    </row>
    <row r="23" spans="1:13" ht="15" customHeight="1" x14ac:dyDescent="0.25">
      <c r="A23" s="94" t="s">
        <v>18</v>
      </c>
      <c r="B23" s="94">
        <v>3103</v>
      </c>
      <c r="C23" s="95">
        <v>32</v>
      </c>
      <c r="D23" s="94" t="str">
        <f t="shared" si="0"/>
        <v xml:space="preserve"> Đất chuyên trồng lúa nước</v>
      </c>
      <c r="E23" s="94" t="str">
        <f t="shared" si="1"/>
        <v xml:space="preserve"> Đất chuyên trồng lúa nước (LUC)</v>
      </c>
      <c r="L23" s="94" t="s">
        <v>1800</v>
      </c>
      <c r="M23" s="94" t="s">
        <v>1801</v>
      </c>
    </row>
    <row r="24" spans="1:13" ht="15" customHeight="1" x14ac:dyDescent="0.25">
      <c r="A24" s="94" t="s">
        <v>6</v>
      </c>
      <c r="B24" s="94">
        <v>44442</v>
      </c>
      <c r="C24" s="95">
        <v>84</v>
      </c>
      <c r="D24" s="94" t="str">
        <f t="shared" si="0"/>
        <v>Đất trồng cây lâu năm</v>
      </c>
      <c r="E24" s="94" t="str">
        <f t="shared" si="1"/>
        <v>Đất trồng cây lâu năm (CLN)</v>
      </c>
      <c r="L24" s="94" t="s">
        <v>1802</v>
      </c>
      <c r="M24" s="94" t="s">
        <v>1803</v>
      </c>
    </row>
    <row r="25" spans="1:13" x14ac:dyDescent="0.25">
      <c r="L25" s="94" t="s">
        <v>1804</v>
      </c>
      <c r="M25" s="94" t="s">
        <v>1805</v>
      </c>
    </row>
    <row r="26" spans="1:13" x14ac:dyDescent="0.25">
      <c r="L26" s="94" t="s">
        <v>1806</v>
      </c>
      <c r="M26" s="94" t="s">
        <v>1807</v>
      </c>
    </row>
    <row r="27" spans="1:13" x14ac:dyDescent="0.25">
      <c r="A27" s="94" t="s">
        <v>6</v>
      </c>
      <c r="B27" s="94">
        <f>SUMIFS(B4:B24,A4:A24,A27)</f>
        <v>48705</v>
      </c>
      <c r="L27" s="94" t="s">
        <v>1808</v>
      </c>
      <c r="M27" s="94" t="s">
        <v>1809</v>
      </c>
    </row>
    <row r="28" spans="1:13" x14ac:dyDescent="0.25">
      <c r="L28" s="94" t="s">
        <v>1810</v>
      </c>
      <c r="M28" s="94" t="s">
        <v>1811</v>
      </c>
    </row>
    <row r="29" spans="1:13" x14ac:dyDescent="0.25">
      <c r="L29" s="94" t="s">
        <v>1812</v>
      </c>
      <c r="M29" s="94" t="s">
        <v>1813</v>
      </c>
    </row>
    <row r="30" spans="1:13" x14ac:dyDescent="0.25">
      <c r="L30" s="94" t="s">
        <v>1814</v>
      </c>
      <c r="M30" s="94" t="s">
        <v>1815</v>
      </c>
    </row>
    <row r="31" spans="1:13" x14ac:dyDescent="0.25">
      <c r="L31" s="94" t="s">
        <v>1816</v>
      </c>
      <c r="M31" s="94" t="s">
        <v>1817</v>
      </c>
    </row>
    <row r="32" spans="1:13" x14ac:dyDescent="0.25">
      <c r="L32" s="94" t="s">
        <v>1684</v>
      </c>
      <c r="M32" s="94" t="s">
        <v>1818</v>
      </c>
    </row>
    <row r="33" spans="12:13" x14ac:dyDescent="0.25">
      <c r="L33" s="94" t="s">
        <v>1819</v>
      </c>
      <c r="M33" s="94" t="s">
        <v>1820</v>
      </c>
    </row>
    <row r="34" spans="12:13" x14ac:dyDescent="0.25">
      <c r="L34" s="94" t="s">
        <v>1821</v>
      </c>
      <c r="M34" s="94" t="s">
        <v>1822</v>
      </c>
    </row>
    <row r="35" spans="12:13" x14ac:dyDescent="0.25">
      <c r="L35" s="94" t="s">
        <v>1823</v>
      </c>
      <c r="M35" s="94" t="s">
        <v>1824</v>
      </c>
    </row>
    <row r="36" spans="12:13" x14ac:dyDescent="0.25">
      <c r="L36" s="94" t="s">
        <v>1825</v>
      </c>
      <c r="M36" s="94" t="s">
        <v>1826</v>
      </c>
    </row>
    <row r="37" spans="12:13" x14ac:dyDescent="0.25">
      <c r="L37" s="94" t="s">
        <v>1827</v>
      </c>
      <c r="M37" s="94" t="s">
        <v>1828</v>
      </c>
    </row>
    <row r="38" spans="12:13" x14ac:dyDescent="0.25">
      <c r="L38" s="94" t="s">
        <v>1829</v>
      </c>
      <c r="M38" s="94" t="s">
        <v>1830</v>
      </c>
    </row>
    <row r="39" spans="12:13" x14ac:dyDescent="0.25">
      <c r="L39" s="94" t="s">
        <v>1831</v>
      </c>
      <c r="M39" s="94" t="s">
        <v>1832</v>
      </c>
    </row>
    <row r="40" spans="12:13" x14ac:dyDescent="0.25">
      <c r="L40" s="94" t="s">
        <v>1833</v>
      </c>
      <c r="M40" s="94" t="s">
        <v>1834</v>
      </c>
    </row>
    <row r="41" spans="12:13" x14ac:dyDescent="0.25">
      <c r="L41" s="94" t="s">
        <v>1835</v>
      </c>
      <c r="M41" s="94" t="s">
        <v>1836</v>
      </c>
    </row>
    <row r="42" spans="12:13" x14ac:dyDescent="0.25">
      <c r="L42" s="94" t="s">
        <v>1837</v>
      </c>
      <c r="M42" s="94" t="s">
        <v>1838</v>
      </c>
    </row>
    <row r="43" spans="12:13" x14ac:dyDescent="0.25">
      <c r="L43" s="94" t="s">
        <v>1687</v>
      </c>
      <c r="M43" s="94" t="s">
        <v>1839</v>
      </c>
    </row>
    <row r="44" spans="12:13" x14ac:dyDescent="0.25">
      <c r="L44" s="94" t="s">
        <v>1686</v>
      </c>
      <c r="M44" s="94" t="s">
        <v>1840</v>
      </c>
    </row>
    <row r="45" spans="12:13" x14ac:dyDescent="0.25">
      <c r="L45" s="94" t="s">
        <v>1841</v>
      </c>
      <c r="M45" s="94" t="s">
        <v>1842</v>
      </c>
    </row>
    <row r="46" spans="12:13" x14ac:dyDescent="0.25">
      <c r="L46" s="94" t="s">
        <v>1843</v>
      </c>
      <c r="M46" s="94" t="s">
        <v>1844</v>
      </c>
    </row>
    <row r="47" spans="12:13" x14ac:dyDescent="0.25">
      <c r="L47" s="94" t="s">
        <v>1845</v>
      </c>
      <c r="M47" s="94" t="s">
        <v>1846</v>
      </c>
    </row>
    <row r="48" spans="12:13" x14ac:dyDescent="0.25">
      <c r="L48" s="94" t="s">
        <v>1847</v>
      </c>
      <c r="M48" s="94" t="s">
        <v>1848</v>
      </c>
    </row>
    <row r="49" spans="12:13" x14ac:dyDescent="0.25">
      <c r="L49" s="94" t="s">
        <v>1849</v>
      </c>
      <c r="M49" s="94" t="s">
        <v>1850</v>
      </c>
    </row>
    <row r="50" spans="12:13" x14ac:dyDescent="0.25">
      <c r="L50" s="94" t="s">
        <v>1851</v>
      </c>
      <c r="M50" s="94" t="s">
        <v>1852</v>
      </c>
    </row>
    <row r="51" spans="12:13" x14ac:dyDescent="0.25">
      <c r="L51" s="94" t="s">
        <v>1853</v>
      </c>
      <c r="M51" s="94" t="s">
        <v>1854</v>
      </c>
    </row>
    <row r="52" spans="12:13" x14ac:dyDescent="0.25">
      <c r="L52" s="94" t="s">
        <v>1855</v>
      </c>
      <c r="M52" s="94" t="s">
        <v>1856</v>
      </c>
    </row>
    <row r="53" spans="12:13" x14ac:dyDescent="0.25">
      <c r="L53" s="94" t="s">
        <v>1857</v>
      </c>
      <c r="M53" s="94" t="s">
        <v>1858</v>
      </c>
    </row>
    <row r="54" spans="12:13" x14ac:dyDescent="0.25">
      <c r="L54" s="94" t="s">
        <v>1859</v>
      </c>
      <c r="M54" s="94" t="s">
        <v>1860</v>
      </c>
    </row>
    <row r="55" spans="12:13" x14ac:dyDescent="0.25">
      <c r="L55" s="94" t="s">
        <v>1861</v>
      </c>
      <c r="M55" s="94" t="s">
        <v>1862</v>
      </c>
    </row>
    <row r="56" spans="12:13" x14ac:dyDescent="0.25">
      <c r="L56" s="94" t="s">
        <v>1863</v>
      </c>
      <c r="M56" s="94" t="s">
        <v>1864</v>
      </c>
    </row>
    <row r="57" spans="12:13" x14ac:dyDescent="0.25">
      <c r="L57" s="94" t="s">
        <v>7</v>
      </c>
      <c r="M57" s="94" t="s">
        <v>1865</v>
      </c>
    </row>
    <row r="58" spans="12:13" x14ac:dyDescent="0.25">
      <c r="L58" s="94" t="s">
        <v>1866</v>
      </c>
      <c r="M58" s="94" t="s">
        <v>1867</v>
      </c>
    </row>
    <row r="59" spans="12:13" x14ac:dyDescent="0.25">
      <c r="L59" s="94" t="s">
        <v>1868</v>
      </c>
      <c r="M59" s="94" t="s">
        <v>1869</v>
      </c>
    </row>
    <row r="60" spans="12:13" x14ac:dyDescent="0.25">
      <c r="L60" s="94" t="s">
        <v>1870</v>
      </c>
      <c r="M60" s="94" t="s">
        <v>1871</v>
      </c>
    </row>
    <row r="61" spans="12:13" x14ac:dyDescent="0.25">
      <c r="L61" s="94" t="s">
        <v>1872</v>
      </c>
      <c r="M61" s="94" t="s">
        <v>1873</v>
      </c>
    </row>
    <row r="62" spans="12:13" x14ac:dyDescent="0.25">
      <c r="L62" s="94" t="s">
        <v>1874</v>
      </c>
      <c r="M62" s="94" t="s">
        <v>1875</v>
      </c>
    </row>
    <row r="63" spans="12:13" x14ac:dyDescent="0.25">
      <c r="L63" s="94" t="s">
        <v>1876</v>
      </c>
      <c r="M63" s="94" t="s">
        <v>1877</v>
      </c>
    </row>
    <row r="64" spans="12:13" x14ac:dyDescent="0.25">
      <c r="L64" s="94" t="s">
        <v>1878</v>
      </c>
      <c r="M64" s="94" t="s">
        <v>1879</v>
      </c>
    </row>
    <row r="65" spans="12:13" x14ac:dyDescent="0.25">
      <c r="L65" s="94" t="s">
        <v>1880</v>
      </c>
      <c r="M65" s="94" t="s">
        <v>1881</v>
      </c>
    </row>
    <row r="66" spans="12:13" x14ac:dyDescent="0.25">
      <c r="L66" s="94" t="s">
        <v>1882</v>
      </c>
      <c r="M66" s="94" t="s">
        <v>1883</v>
      </c>
    </row>
    <row r="67" spans="12:13" x14ac:dyDescent="0.25">
      <c r="L67" s="94" t="s">
        <v>1884</v>
      </c>
      <c r="M67" s="94" t="s">
        <v>1885</v>
      </c>
    </row>
    <row r="68" spans="12:13" x14ac:dyDescent="0.25">
      <c r="L68" s="94" t="s">
        <v>1886</v>
      </c>
      <c r="M68" s="94" t="s">
        <v>1887</v>
      </c>
    </row>
    <row r="69" spans="12:13" x14ac:dyDescent="0.25">
      <c r="L69" s="94" t="s">
        <v>1888</v>
      </c>
      <c r="M69" s="94" t="s">
        <v>1889</v>
      </c>
    </row>
    <row r="70" spans="12:13" x14ac:dyDescent="0.25">
      <c r="L70" s="94" t="s">
        <v>1685</v>
      </c>
      <c r="M70" s="94" t="s">
        <v>1890</v>
      </c>
    </row>
    <row r="71" spans="12:13" x14ac:dyDescent="0.25">
      <c r="L71" s="94" t="s">
        <v>37</v>
      </c>
      <c r="M71" s="94" t="s">
        <v>1891</v>
      </c>
    </row>
    <row r="72" spans="12:13" x14ac:dyDescent="0.25">
      <c r="L72" s="94" t="s">
        <v>1688</v>
      </c>
      <c r="M72" s="94" t="s">
        <v>1892</v>
      </c>
    </row>
    <row r="73" spans="12:13" x14ac:dyDescent="0.25">
      <c r="L73" s="94" t="s">
        <v>1893</v>
      </c>
      <c r="M73" s="94" t="s">
        <v>1894</v>
      </c>
    </row>
    <row r="74" spans="12:13" x14ac:dyDescent="0.25">
      <c r="L74" s="94" t="s">
        <v>1769</v>
      </c>
      <c r="M74" s="94" t="s">
        <v>1770</v>
      </c>
    </row>
    <row r="75" spans="12:13" x14ac:dyDescent="0.25">
      <c r="L75" s="94" t="s">
        <v>1771</v>
      </c>
      <c r="M75" s="94" t="s">
        <v>1772</v>
      </c>
    </row>
    <row r="76" spans="12:13" x14ac:dyDescent="0.25">
      <c r="L76" s="94" t="s">
        <v>1773</v>
      </c>
      <c r="M76" s="94" t="s">
        <v>1774</v>
      </c>
    </row>
    <row r="77" spans="12:13" x14ac:dyDescent="0.25">
      <c r="L77" s="94" t="s">
        <v>1775</v>
      </c>
      <c r="M77" s="94" t="s">
        <v>1776</v>
      </c>
    </row>
    <row r="78" spans="12:13" x14ac:dyDescent="0.25">
      <c r="L78" s="94" t="s">
        <v>1781</v>
      </c>
      <c r="M78" s="94" t="s">
        <v>1782</v>
      </c>
    </row>
    <row r="79" spans="12:13" x14ac:dyDescent="0.25">
      <c r="L79" s="94" t="s">
        <v>6</v>
      </c>
      <c r="M79" s="94" t="s">
        <v>1786</v>
      </c>
    </row>
    <row r="80" spans="12:13" x14ac:dyDescent="0.25">
      <c r="L80" s="94" t="s">
        <v>1787</v>
      </c>
      <c r="M80" s="94" t="s">
        <v>1788</v>
      </c>
    </row>
    <row r="81" spans="12:13" x14ac:dyDescent="0.25">
      <c r="L81" s="94" t="s">
        <v>1789</v>
      </c>
      <c r="M81" s="94" t="s">
        <v>1790</v>
      </c>
    </row>
    <row r="82" spans="12:13" x14ac:dyDescent="0.25">
      <c r="L82" s="94" t="s">
        <v>1682</v>
      </c>
      <c r="M82" s="94" t="s">
        <v>1795</v>
      </c>
    </row>
    <row r="83" spans="12:13" x14ac:dyDescent="0.25">
      <c r="L83" s="94" t="s">
        <v>1800</v>
      </c>
      <c r="M83" s="94" t="s">
        <v>1801</v>
      </c>
    </row>
    <row r="84" spans="12:13" x14ac:dyDescent="0.25">
      <c r="L84" s="94" t="s">
        <v>1808</v>
      </c>
      <c r="M84" s="94" t="s">
        <v>1809</v>
      </c>
    </row>
    <row r="85" spans="12:13" x14ac:dyDescent="0.25">
      <c r="L85" s="94" t="s">
        <v>1810</v>
      </c>
      <c r="M85" s="94" t="s">
        <v>1811</v>
      </c>
    </row>
    <row r="86" spans="12:13" x14ac:dyDescent="0.25">
      <c r="L86" s="94" t="s">
        <v>1812</v>
      </c>
      <c r="M86" s="94" t="s">
        <v>1813</v>
      </c>
    </row>
    <row r="87" spans="12:13" x14ac:dyDescent="0.25">
      <c r="L87" s="94" t="s">
        <v>1814</v>
      </c>
      <c r="M87" s="94" t="s">
        <v>1815</v>
      </c>
    </row>
    <row r="88" spans="12:13" x14ac:dyDescent="0.25">
      <c r="L88" s="94" t="s">
        <v>1816</v>
      </c>
      <c r="M88" s="94" t="s">
        <v>1817</v>
      </c>
    </row>
    <row r="89" spans="12:13" x14ac:dyDescent="0.25">
      <c r="L89" s="94" t="s">
        <v>1684</v>
      </c>
      <c r="M89" s="94" t="s">
        <v>1818</v>
      </c>
    </row>
    <row r="90" spans="12:13" x14ac:dyDescent="0.25">
      <c r="L90" s="94" t="s">
        <v>1819</v>
      </c>
      <c r="M90" s="94" t="s">
        <v>1820</v>
      </c>
    </row>
    <row r="91" spans="12:13" x14ac:dyDescent="0.25">
      <c r="L91" s="94" t="s">
        <v>1821</v>
      </c>
      <c r="M91" s="94" t="s">
        <v>1822</v>
      </c>
    </row>
    <row r="92" spans="12:13" x14ac:dyDescent="0.25">
      <c r="L92" s="94" t="s">
        <v>1823</v>
      </c>
      <c r="M92" s="94" t="s">
        <v>1824</v>
      </c>
    </row>
    <row r="93" spans="12:13" x14ac:dyDescent="0.25">
      <c r="L93" s="94" t="s">
        <v>1825</v>
      </c>
      <c r="M93" s="94" t="s">
        <v>1826</v>
      </c>
    </row>
    <row r="94" spans="12:13" x14ac:dyDescent="0.25">
      <c r="L94" s="94" t="s">
        <v>1827</v>
      </c>
      <c r="M94" s="94" t="s">
        <v>1828</v>
      </c>
    </row>
    <row r="95" spans="12:13" x14ac:dyDescent="0.25">
      <c r="L95" s="94" t="s">
        <v>1829</v>
      </c>
      <c r="M95" s="94" t="s">
        <v>1830</v>
      </c>
    </row>
    <row r="96" spans="12:13" x14ac:dyDescent="0.25">
      <c r="L96" s="94" t="s">
        <v>1847</v>
      </c>
      <c r="M96" s="94" t="s">
        <v>1848</v>
      </c>
    </row>
    <row r="97" spans="12:13" x14ac:dyDescent="0.25">
      <c r="L97" s="94" t="s">
        <v>1863</v>
      </c>
      <c r="M97" s="94" t="s">
        <v>1864</v>
      </c>
    </row>
    <row r="98" spans="12:13" x14ac:dyDescent="0.25">
      <c r="L98" s="94" t="s">
        <v>1886</v>
      </c>
      <c r="M98" s="94" t="s">
        <v>1887</v>
      </c>
    </row>
    <row r="99" spans="12:13" x14ac:dyDescent="0.25">
      <c r="L99" s="94" t="s">
        <v>1888</v>
      </c>
      <c r="M99" s="94" t="s">
        <v>1889</v>
      </c>
    </row>
    <row r="100" spans="12:13" x14ac:dyDescent="0.25">
      <c r="L100" s="94" t="s">
        <v>1685</v>
      </c>
      <c r="M100" s="94" t="s">
        <v>1911</v>
      </c>
    </row>
    <row r="101" spans="12:13" x14ac:dyDescent="0.25">
      <c r="L101" s="94" t="s">
        <v>37</v>
      </c>
      <c r="M101" s="94" t="s">
        <v>1891</v>
      </c>
    </row>
    <row r="102" spans="12:13" x14ac:dyDescent="0.25">
      <c r="L102" s="94" t="s">
        <v>1688</v>
      </c>
      <c r="M102" s="94" t="s">
        <v>1892</v>
      </c>
    </row>
    <row r="103" spans="12:13" x14ac:dyDescent="0.25">
      <c r="L103" s="94" t="s">
        <v>1893</v>
      </c>
      <c r="M103" s="94" t="s">
        <v>1912</v>
      </c>
    </row>
    <row r="104" spans="12:13" x14ac:dyDescent="0.25">
      <c r="L104" s="94" t="s">
        <v>1914</v>
      </c>
      <c r="M104" s="94" t="s">
        <v>1913</v>
      </c>
    </row>
    <row r="105" spans="12:13" x14ac:dyDescent="0.25">
      <c r="L105" s="94" t="s">
        <v>1916</v>
      </c>
      <c r="M105" s="94" t="s">
        <v>1915</v>
      </c>
    </row>
    <row r="106" spans="12:13" x14ac:dyDescent="0.25">
      <c r="L106" s="94" t="s">
        <v>34</v>
      </c>
      <c r="M106" s="94" t="s">
        <v>1917</v>
      </c>
    </row>
    <row r="107" spans="12:13" x14ac:dyDescent="0.25">
      <c r="L107" s="94" t="s">
        <v>1919</v>
      </c>
      <c r="M107" s="94" t="s">
        <v>1918</v>
      </c>
    </row>
    <row r="108" spans="12:13" x14ac:dyDescent="0.25">
      <c r="L108" s="94" t="s">
        <v>1921</v>
      </c>
      <c r="M108" s="94" t="s">
        <v>1920</v>
      </c>
    </row>
    <row r="109" spans="12:13" x14ac:dyDescent="0.25">
      <c r="L109" s="94" t="s">
        <v>1923</v>
      </c>
      <c r="M109" s="94" t="s">
        <v>1922</v>
      </c>
    </row>
    <row r="110" spans="12:13" x14ac:dyDescent="0.25">
      <c r="L110" s="94" t="s">
        <v>1925</v>
      </c>
      <c r="M110" s="94" t="s">
        <v>1924</v>
      </c>
    </row>
    <row r="111" spans="12:13" x14ac:dyDescent="0.25">
      <c r="L111" s="94" t="s">
        <v>1927</v>
      </c>
      <c r="M111" s="94" t="s">
        <v>1926</v>
      </c>
    </row>
  </sheetData>
  <mergeCells count="1">
    <mergeCell ref="A2:C2"/>
  </mergeCells>
  <pageMargins left="0.7" right="0.7" top="0.75" bottom="0.75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944"/>
  <sheetViews>
    <sheetView topLeftCell="A2907" workbookViewId="0">
      <selection activeCell="B1935" sqref="B1935"/>
    </sheetView>
  </sheetViews>
  <sheetFormatPr defaultRowHeight="15" x14ac:dyDescent="0.25"/>
  <cols>
    <col min="1" max="1" width="15.7109375" style="25" bestFit="1" customWidth="1"/>
    <col min="2" max="2" width="13.5703125" style="25" bestFit="1" customWidth="1"/>
    <col min="3" max="3" width="22.7109375" style="25" bestFit="1" customWidth="1"/>
    <col min="4" max="4" width="11.7109375" style="25" bestFit="1" customWidth="1"/>
    <col min="5" max="256" width="9.140625" style="25"/>
    <col min="257" max="257" width="15.7109375" style="25" bestFit="1" customWidth="1"/>
    <col min="258" max="258" width="13.5703125" style="25" bestFit="1" customWidth="1"/>
    <col min="259" max="259" width="22.7109375" style="25" bestFit="1" customWidth="1"/>
    <col min="260" max="512" width="9.140625" style="25"/>
    <col min="513" max="513" width="15.7109375" style="25" bestFit="1" customWidth="1"/>
    <col min="514" max="514" width="13.5703125" style="25" bestFit="1" customWidth="1"/>
    <col min="515" max="515" width="22.7109375" style="25" bestFit="1" customWidth="1"/>
    <col min="516" max="768" width="9.140625" style="25"/>
    <col min="769" max="769" width="15.7109375" style="25" bestFit="1" customWidth="1"/>
    <col min="770" max="770" width="13.5703125" style="25" bestFit="1" customWidth="1"/>
    <col min="771" max="771" width="22.7109375" style="25" bestFit="1" customWidth="1"/>
    <col min="772" max="1024" width="9.140625" style="25"/>
    <col min="1025" max="1025" width="15.7109375" style="25" bestFit="1" customWidth="1"/>
    <col min="1026" max="1026" width="13.5703125" style="25" bestFit="1" customWidth="1"/>
    <col min="1027" max="1027" width="22.7109375" style="25" bestFit="1" customWidth="1"/>
    <col min="1028" max="1280" width="9.140625" style="25"/>
    <col min="1281" max="1281" width="15.7109375" style="25" bestFit="1" customWidth="1"/>
    <col min="1282" max="1282" width="13.5703125" style="25" bestFit="1" customWidth="1"/>
    <col min="1283" max="1283" width="22.7109375" style="25" bestFit="1" customWidth="1"/>
    <col min="1284" max="1536" width="9.140625" style="25"/>
    <col min="1537" max="1537" width="15.7109375" style="25" bestFit="1" customWidth="1"/>
    <col min="1538" max="1538" width="13.5703125" style="25" bestFit="1" customWidth="1"/>
    <col min="1539" max="1539" width="22.7109375" style="25" bestFit="1" customWidth="1"/>
    <col min="1540" max="1792" width="9.140625" style="25"/>
    <col min="1793" max="1793" width="15.7109375" style="25" bestFit="1" customWidth="1"/>
    <col min="1794" max="1794" width="13.5703125" style="25" bestFit="1" customWidth="1"/>
    <col min="1795" max="1795" width="22.7109375" style="25" bestFit="1" customWidth="1"/>
    <col min="1796" max="2048" width="9.140625" style="25"/>
    <col min="2049" max="2049" width="15.7109375" style="25" bestFit="1" customWidth="1"/>
    <col min="2050" max="2050" width="13.5703125" style="25" bestFit="1" customWidth="1"/>
    <col min="2051" max="2051" width="22.7109375" style="25" bestFit="1" customWidth="1"/>
    <col min="2052" max="2304" width="9.140625" style="25"/>
    <col min="2305" max="2305" width="15.7109375" style="25" bestFit="1" customWidth="1"/>
    <col min="2306" max="2306" width="13.5703125" style="25" bestFit="1" customWidth="1"/>
    <col min="2307" max="2307" width="22.7109375" style="25" bestFit="1" customWidth="1"/>
    <col min="2308" max="2560" width="9.140625" style="25"/>
    <col min="2561" max="2561" width="15.7109375" style="25" bestFit="1" customWidth="1"/>
    <col min="2562" max="2562" width="13.5703125" style="25" bestFit="1" customWidth="1"/>
    <col min="2563" max="2563" width="22.7109375" style="25" bestFit="1" customWidth="1"/>
    <col min="2564" max="2816" width="9.140625" style="25"/>
    <col min="2817" max="2817" width="15.7109375" style="25" bestFit="1" customWidth="1"/>
    <col min="2818" max="2818" width="13.5703125" style="25" bestFit="1" customWidth="1"/>
    <col min="2819" max="2819" width="22.7109375" style="25" bestFit="1" customWidth="1"/>
    <col min="2820" max="3072" width="9.140625" style="25"/>
    <col min="3073" max="3073" width="15.7109375" style="25" bestFit="1" customWidth="1"/>
    <col min="3074" max="3074" width="13.5703125" style="25" bestFit="1" customWidth="1"/>
    <col min="3075" max="3075" width="22.7109375" style="25" bestFit="1" customWidth="1"/>
    <col min="3076" max="3328" width="9.140625" style="25"/>
    <col min="3329" max="3329" width="15.7109375" style="25" bestFit="1" customWidth="1"/>
    <col min="3330" max="3330" width="13.5703125" style="25" bestFit="1" customWidth="1"/>
    <col min="3331" max="3331" width="22.7109375" style="25" bestFit="1" customWidth="1"/>
    <col min="3332" max="3584" width="9.140625" style="25"/>
    <col min="3585" max="3585" width="15.7109375" style="25" bestFit="1" customWidth="1"/>
    <col min="3586" max="3586" width="13.5703125" style="25" bestFit="1" customWidth="1"/>
    <col min="3587" max="3587" width="22.7109375" style="25" bestFit="1" customWidth="1"/>
    <col min="3588" max="3840" width="9.140625" style="25"/>
    <col min="3841" max="3841" width="15.7109375" style="25" bestFit="1" customWidth="1"/>
    <col min="3842" max="3842" width="13.5703125" style="25" bestFit="1" customWidth="1"/>
    <col min="3843" max="3843" width="22.7109375" style="25" bestFit="1" customWidth="1"/>
    <col min="3844" max="4096" width="9.140625" style="25"/>
    <col min="4097" max="4097" width="15.7109375" style="25" bestFit="1" customWidth="1"/>
    <col min="4098" max="4098" width="13.5703125" style="25" bestFit="1" customWidth="1"/>
    <col min="4099" max="4099" width="22.7109375" style="25" bestFit="1" customWidth="1"/>
    <col min="4100" max="4352" width="9.140625" style="25"/>
    <col min="4353" max="4353" width="15.7109375" style="25" bestFit="1" customWidth="1"/>
    <col min="4354" max="4354" width="13.5703125" style="25" bestFit="1" customWidth="1"/>
    <col min="4355" max="4355" width="22.7109375" style="25" bestFit="1" customWidth="1"/>
    <col min="4356" max="4608" width="9.140625" style="25"/>
    <col min="4609" max="4609" width="15.7109375" style="25" bestFit="1" customWidth="1"/>
    <col min="4610" max="4610" width="13.5703125" style="25" bestFit="1" customWidth="1"/>
    <col min="4611" max="4611" width="22.7109375" style="25" bestFit="1" customWidth="1"/>
    <col min="4612" max="4864" width="9.140625" style="25"/>
    <col min="4865" max="4865" width="15.7109375" style="25" bestFit="1" customWidth="1"/>
    <col min="4866" max="4866" width="13.5703125" style="25" bestFit="1" customWidth="1"/>
    <col min="4867" max="4867" width="22.7109375" style="25" bestFit="1" customWidth="1"/>
    <col min="4868" max="5120" width="9.140625" style="25"/>
    <col min="5121" max="5121" width="15.7109375" style="25" bestFit="1" customWidth="1"/>
    <col min="5122" max="5122" width="13.5703125" style="25" bestFit="1" customWidth="1"/>
    <col min="5123" max="5123" width="22.7109375" style="25" bestFit="1" customWidth="1"/>
    <col min="5124" max="5376" width="9.140625" style="25"/>
    <col min="5377" max="5377" width="15.7109375" style="25" bestFit="1" customWidth="1"/>
    <col min="5378" max="5378" width="13.5703125" style="25" bestFit="1" customWidth="1"/>
    <col min="5379" max="5379" width="22.7109375" style="25" bestFit="1" customWidth="1"/>
    <col min="5380" max="5632" width="9.140625" style="25"/>
    <col min="5633" max="5633" width="15.7109375" style="25" bestFit="1" customWidth="1"/>
    <col min="5634" max="5634" width="13.5703125" style="25" bestFit="1" customWidth="1"/>
    <col min="5635" max="5635" width="22.7109375" style="25" bestFit="1" customWidth="1"/>
    <col min="5636" max="5888" width="9.140625" style="25"/>
    <col min="5889" max="5889" width="15.7109375" style="25" bestFit="1" customWidth="1"/>
    <col min="5890" max="5890" width="13.5703125" style="25" bestFit="1" customWidth="1"/>
    <col min="5891" max="5891" width="22.7109375" style="25" bestFit="1" customWidth="1"/>
    <col min="5892" max="6144" width="9.140625" style="25"/>
    <col min="6145" max="6145" width="15.7109375" style="25" bestFit="1" customWidth="1"/>
    <col min="6146" max="6146" width="13.5703125" style="25" bestFit="1" customWidth="1"/>
    <col min="6147" max="6147" width="22.7109375" style="25" bestFit="1" customWidth="1"/>
    <col min="6148" max="6400" width="9.140625" style="25"/>
    <col min="6401" max="6401" width="15.7109375" style="25" bestFit="1" customWidth="1"/>
    <col min="6402" max="6402" width="13.5703125" style="25" bestFit="1" customWidth="1"/>
    <col min="6403" max="6403" width="22.7109375" style="25" bestFit="1" customWidth="1"/>
    <col min="6404" max="6656" width="9.140625" style="25"/>
    <col min="6657" max="6657" width="15.7109375" style="25" bestFit="1" customWidth="1"/>
    <col min="6658" max="6658" width="13.5703125" style="25" bestFit="1" customWidth="1"/>
    <col min="6659" max="6659" width="22.7109375" style="25" bestFit="1" customWidth="1"/>
    <col min="6660" max="6912" width="9.140625" style="25"/>
    <col min="6913" max="6913" width="15.7109375" style="25" bestFit="1" customWidth="1"/>
    <col min="6914" max="6914" width="13.5703125" style="25" bestFit="1" customWidth="1"/>
    <col min="6915" max="6915" width="22.7109375" style="25" bestFit="1" customWidth="1"/>
    <col min="6916" max="7168" width="9.140625" style="25"/>
    <col min="7169" max="7169" width="15.7109375" style="25" bestFit="1" customWidth="1"/>
    <col min="7170" max="7170" width="13.5703125" style="25" bestFit="1" customWidth="1"/>
    <col min="7171" max="7171" width="22.7109375" style="25" bestFit="1" customWidth="1"/>
    <col min="7172" max="7424" width="9.140625" style="25"/>
    <col min="7425" max="7425" width="15.7109375" style="25" bestFit="1" customWidth="1"/>
    <col min="7426" max="7426" width="13.5703125" style="25" bestFit="1" customWidth="1"/>
    <col min="7427" max="7427" width="22.7109375" style="25" bestFit="1" customWidth="1"/>
    <col min="7428" max="7680" width="9.140625" style="25"/>
    <col min="7681" max="7681" width="15.7109375" style="25" bestFit="1" customWidth="1"/>
    <col min="7682" max="7682" width="13.5703125" style="25" bestFit="1" customWidth="1"/>
    <col min="7683" max="7683" width="22.7109375" style="25" bestFit="1" customWidth="1"/>
    <col min="7684" max="7936" width="9.140625" style="25"/>
    <col min="7937" max="7937" width="15.7109375" style="25" bestFit="1" customWidth="1"/>
    <col min="7938" max="7938" width="13.5703125" style="25" bestFit="1" customWidth="1"/>
    <col min="7939" max="7939" width="22.7109375" style="25" bestFit="1" customWidth="1"/>
    <col min="7940" max="8192" width="9.140625" style="25"/>
    <col min="8193" max="8193" width="15.7109375" style="25" bestFit="1" customWidth="1"/>
    <col min="8194" max="8194" width="13.5703125" style="25" bestFit="1" customWidth="1"/>
    <col min="8195" max="8195" width="22.7109375" style="25" bestFit="1" customWidth="1"/>
    <col min="8196" max="8448" width="9.140625" style="25"/>
    <col min="8449" max="8449" width="15.7109375" style="25" bestFit="1" customWidth="1"/>
    <col min="8450" max="8450" width="13.5703125" style="25" bestFit="1" customWidth="1"/>
    <col min="8451" max="8451" width="22.7109375" style="25" bestFit="1" customWidth="1"/>
    <col min="8452" max="8704" width="9.140625" style="25"/>
    <col min="8705" max="8705" width="15.7109375" style="25" bestFit="1" customWidth="1"/>
    <col min="8706" max="8706" width="13.5703125" style="25" bestFit="1" customWidth="1"/>
    <col min="8707" max="8707" width="22.7109375" style="25" bestFit="1" customWidth="1"/>
    <col min="8708" max="8960" width="9.140625" style="25"/>
    <col min="8961" max="8961" width="15.7109375" style="25" bestFit="1" customWidth="1"/>
    <col min="8962" max="8962" width="13.5703125" style="25" bestFit="1" customWidth="1"/>
    <col min="8963" max="8963" width="22.7109375" style="25" bestFit="1" customWidth="1"/>
    <col min="8964" max="9216" width="9.140625" style="25"/>
    <col min="9217" max="9217" width="15.7109375" style="25" bestFit="1" customWidth="1"/>
    <col min="9218" max="9218" width="13.5703125" style="25" bestFit="1" customWidth="1"/>
    <col min="9219" max="9219" width="22.7109375" style="25" bestFit="1" customWidth="1"/>
    <col min="9220" max="9472" width="9.140625" style="25"/>
    <col min="9473" max="9473" width="15.7109375" style="25" bestFit="1" customWidth="1"/>
    <col min="9474" max="9474" width="13.5703125" style="25" bestFit="1" customWidth="1"/>
    <col min="9475" max="9475" width="22.7109375" style="25" bestFit="1" customWidth="1"/>
    <col min="9476" max="9728" width="9.140625" style="25"/>
    <col min="9729" max="9729" width="15.7109375" style="25" bestFit="1" customWidth="1"/>
    <col min="9730" max="9730" width="13.5703125" style="25" bestFit="1" customWidth="1"/>
    <col min="9731" max="9731" width="22.7109375" style="25" bestFit="1" customWidth="1"/>
    <col min="9732" max="9984" width="9.140625" style="25"/>
    <col min="9985" max="9985" width="15.7109375" style="25" bestFit="1" customWidth="1"/>
    <col min="9986" max="9986" width="13.5703125" style="25" bestFit="1" customWidth="1"/>
    <col min="9987" max="9987" width="22.7109375" style="25" bestFit="1" customWidth="1"/>
    <col min="9988" max="10240" width="9.140625" style="25"/>
    <col min="10241" max="10241" width="15.7109375" style="25" bestFit="1" customWidth="1"/>
    <col min="10242" max="10242" width="13.5703125" style="25" bestFit="1" customWidth="1"/>
    <col min="10243" max="10243" width="22.7109375" style="25" bestFit="1" customWidth="1"/>
    <col min="10244" max="10496" width="9.140625" style="25"/>
    <col min="10497" max="10497" width="15.7109375" style="25" bestFit="1" customWidth="1"/>
    <col min="10498" max="10498" width="13.5703125" style="25" bestFit="1" customWidth="1"/>
    <col min="10499" max="10499" width="22.7109375" style="25" bestFit="1" customWidth="1"/>
    <col min="10500" max="10752" width="9.140625" style="25"/>
    <col min="10753" max="10753" width="15.7109375" style="25" bestFit="1" customWidth="1"/>
    <col min="10754" max="10754" width="13.5703125" style="25" bestFit="1" customWidth="1"/>
    <col min="10755" max="10755" width="22.7109375" style="25" bestFit="1" customWidth="1"/>
    <col min="10756" max="11008" width="9.140625" style="25"/>
    <col min="11009" max="11009" width="15.7109375" style="25" bestFit="1" customWidth="1"/>
    <col min="11010" max="11010" width="13.5703125" style="25" bestFit="1" customWidth="1"/>
    <col min="11011" max="11011" width="22.7109375" style="25" bestFit="1" customWidth="1"/>
    <col min="11012" max="11264" width="9.140625" style="25"/>
    <col min="11265" max="11265" width="15.7109375" style="25" bestFit="1" customWidth="1"/>
    <col min="11266" max="11266" width="13.5703125" style="25" bestFit="1" customWidth="1"/>
    <col min="11267" max="11267" width="22.7109375" style="25" bestFit="1" customWidth="1"/>
    <col min="11268" max="11520" width="9.140625" style="25"/>
    <col min="11521" max="11521" width="15.7109375" style="25" bestFit="1" customWidth="1"/>
    <col min="11522" max="11522" width="13.5703125" style="25" bestFit="1" customWidth="1"/>
    <col min="11523" max="11523" width="22.7109375" style="25" bestFit="1" customWidth="1"/>
    <col min="11524" max="11776" width="9.140625" style="25"/>
    <col min="11777" max="11777" width="15.7109375" style="25" bestFit="1" customWidth="1"/>
    <col min="11778" max="11778" width="13.5703125" style="25" bestFit="1" customWidth="1"/>
    <col min="11779" max="11779" width="22.7109375" style="25" bestFit="1" customWidth="1"/>
    <col min="11780" max="12032" width="9.140625" style="25"/>
    <col min="12033" max="12033" width="15.7109375" style="25" bestFit="1" customWidth="1"/>
    <col min="12034" max="12034" width="13.5703125" style="25" bestFit="1" customWidth="1"/>
    <col min="12035" max="12035" width="22.7109375" style="25" bestFit="1" customWidth="1"/>
    <col min="12036" max="12288" width="9.140625" style="25"/>
    <col min="12289" max="12289" width="15.7109375" style="25" bestFit="1" customWidth="1"/>
    <col min="12290" max="12290" width="13.5703125" style="25" bestFit="1" customWidth="1"/>
    <col min="12291" max="12291" width="22.7109375" style="25" bestFit="1" customWidth="1"/>
    <col min="12292" max="12544" width="9.140625" style="25"/>
    <col min="12545" max="12545" width="15.7109375" style="25" bestFit="1" customWidth="1"/>
    <col min="12546" max="12546" width="13.5703125" style="25" bestFit="1" customWidth="1"/>
    <col min="12547" max="12547" width="22.7109375" style="25" bestFit="1" customWidth="1"/>
    <col min="12548" max="12800" width="9.140625" style="25"/>
    <col min="12801" max="12801" width="15.7109375" style="25" bestFit="1" customWidth="1"/>
    <col min="12802" max="12802" width="13.5703125" style="25" bestFit="1" customWidth="1"/>
    <col min="12803" max="12803" width="22.7109375" style="25" bestFit="1" customWidth="1"/>
    <col min="12804" max="13056" width="9.140625" style="25"/>
    <col min="13057" max="13057" width="15.7109375" style="25" bestFit="1" customWidth="1"/>
    <col min="13058" max="13058" width="13.5703125" style="25" bestFit="1" customWidth="1"/>
    <col min="13059" max="13059" width="22.7109375" style="25" bestFit="1" customWidth="1"/>
    <col min="13060" max="13312" width="9.140625" style="25"/>
    <col min="13313" max="13313" width="15.7109375" style="25" bestFit="1" customWidth="1"/>
    <col min="13314" max="13314" width="13.5703125" style="25" bestFit="1" customWidth="1"/>
    <col min="13315" max="13315" width="22.7109375" style="25" bestFit="1" customWidth="1"/>
    <col min="13316" max="13568" width="9.140625" style="25"/>
    <col min="13569" max="13569" width="15.7109375" style="25" bestFit="1" customWidth="1"/>
    <col min="13570" max="13570" width="13.5703125" style="25" bestFit="1" customWidth="1"/>
    <col min="13571" max="13571" width="22.7109375" style="25" bestFit="1" customWidth="1"/>
    <col min="13572" max="13824" width="9.140625" style="25"/>
    <col min="13825" max="13825" width="15.7109375" style="25" bestFit="1" customWidth="1"/>
    <col min="13826" max="13826" width="13.5703125" style="25" bestFit="1" customWidth="1"/>
    <col min="13827" max="13827" width="22.7109375" style="25" bestFit="1" customWidth="1"/>
    <col min="13828" max="14080" width="9.140625" style="25"/>
    <col min="14081" max="14081" width="15.7109375" style="25" bestFit="1" customWidth="1"/>
    <col min="14082" max="14082" width="13.5703125" style="25" bestFit="1" customWidth="1"/>
    <col min="14083" max="14083" width="22.7109375" style="25" bestFit="1" customWidth="1"/>
    <col min="14084" max="14336" width="9.140625" style="25"/>
    <col min="14337" max="14337" width="15.7109375" style="25" bestFit="1" customWidth="1"/>
    <col min="14338" max="14338" width="13.5703125" style="25" bestFit="1" customWidth="1"/>
    <col min="14339" max="14339" width="22.7109375" style="25" bestFit="1" customWidth="1"/>
    <col min="14340" max="14592" width="9.140625" style="25"/>
    <col min="14593" max="14593" width="15.7109375" style="25" bestFit="1" customWidth="1"/>
    <col min="14594" max="14594" width="13.5703125" style="25" bestFit="1" customWidth="1"/>
    <col min="14595" max="14595" width="22.7109375" style="25" bestFit="1" customWidth="1"/>
    <col min="14596" max="14848" width="9.140625" style="25"/>
    <col min="14849" max="14849" width="15.7109375" style="25" bestFit="1" customWidth="1"/>
    <col min="14850" max="14850" width="13.5703125" style="25" bestFit="1" customWidth="1"/>
    <col min="14851" max="14851" width="22.7109375" style="25" bestFit="1" customWidth="1"/>
    <col min="14852" max="15104" width="9.140625" style="25"/>
    <col min="15105" max="15105" width="15.7109375" style="25" bestFit="1" customWidth="1"/>
    <col min="15106" max="15106" width="13.5703125" style="25" bestFit="1" customWidth="1"/>
    <col min="15107" max="15107" width="22.7109375" style="25" bestFit="1" customWidth="1"/>
    <col min="15108" max="15360" width="9.140625" style="25"/>
    <col min="15361" max="15361" width="15.7109375" style="25" bestFit="1" customWidth="1"/>
    <col min="15362" max="15362" width="13.5703125" style="25" bestFit="1" customWidth="1"/>
    <col min="15363" max="15363" width="22.7109375" style="25" bestFit="1" customWidth="1"/>
    <col min="15364" max="15616" width="9.140625" style="25"/>
    <col min="15617" max="15617" width="15.7109375" style="25" bestFit="1" customWidth="1"/>
    <col min="15618" max="15618" width="13.5703125" style="25" bestFit="1" customWidth="1"/>
    <col min="15619" max="15619" width="22.7109375" style="25" bestFit="1" customWidth="1"/>
    <col min="15620" max="15872" width="9.140625" style="25"/>
    <col min="15873" max="15873" width="15.7109375" style="25" bestFit="1" customWidth="1"/>
    <col min="15874" max="15874" width="13.5703125" style="25" bestFit="1" customWidth="1"/>
    <col min="15875" max="15875" width="22.7109375" style="25" bestFit="1" customWidth="1"/>
    <col min="15876" max="16128" width="9.140625" style="25"/>
    <col min="16129" max="16129" width="15.7109375" style="25" bestFit="1" customWidth="1"/>
    <col min="16130" max="16130" width="13.5703125" style="25" bestFit="1" customWidth="1"/>
    <col min="16131" max="16131" width="22.7109375" style="25" bestFit="1" customWidth="1"/>
    <col min="16132" max="16384" width="9.140625" style="25"/>
  </cols>
  <sheetData>
    <row r="1" spans="1:4" x14ac:dyDescent="0.25">
      <c r="A1" s="23" t="s">
        <v>54</v>
      </c>
      <c r="B1" s="23" t="s">
        <v>3</v>
      </c>
      <c r="C1" s="24" t="s">
        <v>55</v>
      </c>
    </row>
    <row r="2" spans="1:4" x14ac:dyDescent="0.25">
      <c r="A2" s="25">
        <v>1</v>
      </c>
      <c r="B2" s="25" t="s">
        <v>56</v>
      </c>
      <c r="C2" s="26" t="s">
        <v>57</v>
      </c>
      <c r="D2" s="25" t="str">
        <f>$B$1&amp;B2</f>
        <v>Số thửaSố thửa229</v>
      </c>
    </row>
    <row r="3" spans="1:4" x14ac:dyDescent="0.25">
      <c r="A3" s="25">
        <v>1</v>
      </c>
      <c r="B3" s="25" t="s">
        <v>58</v>
      </c>
      <c r="C3" s="26" t="s">
        <v>57</v>
      </c>
      <c r="D3" s="25" t="str">
        <f t="shared" ref="D3:D66" si="0">$B$1&amp;B3</f>
        <v>Số thửaSố thửa3</v>
      </c>
    </row>
    <row r="4" spans="1:4" x14ac:dyDescent="0.25">
      <c r="A4" s="25">
        <v>1</v>
      </c>
      <c r="B4" s="25" t="s">
        <v>59</v>
      </c>
      <c r="C4" s="26" t="s">
        <v>57</v>
      </c>
      <c r="D4" s="25" t="str">
        <f t="shared" si="0"/>
        <v>Số thửaSố thửa4</v>
      </c>
    </row>
    <row r="5" spans="1:4" x14ac:dyDescent="0.25">
      <c r="A5" s="25">
        <v>1</v>
      </c>
      <c r="B5" s="25" t="s">
        <v>60</v>
      </c>
      <c r="C5" s="26" t="s">
        <v>57</v>
      </c>
      <c r="D5" s="25" t="str">
        <f t="shared" si="0"/>
        <v>Số thửaSố thửa7</v>
      </c>
    </row>
    <row r="6" spans="1:4" x14ac:dyDescent="0.25">
      <c r="A6" s="25">
        <v>1</v>
      </c>
      <c r="B6" s="25" t="s">
        <v>61</v>
      </c>
      <c r="C6" s="26" t="s">
        <v>57</v>
      </c>
      <c r="D6" s="25" t="str">
        <f t="shared" si="0"/>
        <v>Số thửaSố thửa13</v>
      </c>
    </row>
    <row r="7" spans="1:4" x14ac:dyDescent="0.25">
      <c r="A7" s="25">
        <v>1</v>
      </c>
      <c r="B7" s="25" t="s">
        <v>62</v>
      </c>
      <c r="C7" s="26" t="s">
        <v>57</v>
      </c>
      <c r="D7" s="25" t="str">
        <f t="shared" si="0"/>
        <v>Số thửaSố thửa29</v>
      </c>
    </row>
    <row r="8" spans="1:4" x14ac:dyDescent="0.25">
      <c r="A8" s="25">
        <v>1</v>
      </c>
      <c r="B8" s="25" t="s">
        <v>63</v>
      </c>
      <c r="C8" s="26" t="s">
        <v>57</v>
      </c>
      <c r="D8" s="25" t="str">
        <f t="shared" si="0"/>
        <v>Số thửaSố thửa56</v>
      </c>
    </row>
    <row r="9" spans="1:4" x14ac:dyDescent="0.25">
      <c r="A9" s="25">
        <v>1</v>
      </c>
      <c r="B9" s="25" t="s">
        <v>64</v>
      </c>
      <c r="C9" s="26" t="s">
        <v>57</v>
      </c>
      <c r="D9" s="25" t="str">
        <f t="shared" si="0"/>
        <v>Số thửaSố thửa60</v>
      </c>
    </row>
    <row r="10" spans="1:4" x14ac:dyDescent="0.25">
      <c r="A10" s="25">
        <v>1</v>
      </c>
      <c r="B10" s="25" t="s">
        <v>65</v>
      </c>
      <c r="C10" s="26" t="s">
        <v>57</v>
      </c>
      <c r="D10" s="25" t="str">
        <f t="shared" si="0"/>
        <v>Số thửaSố thửa61</v>
      </c>
    </row>
    <row r="11" spans="1:4" x14ac:dyDescent="0.25">
      <c r="A11" s="25">
        <v>1</v>
      </c>
      <c r="B11" s="25" t="s">
        <v>66</v>
      </c>
      <c r="C11" s="26" t="s">
        <v>57</v>
      </c>
      <c r="D11" s="25" t="str">
        <f t="shared" si="0"/>
        <v>Số thửaSố thửa62</v>
      </c>
    </row>
    <row r="12" spans="1:4" x14ac:dyDescent="0.25">
      <c r="A12" s="25">
        <v>1</v>
      </c>
      <c r="B12" s="25" t="s">
        <v>67</v>
      </c>
      <c r="C12" s="26" t="s">
        <v>57</v>
      </c>
      <c r="D12" s="25" t="str">
        <f t="shared" si="0"/>
        <v>Số thửaSố thửa64</v>
      </c>
    </row>
    <row r="13" spans="1:4" x14ac:dyDescent="0.25">
      <c r="A13" s="25">
        <v>1</v>
      </c>
      <c r="B13" s="25" t="s">
        <v>68</v>
      </c>
      <c r="C13" s="26" t="s">
        <v>57</v>
      </c>
      <c r="D13" s="25" t="str">
        <f t="shared" si="0"/>
        <v>Số thửaSố thửa72</v>
      </c>
    </row>
    <row r="14" spans="1:4" x14ac:dyDescent="0.25">
      <c r="A14" s="25">
        <v>1</v>
      </c>
      <c r="B14" s="25" t="s">
        <v>69</v>
      </c>
      <c r="C14" s="26" t="s">
        <v>57</v>
      </c>
      <c r="D14" s="25" t="str">
        <f t="shared" si="0"/>
        <v>Số thửaSố thửa77</v>
      </c>
    </row>
    <row r="15" spans="1:4" x14ac:dyDescent="0.25">
      <c r="A15" s="25">
        <v>1</v>
      </c>
      <c r="B15" s="25" t="s">
        <v>70</v>
      </c>
      <c r="C15" s="26" t="s">
        <v>57</v>
      </c>
      <c r="D15" s="25" t="str">
        <f t="shared" si="0"/>
        <v>Số thửaSố thửa82</v>
      </c>
    </row>
    <row r="16" spans="1:4" x14ac:dyDescent="0.25">
      <c r="A16" s="25">
        <v>1</v>
      </c>
      <c r="B16" s="25" t="s">
        <v>71</v>
      </c>
      <c r="C16" s="26" t="s">
        <v>57</v>
      </c>
      <c r="D16" s="25" t="str">
        <f t="shared" si="0"/>
        <v>Số thửaSố thửa99</v>
      </c>
    </row>
    <row r="17" spans="1:4" x14ac:dyDescent="0.25">
      <c r="A17" s="25">
        <v>1</v>
      </c>
      <c r="B17" s="25" t="s">
        <v>72</v>
      </c>
      <c r="C17" s="26" t="s">
        <v>57</v>
      </c>
      <c r="D17" s="25" t="str">
        <f t="shared" si="0"/>
        <v>Số thửaSố thửa131</v>
      </c>
    </row>
    <row r="18" spans="1:4" x14ac:dyDescent="0.25">
      <c r="A18" s="25">
        <v>1</v>
      </c>
      <c r="B18" s="25" t="s">
        <v>73</v>
      </c>
      <c r="C18" s="26" t="s">
        <v>57</v>
      </c>
      <c r="D18" s="25" t="str">
        <f t="shared" si="0"/>
        <v>Số thửaSố thửa168</v>
      </c>
    </row>
    <row r="19" spans="1:4" x14ac:dyDescent="0.25">
      <c r="A19" s="25">
        <v>1</v>
      </c>
      <c r="B19" s="25" t="s">
        <v>74</v>
      </c>
      <c r="C19" s="26" t="s">
        <v>57</v>
      </c>
      <c r="D19" s="25" t="str">
        <f t="shared" si="0"/>
        <v>Số thửaSố thửa183</v>
      </c>
    </row>
    <row r="20" spans="1:4" x14ac:dyDescent="0.25">
      <c r="A20" s="25">
        <v>1</v>
      </c>
      <c r="B20" s="25" t="s">
        <v>75</v>
      </c>
      <c r="C20" s="26" t="s">
        <v>57</v>
      </c>
      <c r="D20" s="25" t="str">
        <f t="shared" si="0"/>
        <v>Số thửaSố thửa4004</v>
      </c>
    </row>
    <row r="21" spans="1:4" x14ac:dyDescent="0.25">
      <c r="A21" s="25">
        <v>1</v>
      </c>
      <c r="B21" s="25" t="s">
        <v>76</v>
      </c>
      <c r="C21" s="26" t="s">
        <v>57</v>
      </c>
      <c r="D21" s="25" t="str">
        <f t="shared" si="0"/>
        <v>Số thửaSố thửa4005</v>
      </c>
    </row>
    <row r="22" spans="1:4" x14ac:dyDescent="0.25">
      <c r="A22" s="25">
        <v>1</v>
      </c>
      <c r="B22" s="25" t="s">
        <v>77</v>
      </c>
      <c r="C22" s="26" t="s">
        <v>57</v>
      </c>
      <c r="D22" s="25" t="str">
        <f t="shared" si="0"/>
        <v>Số thửaSố thửa4006</v>
      </c>
    </row>
    <row r="23" spans="1:4" x14ac:dyDescent="0.25">
      <c r="A23" s="25">
        <v>1</v>
      </c>
      <c r="B23" s="25" t="s">
        <v>78</v>
      </c>
      <c r="C23" s="26" t="s">
        <v>57</v>
      </c>
      <c r="D23" s="25" t="str">
        <f t="shared" si="0"/>
        <v>Số thửaSố thửa4007</v>
      </c>
    </row>
    <row r="24" spans="1:4" x14ac:dyDescent="0.25">
      <c r="A24" s="25">
        <v>1</v>
      </c>
      <c r="B24" s="25" t="s">
        <v>79</v>
      </c>
      <c r="C24" s="26" t="s">
        <v>57</v>
      </c>
      <c r="D24" s="25" t="str">
        <f t="shared" si="0"/>
        <v>Số thửaSố thửa4008</v>
      </c>
    </row>
    <row r="25" spans="1:4" x14ac:dyDescent="0.25">
      <c r="A25" s="25">
        <v>1</v>
      </c>
      <c r="B25" s="25" t="s">
        <v>80</v>
      </c>
      <c r="C25" s="26" t="s">
        <v>57</v>
      </c>
      <c r="D25" s="25" t="str">
        <f t="shared" si="0"/>
        <v>Số thửaSố thửa4009</v>
      </c>
    </row>
    <row r="26" spans="1:4" x14ac:dyDescent="0.25">
      <c r="A26" s="25">
        <v>1</v>
      </c>
      <c r="B26" s="25" t="s">
        <v>81</v>
      </c>
      <c r="C26" s="26" t="s">
        <v>57</v>
      </c>
      <c r="D26" s="25" t="str">
        <f t="shared" si="0"/>
        <v>Số thửaSố thửa214</v>
      </c>
    </row>
    <row r="27" spans="1:4" x14ac:dyDescent="0.25">
      <c r="A27" s="25">
        <v>1</v>
      </c>
      <c r="B27" s="25" t="s">
        <v>82</v>
      </c>
      <c r="C27" s="26" t="s">
        <v>57</v>
      </c>
      <c r="D27" s="25" t="str">
        <f t="shared" si="0"/>
        <v>Số thửaSố thửa215</v>
      </c>
    </row>
    <row r="28" spans="1:4" x14ac:dyDescent="0.25">
      <c r="A28" s="25">
        <v>1</v>
      </c>
      <c r="B28" s="25" t="s">
        <v>83</v>
      </c>
      <c r="C28" s="26" t="s">
        <v>57</v>
      </c>
      <c r="D28" s="25" t="str">
        <f t="shared" si="0"/>
        <v>Số thửaSố thửa217</v>
      </c>
    </row>
    <row r="29" spans="1:4" x14ac:dyDescent="0.25">
      <c r="A29" s="25">
        <v>1</v>
      </c>
      <c r="B29" s="25" t="s">
        <v>84</v>
      </c>
      <c r="C29" s="26" t="s">
        <v>57</v>
      </c>
      <c r="D29" s="25" t="str">
        <f t="shared" si="0"/>
        <v>Số thửaSố thửa218</v>
      </c>
    </row>
    <row r="30" spans="1:4" x14ac:dyDescent="0.25">
      <c r="A30" s="25">
        <v>1</v>
      </c>
      <c r="B30" s="25" t="s">
        <v>85</v>
      </c>
      <c r="C30" s="26" t="s">
        <v>57</v>
      </c>
      <c r="D30" s="25" t="str">
        <f t="shared" si="0"/>
        <v>Số thửaSố thửa219</v>
      </c>
    </row>
    <row r="31" spans="1:4" x14ac:dyDescent="0.25">
      <c r="A31" s="25">
        <v>1</v>
      </c>
      <c r="B31" s="25" t="s">
        <v>86</v>
      </c>
      <c r="C31" s="26" t="s">
        <v>57</v>
      </c>
      <c r="D31" s="25" t="str">
        <f t="shared" si="0"/>
        <v>Số thửaSố thửa220</v>
      </c>
    </row>
    <row r="32" spans="1:4" x14ac:dyDescent="0.25">
      <c r="A32" s="25">
        <v>1</v>
      </c>
      <c r="B32" s="25" t="s">
        <v>87</v>
      </c>
      <c r="C32" s="26" t="s">
        <v>57</v>
      </c>
      <c r="D32" s="25" t="str">
        <f t="shared" si="0"/>
        <v>Số thửaSố thửa221</v>
      </c>
    </row>
    <row r="33" spans="1:4" x14ac:dyDescent="0.25">
      <c r="A33" s="25">
        <v>1</v>
      </c>
      <c r="B33" s="25" t="s">
        <v>88</v>
      </c>
      <c r="C33" s="26" t="s">
        <v>57</v>
      </c>
      <c r="D33" s="25" t="str">
        <f t="shared" si="0"/>
        <v>Số thửaSố thửa222</v>
      </c>
    </row>
    <row r="34" spans="1:4" x14ac:dyDescent="0.25">
      <c r="A34" s="25">
        <v>1</v>
      </c>
      <c r="B34" s="25" t="s">
        <v>89</v>
      </c>
      <c r="C34" s="26" t="s">
        <v>57</v>
      </c>
      <c r="D34" s="25" t="str">
        <f t="shared" si="0"/>
        <v>Số thửaSố thửa223</v>
      </c>
    </row>
    <row r="35" spans="1:4" x14ac:dyDescent="0.25">
      <c r="A35" s="25">
        <v>1</v>
      </c>
      <c r="B35" s="25" t="s">
        <v>90</v>
      </c>
      <c r="C35" s="26" t="s">
        <v>57</v>
      </c>
      <c r="D35" s="25" t="str">
        <f t="shared" si="0"/>
        <v>Số thửaSố thửa225</v>
      </c>
    </row>
    <row r="36" spans="1:4" x14ac:dyDescent="0.25">
      <c r="A36" s="25">
        <v>1</v>
      </c>
      <c r="B36" s="25" t="s">
        <v>91</v>
      </c>
      <c r="C36" s="26" t="s">
        <v>57</v>
      </c>
      <c r="D36" s="25" t="str">
        <f t="shared" si="0"/>
        <v>Số thửaSố thửa236</v>
      </c>
    </row>
    <row r="37" spans="1:4" x14ac:dyDescent="0.25">
      <c r="A37" s="25">
        <v>1</v>
      </c>
      <c r="B37" s="25" t="s">
        <v>92</v>
      </c>
      <c r="C37" s="26" t="s">
        <v>57</v>
      </c>
      <c r="D37" s="25" t="str">
        <f t="shared" si="0"/>
        <v>Số thửaSố thửa238</v>
      </c>
    </row>
    <row r="38" spans="1:4" x14ac:dyDescent="0.25">
      <c r="A38" s="25">
        <v>1</v>
      </c>
      <c r="B38" s="25" t="s">
        <v>93</v>
      </c>
      <c r="C38" s="26" t="s">
        <v>57</v>
      </c>
      <c r="D38" s="25" t="str">
        <f t="shared" si="0"/>
        <v>Số thửaSố thửa239</v>
      </c>
    </row>
    <row r="39" spans="1:4" x14ac:dyDescent="0.25">
      <c r="A39" s="25">
        <v>1</v>
      </c>
      <c r="B39" s="25" t="s">
        <v>94</v>
      </c>
      <c r="C39" s="26" t="s">
        <v>57</v>
      </c>
      <c r="D39" s="25" t="str">
        <f t="shared" si="0"/>
        <v>Số thửaSố thửa240</v>
      </c>
    </row>
    <row r="40" spans="1:4" x14ac:dyDescent="0.25">
      <c r="A40" s="25">
        <v>1</v>
      </c>
      <c r="B40" s="25" t="s">
        <v>95</v>
      </c>
      <c r="C40" s="26" t="s">
        <v>57</v>
      </c>
      <c r="D40" s="25" t="str">
        <f t="shared" si="0"/>
        <v>Số thửaSố thửa241</v>
      </c>
    </row>
    <row r="41" spans="1:4" x14ac:dyDescent="0.25">
      <c r="A41" s="25">
        <v>1</v>
      </c>
      <c r="B41" s="25" t="s">
        <v>96</v>
      </c>
      <c r="C41" s="26" t="s">
        <v>57</v>
      </c>
      <c r="D41" s="25" t="str">
        <f t="shared" si="0"/>
        <v>Số thửaSố thửa242</v>
      </c>
    </row>
    <row r="42" spans="1:4" x14ac:dyDescent="0.25">
      <c r="A42" s="25">
        <v>1</v>
      </c>
      <c r="B42" s="25" t="s">
        <v>97</v>
      </c>
      <c r="C42" s="26" t="s">
        <v>57</v>
      </c>
      <c r="D42" s="25" t="str">
        <f t="shared" si="0"/>
        <v>Số thửaSố thửa243</v>
      </c>
    </row>
    <row r="43" spans="1:4" x14ac:dyDescent="0.25">
      <c r="A43" s="25">
        <v>6</v>
      </c>
      <c r="B43" s="25" t="s">
        <v>98</v>
      </c>
      <c r="C43" s="26" t="s">
        <v>99</v>
      </c>
      <c r="D43" s="25" t="str">
        <f t="shared" si="0"/>
        <v>Số thửaSố thửa919</v>
      </c>
    </row>
    <row r="44" spans="1:4" x14ac:dyDescent="0.25">
      <c r="A44" s="25">
        <v>6</v>
      </c>
      <c r="B44" s="25" t="s">
        <v>100</v>
      </c>
      <c r="C44" s="26" t="s">
        <v>101</v>
      </c>
      <c r="D44" s="25" t="str">
        <f t="shared" si="0"/>
        <v>Số thửaSố thửa112</v>
      </c>
    </row>
    <row r="45" spans="1:4" x14ac:dyDescent="0.25">
      <c r="A45" s="25">
        <v>2</v>
      </c>
      <c r="B45" s="25" t="s">
        <v>102</v>
      </c>
      <c r="C45" s="26" t="s">
        <v>103</v>
      </c>
      <c r="D45" s="25" t="str">
        <f t="shared" si="0"/>
        <v>Số thửaSố thửa43</v>
      </c>
    </row>
    <row r="46" spans="1:4" x14ac:dyDescent="0.25">
      <c r="A46" s="25">
        <v>2</v>
      </c>
      <c r="B46" s="25" t="s">
        <v>104</v>
      </c>
      <c r="C46" s="26" t="s">
        <v>103</v>
      </c>
      <c r="D46" s="25" t="str">
        <f t="shared" si="0"/>
        <v>Số thửaSố thửa81</v>
      </c>
    </row>
    <row r="47" spans="1:4" x14ac:dyDescent="0.25">
      <c r="A47" s="25">
        <v>2</v>
      </c>
      <c r="B47" s="25" t="s">
        <v>100</v>
      </c>
      <c r="C47" s="26" t="s">
        <v>105</v>
      </c>
      <c r="D47" s="25" t="str">
        <f t="shared" si="0"/>
        <v>Số thửaSố thửa112</v>
      </c>
    </row>
    <row r="48" spans="1:4" x14ac:dyDescent="0.25">
      <c r="A48" s="25">
        <v>2</v>
      </c>
      <c r="B48" s="25" t="s">
        <v>106</v>
      </c>
      <c r="C48" s="26" t="s">
        <v>105</v>
      </c>
      <c r="D48" s="25" t="str">
        <f t="shared" si="0"/>
        <v>Số thửaSố thửa116</v>
      </c>
    </row>
    <row r="49" spans="1:4" x14ac:dyDescent="0.25">
      <c r="A49" s="25">
        <v>2</v>
      </c>
      <c r="B49" s="25" t="s">
        <v>107</v>
      </c>
      <c r="C49" s="26" t="s">
        <v>105</v>
      </c>
      <c r="D49" s="25" t="str">
        <f t="shared" si="0"/>
        <v>Số thửaSố thửa118</v>
      </c>
    </row>
    <row r="50" spans="1:4" x14ac:dyDescent="0.25">
      <c r="A50" s="25">
        <v>2</v>
      </c>
      <c r="B50" s="25" t="s">
        <v>108</v>
      </c>
      <c r="C50" s="26" t="s">
        <v>105</v>
      </c>
      <c r="D50" s="25" t="str">
        <f t="shared" si="0"/>
        <v>Số thửaSố thửa119</v>
      </c>
    </row>
    <row r="51" spans="1:4" x14ac:dyDescent="0.25">
      <c r="A51" s="25">
        <v>2</v>
      </c>
      <c r="B51" s="25" t="s">
        <v>109</v>
      </c>
      <c r="C51" s="26" t="s">
        <v>103</v>
      </c>
      <c r="D51" s="25" t="str">
        <f t="shared" si="0"/>
        <v>Số thửaSố thửa139</v>
      </c>
    </row>
    <row r="52" spans="1:4" x14ac:dyDescent="0.25">
      <c r="A52" s="25">
        <v>4</v>
      </c>
      <c r="B52" s="25" t="s">
        <v>110</v>
      </c>
      <c r="C52" s="26" t="s">
        <v>103</v>
      </c>
      <c r="D52" s="25" t="str">
        <f t="shared" si="0"/>
        <v>Số thửaSố thửa1</v>
      </c>
    </row>
    <row r="53" spans="1:4" x14ac:dyDescent="0.25">
      <c r="A53" s="25">
        <v>5</v>
      </c>
      <c r="B53" s="25" t="s">
        <v>102</v>
      </c>
      <c r="C53" s="26" t="s">
        <v>111</v>
      </c>
      <c r="D53" s="25" t="str">
        <f t="shared" si="0"/>
        <v>Số thửaSố thửa43</v>
      </c>
    </row>
    <row r="54" spans="1:4" x14ac:dyDescent="0.25">
      <c r="A54" s="25">
        <v>5</v>
      </c>
      <c r="B54" s="25" t="s">
        <v>102</v>
      </c>
      <c r="C54" s="26" t="s">
        <v>111</v>
      </c>
      <c r="D54" s="25" t="str">
        <f t="shared" si="0"/>
        <v>Số thửaSố thửa43</v>
      </c>
    </row>
    <row r="55" spans="1:4" x14ac:dyDescent="0.25">
      <c r="A55" s="25">
        <v>4</v>
      </c>
      <c r="B55" s="25" t="s">
        <v>112</v>
      </c>
      <c r="C55" s="26" t="s">
        <v>113</v>
      </c>
      <c r="D55" s="25" t="str">
        <f t="shared" si="0"/>
        <v>Số thửaSố thửa185</v>
      </c>
    </row>
    <row r="56" spans="1:4" x14ac:dyDescent="0.25">
      <c r="A56" s="25">
        <v>7</v>
      </c>
      <c r="B56" s="25" t="s">
        <v>114</v>
      </c>
      <c r="C56" s="26" t="s">
        <v>113</v>
      </c>
      <c r="D56" s="25" t="str">
        <f t="shared" si="0"/>
        <v>Số thửaSố thửa337</v>
      </c>
    </row>
    <row r="57" spans="1:4" x14ac:dyDescent="0.25">
      <c r="A57" s="25">
        <v>7</v>
      </c>
      <c r="B57" s="25" t="s">
        <v>115</v>
      </c>
      <c r="C57" s="26" t="s">
        <v>113</v>
      </c>
      <c r="D57" s="25" t="str">
        <f t="shared" si="0"/>
        <v>Số thửaSố thửa803</v>
      </c>
    </row>
    <row r="58" spans="1:4" x14ac:dyDescent="0.25">
      <c r="A58" s="25">
        <v>7</v>
      </c>
      <c r="B58" s="25" t="s">
        <v>116</v>
      </c>
      <c r="C58" s="26" t="s">
        <v>117</v>
      </c>
      <c r="D58" s="25" t="str">
        <f t="shared" si="0"/>
        <v>Số thửaSố thửa808</v>
      </c>
    </row>
    <row r="59" spans="1:4" x14ac:dyDescent="0.25">
      <c r="A59" s="25">
        <v>7</v>
      </c>
      <c r="B59" s="25" t="s">
        <v>118</v>
      </c>
      <c r="C59" s="26" t="s">
        <v>117</v>
      </c>
      <c r="D59" s="25" t="str">
        <f t="shared" si="0"/>
        <v>Số thửaSố thửa809</v>
      </c>
    </row>
    <row r="60" spans="1:4" x14ac:dyDescent="0.25">
      <c r="A60" s="25">
        <v>7</v>
      </c>
      <c r="B60" s="25" t="s">
        <v>119</v>
      </c>
      <c r="C60" s="26" t="s">
        <v>113</v>
      </c>
      <c r="D60" s="25" t="str">
        <f t="shared" si="0"/>
        <v>Số thửaSố thửa868</v>
      </c>
    </row>
    <row r="61" spans="1:4" x14ac:dyDescent="0.25">
      <c r="A61" s="25">
        <v>7</v>
      </c>
      <c r="B61" s="25" t="s">
        <v>120</v>
      </c>
      <c r="C61" s="26" t="s">
        <v>113</v>
      </c>
      <c r="D61" s="25" t="str">
        <f t="shared" si="0"/>
        <v>Số thửaSố thửa891</v>
      </c>
    </row>
    <row r="62" spans="1:4" x14ac:dyDescent="0.25">
      <c r="A62" s="25">
        <v>3</v>
      </c>
      <c r="B62" s="25" t="s">
        <v>121</v>
      </c>
      <c r="C62" s="26" t="s">
        <v>122</v>
      </c>
      <c r="D62" s="25" t="str">
        <f t="shared" si="0"/>
        <v>Số thửaSố thửa105</v>
      </c>
    </row>
    <row r="63" spans="1:4" x14ac:dyDescent="0.25">
      <c r="A63" s="25">
        <v>3</v>
      </c>
      <c r="B63" s="25" t="s">
        <v>121</v>
      </c>
      <c r="C63" s="26" t="s">
        <v>122</v>
      </c>
      <c r="D63" s="25" t="str">
        <f t="shared" si="0"/>
        <v>Số thửaSố thửa105</v>
      </c>
    </row>
    <row r="64" spans="1:4" x14ac:dyDescent="0.25">
      <c r="A64" s="25">
        <v>6</v>
      </c>
      <c r="B64" s="25" t="s">
        <v>123</v>
      </c>
      <c r="C64" s="26" t="s">
        <v>124</v>
      </c>
      <c r="D64" s="25" t="str">
        <f t="shared" si="0"/>
        <v>Số thửaSố thửa582</v>
      </c>
    </row>
    <row r="65" spans="1:4" x14ac:dyDescent="0.25">
      <c r="A65" s="25">
        <v>6</v>
      </c>
      <c r="B65" s="25" t="s">
        <v>123</v>
      </c>
      <c r="C65" s="26" t="s">
        <v>124</v>
      </c>
      <c r="D65" s="25" t="str">
        <f t="shared" si="0"/>
        <v>Số thửaSố thửa582</v>
      </c>
    </row>
    <row r="66" spans="1:4" x14ac:dyDescent="0.25">
      <c r="A66" s="25">
        <v>6</v>
      </c>
      <c r="B66" s="25" t="s">
        <v>125</v>
      </c>
      <c r="C66" s="26" t="s">
        <v>126</v>
      </c>
      <c r="D66" s="25" t="str">
        <f t="shared" si="0"/>
        <v>Số thửaSố thửa559</v>
      </c>
    </row>
    <row r="67" spans="1:4" x14ac:dyDescent="0.25">
      <c r="A67" s="25">
        <v>6</v>
      </c>
      <c r="B67" s="25" t="s">
        <v>125</v>
      </c>
      <c r="C67" s="26" t="s">
        <v>126</v>
      </c>
      <c r="D67" s="25" t="str">
        <f t="shared" ref="D67:D130" si="1">$B$1&amp;B67</f>
        <v>Số thửaSố thửa559</v>
      </c>
    </row>
    <row r="68" spans="1:4" x14ac:dyDescent="0.25">
      <c r="A68" s="25">
        <v>4</v>
      </c>
      <c r="B68" s="25" t="s">
        <v>127</v>
      </c>
      <c r="C68" s="26" t="s">
        <v>128</v>
      </c>
      <c r="D68" s="25" t="str">
        <f t="shared" si="1"/>
        <v>Số thửaSố thửa15</v>
      </c>
    </row>
    <row r="69" spans="1:4" x14ac:dyDescent="0.25">
      <c r="A69" s="25">
        <v>4</v>
      </c>
      <c r="B69" s="25" t="s">
        <v>65</v>
      </c>
      <c r="C69" s="26" t="s">
        <v>129</v>
      </c>
      <c r="D69" s="25" t="str">
        <f t="shared" si="1"/>
        <v>Số thửaSố thửa61</v>
      </c>
    </row>
    <row r="70" spans="1:4" x14ac:dyDescent="0.25">
      <c r="A70" s="25">
        <v>2</v>
      </c>
      <c r="B70" s="25" t="s">
        <v>59</v>
      </c>
      <c r="C70" s="26" t="s">
        <v>130</v>
      </c>
      <c r="D70" s="25" t="str">
        <f t="shared" si="1"/>
        <v>Số thửaSố thửa4</v>
      </c>
    </row>
    <row r="71" spans="1:4" x14ac:dyDescent="0.25">
      <c r="A71" s="25">
        <v>2</v>
      </c>
      <c r="B71" s="25" t="s">
        <v>60</v>
      </c>
      <c r="C71" s="26" t="s">
        <v>131</v>
      </c>
      <c r="D71" s="25" t="str">
        <f t="shared" si="1"/>
        <v>Số thửaSố thửa7</v>
      </c>
    </row>
    <row r="72" spans="1:4" x14ac:dyDescent="0.25">
      <c r="A72" s="25">
        <v>2</v>
      </c>
      <c r="B72" s="25" t="s">
        <v>132</v>
      </c>
      <c r="C72" s="26" t="s">
        <v>131</v>
      </c>
      <c r="D72" s="25" t="str">
        <f t="shared" si="1"/>
        <v>Số thửaSố thửa8</v>
      </c>
    </row>
    <row r="73" spans="1:4" x14ac:dyDescent="0.25">
      <c r="A73" s="25">
        <v>2</v>
      </c>
      <c r="B73" s="25" t="s">
        <v>133</v>
      </c>
      <c r="C73" s="26" t="s">
        <v>131</v>
      </c>
      <c r="D73" s="25" t="str">
        <f t="shared" si="1"/>
        <v>Số thửaSố thửa283</v>
      </c>
    </row>
    <row r="74" spans="1:4" x14ac:dyDescent="0.25">
      <c r="A74" s="25">
        <v>3</v>
      </c>
      <c r="B74" s="25" t="s">
        <v>134</v>
      </c>
      <c r="C74" s="26" t="s">
        <v>131</v>
      </c>
      <c r="D74" s="25" t="str">
        <f t="shared" si="1"/>
        <v>Số thửaSố thửa11</v>
      </c>
    </row>
    <row r="75" spans="1:4" x14ac:dyDescent="0.25">
      <c r="A75" s="25">
        <v>3</v>
      </c>
      <c r="B75" s="25" t="s">
        <v>135</v>
      </c>
      <c r="C75" s="26" t="s">
        <v>136</v>
      </c>
      <c r="D75" s="25" t="str">
        <f t="shared" si="1"/>
        <v>Số thửaSố thửa132</v>
      </c>
    </row>
    <row r="76" spans="1:4" x14ac:dyDescent="0.25">
      <c r="A76" s="25">
        <v>3</v>
      </c>
      <c r="B76" s="25" t="s">
        <v>135</v>
      </c>
      <c r="C76" s="26" t="s">
        <v>136</v>
      </c>
      <c r="D76" s="25" t="str">
        <f t="shared" si="1"/>
        <v>Số thửaSố thửa132</v>
      </c>
    </row>
    <row r="77" spans="1:4" x14ac:dyDescent="0.25">
      <c r="A77" s="25">
        <v>7</v>
      </c>
      <c r="B77" s="25" t="s">
        <v>137</v>
      </c>
      <c r="C77" s="26" t="s">
        <v>138</v>
      </c>
      <c r="D77" s="25" t="str">
        <f t="shared" si="1"/>
        <v>Số thửaSố thửa305</v>
      </c>
    </row>
    <row r="78" spans="1:4" x14ac:dyDescent="0.25">
      <c r="A78" s="25">
        <v>7</v>
      </c>
      <c r="B78" s="25" t="s">
        <v>139</v>
      </c>
      <c r="C78" s="26" t="s">
        <v>138</v>
      </c>
      <c r="D78" s="25" t="str">
        <f t="shared" si="1"/>
        <v>Số thửaSố thửa306</v>
      </c>
    </row>
    <row r="79" spans="1:4" x14ac:dyDescent="0.25">
      <c r="A79" s="25">
        <v>7</v>
      </c>
      <c r="B79" s="25" t="s">
        <v>140</v>
      </c>
      <c r="C79" s="26" t="s">
        <v>138</v>
      </c>
      <c r="D79" s="25" t="str">
        <f t="shared" si="1"/>
        <v>Số thửaSố thửa307</v>
      </c>
    </row>
    <row r="80" spans="1:4" x14ac:dyDescent="0.25">
      <c r="A80" s="25">
        <v>7</v>
      </c>
      <c r="B80" s="25" t="s">
        <v>141</v>
      </c>
      <c r="C80" s="26" t="s">
        <v>138</v>
      </c>
      <c r="D80" s="25" t="str">
        <f t="shared" si="1"/>
        <v>Số thửaSố thửa329</v>
      </c>
    </row>
    <row r="81" spans="1:4" x14ac:dyDescent="0.25">
      <c r="A81" s="25">
        <v>7</v>
      </c>
      <c r="B81" s="25" t="s">
        <v>142</v>
      </c>
      <c r="C81" s="26" t="s">
        <v>138</v>
      </c>
      <c r="D81" s="25" t="str">
        <f t="shared" si="1"/>
        <v>Số thửaSố thửa330</v>
      </c>
    </row>
    <row r="82" spans="1:4" x14ac:dyDescent="0.25">
      <c r="A82" s="25">
        <v>7</v>
      </c>
      <c r="B82" s="25" t="s">
        <v>143</v>
      </c>
      <c r="C82" s="26" t="s">
        <v>138</v>
      </c>
      <c r="D82" s="25" t="str">
        <f t="shared" si="1"/>
        <v>Số thửaSố thửa331</v>
      </c>
    </row>
    <row r="83" spans="1:4" x14ac:dyDescent="0.25">
      <c r="A83" s="25">
        <v>7</v>
      </c>
      <c r="B83" s="25" t="s">
        <v>144</v>
      </c>
      <c r="C83" s="26" t="s">
        <v>138</v>
      </c>
      <c r="D83" s="25" t="str">
        <f t="shared" si="1"/>
        <v>Số thửaSố thửa332</v>
      </c>
    </row>
    <row r="84" spans="1:4" x14ac:dyDescent="0.25">
      <c r="A84" s="25">
        <v>7</v>
      </c>
      <c r="B84" s="25" t="s">
        <v>145</v>
      </c>
      <c r="C84" s="26" t="s">
        <v>138</v>
      </c>
      <c r="D84" s="25" t="str">
        <f t="shared" si="1"/>
        <v>Số thửaSố thửa353</v>
      </c>
    </row>
    <row r="85" spans="1:4" x14ac:dyDescent="0.25">
      <c r="A85" s="25">
        <v>7</v>
      </c>
      <c r="B85" s="25" t="s">
        <v>146</v>
      </c>
      <c r="C85" s="26" t="s">
        <v>138</v>
      </c>
      <c r="D85" s="25" t="str">
        <f t="shared" si="1"/>
        <v>Số thửaSố thửa354</v>
      </c>
    </row>
    <row r="86" spans="1:4" x14ac:dyDescent="0.25">
      <c r="A86" s="25">
        <v>7</v>
      </c>
      <c r="B86" s="25" t="s">
        <v>147</v>
      </c>
      <c r="C86" s="26" t="s">
        <v>138</v>
      </c>
      <c r="D86" s="25" t="str">
        <f t="shared" si="1"/>
        <v>Số thửaSố thửa376</v>
      </c>
    </row>
    <row r="87" spans="1:4" x14ac:dyDescent="0.25">
      <c r="A87" s="25">
        <v>7</v>
      </c>
      <c r="B87" s="25" t="s">
        <v>148</v>
      </c>
      <c r="C87" s="26" t="s">
        <v>149</v>
      </c>
      <c r="D87" s="25" t="str">
        <f t="shared" si="1"/>
        <v>Số thửaSố thửa395</v>
      </c>
    </row>
    <row r="88" spans="1:4" x14ac:dyDescent="0.25">
      <c r="A88" s="25">
        <v>7</v>
      </c>
      <c r="B88" s="25" t="s">
        <v>150</v>
      </c>
      <c r="C88" s="26" t="s">
        <v>138</v>
      </c>
      <c r="D88" s="25" t="str">
        <f t="shared" si="1"/>
        <v>Số thửaSố thửa464</v>
      </c>
    </row>
    <row r="89" spans="1:4" x14ac:dyDescent="0.25">
      <c r="A89" s="25">
        <v>7</v>
      </c>
      <c r="B89" s="25" t="s">
        <v>151</v>
      </c>
      <c r="C89" s="26" t="s">
        <v>149</v>
      </c>
      <c r="D89" s="25" t="str">
        <f t="shared" si="1"/>
        <v>Số thửaSố thửa722</v>
      </c>
    </row>
    <row r="90" spans="1:4" x14ac:dyDescent="0.25">
      <c r="A90" s="25">
        <v>7</v>
      </c>
      <c r="B90" s="25" t="s">
        <v>152</v>
      </c>
      <c r="C90" s="26" t="s">
        <v>149</v>
      </c>
      <c r="D90" s="25" t="str">
        <f t="shared" si="1"/>
        <v>Số thửaSố thửa748</v>
      </c>
    </row>
    <row r="91" spans="1:4" x14ac:dyDescent="0.25">
      <c r="A91" s="25">
        <v>7</v>
      </c>
      <c r="B91" s="25" t="s">
        <v>153</v>
      </c>
      <c r="C91" s="26" t="s">
        <v>154</v>
      </c>
      <c r="D91" s="25" t="str">
        <f t="shared" si="1"/>
        <v>Số thửaSố thửa757</v>
      </c>
    </row>
    <row r="92" spans="1:4" x14ac:dyDescent="0.25">
      <c r="A92" s="25">
        <v>7</v>
      </c>
      <c r="B92" s="25" t="s">
        <v>153</v>
      </c>
      <c r="C92" s="26" t="s">
        <v>154</v>
      </c>
      <c r="D92" s="25" t="str">
        <f t="shared" si="1"/>
        <v>Số thửaSố thửa757</v>
      </c>
    </row>
    <row r="93" spans="1:4" x14ac:dyDescent="0.25">
      <c r="A93" s="25">
        <v>7</v>
      </c>
      <c r="B93" s="25" t="s">
        <v>155</v>
      </c>
      <c r="C93" s="26" t="s">
        <v>149</v>
      </c>
      <c r="D93" s="25" t="str">
        <f t="shared" si="1"/>
        <v>Số thửaSố thửa829</v>
      </c>
    </row>
    <row r="94" spans="1:4" x14ac:dyDescent="0.25">
      <c r="A94" s="25">
        <v>7</v>
      </c>
      <c r="B94" s="25" t="s">
        <v>156</v>
      </c>
      <c r="C94" s="26" t="s">
        <v>157</v>
      </c>
      <c r="D94" s="25" t="str">
        <f t="shared" si="1"/>
        <v>Số thửaSố thửa855</v>
      </c>
    </row>
    <row r="95" spans="1:4" x14ac:dyDescent="0.25">
      <c r="A95" s="25">
        <v>7</v>
      </c>
      <c r="B95" s="25" t="s">
        <v>158</v>
      </c>
      <c r="C95" s="26" t="s">
        <v>157</v>
      </c>
      <c r="D95" s="25" t="str">
        <f t="shared" si="1"/>
        <v>Số thửaSố thửa862</v>
      </c>
    </row>
    <row r="96" spans="1:4" x14ac:dyDescent="0.25">
      <c r="A96" s="25">
        <v>7</v>
      </c>
      <c r="B96" s="25" t="s">
        <v>159</v>
      </c>
      <c r="C96" s="26" t="s">
        <v>157</v>
      </c>
      <c r="D96" s="25" t="str">
        <f t="shared" si="1"/>
        <v>Số thửaSố thửa864</v>
      </c>
    </row>
    <row r="97" spans="1:4" x14ac:dyDescent="0.25">
      <c r="A97" s="25">
        <v>7</v>
      </c>
      <c r="B97" s="25" t="s">
        <v>160</v>
      </c>
      <c r="C97" s="26" t="s">
        <v>157</v>
      </c>
      <c r="D97" s="25" t="str">
        <f t="shared" si="1"/>
        <v>Số thửaSố thửa865</v>
      </c>
    </row>
    <row r="98" spans="1:4" x14ac:dyDescent="0.25">
      <c r="A98" s="25">
        <v>1</v>
      </c>
      <c r="B98" s="25" t="s">
        <v>161</v>
      </c>
      <c r="C98" s="26" t="s">
        <v>162</v>
      </c>
      <c r="D98" s="25" t="str">
        <f t="shared" si="1"/>
        <v>Số thửaSố thửa51</v>
      </c>
    </row>
    <row r="99" spans="1:4" x14ac:dyDescent="0.25">
      <c r="A99" s="25">
        <v>1</v>
      </c>
      <c r="B99" s="25" t="s">
        <v>163</v>
      </c>
      <c r="C99" s="26" t="s">
        <v>164</v>
      </c>
      <c r="D99" s="25" t="str">
        <f t="shared" si="1"/>
        <v>Số thửaSố thửa52</v>
      </c>
    </row>
    <row r="100" spans="1:4" x14ac:dyDescent="0.25">
      <c r="A100" s="25">
        <v>1</v>
      </c>
      <c r="B100" s="25" t="s">
        <v>165</v>
      </c>
      <c r="C100" s="26" t="s">
        <v>166</v>
      </c>
      <c r="D100" s="25" t="str">
        <f t="shared" si="1"/>
        <v>Số thửaSố thửa46</v>
      </c>
    </row>
    <row r="101" spans="1:4" x14ac:dyDescent="0.25">
      <c r="A101" s="25">
        <v>7</v>
      </c>
      <c r="B101" s="25" t="s">
        <v>167</v>
      </c>
      <c r="C101" s="26" t="s">
        <v>168</v>
      </c>
      <c r="D101" s="25" t="str">
        <f t="shared" si="1"/>
        <v>Số thửaSố thửa750</v>
      </c>
    </row>
    <row r="102" spans="1:4" x14ac:dyDescent="0.25">
      <c r="A102" s="25">
        <v>7</v>
      </c>
      <c r="B102" s="25" t="s">
        <v>167</v>
      </c>
      <c r="C102" s="26" t="s">
        <v>168</v>
      </c>
      <c r="D102" s="25" t="str">
        <f t="shared" si="1"/>
        <v>Số thửaSố thửa750</v>
      </c>
    </row>
    <row r="103" spans="1:4" x14ac:dyDescent="0.25">
      <c r="A103" s="25">
        <v>4</v>
      </c>
      <c r="B103" s="25" t="s">
        <v>169</v>
      </c>
      <c r="C103" s="26" t="s">
        <v>170</v>
      </c>
      <c r="D103" s="25" t="str">
        <f t="shared" si="1"/>
        <v>Số thửaSố thửa66</v>
      </c>
    </row>
    <row r="104" spans="1:4" x14ac:dyDescent="0.25">
      <c r="A104" s="25">
        <v>4</v>
      </c>
      <c r="B104" s="25" t="s">
        <v>171</v>
      </c>
      <c r="C104" s="26" t="s">
        <v>172</v>
      </c>
      <c r="D104" s="25" t="str">
        <f t="shared" si="1"/>
        <v>Số thửaSố thửa182</v>
      </c>
    </row>
    <row r="105" spans="1:4" x14ac:dyDescent="0.25">
      <c r="A105" s="25">
        <v>4</v>
      </c>
      <c r="B105" s="25" t="s">
        <v>173</v>
      </c>
      <c r="C105" s="26" t="s">
        <v>172</v>
      </c>
      <c r="D105" s="25" t="str">
        <f t="shared" si="1"/>
        <v>Số thửaSố thửa204</v>
      </c>
    </row>
    <row r="106" spans="1:4" x14ac:dyDescent="0.25">
      <c r="A106" s="25">
        <v>4</v>
      </c>
      <c r="B106" s="25" t="s">
        <v>174</v>
      </c>
      <c r="C106" s="26" t="s">
        <v>172</v>
      </c>
      <c r="D106" s="25" t="str">
        <f t="shared" si="1"/>
        <v>Số thửaSố thửa205</v>
      </c>
    </row>
    <row r="107" spans="1:4" x14ac:dyDescent="0.25">
      <c r="A107" s="25">
        <v>4</v>
      </c>
      <c r="B107" s="25" t="s">
        <v>175</v>
      </c>
      <c r="C107" s="26" t="s">
        <v>172</v>
      </c>
      <c r="D107" s="25" t="str">
        <f t="shared" si="1"/>
        <v>Số thửaSố thửa207</v>
      </c>
    </row>
    <row r="108" spans="1:4" x14ac:dyDescent="0.25">
      <c r="A108" s="25">
        <v>4</v>
      </c>
      <c r="B108" s="25" t="s">
        <v>93</v>
      </c>
      <c r="C108" s="26" t="s">
        <v>172</v>
      </c>
      <c r="D108" s="25" t="str">
        <f t="shared" si="1"/>
        <v>Số thửaSố thửa239</v>
      </c>
    </row>
    <row r="109" spans="1:4" x14ac:dyDescent="0.25">
      <c r="A109" s="25">
        <v>4</v>
      </c>
      <c r="B109" s="25" t="s">
        <v>94</v>
      </c>
      <c r="C109" s="26" t="s">
        <v>172</v>
      </c>
      <c r="D109" s="25" t="str">
        <f t="shared" si="1"/>
        <v>Số thửaSố thửa240</v>
      </c>
    </row>
    <row r="110" spans="1:4" x14ac:dyDescent="0.25">
      <c r="A110" s="25">
        <v>4</v>
      </c>
      <c r="B110" s="25" t="s">
        <v>96</v>
      </c>
      <c r="C110" s="26" t="s">
        <v>172</v>
      </c>
      <c r="D110" s="25" t="str">
        <f t="shared" si="1"/>
        <v>Số thửaSố thửa242</v>
      </c>
    </row>
    <row r="111" spans="1:4" x14ac:dyDescent="0.25">
      <c r="A111" s="25">
        <v>4</v>
      </c>
      <c r="B111" s="25" t="s">
        <v>97</v>
      </c>
      <c r="C111" s="26" t="s">
        <v>170</v>
      </c>
      <c r="D111" s="25" t="str">
        <f t="shared" si="1"/>
        <v>Số thửaSố thửa243</v>
      </c>
    </row>
    <row r="112" spans="1:4" x14ac:dyDescent="0.25">
      <c r="A112" s="25">
        <v>4</v>
      </c>
      <c r="B112" s="25" t="s">
        <v>176</v>
      </c>
      <c r="C112" s="26" t="s">
        <v>172</v>
      </c>
      <c r="D112" s="25" t="str">
        <f t="shared" si="1"/>
        <v>Số thửaSố thửa259</v>
      </c>
    </row>
    <row r="113" spans="1:4" x14ac:dyDescent="0.25">
      <c r="A113" s="25">
        <v>4</v>
      </c>
      <c r="B113" s="25" t="s">
        <v>177</v>
      </c>
      <c r="C113" s="26" t="s">
        <v>172</v>
      </c>
      <c r="D113" s="25" t="str">
        <f t="shared" si="1"/>
        <v>Số thửaSố thửa260</v>
      </c>
    </row>
    <row r="114" spans="1:4" x14ac:dyDescent="0.25">
      <c r="A114" s="25">
        <v>4</v>
      </c>
      <c r="B114" s="25" t="s">
        <v>178</v>
      </c>
      <c r="C114" s="26" t="s">
        <v>179</v>
      </c>
      <c r="D114" s="25" t="str">
        <f t="shared" si="1"/>
        <v>Số thửaSố thửa292</v>
      </c>
    </row>
    <row r="115" spans="1:4" x14ac:dyDescent="0.25">
      <c r="A115" s="25">
        <v>4</v>
      </c>
      <c r="B115" s="25" t="s">
        <v>178</v>
      </c>
      <c r="C115" s="26" t="s">
        <v>179</v>
      </c>
      <c r="D115" s="25" t="str">
        <f t="shared" si="1"/>
        <v>Số thửaSố thửa292</v>
      </c>
    </row>
    <row r="116" spans="1:4" x14ac:dyDescent="0.25">
      <c r="A116" s="25">
        <v>4</v>
      </c>
      <c r="B116" s="25" t="s">
        <v>180</v>
      </c>
      <c r="C116" s="26" t="s">
        <v>172</v>
      </c>
      <c r="D116" s="25" t="str">
        <f t="shared" si="1"/>
        <v>Số thửaSố thửa344</v>
      </c>
    </row>
    <row r="117" spans="1:4" x14ac:dyDescent="0.25">
      <c r="A117" s="25">
        <v>4</v>
      </c>
      <c r="B117" s="25" t="s">
        <v>181</v>
      </c>
      <c r="C117" s="26" t="s">
        <v>172</v>
      </c>
      <c r="D117" s="25" t="str">
        <f t="shared" si="1"/>
        <v>Số thửaSố thửa370</v>
      </c>
    </row>
    <row r="118" spans="1:4" x14ac:dyDescent="0.25">
      <c r="A118" s="25">
        <v>4</v>
      </c>
      <c r="B118" s="25" t="s">
        <v>182</v>
      </c>
      <c r="C118" s="26" t="s">
        <v>172</v>
      </c>
      <c r="D118" s="25" t="str">
        <f t="shared" si="1"/>
        <v>Số thửaSố thửa371</v>
      </c>
    </row>
    <row r="119" spans="1:4" x14ac:dyDescent="0.25">
      <c r="A119" s="25">
        <v>4</v>
      </c>
      <c r="B119" s="25" t="s">
        <v>183</v>
      </c>
      <c r="C119" s="26" t="s">
        <v>170</v>
      </c>
      <c r="D119" s="25" t="str">
        <f t="shared" si="1"/>
        <v>Số thửaSố thửa372</v>
      </c>
    </row>
    <row r="120" spans="1:4" x14ac:dyDescent="0.25">
      <c r="A120" s="25">
        <v>4</v>
      </c>
      <c r="B120" s="25" t="s">
        <v>184</v>
      </c>
      <c r="C120" s="26" t="s">
        <v>185</v>
      </c>
      <c r="D120" s="25" t="str">
        <f t="shared" si="1"/>
        <v>Số thửaSố thửa388</v>
      </c>
    </row>
    <row r="121" spans="1:4" x14ac:dyDescent="0.25">
      <c r="A121" s="25">
        <v>7</v>
      </c>
      <c r="B121" s="25" t="s">
        <v>186</v>
      </c>
      <c r="C121" s="26" t="s">
        <v>187</v>
      </c>
      <c r="D121" s="25" t="str">
        <f t="shared" si="1"/>
        <v>Số thửaSố thửa427</v>
      </c>
    </row>
    <row r="122" spans="1:4" x14ac:dyDescent="0.25">
      <c r="A122" s="25">
        <v>7</v>
      </c>
      <c r="B122" s="25" t="s">
        <v>188</v>
      </c>
      <c r="C122" s="26" t="s">
        <v>185</v>
      </c>
      <c r="D122" s="25" t="str">
        <f t="shared" si="1"/>
        <v>Số thửaSố thửa573</v>
      </c>
    </row>
    <row r="123" spans="1:4" x14ac:dyDescent="0.25">
      <c r="A123" s="25">
        <v>7</v>
      </c>
      <c r="B123" s="25" t="s">
        <v>189</v>
      </c>
      <c r="C123" s="26" t="s">
        <v>185</v>
      </c>
      <c r="D123" s="25" t="str">
        <f t="shared" si="1"/>
        <v>Số thửaSố thửa785</v>
      </c>
    </row>
    <row r="124" spans="1:4" x14ac:dyDescent="0.25">
      <c r="A124" s="25">
        <v>1</v>
      </c>
      <c r="B124" s="25" t="s">
        <v>190</v>
      </c>
      <c r="C124" s="26" t="s">
        <v>191</v>
      </c>
      <c r="D124" s="25" t="str">
        <f t="shared" si="1"/>
        <v>Số thửaSố thửa113</v>
      </c>
    </row>
    <row r="125" spans="1:4" x14ac:dyDescent="0.25">
      <c r="A125" s="25">
        <v>1</v>
      </c>
      <c r="B125" s="25" t="s">
        <v>192</v>
      </c>
      <c r="C125" s="26" t="s">
        <v>193</v>
      </c>
      <c r="D125" s="25" t="str">
        <f t="shared" si="1"/>
        <v>Số thửaSố thửa127</v>
      </c>
    </row>
    <row r="126" spans="1:4" x14ac:dyDescent="0.25">
      <c r="A126" s="25">
        <v>1</v>
      </c>
      <c r="B126" s="25" t="s">
        <v>194</v>
      </c>
      <c r="C126" s="26" t="s">
        <v>195</v>
      </c>
      <c r="D126" s="25" t="str">
        <f t="shared" si="1"/>
        <v>Số thửaSố thửa100</v>
      </c>
    </row>
    <row r="127" spans="1:4" x14ac:dyDescent="0.25">
      <c r="A127" s="25">
        <v>1</v>
      </c>
      <c r="B127" s="25" t="s">
        <v>196</v>
      </c>
      <c r="C127" s="26" t="s">
        <v>197</v>
      </c>
      <c r="D127" s="25" t="str">
        <f t="shared" si="1"/>
        <v>Số thửaSố thửa50</v>
      </c>
    </row>
    <row r="128" spans="1:4" x14ac:dyDescent="0.25">
      <c r="A128" s="25">
        <v>1</v>
      </c>
      <c r="B128" s="25" t="s">
        <v>198</v>
      </c>
      <c r="C128" s="26" t="s">
        <v>199</v>
      </c>
      <c r="D128" s="25" t="str">
        <f t="shared" si="1"/>
        <v>Số thửaSố thửa55</v>
      </c>
    </row>
    <row r="129" spans="1:4" x14ac:dyDescent="0.25">
      <c r="A129" s="25">
        <v>6</v>
      </c>
      <c r="B129" s="25" t="s">
        <v>200</v>
      </c>
      <c r="C129" s="26" t="s">
        <v>201</v>
      </c>
      <c r="D129" s="25" t="str">
        <f t="shared" si="1"/>
        <v>Số thửaSố thửa445</v>
      </c>
    </row>
    <row r="130" spans="1:4" x14ac:dyDescent="0.25">
      <c r="A130" s="25">
        <v>6</v>
      </c>
      <c r="B130" s="25" t="s">
        <v>202</v>
      </c>
      <c r="C130" s="26" t="s">
        <v>201</v>
      </c>
      <c r="D130" s="25" t="str">
        <f t="shared" si="1"/>
        <v>Số thửaSố thửa493</v>
      </c>
    </row>
    <row r="131" spans="1:4" x14ac:dyDescent="0.25">
      <c r="A131" s="25">
        <v>7</v>
      </c>
      <c r="B131" s="25" t="s">
        <v>203</v>
      </c>
      <c r="C131" s="26" t="s">
        <v>204</v>
      </c>
      <c r="D131" s="25" t="str">
        <f t="shared" ref="D131:D194" si="2">$B$1&amp;B131</f>
        <v>Số thửaSố thửa190</v>
      </c>
    </row>
    <row r="132" spans="1:4" x14ac:dyDescent="0.25">
      <c r="A132" s="25">
        <v>7</v>
      </c>
      <c r="B132" s="25" t="s">
        <v>205</v>
      </c>
      <c r="C132" s="26" t="s">
        <v>201</v>
      </c>
      <c r="D132" s="25" t="str">
        <f t="shared" si="2"/>
        <v>Số thửaSố thửa413</v>
      </c>
    </row>
    <row r="133" spans="1:4" x14ac:dyDescent="0.25">
      <c r="A133" s="25">
        <v>7</v>
      </c>
      <c r="B133" s="25" t="s">
        <v>206</v>
      </c>
      <c r="C133" s="26" t="s">
        <v>201</v>
      </c>
      <c r="D133" s="25" t="str">
        <f t="shared" si="2"/>
        <v>Số thửaSố thửa414</v>
      </c>
    </row>
    <row r="134" spans="1:4" x14ac:dyDescent="0.25">
      <c r="A134" s="25">
        <v>7</v>
      </c>
      <c r="B134" s="25" t="s">
        <v>207</v>
      </c>
      <c r="C134" s="26" t="s">
        <v>208</v>
      </c>
      <c r="D134" s="25" t="str">
        <f t="shared" si="2"/>
        <v>Số thửaSố thửa595</v>
      </c>
    </row>
    <row r="135" spans="1:4" x14ac:dyDescent="0.25">
      <c r="A135" s="25">
        <v>7</v>
      </c>
      <c r="B135" s="25" t="s">
        <v>207</v>
      </c>
      <c r="C135" s="26" t="s">
        <v>208</v>
      </c>
      <c r="D135" s="25" t="str">
        <f t="shared" si="2"/>
        <v>Số thửaSố thửa595</v>
      </c>
    </row>
    <row r="136" spans="1:4" x14ac:dyDescent="0.25">
      <c r="A136" s="25">
        <v>7</v>
      </c>
      <c r="B136" s="25" t="s">
        <v>209</v>
      </c>
      <c r="C136" s="26" t="s">
        <v>201</v>
      </c>
      <c r="D136" s="25" t="str">
        <f t="shared" si="2"/>
        <v>Số thửaSố thửa762</v>
      </c>
    </row>
    <row r="137" spans="1:4" x14ac:dyDescent="0.25">
      <c r="A137" s="25">
        <v>2</v>
      </c>
      <c r="B137" s="25" t="s">
        <v>73</v>
      </c>
      <c r="C137" s="26" t="s">
        <v>210</v>
      </c>
      <c r="D137" s="25" t="str">
        <f t="shared" si="2"/>
        <v>Số thửaSố thửa168</v>
      </c>
    </row>
    <row r="138" spans="1:4" x14ac:dyDescent="0.25">
      <c r="A138" s="25">
        <v>3</v>
      </c>
      <c r="B138" s="25" t="s">
        <v>211</v>
      </c>
      <c r="C138" s="26" t="s">
        <v>212</v>
      </c>
      <c r="D138" s="25" t="str">
        <f t="shared" si="2"/>
        <v>Số thửaSố thửa266</v>
      </c>
    </row>
    <row r="139" spans="1:4" x14ac:dyDescent="0.25">
      <c r="A139" s="25">
        <v>3</v>
      </c>
      <c r="B139" s="25" t="s">
        <v>213</v>
      </c>
      <c r="C139" s="26" t="s">
        <v>212</v>
      </c>
      <c r="D139" s="25" t="str">
        <f t="shared" si="2"/>
        <v>Số thửaSố thửa267</v>
      </c>
    </row>
    <row r="140" spans="1:4" x14ac:dyDescent="0.25">
      <c r="A140" s="25">
        <v>3</v>
      </c>
      <c r="B140" s="25" t="s">
        <v>214</v>
      </c>
      <c r="C140" s="26" t="s">
        <v>212</v>
      </c>
      <c r="D140" s="25" t="str">
        <f t="shared" si="2"/>
        <v>Số thửaSố thửa289</v>
      </c>
    </row>
    <row r="141" spans="1:4" x14ac:dyDescent="0.25">
      <c r="A141" s="25">
        <v>3</v>
      </c>
      <c r="B141" s="25" t="s">
        <v>215</v>
      </c>
      <c r="C141" s="26" t="s">
        <v>212</v>
      </c>
      <c r="D141" s="25" t="str">
        <f t="shared" si="2"/>
        <v>Số thửaSố thửa290</v>
      </c>
    </row>
    <row r="142" spans="1:4" x14ac:dyDescent="0.25">
      <c r="A142" s="25">
        <v>3</v>
      </c>
      <c r="B142" s="25" t="s">
        <v>216</v>
      </c>
      <c r="C142" s="26" t="s">
        <v>212</v>
      </c>
      <c r="D142" s="25" t="str">
        <f t="shared" si="2"/>
        <v>Số thửaSố thửa336</v>
      </c>
    </row>
    <row r="143" spans="1:4" x14ac:dyDescent="0.25">
      <c r="A143" s="25">
        <v>3</v>
      </c>
      <c r="B143" s="25" t="s">
        <v>114</v>
      </c>
      <c r="C143" s="26" t="s">
        <v>212</v>
      </c>
      <c r="D143" s="25" t="str">
        <f t="shared" si="2"/>
        <v>Số thửaSố thửa337</v>
      </c>
    </row>
    <row r="144" spans="1:4" x14ac:dyDescent="0.25">
      <c r="A144" s="25">
        <v>6</v>
      </c>
      <c r="B144" s="25" t="s">
        <v>217</v>
      </c>
      <c r="C144" s="26" t="s">
        <v>210</v>
      </c>
      <c r="D144" s="25" t="str">
        <f t="shared" si="2"/>
        <v>Số thửaSố thửa567</v>
      </c>
    </row>
    <row r="145" spans="1:4" x14ac:dyDescent="0.25">
      <c r="A145" s="25">
        <v>6</v>
      </c>
      <c r="B145" s="25" t="s">
        <v>218</v>
      </c>
      <c r="C145" s="26" t="s">
        <v>219</v>
      </c>
      <c r="D145" s="25" t="str">
        <f t="shared" si="2"/>
        <v>Số thửaSố thửa779</v>
      </c>
    </row>
    <row r="146" spans="1:4" x14ac:dyDescent="0.25">
      <c r="A146" s="25">
        <v>6</v>
      </c>
      <c r="B146" s="25" t="s">
        <v>220</v>
      </c>
      <c r="C146" s="26" t="s">
        <v>219</v>
      </c>
      <c r="D146" s="25" t="str">
        <f t="shared" si="2"/>
        <v>Số thửaSố thửa806</v>
      </c>
    </row>
    <row r="147" spans="1:4" x14ac:dyDescent="0.25">
      <c r="A147" s="25">
        <v>6</v>
      </c>
      <c r="B147" s="25" t="s">
        <v>221</v>
      </c>
      <c r="C147" s="26" t="s">
        <v>219</v>
      </c>
      <c r="D147" s="25" t="str">
        <f t="shared" si="2"/>
        <v>Số thửaSố thửa807</v>
      </c>
    </row>
    <row r="148" spans="1:4" x14ac:dyDescent="0.25">
      <c r="A148" s="25">
        <v>6</v>
      </c>
      <c r="B148" s="25" t="s">
        <v>116</v>
      </c>
      <c r="C148" s="26" t="s">
        <v>219</v>
      </c>
      <c r="D148" s="25" t="str">
        <f t="shared" si="2"/>
        <v>Số thửaSố thửa808</v>
      </c>
    </row>
    <row r="149" spans="1:4" x14ac:dyDescent="0.25">
      <c r="A149" s="25">
        <v>6</v>
      </c>
      <c r="B149" s="25" t="s">
        <v>118</v>
      </c>
      <c r="C149" s="26" t="s">
        <v>219</v>
      </c>
      <c r="D149" s="25" t="str">
        <f t="shared" si="2"/>
        <v>Số thửaSố thửa809</v>
      </c>
    </row>
    <row r="150" spans="1:4" x14ac:dyDescent="0.25">
      <c r="A150" s="25">
        <v>8</v>
      </c>
      <c r="B150" s="25" t="s">
        <v>222</v>
      </c>
      <c r="C150" s="26" t="s">
        <v>223</v>
      </c>
      <c r="D150" s="25" t="str">
        <f t="shared" si="2"/>
        <v>Số thửaSố thửa227</v>
      </c>
    </row>
    <row r="151" spans="1:4" x14ac:dyDescent="0.25">
      <c r="A151" s="25">
        <v>8</v>
      </c>
      <c r="B151" s="25" t="s">
        <v>224</v>
      </c>
      <c r="C151" s="26" t="s">
        <v>223</v>
      </c>
      <c r="D151" s="25" t="str">
        <f t="shared" si="2"/>
        <v>Số thửaSố thửa237</v>
      </c>
    </row>
    <row r="152" spans="1:4" x14ac:dyDescent="0.25">
      <c r="A152" s="25">
        <v>9</v>
      </c>
      <c r="B152" s="25" t="s">
        <v>225</v>
      </c>
      <c r="C152" s="26" t="s">
        <v>226</v>
      </c>
      <c r="D152" s="25" t="str">
        <f t="shared" si="2"/>
        <v>Số thửaSố thửa810</v>
      </c>
    </row>
    <row r="153" spans="1:4" x14ac:dyDescent="0.25">
      <c r="A153" s="25">
        <v>9</v>
      </c>
      <c r="B153" s="25" t="s">
        <v>225</v>
      </c>
      <c r="C153" s="26" t="s">
        <v>226</v>
      </c>
      <c r="D153" s="25" t="str">
        <f t="shared" si="2"/>
        <v>Số thửaSố thửa810</v>
      </c>
    </row>
    <row r="154" spans="1:4" x14ac:dyDescent="0.25">
      <c r="A154" s="25">
        <v>9</v>
      </c>
      <c r="B154" s="25" t="s">
        <v>227</v>
      </c>
      <c r="C154" s="26" t="s">
        <v>223</v>
      </c>
      <c r="D154" s="25" t="str">
        <f t="shared" si="2"/>
        <v>Số thửaSố thửa823</v>
      </c>
    </row>
    <row r="155" spans="1:4" x14ac:dyDescent="0.25">
      <c r="A155" s="25">
        <v>9</v>
      </c>
      <c r="B155" s="25" t="s">
        <v>228</v>
      </c>
      <c r="C155" s="26" t="s">
        <v>223</v>
      </c>
      <c r="D155" s="25" t="str">
        <f t="shared" si="2"/>
        <v>Số thửaSố thửa828</v>
      </c>
    </row>
    <row r="156" spans="1:4" x14ac:dyDescent="0.25">
      <c r="A156" s="25">
        <v>9</v>
      </c>
      <c r="B156" s="25" t="s">
        <v>155</v>
      </c>
      <c r="C156" s="26" t="s">
        <v>223</v>
      </c>
      <c r="D156" s="25" t="str">
        <f t="shared" si="2"/>
        <v>Số thửaSố thửa829</v>
      </c>
    </row>
    <row r="157" spans="1:4" x14ac:dyDescent="0.25">
      <c r="A157" s="25">
        <v>9</v>
      </c>
      <c r="B157" s="25" t="s">
        <v>229</v>
      </c>
      <c r="C157" s="26" t="s">
        <v>223</v>
      </c>
      <c r="D157" s="25" t="str">
        <f t="shared" si="2"/>
        <v>Số thửaSố thửa830</v>
      </c>
    </row>
    <row r="158" spans="1:4" x14ac:dyDescent="0.25">
      <c r="A158" s="25">
        <v>9</v>
      </c>
      <c r="B158" s="25" t="s">
        <v>230</v>
      </c>
      <c r="C158" s="26" t="s">
        <v>231</v>
      </c>
      <c r="D158" s="25" t="str">
        <f t="shared" si="2"/>
        <v>Số thửaSố thửa838</v>
      </c>
    </row>
    <row r="159" spans="1:4" x14ac:dyDescent="0.25">
      <c r="A159" s="25">
        <v>9</v>
      </c>
      <c r="B159" s="25" t="s">
        <v>232</v>
      </c>
      <c r="C159" s="26" t="s">
        <v>223</v>
      </c>
      <c r="D159" s="25" t="str">
        <f t="shared" si="2"/>
        <v>Số thửaSố thửa839</v>
      </c>
    </row>
    <row r="160" spans="1:4" x14ac:dyDescent="0.25">
      <c r="A160" s="25">
        <v>9</v>
      </c>
      <c r="B160" s="25" t="s">
        <v>233</v>
      </c>
      <c r="C160" s="26" t="s">
        <v>231</v>
      </c>
      <c r="D160" s="25" t="str">
        <f t="shared" si="2"/>
        <v>Số thửaSố thửa840</v>
      </c>
    </row>
    <row r="161" spans="1:4" x14ac:dyDescent="0.25">
      <c r="A161" s="25">
        <v>9</v>
      </c>
      <c r="B161" s="25" t="s">
        <v>234</v>
      </c>
      <c r="C161" s="26" t="s">
        <v>231</v>
      </c>
      <c r="D161" s="25" t="str">
        <f t="shared" si="2"/>
        <v>Số thửaSố thửa841</v>
      </c>
    </row>
    <row r="162" spans="1:4" x14ac:dyDescent="0.25">
      <c r="A162" s="25">
        <v>9</v>
      </c>
      <c r="B162" s="25" t="s">
        <v>235</v>
      </c>
      <c r="C162" s="26" t="s">
        <v>231</v>
      </c>
      <c r="D162" s="25" t="str">
        <f t="shared" si="2"/>
        <v>Số thửaSố thửa842</v>
      </c>
    </row>
    <row r="163" spans="1:4" x14ac:dyDescent="0.25">
      <c r="A163" s="25">
        <v>9</v>
      </c>
      <c r="B163" s="25" t="s">
        <v>236</v>
      </c>
      <c r="C163" s="26" t="s">
        <v>223</v>
      </c>
      <c r="D163" s="25" t="str">
        <f t="shared" si="2"/>
        <v>Số thửaSố thửa843</v>
      </c>
    </row>
    <row r="164" spans="1:4" x14ac:dyDescent="0.25">
      <c r="A164" s="25">
        <v>9</v>
      </c>
      <c r="B164" s="25" t="s">
        <v>237</v>
      </c>
      <c r="C164" s="26" t="s">
        <v>223</v>
      </c>
      <c r="D164" s="25" t="str">
        <f t="shared" si="2"/>
        <v>Số thửaSố thửa844</v>
      </c>
    </row>
    <row r="165" spans="1:4" x14ac:dyDescent="0.25">
      <c r="A165" s="25">
        <v>9</v>
      </c>
      <c r="B165" s="25" t="s">
        <v>238</v>
      </c>
      <c r="C165" s="26" t="s">
        <v>231</v>
      </c>
      <c r="D165" s="25" t="str">
        <f t="shared" si="2"/>
        <v>Số thửaSố thửa845</v>
      </c>
    </row>
    <row r="166" spans="1:4" x14ac:dyDescent="0.25">
      <c r="A166" s="25">
        <v>9</v>
      </c>
      <c r="B166" s="25" t="s">
        <v>239</v>
      </c>
      <c r="C166" s="26" t="s">
        <v>223</v>
      </c>
      <c r="D166" s="25" t="str">
        <f t="shared" si="2"/>
        <v>Số thửaSố thửa850</v>
      </c>
    </row>
    <row r="167" spans="1:4" x14ac:dyDescent="0.25">
      <c r="A167" s="25">
        <v>9</v>
      </c>
      <c r="B167" s="25" t="s">
        <v>156</v>
      </c>
      <c r="C167" s="26" t="s">
        <v>231</v>
      </c>
      <c r="D167" s="25" t="str">
        <f t="shared" si="2"/>
        <v>Số thửaSố thửa855</v>
      </c>
    </row>
    <row r="168" spans="1:4" x14ac:dyDescent="0.25">
      <c r="A168" s="25">
        <v>13</v>
      </c>
      <c r="B168" s="25" t="s">
        <v>240</v>
      </c>
      <c r="C168" s="26" t="s">
        <v>231</v>
      </c>
      <c r="D168" s="25" t="str">
        <f t="shared" si="2"/>
        <v>Số thửaSố thửa33</v>
      </c>
    </row>
    <row r="169" spans="1:4" x14ac:dyDescent="0.25">
      <c r="A169" s="25">
        <v>13</v>
      </c>
      <c r="B169" s="25" t="s">
        <v>241</v>
      </c>
      <c r="C169" s="26" t="s">
        <v>231</v>
      </c>
      <c r="D169" s="25" t="str">
        <f t="shared" si="2"/>
        <v>Số thửaSố thửa34</v>
      </c>
    </row>
    <row r="170" spans="1:4" x14ac:dyDescent="0.25">
      <c r="A170" s="25">
        <v>13</v>
      </c>
      <c r="B170" s="25" t="s">
        <v>242</v>
      </c>
      <c r="C170" s="26" t="s">
        <v>231</v>
      </c>
      <c r="D170" s="25" t="str">
        <f t="shared" si="2"/>
        <v>Số thửaSố thửa35</v>
      </c>
    </row>
    <row r="171" spans="1:4" x14ac:dyDescent="0.25">
      <c r="A171" s="25">
        <v>13</v>
      </c>
      <c r="B171" s="25" t="s">
        <v>102</v>
      </c>
      <c r="C171" s="26" t="s">
        <v>231</v>
      </c>
      <c r="D171" s="25" t="str">
        <f t="shared" si="2"/>
        <v>Số thửaSố thửa43</v>
      </c>
    </row>
    <row r="172" spans="1:4" x14ac:dyDescent="0.25">
      <c r="A172" s="25">
        <v>13</v>
      </c>
      <c r="B172" s="25" t="s">
        <v>243</v>
      </c>
      <c r="C172" s="26" t="s">
        <v>231</v>
      </c>
      <c r="D172" s="25" t="str">
        <f t="shared" si="2"/>
        <v>Số thửaSố thửa44</v>
      </c>
    </row>
    <row r="173" spans="1:4" x14ac:dyDescent="0.25">
      <c r="A173" s="25">
        <v>13</v>
      </c>
      <c r="B173" s="25" t="s">
        <v>244</v>
      </c>
      <c r="C173" s="26" t="s">
        <v>231</v>
      </c>
      <c r="D173" s="25" t="str">
        <f t="shared" si="2"/>
        <v>Số thửaSố thửa45</v>
      </c>
    </row>
    <row r="174" spans="1:4" x14ac:dyDescent="0.25">
      <c r="A174" s="25">
        <v>13</v>
      </c>
      <c r="B174" s="25" t="s">
        <v>66</v>
      </c>
      <c r="C174" s="26" t="s">
        <v>231</v>
      </c>
      <c r="D174" s="25" t="str">
        <f t="shared" si="2"/>
        <v>Số thửaSố thửa62</v>
      </c>
    </row>
    <row r="175" spans="1:4" x14ac:dyDescent="0.25">
      <c r="A175" s="25">
        <v>13</v>
      </c>
      <c r="B175" s="25" t="s">
        <v>245</v>
      </c>
      <c r="C175" s="26" t="s">
        <v>231</v>
      </c>
      <c r="D175" s="25" t="str">
        <f t="shared" si="2"/>
        <v>Số thửaSố thửa69</v>
      </c>
    </row>
    <row r="176" spans="1:4" x14ac:dyDescent="0.25">
      <c r="A176" s="25">
        <v>14</v>
      </c>
      <c r="B176" s="25" t="s">
        <v>246</v>
      </c>
      <c r="C176" s="26" t="s">
        <v>247</v>
      </c>
      <c r="D176" s="25" t="str">
        <f t="shared" si="2"/>
        <v>Số thửaSố thửa39</v>
      </c>
    </row>
    <row r="177" spans="1:4" x14ac:dyDescent="0.25">
      <c r="A177" s="25">
        <v>10</v>
      </c>
      <c r="B177" s="25" t="s">
        <v>248</v>
      </c>
      <c r="C177" s="26" t="s">
        <v>249</v>
      </c>
      <c r="D177" s="25" t="str">
        <f t="shared" si="2"/>
        <v>Số thửaSố thửa346</v>
      </c>
    </row>
    <row r="178" spans="1:4" x14ac:dyDescent="0.25">
      <c r="A178" s="25">
        <v>10</v>
      </c>
      <c r="B178" s="25" t="s">
        <v>250</v>
      </c>
      <c r="C178" s="26" t="s">
        <v>249</v>
      </c>
      <c r="D178" s="25" t="str">
        <f t="shared" si="2"/>
        <v>Số thửaSố thửa347</v>
      </c>
    </row>
    <row r="179" spans="1:4" x14ac:dyDescent="0.25">
      <c r="A179" s="25">
        <v>10</v>
      </c>
      <c r="B179" s="25" t="s">
        <v>251</v>
      </c>
      <c r="C179" s="26" t="s">
        <v>249</v>
      </c>
      <c r="D179" s="25" t="str">
        <f t="shared" si="2"/>
        <v>Số thửaSố thửa348</v>
      </c>
    </row>
    <row r="180" spans="1:4" x14ac:dyDescent="0.25">
      <c r="A180" s="25">
        <v>10</v>
      </c>
      <c r="B180" s="25" t="s">
        <v>252</v>
      </c>
      <c r="C180" s="26" t="s">
        <v>249</v>
      </c>
      <c r="D180" s="25" t="str">
        <f t="shared" si="2"/>
        <v>Số thửaSố thửa359</v>
      </c>
    </row>
    <row r="181" spans="1:4" x14ac:dyDescent="0.25">
      <c r="A181" s="25">
        <v>10</v>
      </c>
      <c r="B181" s="25" t="s">
        <v>253</v>
      </c>
      <c r="C181" s="26" t="s">
        <v>249</v>
      </c>
      <c r="D181" s="25" t="str">
        <f t="shared" si="2"/>
        <v>Số thửaSố thửa360</v>
      </c>
    </row>
    <row r="182" spans="1:4" x14ac:dyDescent="0.25">
      <c r="A182" s="25">
        <v>13</v>
      </c>
      <c r="B182" s="25" t="s">
        <v>254</v>
      </c>
      <c r="C182" s="26" t="s">
        <v>249</v>
      </c>
      <c r="D182" s="25" t="str">
        <f t="shared" si="2"/>
        <v>Số thửaSố thửa6</v>
      </c>
    </row>
    <row r="183" spans="1:4" x14ac:dyDescent="0.25">
      <c r="A183" s="25">
        <v>13</v>
      </c>
      <c r="B183" s="25" t="s">
        <v>255</v>
      </c>
      <c r="C183" s="26" t="s">
        <v>249</v>
      </c>
      <c r="D183" s="25" t="str">
        <f t="shared" si="2"/>
        <v>Số thửaSố thửa28</v>
      </c>
    </row>
    <row r="184" spans="1:4" x14ac:dyDescent="0.25">
      <c r="A184" s="25">
        <v>13</v>
      </c>
      <c r="B184" s="25" t="s">
        <v>62</v>
      </c>
      <c r="C184" s="26" t="s">
        <v>249</v>
      </c>
      <c r="D184" s="25" t="str">
        <f t="shared" si="2"/>
        <v>Số thửaSố thửa29</v>
      </c>
    </row>
    <row r="185" spans="1:4" x14ac:dyDescent="0.25">
      <c r="A185" s="25">
        <v>13</v>
      </c>
      <c r="B185" s="25" t="s">
        <v>165</v>
      </c>
      <c r="C185" s="26" t="s">
        <v>249</v>
      </c>
      <c r="D185" s="25" t="str">
        <f t="shared" si="2"/>
        <v>Số thửaSố thửa46</v>
      </c>
    </row>
    <row r="186" spans="1:4" x14ac:dyDescent="0.25">
      <c r="A186" s="25">
        <v>13</v>
      </c>
      <c r="B186" s="25" t="s">
        <v>256</v>
      </c>
      <c r="C186" s="26" t="s">
        <v>249</v>
      </c>
      <c r="D186" s="25" t="str">
        <f t="shared" si="2"/>
        <v>Số thửaSố thửa47</v>
      </c>
    </row>
    <row r="187" spans="1:4" x14ac:dyDescent="0.25">
      <c r="A187" s="25">
        <v>13</v>
      </c>
      <c r="B187" s="25" t="s">
        <v>257</v>
      </c>
      <c r="C187" s="26" t="s">
        <v>249</v>
      </c>
      <c r="D187" s="25" t="str">
        <f t="shared" si="2"/>
        <v>Số thửaSố thửa48</v>
      </c>
    </row>
    <row r="188" spans="1:4" x14ac:dyDescent="0.25">
      <c r="A188" s="25">
        <v>13</v>
      </c>
      <c r="B188" s="25" t="s">
        <v>63</v>
      </c>
      <c r="C188" s="26" t="s">
        <v>249</v>
      </c>
      <c r="D188" s="25" t="str">
        <f t="shared" si="2"/>
        <v>Số thửaSố thửa56</v>
      </c>
    </row>
    <row r="189" spans="1:4" x14ac:dyDescent="0.25">
      <c r="A189" s="25">
        <v>13</v>
      </c>
      <c r="B189" s="25" t="s">
        <v>258</v>
      </c>
      <c r="C189" s="26" t="s">
        <v>249</v>
      </c>
      <c r="D189" s="25" t="str">
        <f t="shared" si="2"/>
        <v>Số thửaSố thửa57</v>
      </c>
    </row>
    <row r="190" spans="1:4" x14ac:dyDescent="0.25">
      <c r="A190" s="25">
        <v>13</v>
      </c>
      <c r="B190" s="25" t="s">
        <v>259</v>
      </c>
      <c r="C190" s="26" t="s">
        <v>260</v>
      </c>
      <c r="D190" s="25" t="str">
        <f t="shared" si="2"/>
        <v>Số thửaSố thửa58</v>
      </c>
    </row>
    <row r="191" spans="1:4" x14ac:dyDescent="0.25">
      <c r="A191" s="25">
        <v>13</v>
      </c>
      <c r="B191" s="25" t="s">
        <v>261</v>
      </c>
      <c r="C191" s="26" t="s">
        <v>262</v>
      </c>
      <c r="D191" s="25" t="str">
        <f t="shared" si="2"/>
        <v>Số thửaSố thửa59</v>
      </c>
    </row>
    <row r="192" spans="1:4" x14ac:dyDescent="0.25">
      <c r="A192" s="25">
        <v>13</v>
      </c>
      <c r="B192" s="25" t="s">
        <v>64</v>
      </c>
      <c r="C192" s="26" t="s">
        <v>262</v>
      </c>
      <c r="D192" s="25" t="str">
        <f t="shared" si="2"/>
        <v>Số thửaSố thửa60</v>
      </c>
    </row>
    <row r="193" spans="1:4" x14ac:dyDescent="0.25">
      <c r="A193" s="25">
        <v>13</v>
      </c>
      <c r="B193" s="25" t="s">
        <v>65</v>
      </c>
      <c r="C193" s="26" t="s">
        <v>262</v>
      </c>
      <c r="D193" s="25" t="str">
        <f t="shared" si="2"/>
        <v>Số thửaSố thửa61</v>
      </c>
    </row>
    <row r="194" spans="1:4" x14ac:dyDescent="0.25">
      <c r="A194" s="25">
        <v>13</v>
      </c>
      <c r="B194" s="25" t="s">
        <v>68</v>
      </c>
      <c r="C194" s="26" t="s">
        <v>262</v>
      </c>
      <c r="D194" s="25" t="str">
        <f t="shared" si="2"/>
        <v>Số thửaSố thửa72</v>
      </c>
    </row>
    <row r="195" spans="1:4" x14ac:dyDescent="0.25">
      <c r="A195" s="25">
        <v>13</v>
      </c>
      <c r="B195" s="25" t="s">
        <v>263</v>
      </c>
      <c r="C195" s="26" t="s">
        <v>262</v>
      </c>
      <c r="D195" s="25" t="str">
        <f t="shared" ref="D195:D258" si="3">$B$1&amp;B195</f>
        <v>Số thửaSố thửa73</v>
      </c>
    </row>
    <row r="196" spans="1:4" x14ac:dyDescent="0.25">
      <c r="A196" s="25">
        <v>13</v>
      </c>
      <c r="B196" s="25" t="s">
        <v>264</v>
      </c>
      <c r="C196" s="26" t="s">
        <v>262</v>
      </c>
      <c r="D196" s="25" t="str">
        <f t="shared" si="3"/>
        <v>Số thửaSố thửa80</v>
      </c>
    </row>
    <row r="197" spans="1:4" x14ac:dyDescent="0.25">
      <c r="A197" s="25">
        <v>13</v>
      </c>
      <c r="B197" s="25" t="s">
        <v>265</v>
      </c>
      <c r="C197" s="26" t="s">
        <v>266</v>
      </c>
      <c r="D197" s="25" t="str">
        <f t="shared" si="3"/>
        <v>Số thửaSố thửa614</v>
      </c>
    </row>
    <row r="198" spans="1:4" x14ac:dyDescent="0.25">
      <c r="A198" s="25">
        <v>13</v>
      </c>
      <c r="B198" s="25" t="s">
        <v>265</v>
      </c>
      <c r="C198" s="26" t="s">
        <v>266</v>
      </c>
      <c r="D198" s="25" t="str">
        <f t="shared" si="3"/>
        <v>Số thửaSố thửa614</v>
      </c>
    </row>
    <row r="199" spans="1:4" x14ac:dyDescent="0.25">
      <c r="A199" s="25">
        <v>13</v>
      </c>
      <c r="B199" s="25" t="s">
        <v>267</v>
      </c>
      <c r="C199" s="26" t="s">
        <v>268</v>
      </c>
      <c r="D199" s="25" t="str">
        <f t="shared" si="3"/>
        <v>Số thửaSố thửa684</v>
      </c>
    </row>
    <row r="200" spans="1:4" x14ac:dyDescent="0.25">
      <c r="A200" s="25">
        <v>13</v>
      </c>
      <c r="B200" s="25" t="s">
        <v>234</v>
      </c>
      <c r="C200" s="26" t="s">
        <v>268</v>
      </c>
      <c r="D200" s="25" t="str">
        <f t="shared" si="3"/>
        <v>Số thửaSố thửa841</v>
      </c>
    </row>
    <row r="201" spans="1:4" x14ac:dyDescent="0.25">
      <c r="A201" s="25">
        <v>13</v>
      </c>
      <c r="B201" s="25" t="s">
        <v>269</v>
      </c>
      <c r="C201" s="26" t="s">
        <v>249</v>
      </c>
      <c r="D201" s="25" t="str">
        <f t="shared" si="3"/>
        <v>Số thửaSố thửa910</v>
      </c>
    </row>
    <row r="202" spans="1:4" x14ac:dyDescent="0.25">
      <c r="A202" s="25">
        <v>16</v>
      </c>
      <c r="B202" s="25" t="s">
        <v>270</v>
      </c>
      <c r="C202" s="26" t="s">
        <v>260</v>
      </c>
      <c r="D202" s="25" t="str">
        <f t="shared" si="3"/>
        <v>Số thửaSố thửa16</v>
      </c>
    </row>
    <row r="203" spans="1:4" x14ac:dyDescent="0.25">
      <c r="A203" s="25">
        <v>16</v>
      </c>
      <c r="B203" s="25" t="s">
        <v>271</v>
      </c>
      <c r="C203" s="26" t="s">
        <v>260</v>
      </c>
      <c r="D203" s="25" t="str">
        <f t="shared" si="3"/>
        <v>Số thửaSố thửa17</v>
      </c>
    </row>
    <row r="204" spans="1:4" x14ac:dyDescent="0.25">
      <c r="A204" s="25">
        <v>16</v>
      </c>
      <c r="B204" s="25" t="s">
        <v>272</v>
      </c>
      <c r="C204" s="26" t="s">
        <v>268</v>
      </c>
      <c r="D204" s="25" t="str">
        <f t="shared" si="3"/>
        <v>Số thửaSố thửa19</v>
      </c>
    </row>
    <row r="205" spans="1:4" x14ac:dyDescent="0.25">
      <c r="A205" s="25">
        <v>16</v>
      </c>
      <c r="B205" s="25" t="s">
        <v>273</v>
      </c>
      <c r="C205" s="26" t="s">
        <v>260</v>
      </c>
      <c r="D205" s="25" t="str">
        <f t="shared" si="3"/>
        <v>Số thửaSố thửa22</v>
      </c>
    </row>
    <row r="206" spans="1:4" x14ac:dyDescent="0.25">
      <c r="A206" s="25">
        <v>16</v>
      </c>
      <c r="B206" s="25" t="s">
        <v>274</v>
      </c>
      <c r="C206" s="26" t="s">
        <v>262</v>
      </c>
      <c r="D206" s="25" t="str">
        <f t="shared" si="3"/>
        <v>Số thửaSố thửa23</v>
      </c>
    </row>
    <row r="207" spans="1:4" x14ac:dyDescent="0.25">
      <c r="A207" s="25">
        <v>16</v>
      </c>
      <c r="B207" s="25" t="s">
        <v>275</v>
      </c>
      <c r="C207" s="26" t="s">
        <v>262</v>
      </c>
      <c r="D207" s="25" t="str">
        <f t="shared" si="3"/>
        <v>Số thửaSố thửa24</v>
      </c>
    </row>
    <row r="208" spans="1:4" x14ac:dyDescent="0.25">
      <c r="A208" s="25">
        <v>16</v>
      </c>
      <c r="B208" s="25" t="s">
        <v>276</v>
      </c>
      <c r="C208" s="26" t="s">
        <v>262</v>
      </c>
      <c r="D208" s="25" t="str">
        <f t="shared" si="3"/>
        <v>Số thửaSố thửa25</v>
      </c>
    </row>
    <row r="209" spans="1:4" x14ac:dyDescent="0.25">
      <c r="A209" s="25">
        <v>16</v>
      </c>
      <c r="B209" s="25" t="s">
        <v>277</v>
      </c>
      <c r="C209" s="26" t="s">
        <v>262</v>
      </c>
      <c r="D209" s="25" t="str">
        <f t="shared" si="3"/>
        <v>Số thửaSố thửa26</v>
      </c>
    </row>
    <row r="210" spans="1:4" x14ac:dyDescent="0.25">
      <c r="A210" s="25">
        <v>16</v>
      </c>
      <c r="B210" s="25" t="s">
        <v>278</v>
      </c>
      <c r="C210" s="26" t="s">
        <v>262</v>
      </c>
      <c r="D210" s="25" t="str">
        <f t="shared" si="3"/>
        <v>Số thửaSố thửa27</v>
      </c>
    </row>
    <row r="211" spans="1:4" x14ac:dyDescent="0.25">
      <c r="A211" s="25">
        <v>16</v>
      </c>
      <c r="B211" s="25" t="s">
        <v>255</v>
      </c>
      <c r="C211" s="26" t="s">
        <v>262</v>
      </c>
      <c r="D211" s="25" t="str">
        <f t="shared" si="3"/>
        <v>Số thửaSố thửa28</v>
      </c>
    </row>
    <row r="212" spans="1:4" x14ac:dyDescent="0.25">
      <c r="A212" s="25">
        <v>16</v>
      </c>
      <c r="B212" s="25" t="s">
        <v>62</v>
      </c>
      <c r="C212" s="26" t="s">
        <v>262</v>
      </c>
      <c r="D212" s="25" t="str">
        <f t="shared" si="3"/>
        <v>Số thửaSố thửa29</v>
      </c>
    </row>
    <row r="213" spans="1:4" x14ac:dyDescent="0.25">
      <c r="A213" s="25">
        <v>16</v>
      </c>
      <c r="B213" s="25" t="s">
        <v>240</v>
      </c>
      <c r="C213" s="26" t="s">
        <v>262</v>
      </c>
      <c r="D213" s="25" t="str">
        <f t="shared" si="3"/>
        <v>Số thửaSố thửa33</v>
      </c>
    </row>
    <row r="214" spans="1:4" x14ac:dyDescent="0.25">
      <c r="A214" s="25">
        <v>16</v>
      </c>
      <c r="B214" s="25" t="s">
        <v>241</v>
      </c>
      <c r="C214" s="26" t="s">
        <v>262</v>
      </c>
      <c r="D214" s="25" t="str">
        <f t="shared" si="3"/>
        <v>Số thửaSố thửa34</v>
      </c>
    </row>
    <row r="215" spans="1:4" x14ac:dyDescent="0.25">
      <c r="A215" s="25">
        <v>16</v>
      </c>
      <c r="B215" s="25" t="s">
        <v>242</v>
      </c>
      <c r="C215" s="26" t="s">
        <v>262</v>
      </c>
      <c r="D215" s="25" t="str">
        <f t="shared" si="3"/>
        <v>Số thửaSố thửa35</v>
      </c>
    </row>
    <row r="216" spans="1:4" x14ac:dyDescent="0.25">
      <c r="A216" s="25">
        <v>16</v>
      </c>
      <c r="B216" s="25" t="s">
        <v>279</v>
      </c>
      <c r="C216" s="26" t="s">
        <v>268</v>
      </c>
      <c r="D216" s="25" t="str">
        <f t="shared" si="3"/>
        <v>Số thửaSố thửa37</v>
      </c>
    </row>
    <row r="217" spans="1:4" x14ac:dyDescent="0.25">
      <c r="A217" s="25">
        <v>16</v>
      </c>
      <c r="B217" s="25" t="s">
        <v>246</v>
      </c>
      <c r="C217" s="26" t="s">
        <v>268</v>
      </c>
      <c r="D217" s="25" t="str">
        <f t="shared" si="3"/>
        <v>Số thửaSố thửa39</v>
      </c>
    </row>
    <row r="218" spans="1:4" x14ac:dyDescent="0.25">
      <c r="A218" s="25">
        <v>16</v>
      </c>
      <c r="B218" s="25" t="s">
        <v>244</v>
      </c>
      <c r="C218" s="26" t="s">
        <v>268</v>
      </c>
      <c r="D218" s="25" t="str">
        <f t="shared" si="3"/>
        <v>Số thửaSố thửa45</v>
      </c>
    </row>
    <row r="219" spans="1:4" x14ac:dyDescent="0.25">
      <c r="A219" s="25">
        <v>9</v>
      </c>
      <c r="B219" s="25" t="s">
        <v>280</v>
      </c>
      <c r="C219" s="26" t="s">
        <v>281</v>
      </c>
      <c r="D219" s="25" t="str">
        <f t="shared" si="3"/>
        <v>Số thửaSố thửa315</v>
      </c>
    </row>
    <row r="220" spans="1:4" x14ac:dyDescent="0.25">
      <c r="A220" s="25">
        <v>9</v>
      </c>
      <c r="B220" s="25" t="s">
        <v>282</v>
      </c>
      <c r="C220" s="26" t="s">
        <v>281</v>
      </c>
      <c r="D220" s="25" t="str">
        <f t="shared" si="3"/>
        <v>Số thửaSố thửa324</v>
      </c>
    </row>
    <row r="221" spans="1:4" x14ac:dyDescent="0.25">
      <c r="A221" s="25">
        <v>9</v>
      </c>
      <c r="B221" s="25" t="s">
        <v>283</v>
      </c>
      <c r="C221" s="26" t="s">
        <v>281</v>
      </c>
      <c r="D221" s="25" t="str">
        <f t="shared" si="3"/>
        <v>Số thửaSố thửa325</v>
      </c>
    </row>
    <row r="222" spans="1:4" x14ac:dyDescent="0.25">
      <c r="A222" s="25">
        <v>9</v>
      </c>
      <c r="B222" s="25" t="s">
        <v>284</v>
      </c>
      <c r="C222" s="26" t="s">
        <v>281</v>
      </c>
      <c r="D222" s="25" t="str">
        <f t="shared" si="3"/>
        <v>Số thửaSố thửa385</v>
      </c>
    </row>
    <row r="223" spans="1:4" x14ac:dyDescent="0.25">
      <c r="A223" s="25">
        <v>9</v>
      </c>
      <c r="B223" s="25" t="s">
        <v>285</v>
      </c>
      <c r="C223" s="26" t="s">
        <v>281</v>
      </c>
      <c r="D223" s="25" t="str">
        <f t="shared" si="3"/>
        <v>Số thửaSố thửa386</v>
      </c>
    </row>
    <row r="224" spans="1:4" x14ac:dyDescent="0.25">
      <c r="A224" s="25">
        <v>9</v>
      </c>
      <c r="B224" s="25" t="s">
        <v>286</v>
      </c>
      <c r="C224" s="26" t="s">
        <v>281</v>
      </c>
      <c r="D224" s="25" t="str">
        <f t="shared" si="3"/>
        <v>Số thửaSố thửa401</v>
      </c>
    </row>
    <row r="225" spans="1:4" x14ac:dyDescent="0.25">
      <c r="A225" s="25">
        <v>9</v>
      </c>
      <c r="B225" s="25" t="s">
        <v>287</v>
      </c>
      <c r="C225" s="26" t="s">
        <v>281</v>
      </c>
      <c r="D225" s="25" t="str">
        <f t="shared" si="3"/>
        <v>Số thửaSố thửa451</v>
      </c>
    </row>
    <row r="226" spans="1:4" x14ac:dyDescent="0.25">
      <c r="A226" s="25">
        <v>9</v>
      </c>
      <c r="B226" s="25" t="s">
        <v>288</v>
      </c>
      <c r="C226" s="26" t="s">
        <v>281</v>
      </c>
      <c r="D226" s="25" t="str">
        <f t="shared" si="3"/>
        <v>Số thửaSố thửa452</v>
      </c>
    </row>
    <row r="227" spans="1:4" x14ac:dyDescent="0.25">
      <c r="A227" s="25">
        <v>9</v>
      </c>
      <c r="B227" s="25" t="s">
        <v>289</v>
      </c>
      <c r="C227" s="26" t="s">
        <v>281</v>
      </c>
      <c r="D227" s="25" t="str">
        <f t="shared" si="3"/>
        <v>Số thửaSố thửa453</v>
      </c>
    </row>
    <row r="228" spans="1:4" x14ac:dyDescent="0.25">
      <c r="A228" s="25">
        <v>9</v>
      </c>
      <c r="B228" s="25" t="s">
        <v>290</v>
      </c>
      <c r="C228" s="26" t="s">
        <v>281</v>
      </c>
      <c r="D228" s="25" t="str">
        <f t="shared" si="3"/>
        <v>Số thửaSố thửa454</v>
      </c>
    </row>
    <row r="229" spans="1:4" x14ac:dyDescent="0.25">
      <c r="A229" s="25">
        <v>9</v>
      </c>
      <c r="B229" s="25" t="s">
        <v>291</v>
      </c>
      <c r="C229" s="26" t="s">
        <v>281</v>
      </c>
      <c r="D229" s="25" t="str">
        <f t="shared" si="3"/>
        <v>Số thửaSố thửa455</v>
      </c>
    </row>
    <row r="230" spans="1:4" x14ac:dyDescent="0.25">
      <c r="A230" s="25">
        <v>9</v>
      </c>
      <c r="B230" s="25" t="s">
        <v>292</v>
      </c>
      <c r="C230" s="26" t="s">
        <v>281</v>
      </c>
      <c r="D230" s="25" t="str">
        <f t="shared" si="3"/>
        <v>Số thửaSố thửa457</v>
      </c>
    </row>
    <row r="231" spans="1:4" x14ac:dyDescent="0.25">
      <c r="A231" s="25">
        <v>9</v>
      </c>
      <c r="B231" s="25" t="s">
        <v>293</v>
      </c>
      <c r="C231" s="26" t="s">
        <v>281</v>
      </c>
      <c r="D231" s="25" t="str">
        <f t="shared" si="3"/>
        <v>Số thửaSố thửa458</v>
      </c>
    </row>
    <row r="232" spans="1:4" x14ac:dyDescent="0.25">
      <c r="A232" s="25">
        <v>9</v>
      </c>
      <c r="B232" s="25" t="s">
        <v>294</v>
      </c>
      <c r="C232" s="26" t="s">
        <v>281</v>
      </c>
      <c r="D232" s="25" t="str">
        <f t="shared" si="3"/>
        <v>Số thửaSố thửa480</v>
      </c>
    </row>
    <row r="233" spans="1:4" x14ac:dyDescent="0.25">
      <c r="A233" s="25">
        <v>9</v>
      </c>
      <c r="B233" s="25" t="s">
        <v>295</v>
      </c>
      <c r="C233" s="26" t="s">
        <v>281</v>
      </c>
      <c r="D233" s="25" t="str">
        <f t="shared" si="3"/>
        <v>Số thửaSố thửa481</v>
      </c>
    </row>
    <row r="234" spans="1:4" x14ac:dyDescent="0.25">
      <c r="A234" s="25">
        <v>9</v>
      </c>
      <c r="B234" s="25" t="s">
        <v>296</v>
      </c>
      <c r="C234" s="26" t="s">
        <v>281</v>
      </c>
      <c r="D234" s="25" t="str">
        <f t="shared" si="3"/>
        <v>Số thửaSố thửa482</v>
      </c>
    </row>
    <row r="235" spans="1:4" x14ac:dyDescent="0.25">
      <c r="A235" s="25">
        <v>9</v>
      </c>
      <c r="B235" s="25" t="s">
        <v>297</v>
      </c>
      <c r="C235" s="26" t="s">
        <v>298</v>
      </c>
      <c r="D235" s="25" t="str">
        <f t="shared" si="3"/>
        <v>Số thửaSố thửa483</v>
      </c>
    </row>
    <row r="236" spans="1:4" x14ac:dyDescent="0.25">
      <c r="A236" s="25">
        <v>9</v>
      </c>
      <c r="B236" s="25" t="s">
        <v>299</v>
      </c>
      <c r="C236" s="26" t="s">
        <v>298</v>
      </c>
      <c r="D236" s="25" t="str">
        <f t="shared" si="3"/>
        <v>Số thửaSố thửa522</v>
      </c>
    </row>
    <row r="237" spans="1:4" x14ac:dyDescent="0.25">
      <c r="A237" s="25">
        <v>9</v>
      </c>
      <c r="B237" s="25" t="s">
        <v>300</v>
      </c>
      <c r="C237" s="26" t="s">
        <v>298</v>
      </c>
      <c r="D237" s="25" t="str">
        <f t="shared" si="3"/>
        <v>Số thửaSố thửa523</v>
      </c>
    </row>
    <row r="238" spans="1:4" x14ac:dyDescent="0.25">
      <c r="A238" s="25">
        <v>9</v>
      </c>
      <c r="B238" s="25" t="s">
        <v>301</v>
      </c>
      <c r="C238" s="26" t="s">
        <v>298</v>
      </c>
      <c r="D238" s="25" t="str">
        <f t="shared" si="3"/>
        <v>Số thửaSố thửa525</v>
      </c>
    </row>
    <row r="239" spans="1:4" x14ac:dyDescent="0.25">
      <c r="A239" s="25">
        <v>9</v>
      </c>
      <c r="B239" s="25" t="s">
        <v>302</v>
      </c>
      <c r="C239" s="26" t="s">
        <v>298</v>
      </c>
      <c r="D239" s="25" t="str">
        <f t="shared" si="3"/>
        <v>Số thửaSố thửa526</v>
      </c>
    </row>
    <row r="240" spans="1:4" x14ac:dyDescent="0.25">
      <c r="A240" s="25">
        <v>9</v>
      </c>
      <c r="B240" s="25" t="s">
        <v>303</v>
      </c>
      <c r="C240" s="26" t="s">
        <v>298</v>
      </c>
      <c r="D240" s="25" t="str">
        <f t="shared" si="3"/>
        <v>Số thửaSố thửa527</v>
      </c>
    </row>
    <row r="241" spans="1:4" x14ac:dyDescent="0.25">
      <c r="A241" s="25">
        <v>9</v>
      </c>
      <c r="B241" s="25" t="s">
        <v>304</v>
      </c>
      <c r="C241" s="26" t="s">
        <v>298</v>
      </c>
      <c r="D241" s="25" t="str">
        <f t="shared" si="3"/>
        <v>Số thửaSố thửa528</v>
      </c>
    </row>
    <row r="242" spans="1:4" x14ac:dyDescent="0.25">
      <c r="A242" s="25">
        <v>9</v>
      </c>
      <c r="B242" s="25" t="s">
        <v>305</v>
      </c>
      <c r="C242" s="26" t="s">
        <v>298</v>
      </c>
      <c r="D242" s="25" t="str">
        <f t="shared" si="3"/>
        <v>Số thửaSố thửa558</v>
      </c>
    </row>
    <row r="243" spans="1:4" x14ac:dyDescent="0.25">
      <c r="A243" s="25">
        <v>9</v>
      </c>
      <c r="B243" s="25" t="s">
        <v>125</v>
      </c>
      <c r="C243" s="26" t="s">
        <v>298</v>
      </c>
      <c r="D243" s="25" t="str">
        <f t="shared" si="3"/>
        <v>Số thửaSố thửa559</v>
      </c>
    </row>
    <row r="244" spans="1:4" x14ac:dyDescent="0.25">
      <c r="A244" s="25">
        <v>9</v>
      </c>
      <c r="B244" s="25" t="s">
        <v>306</v>
      </c>
      <c r="C244" s="26" t="s">
        <v>298</v>
      </c>
      <c r="D244" s="25" t="str">
        <f t="shared" si="3"/>
        <v>Số thửaSố thửa560</v>
      </c>
    </row>
    <row r="245" spans="1:4" x14ac:dyDescent="0.25">
      <c r="A245" s="25">
        <v>9</v>
      </c>
      <c r="B245" s="25" t="s">
        <v>307</v>
      </c>
      <c r="C245" s="26" t="s">
        <v>308</v>
      </c>
      <c r="D245" s="25" t="str">
        <f t="shared" si="3"/>
        <v>Số thửaSố thửa735</v>
      </c>
    </row>
    <row r="246" spans="1:4" x14ac:dyDescent="0.25">
      <c r="A246" s="25">
        <v>9</v>
      </c>
      <c r="B246" s="25" t="s">
        <v>307</v>
      </c>
      <c r="C246" s="26" t="s">
        <v>308</v>
      </c>
      <c r="D246" s="25" t="str">
        <f t="shared" si="3"/>
        <v>Số thửaSố thửa735</v>
      </c>
    </row>
    <row r="247" spans="1:4" x14ac:dyDescent="0.25">
      <c r="A247" s="25">
        <v>9</v>
      </c>
      <c r="B247" s="25" t="s">
        <v>309</v>
      </c>
      <c r="C247" s="26" t="s">
        <v>310</v>
      </c>
      <c r="D247" s="25" t="str">
        <f t="shared" si="3"/>
        <v>Số thửaSố thửa743</v>
      </c>
    </row>
    <row r="248" spans="1:4" x14ac:dyDescent="0.25">
      <c r="A248" s="25">
        <v>9</v>
      </c>
      <c r="B248" s="25" t="s">
        <v>311</v>
      </c>
      <c r="C248" s="26" t="s">
        <v>310</v>
      </c>
      <c r="D248" s="25" t="str">
        <f t="shared" si="3"/>
        <v>Số thửaSố thửa745</v>
      </c>
    </row>
    <row r="249" spans="1:4" x14ac:dyDescent="0.25">
      <c r="A249" s="25">
        <v>9</v>
      </c>
      <c r="B249" s="25" t="s">
        <v>221</v>
      </c>
      <c r="C249" s="26" t="s">
        <v>310</v>
      </c>
      <c r="D249" s="25" t="str">
        <f t="shared" si="3"/>
        <v>Số thửaSố thửa807</v>
      </c>
    </row>
    <row r="250" spans="1:4" x14ac:dyDescent="0.25">
      <c r="A250" s="25">
        <v>1</v>
      </c>
      <c r="B250" s="25" t="s">
        <v>312</v>
      </c>
      <c r="C250" s="26" t="s">
        <v>313</v>
      </c>
      <c r="D250" s="25" t="str">
        <f t="shared" si="3"/>
        <v>Số thửaSố thửa180</v>
      </c>
    </row>
    <row r="251" spans="1:4" x14ac:dyDescent="0.25">
      <c r="A251" s="25">
        <v>1</v>
      </c>
      <c r="B251" s="25" t="s">
        <v>314</v>
      </c>
      <c r="C251" s="26" t="s">
        <v>315</v>
      </c>
      <c r="D251" s="25" t="str">
        <f t="shared" si="3"/>
        <v>Số thửaSố thửa98</v>
      </c>
    </row>
    <row r="252" spans="1:4" x14ac:dyDescent="0.25">
      <c r="A252" s="25">
        <v>9</v>
      </c>
      <c r="B252" s="25" t="s">
        <v>316</v>
      </c>
      <c r="C252" s="26" t="s">
        <v>317</v>
      </c>
      <c r="D252" s="25" t="str">
        <f t="shared" si="3"/>
        <v>Số thửaSố thửa746</v>
      </c>
    </row>
    <row r="253" spans="1:4" x14ac:dyDescent="0.25">
      <c r="A253" s="25">
        <v>9</v>
      </c>
      <c r="B253" s="25" t="s">
        <v>318</v>
      </c>
      <c r="C253" s="26" t="s">
        <v>319</v>
      </c>
      <c r="D253" s="25" t="str">
        <f t="shared" si="3"/>
        <v>Số thửaSố thửa786</v>
      </c>
    </row>
    <row r="254" spans="1:4" x14ac:dyDescent="0.25">
      <c r="A254" s="25">
        <v>9</v>
      </c>
      <c r="B254" s="25" t="s">
        <v>318</v>
      </c>
      <c r="C254" s="26" t="s">
        <v>319</v>
      </c>
      <c r="D254" s="25" t="str">
        <f t="shared" si="3"/>
        <v>Số thửaSố thửa786</v>
      </c>
    </row>
    <row r="255" spans="1:4" x14ac:dyDescent="0.25">
      <c r="A255" s="25">
        <v>9</v>
      </c>
      <c r="B255" s="25" t="s">
        <v>320</v>
      </c>
      <c r="C255" s="26" t="s">
        <v>321</v>
      </c>
      <c r="D255" s="25" t="str">
        <f t="shared" si="3"/>
        <v>Số thửaSố thửa798</v>
      </c>
    </row>
    <row r="256" spans="1:4" x14ac:dyDescent="0.25">
      <c r="A256" s="25">
        <v>14</v>
      </c>
      <c r="B256" s="25" t="s">
        <v>82</v>
      </c>
      <c r="C256" s="26" t="s">
        <v>322</v>
      </c>
      <c r="D256" s="25" t="str">
        <f t="shared" si="3"/>
        <v>Số thửaSố thửa215</v>
      </c>
    </row>
    <row r="257" spans="1:4" x14ac:dyDescent="0.25">
      <c r="A257" s="25">
        <v>10</v>
      </c>
      <c r="B257" s="25" t="s">
        <v>323</v>
      </c>
      <c r="C257" s="26" t="s">
        <v>324</v>
      </c>
      <c r="D257" s="25" t="str">
        <f t="shared" si="3"/>
        <v>Số thửaSố thửa114</v>
      </c>
    </row>
    <row r="258" spans="1:4" x14ac:dyDescent="0.25">
      <c r="A258" s="25">
        <v>10</v>
      </c>
      <c r="B258" s="25" t="s">
        <v>325</v>
      </c>
      <c r="C258" s="26" t="s">
        <v>324</v>
      </c>
      <c r="D258" s="25" t="str">
        <f t="shared" si="3"/>
        <v>Số thửaSố thửa101</v>
      </c>
    </row>
    <row r="259" spans="1:4" x14ac:dyDescent="0.25">
      <c r="A259" s="25">
        <v>10</v>
      </c>
      <c r="B259" s="25" t="s">
        <v>326</v>
      </c>
      <c r="C259" s="26" t="s">
        <v>324</v>
      </c>
      <c r="D259" s="25" t="str">
        <f t="shared" ref="D259:D322" si="4">$B$1&amp;B259</f>
        <v>Số thửaSố thửa102</v>
      </c>
    </row>
    <row r="260" spans="1:4" x14ac:dyDescent="0.25">
      <c r="A260" s="25">
        <v>10</v>
      </c>
      <c r="B260" s="25" t="s">
        <v>190</v>
      </c>
      <c r="C260" s="26" t="s">
        <v>324</v>
      </c>
      <c r="D260" s="25" t="str">
        <f t="shared" si="4"/>
        <v>Số thửaSố thửa113</v>
      </c>
    </row>
    <row r="261" spans="1:4" x14ac:dyDescent="0.25">
      <c r="A261" s="25">
        <v>10</v>
      </c>
      <c r="B261" s="25" t="s">
        <v>72</v>
      </c>
      <c r="C261" s="26" t="s">
        <v>324</v>
      </c>
      <c r="D261" s="25" t="str">
        <f t="shared" si="4"/>
        <v>Số thửaSố thửa131</v>
      </c>
    </row>
    <row r="262" spans="1:4" x14ac:dyDescent="0.25">
      <c r="A262" s="25">
        <v>10</v>
      </c>
      <c r="B262" s="25" t="s">
        <v>327</v>
      </c>
      <c r="C262" s="26" t="s">
        <v>324</v>
      </c>
      <c r="D262" s="25" t="str">
        <f t="shared" si="4"/>
        <v>Số thửaSố thửa137</v>
      </c>
    </row>
    <row r="263" spans="1:4" x14ac:dyDescent="0.25">
      <c r="A263" s="25">
        <v>13</v>
      </c>
      <c r="B263" s="25" t="s">
        <v>303</v>
      </c>
      <c r="C263" s="26" t="s">
        <v>324</v>
      </c>
      <c r="D263" s="25" t="str">
        <f t="shared" si="4"/>
        <v>Số thửaSố thửa527</v>
      </c>
    </row>
    <row r="264" spans="1:4" x14ac:dyDescent="0.25">
      <c r="A264" s="25">
        <v>13</v>
      </c>
      <c r="B264" s="25" t="s">
        <v>123</v>
      </c>
      <c r="C264" s="26" t="s">
        <v>324</v>
      </c>
      <c r="D264" s="25" t="str">
        <f t="shared" si="4"/>
        <v>Số thửaSố thửa582</v>
      </c>
    </row>
    <row r="265" spans="1:4" x14ac:dyDescent="0.25">
      <c r="A265" s="25">
        <v>13</v>
      </c>
      <c r="B265" s="25" t="s">
        <v>328</v>
      </c>
      <c r="C265" s="26" t="s">
        <v>324</v>
      </c>
      <c r="D265" s="25" t="str">
        <f t="shared" si="4"/>
        <v>Số thửaSố thửa583</v>
      </c>
    </row>
    <row r="266" spans="1:4" x14ac:dyDescent="0.25">
      <c r="A266" s="25">
        <v>13</v>
      </c>
      <c r="B266" s="25" t="s">
        <v>329</v>
      </c>
      <c r="C266" s="26" t="s">
        <v>324</v>
      </c>
      <c r="D266" s="25" t="str">
        <f t="shared" si="4"/>
        <v>Số thửaSố thửa584</v>
      </c>
    </row>
    <row r="267" spans="1:4" x14ac:dyDescent="0.25">
      <c r="A267" s="25">
        <v>13</v>
      </c>
      <c r="B267" s="25" t="s">
        <v>330</v>
      </c>
      <c r="C267" s="26" t="s">
        <v>324</v>
      </c>
      <c r="D267" s="25" t="str">
        <f t="shared" si="4"/>
        <v>Số thửaSố thửa585</v>
      </c>
    </row>
    <row r="268" spans="1:4" x14ac:dyDescent="0.25">
      <c r="A268" s="25">
        <v>13</v>
      </c>
      <c r="B268" s="25" t="s">
        <v>331</v>
      </c>
      <c r="C268" s="26" t="s">
        <v>324</v>
      </c>
      <c r="D268" s="25" t="str">
        <f t="shared" si="4"/>
        <v>Số thửaSố thửa586</v>
      </c>
    </row>
    <row r="269" spans="1:4" x14ac:dyDescent="0.25">
      <c r="A269" s="25">
        <v>13</v>
      </c>
      <c r="B269" s="25" t="s">
        <v>332</v>
      </c>
      <c r="C269" s="26" t="s">
        <v>324</v>
      </c>
      <c r="D269" s="25" t="str">
        <f t="shared" si="4"/>
        <v>Số thửaSố thửa587</v>
      </c>
    </row>
    <row r="270" spans="1:4" x14ac:dyDescent="0.25">
      <c r="A270" s="25">
        <v>13</v>
      </c>
      <c r="B270" s="25" t="s">
        <v>333</v>
      </c>
      <c r="C270" s="26" t="s">
        <v>324</v>
      </c>
      <c r="D270" s="25" t="str">
        <f t="shared" si="4"/>
        <v>Số thửaSố thửa588</v>
      </c>
    </row>
    <row r="271" spans="1:4" x14ac:dyDescent="0.25">
      <c r="A271" s="25">
        <v>13</v>
      </c>
      <c r="B271" s="25" t="s">
        <v>334</v>
      </c>
      <c r="C271" s="26" t="s">
        <v>324</v>
      </c>
      <c r="D271" s="25" t="str">
        <f t="shared" si="4"/>
        <v>Số thửaSố thửa589</v>
      </c>
    </row>
    <row r="272" spans="1:4" x14ac:dyDescent="0.25">
      <c r="A272" s="25">
        <v>13</v>
      </c>
      <c r="B272" s="25" t="s">
        <v>335</v>
      </c>
      <c r="C272" s="26" t="s">
        <v>324</v>
      </c>
      <c r="D272" s="25" t="str">
        <f t="shared" si="4"/>
        <v>Số thửaSố thửa590</v>
      </c>
    </row>
    <row r="273" spans="1:4" x14ac:dyDescent="0.25">
      <c r="A273" s="25">
        <v>13</v>
      </c>
      <c r="B273" s="25" t="s">
        <v>336</v>
      </c>
      <c r="C273" s="26" t="s">
        <v>337</v>
      </c>
      <c r="D273" s="25" t="str">
        <f t="shared" si="4"/>
        <v>Số thửaSố thửa591</v>
      </c>
    </row>
    <row r="274" spans="1:4" x14ac:dyDescent="0.25">
      <c r="A274" s="25">
        <v>13</v>
      </c>
      <c r="B274" s="25" t="s">
        <v>338</v>
      </c>
      <c r="C274" s="26" t="s">
        <v>337</v>
      </c>
      <c r="D274" s="25" t="str">
        <f t="shared" si="4"/>
        <v>Số thửaSố thửa592</v>
      </c>
    </row>
    <row r="275" spans="1:4" x14ac:dyDescent="0.25">
      <c r="A275" s="25">
        <v>13</v>
      </c>
      <c r="B275" s="25" t="s">
        <v>339</v>
      </c>
      <c r="C275" s="26" t="s">
        <v>337</v>
      </c>
      <c r="D275" s="25" t="str">
        <f t="shared" si="4"/>
        <v>Số thửaSố thửa593</v>
      </c>
    </row>
    <row r="276" spans="1:4" x14ac:dyDescent="0.25">
      <c r="A276" s="25">
        <v>13</v>
      </c>
      <c r="B276" s="25" t="s">
        <v>340</v>
      </c>
      <c r="C276" s="26" t="s">
        <v>337</v>
      </c>
      <c r="D276" s="25" t="str">
        <f t="shared" si="4"/>
        <v>Số thửaSố thửa594</v>
      </c>
    </row>
    <row r="277" spans="1:4" x14ac:dyDescent="0.25">
      <c r="A277" s="25">
        <v>13</v>
      </c>
      <c r="B277" s="25" t="s">
        <v>341</v>
      </c>
      <c r="C277" s="26" t="s">
        <v>342</v>
      </c>
      <c r="D277" s="25" t="str">
        <f t="shared" si="4"/>
        <v>Số thửaSố thửa645</v>
      </c>
    </row>
    <row r="278" spans="1:4" x14ac:dyDescent="0.25">
      <c r="A278" s="25">
        <v>14</v>
      </c>
      <c r="B278" s="25" t="s">
        <v>343</v>
      </c>
      <c r="C278" s="26" t="s">
        <v>337</v>
      </c>
      <c r="D278" s="25" t="str">
        <f t="shared" si="4"/>
        <v>Số thửaSố thửa83</v>
      </c>
    </row>
    <row r="279" spans="1:4" x14ac:dyDescent="0.25">
      <c r="A279" s="25">
        <v>14</v>
      </c>
      <c r="B279" s="25" t="s">
        <v>344</v>
      </c>
      <c r="C279" s="26" t="s">
        <v>337</v>
      </c>
      <c r="D279" s="25" t="str">
        <f t="shared" si="4"/>
        <v>Số thửaSố thửa88</v>
      </c>
    </row>
    <row r="280" spans="1:4" x14ac:dyDescent="0.25">
      <c r="A280" s="25">
        <v>14</v>
      </c>
      <c r="B280" s="25" t="s">
        <v>92</v>
      </c>
      <c r="C280" s="26" t="s">
        <v>342</v>
      </c>
      <c r="D280" s="25" t="str">
        <f t="shared" si="4"/>
        <v>Số thửaSố thửa238</v>
      </c>
    </row>
    <row r="281" spans="1:4" x14ac:dyDescent="0.25">
      <c r="A281" s="25">
        <v>16</v>
      </c>
      <c r="B281" s="25" t="s">
        <v>254</v>
      </c>
      <c r="C281" s="26" t="s">
        <v>342</v>
      </c>
      <c r="D281" s="25" t="str">
        <f t="shared" si="4"/>
        <v>Số thửaSố thửa6</v>
      </c>
    </row>
    <row r="282" spans="1:4" x14ac:dyDescent="0.25">
      <c r="A282" s="25">
        <v>2</v>
      </c>
      <c r="B282" s="25" t="s">
        <v>190</v>
      </c>
      <c r="C282" s="26" t="s">
        <v>345</v>
      </c>
      <c r="D282" s="25" t="str">
        <f t="shared" si="4"/>
        <v>Số thửaSố thửa113</v>
      </c>
    </row>
    <row r="283" spans="1:4" x14ac:dyDescent="0.25">
      <c r="A283" s="25">
        <v>2</v>
      </c>
      <c r="B283" s="25" t="s">
        <v>346</v>
      </c>
      <c r="C283" s="26" t="s">
        <v>347</v>
      </c>
      <c r="D283" s="25" t="str">
        <f t="shared" si="4"/>
        <v>Số thửaSố thửa156</v>
      </c>
    </row>
    <row r="284" spans="1:4" x14ac:dyDescent="0.25">
      <c r="A284" s="25">
        <v>1</v>
      </c>
      <c r="B284" s="25" t="s">
        <v>348</v>
      </c>
      <c r="C284" s="26" t="s">
        <v>349</v>
      </c>
      <c r="D284" s="25" t="str">
        <f t="shared" si="4"/>
        <v>Số thửaSố thửa97</v>
      </c>
    </row>
    <row r="285" spans="1:4" x14ac:dyDescent="0.25">
      <c r="A285" s="25">
        <v>13</v>
      </c>
      <c r="B285" s="25" t="s">
        <v>221</v>
      </c>
      <c r="C285" s="26" t="s">
        <v>350</v>
      </c>
      <c r="D285" s="25" t="str">
        <f t="shared" si="4"/>
        <v>Số thửaSố thửa807</v>
      </c>
    </row>
    <row r="286" spans="1:4" x14ac:dyDescent="0.25">
      <c r="A286" s="25">
        <v>13</v>
      </c>
      <c r="B286" s="25" t="s">
        <v>116</v>
      </c>
      <c r="C286" s="26" t="s">
        <v>350</v>
      </c>
      <c r="D286" s="25" t="str">
        <f t="shared" si="4"/>
        <v>Số thửaSố thửa808</v>
      </c>
    </row>
    <row r="287" spans="1:4" x14ac:dyDescent="0.25">
      <c r="A287" s="25">
        <v>13</v>
      </c>
      <c r="B287" s="25" t="s">
        <v>118</v>
      </c>
      <c r="C287" s="26" t="s">
        <v>350</v>
      </c>
      <c r="D287" s="25" t="str">
        <f t="shared" si="4"/>
        <v>Số thửaSố thửa809</v>
      </c>
    </row>
    <row r="288" spans="1:4" x14ac:dyDescent="0.25">
      <c r="A288" s="25">
        <v>13</v>
      </c>
      <c r="B288" s="25" t="s">
        <v>351</v>
      </c>
      <c r="C288" s="26" t="s">
        <v>350</v>
      </c>
      <c r="D288" s="25" t="str">
        <f t="shared" si="4"/>
        <v>Số thửaSố thửa815</v>
      </c>
    </row>
    <row r="289" spans="1:4" x14ac:dyDescent="0.25">
      <c r="A289" s="25">
        <v>13</v>
      </c>
      <c r="B289" s="25" t="s">
        <v>352</v>
      </c>
      <c r="C289" s="26" t="s">
        <v>350</v>
      </c>
      <c r="D289" s="25" t="str">
        <f t="shared" si="4"/>
        <v>Số thửaSố thửa816</v>
      </c>
    </row>
    <row r="290" spans="1:4" x14ac:dyDescent="0.25">
      <c r="A290" s="25">
        <v>13</v>
      </c>
      <c r="B290" s="25" t="s">
        <v>353</v>
      </c>
      <c r="C290" s="26" t="s">
        <v>350</v>
      </c>
      <c r="D290" s="25" t="str">
        <f t="shared" si="4"/>
        <v>Số thửaSố thửa817</v>
      </c>
    </row>
    <row r="291" spans="1:4" x14ac:dyDescent="0.25">
      <c r="A291" s="25">
        <v>13</v>
      </c>
      <c r="B291" s="25" t="s">
        <v>354</v>
      </c>
      <c r="C291" s="26" t="s">
        <v>350</v>
      </c>
      <c r="D291" s="25" t="str">
        <f t="shared" si="4"/>
        <v>Số thửaSố thửa818</v>
      </c>
    </row>
    <row r="292" spans="1:4" x14ac:dyDescent="0.25">
      <c r="A292" s="25">
        <v>13</v>
      </c>
      <c r="B292" s="25" t="s">
        <v>155</v>
      </c>
      <c r="C292" s="26" t="s">
        <v>350</v>
      </c>
      <c r="D292" s="25" t="str">
        <f t="shared" si="4"/>
        <v>Số thửaSố thửa829</v>
      </c>
    </row>
    <row r="293" spans="1:4" x14ac:dyDescent="0.25">
      <c r="A293" s="25">
        <v>13</v>
      </c>
      <c r="B293" s="25" t="s">
        <v>355</v>
      </c>
      <c r="C293" s="26" t="s">
        <v>350</v>
      </c>
      <c r="D293" s="25" t="str">
        <f t="shared" si="4"/>
        <v>Số thửaSố thửa832</v>
      </c>
    </row>
    <row r="294" spans="1:4" x14ac:dyDescent="0.25">
      <c r="A294" s="25">
        <v>15</v>
      </c>
      <c r="B294" s="25" t="s">
        <v>272</v>
      </c>
      <c r="C294" s="26" t="s">
        <v>356</v>
      </c>
      <c r="D294" s="25" t="str">
        <f t="shared" si="4"/>
        <v>Số thửaSố thửa19</v>
      </c>
    </row>
    <row r="295" spans="1:4" x14ac:dyDescent="0.25">
      <c r="A295" s="25">
        <v>13</v>
      </c>
      <c r="B295" s="25" t="s">
        <v>357</v>
      </c>
      <c r="C295" s="26" t="s">
        <v>358</v>
      </c>
      <c r="D295" s="25" t="str">
        <f t="shared" si="4"/>
        <v>Số thửaSố thửa169</v>
      </c>
    </row>
    <row r="296" spans="1:4" x14ac:dyDescent="0.25">
      <c r="A296" s="25">
        <v>13</v>
      </c>
      <c r="B296" s="25" t="s">
        <v>56</v>
      </c>
      <c r="C296" s="26" t="s">
        <v>358</v>
      </c>
      <c r="D296" s="25" t="str">
        <f t="shared" si="4"/>
        <v>Số thửaSố thửa229</v>
      </c>
    </row>
    <row r="297" spans="1:4" x14ac:dyDescent="0.25">
      <c r="A297" s="25">
        <v>13</v>
      </c>
      <c r="B297" s="25" t="s">
        <v>359</v>
      </c>
      <c r="C297" s="26" t="s">
        <v>358</v>
      </c>
      <c r="D297" s="25" t="str">
        <f t="shared" si="4"/>
        <v>Số thửaSố thửa268</v>
      </c>
    </row>
    <row r="298" spans="1:4" x14ac:dyDescent="0.25">
      <c r="A298" s="25">
        <v>13</v>
      </c>
      <c r="B298" s="25" t="s">
        <v>360</v>
      </c>
      <c r="C298" s="26" t="s">
        <v>358</v>
      </c>
      <c r="D298" s="25" t="str">
        <f t="shared" si="4"/>
        <v>Số thửaSố thửa269</v>
      </c>
    </row>
    <row r="299" spans="1:4" x14ac:dyDescent="0.25">
      <c r="A299" s="25">
        <v>13</v>
      </c>
      <c r="B299" s="25" t="s">
        <v>361</v>
      </c>
      <c r="C299" s="26" t="s">
        <v>358</v>
      </c>
      <c r="D299" s="25" t="str">
        <f t="shared" si="4"/>
        <v>Số thửaSố thửa270</v>
      </c>
    </row>
    <row r="300" spans="1:4" x14ac:dyDescent="0.25">
      <c r="A300" s="25">
        <v>13</v>
      </c>
      <c r="B300" s="25" t="s">
        <v>362</v>
      </c>
      <c r="C300" s="26" t="s">
        <v>358</v>
      </c>
      <c r="D300" s="25" t="str">
        <f t="shared" si="4"/>
        <v>Số thửaSố thửa274</v>
      </c>
    </row>
    <row r="301" spans="1:4" x14ac:dyDescent="0.25">
      <c r="A301" s="25">
        <v>13</v>
      </c>
      <c r="B301" s="25" t="s">
        <v>363</v>
      </c>
      <c r="C301" s="26" t="s">
        <v>358</v>
      </c>
      <c r="D301" s="25" t="str">
        <f t="shared" si="4"/>
        <v>Số thửaSố thửa275</v>
      </c>
    </row>
    <row r="302" spans="1:4" x14ac:dyDescent="0.25">
      <c r="A302" s="25">
        <v>13</v>
      </c>
      <c r="B302" s="25" t="s">
        <v>364</v>
      </c>
      <c r="C302" s="26" t="s">
        <v>358</v>
      </c>
      <c r="D302" s="25" t="str">
        <f t="shared" si="4"/>
        <v>Số thửaSố thửa276</v>
      </c>
    </row>
    <row r="303" spans="1:4" x14ac:dyDescent="0.25">
      <c r="A303" s="25">
        <v>13</v>
      </c>
      <c r="B303" s="25" t="s">
        <v>365</v>
      </c>
      <c r="C303" s="26" t="s">
        <v>358</v>
      </c>
      <c r="D303" s="25" t="str">
        <f t="shared" si="4"/>
        <v>Số thửaSố thửa277</v>
      </c>
    </row>
    <row r="304" spans="1:4" x14ac:dyDescent="0.25">
      <c r="A304" s="25">
        <v>13</v>
      </c>
      <c r="B304" s="25" t="s">
        <v>366</v>
      </c>
      <c r="C304" s="26" t="s">
        <v>358</v>
      </c>
      <c r="D304" s="25" t="str">
        <f t="shared" si="4"/>
        <v>Số thửaSố thửa280</v>
      </c>
    </row>
    <row r="305" spans="1:4" x14ac:dyDescent="0.25">
      <c r="A305" s="25">
        <v>13</v>
      </c>
      <c r="B305" s="25" t="s">
        <v>367</v>
      </c>
      <c r="C305" s="26" t="s">
        <v>358</v>
      </c>
      <c r="D305" s="25" t="str">
        <f t="shared" si="4"/>
        <v>Số thửaSố thửa321</v>
      </c>
    </row>
    <row r="306" spans="1:4" x14ac:dyDescent="0.25">
      <c r="A306" s="25">
        <v>13</v>
      </c>
      <c r="B306" s="25" t="s">
        <v>368</v>
      </c>
      <c r="C306" s="26" t="s">
        <v>358</v>
      </c>
      <c r="D306" s="25" t="str">
        <f t="shared" si="4"/>
        <v>Số thửaSố thửa322</v>
      </c>
    </row>
    <row r="307" spans="1:4" x14ac:dyDescent="0.25">
      <c r="A307" s="25">
        <v>13</v>
      </c>
      <c r="B307" s="25" t="s">
        <v>282</v>
      </c>
      <c r="C307" s="26" t="s">
        <v>358</v>
      </c>
      <c r="D307" s="25" t="str">
        <f t="shared" si="4"/>
        <v>Số thửaSố thửa324</v>
      </c>
    </row>
    <row r="308" spans="1:4" x14ac:dyDescent="0.25">
      <c r="A308" s="25">
        <v>13</v>
      </c>
      <c r="B308" s="25" t="s">
        <v>369</v>
      </c>
      <c r="C308" s="26" t="s">
        <v>358</v>
      </c>
      <c r="D308" s="25" t="str">
        <f t="shared" si="4"/>
        <v>Số thửaSố thửa335</v>
      </c>
    </row>
    <row r="309" spans="1:4" x14ac:dyDescent="0.25">
      <c r="A309" s="25">
        <v>13</v>
      </c>
      <c r="B309" s="25" t="s">
        <v>216</v>
      </c>
      <c r="C309" s="26" t="s">
        <v>358</v>
      </c>
      <c r="D309" s="25" t="str">
        <f t="shared" si="4"/>
        <v>Số thửaSố thửa336</v>
      </c>
    </row>
    <row r="310" spans="1:4" x14ac:dyDescent="0.25">
      <c r="A310" s="25">
        <v>13</v>
      </c>
      <c r="B310" s="25" t="s">
        <v>114</v>
      </c>
      <c r="C310" s="26" t="s">
        <v>358</v>
      </c>
      <c r="D310" s="25" t="str">
        <f t="shared" si="4"/>
        <v>Số thửaSố thửa337</v>
      </c>
    </row>
    <row r="311" spans="1:4" x14ac:dyDescent="0.25">
      <c r="A311" s="25">
        <v>13</v>
      </c>
      <c r="B311" s="25" t="s">
        <v>370</v>
      </c>
      <c r="C311" s="26" t="s">
        <v>371</v>
      </c>
      <c r="D311" s="25" t="str">
        <f t="shared" si="4"/>
        <v>Số thửaSố thửa392</v>
      </c>
    </row>
    <row r="312" spans="1:4" x14ac:dyDescent="0.25">
      <c r="A312" s="25">
        <v>14</v>
      </c>
      <c r="B312" s="25" t="s">
        <v>372</v>
      </c>
      <c r="C312" s="26" t="s">
        <v>373</v>
      </c>
      <c r="D312" s="25" t="str">
        <f t="shared" si="4"/>
        <v>Số thửaSố thửa109</v>
      </c>
    </row>
    <row r="313" spans="1:4" x14ac:dyDescent="0.25">
      <c r="A313" s="25">
        <v>14</v>
      </c>
      <c r="B313" s="25" t="s">
        <v>100</v>
      </c>
      <c r="C313" s="26" t="s">
        <v>373</v>
      </c>
      <c r="D313" s="25" t="str">
        <f t="shared" si="4"/>
        <v>Số thửaSố thửa112</v>
      </c>
    </row>
    <row r="314" spans="1:4" x14ac:dyDescent="0.25">
      <c r="A314" s="25">
        <v>14</v>
      </c>
      <c r="B314" s="25" t="s">
        <v>190</v>
      </c>
      <c r="C314" s="26" t="s">
        <v>371</v>
      </c>
      <c r="D314" s="25" t="str">
        <f t="shared" si="4"/>
        <v>Số thửaSố thửa113</v>
      </c>
    </row>
    <row r="315" spans="1:4" x14ac:dyDescent="0.25">
      <c r="A315" s="25">
        <v>14</v>
      </c>
      <c r="B315" s="25" t="s">
        <v>374</v>
      </c>
      <c r="C315" s="26" t="s">
        <v>373</v>
      </c>
      <c r="D315" s="25" t="str">
        <f t="shared" si="4"/>
        <v>Số thửaSố thửa117</v>
      </c>
    </row>
    <row r="316" spans="1:4" x14ac:dyDescent="0.25">
      <c r="A316" s="25">
        <v>14</v>
      </c>
      <c r="B316" s="25" t="s">
        <v>375</v>
      </c>
      <c r="C316" s="26" t="s">
        <v>373</v>
      </c>
      <c r="D316" s="25" t="str">
        <f t="shared" si="4"/>
        <v>Số thửaSố thửa123</v>
      </c>
    </row>
    <row r="317" spans="1:4" x14ac:dyDescent="0.25">
      <c r="A317" s="25">
        <v>14</v>
      </c>
      <c r="B317" s="25" t="s">
        <v>192</v>
      </c>
      <c r="C317" s="26" t="s">
        <v>371</v>
      </c>
      <c r="D317" s="25" t="str">
        <f t="shared" si="4"/>
        <v>Số thửaSố thửa127</v>
      </c>
    </row>
    <row r="318" spans="1:4" x14ac:dyDescent="0.25">
      <c r="A318" s="25">
        <v>14</v>
      </c>
      <c r="B318" s="25" t="s">
        <v>357</v>
      </c>
      <c r="C318" s="26" t="s">
        <v>371</v>
      </c>
      <c r="D318" s="25" t="str">
        <f t="shared" si="4"/>
        <v>Số thửaSố thửa169</v>
      </c>
    </row>
    <row r="319" spans="1:4" x14ac:dyDescent="0.25">
      <c r="A319" s="25">
        <v>8</v>
      </c>
      <c r="B319" s="25" t="s">
        <v>376</v>
      </c>
      <c r="C319" s="26" t="s">
        <v>377</v>
      </c>
      <c r="D319" s="25" t="str">
        <f t="shared" si="4"/>
        <v>Số thửaSố thửa125</v>
      </c>
    </row>
    <row r="320" spans="1:4" x14ac:dyDescent="0.25">
      <c r="A320" s="25">
        <v>8</v>
      </c>
      <c r="B320" s="25" t="s">
        <v>378</v>
      </c>
      <c r="C320" s="26" t="s">
        <v>377</v>
      </c>
      <c r="D320" s="25" t="str">
        <f t="shared" si="4"/>
        <v>Số thửaSố thửa126</v>
      </c>
    </row>
    <row r="321" spans="1:4" x14ac:dyDescent="0.25">
      <c r="A321" s="25">
        <v>8</v>
      </c>
      <c r="B321" s="25" t="s">
        <v>379</v>
      </c>
      <c r="C321" s="26" t="s">
        <v>377</v>
      </c>
      <c r="D321" s="25" t="str">
        <f t="shared" si="4"/>
        <v>Số thửaSố thửa129</v>
      </c>
    </row>
    <row r="322" spans="1:4" x14ac:dyDescent="0.25">
      <c r="A322" s="25">
        <v>8</v>
      </c>
      <c r="B322" s="25" t="s">
        <v>380</v>
      </c>
      <c r="C322" s="26" t="s">
        <v>377</v>
      </c>
      <c r="D322" s="25" t="str">
        <f t="shared" si="4"/>
        <v>Số thửaSố thửa130</v>
      </c>
    </row>
    <row r="323" spans="1:4" x14ac:dyDescent="0.25">
      <c r="A323" s="25">
        <v>8</v>
      </c>
      <c r="B323" s="25" t="s">
        <v>381</v>
      </c>
      <c r="C323" s="26" t="s">
        <v>377</v>
      </c>
      <c r="D323" s="25" t="str">
        <f t="shared" ref="D323:D386" si="5">$B$1&amp;B323</f>
        <v>Số thửaSố thửa145</v>
      </c>
    </row>
    <row r="324" spans="1:4" x14ac:dyDescent="0.25">
      <c r="A324" s="25">
        <v>8</v>
      </c>
      <c r="B324" s="25" t="s">
        <v>382</v>
      </c>
      <c r="C324" s="26" t="s">
        <v>377</v>
      </c>
      <c r="D324" s="25" t="str">
        <f t="shared" si="5"/>
        <v>Số thửaSố thửa146</v>
      </c>
    </row>
    <row r="325" spans="1:4" x14ac:dyDescent="0.25">
      <c r="A325" s="25">
        <v>8</v>
      </c>
      <c r="B325" s="25" t="s">
        <v>383</v>
      </c>
      <c r="C325" s="26" t="s">
        <v>384</v>
      </c>
      <c r="D325" s="25" t="str">
        <f t="shared" si="5"/>
        <v>Số thửaSố thửa148</v>
      </c>
    </row>
    <row r="326" spans="1:4" x14ac:dyDescent="0.25">
      <c r="A326" s="25">
        <v>8</v>
      </c>
      <c r="B326" s="25" t="s">
        <v>383</v>
      </c>
      <c r="C326" s="26" t="s">
        <v>384</v>
      </c>
      <c r="D326" s="25" t="str">
        <f t="shared" si="5"/>
        <v>Số thửaSố thửa148</v>
      </c>
    </row>
    <row r="327" spans="1:4" x14ac:dyDescent="0.25">
      <c r="A327" s="25">
        <v>8</v>
      </c>
      <c r="B327" s="25" t="s">
        <v>385</v>
      </c>
      <c r="C327" s="26" t="s">
        <v>386</v>
      </c>
      <c r="D327" s="25" t="str">
        <f t="shared" si="5"/>
        <v>Số thửaSố thửa208</v>
      </c>
    </row>
    <row r="328" spans="1:4" x14ac:dyDescent="0.25">
      <c r="A328" s="25">
        <v>8</v>
      </c>
      <c r="B328" s="25" t="s">
        <v>387</v>
      </c>
      <c r="C328" s="26" t="s">
        <v>377</v>
      </c>
      <c r="D328" s="25" t="str">
        <f t="shared" si="5"/>
        <v>Số thửaSố thửa228</v>
      </c>
    </row>
    <row r="329" spans="1:4" x14ac:dyDescent="0.25">
      <c r="A329" s="25">
        <v>8</v>
      </c>
      <c r="B329" s="25" t="s">
        <v>56</v>
      </c>
      <c r="C329" s="26" t="s">
        <v>377</v>
      </c>
      <c r="D329" s="25" t="str">
        <f t="shared" si="5"/>
        <v>Số thửaSố thửa229</v>
      </c>
    </row>
    <row r="330" spans="1:4" x14ac:dyDescent="0.25">
      <c r="A330" s="25">
        <v>8</v>
      </c>
      <c r="B330" s="25" t="s">
        <v>388</v>
      </c>
      <c r="C330" s="26" t="s">
        <v>377</v>
      </c>
      <c r="D330" s="25" t="str">
        <f t="shared" si="5"/>
        <v>Số thửaSố thửa233</v>
      </c>
    </row>
    <row r="331" spans="1:4" x14ac:dyDescent="0.25">
      <c r="A331" s="25">
        <v>8</v>
      </c>
      <c r="B331" s="25" t="s">
        <v>389</v>
      </c>
      <c r="C331" s="26" t="s">
        <v>377</v>
      </c>
      <c r="D331" s="25" t="str">
        <f t="shared" si="5"/>
        <v>Số thửaSố thửa234</v>
      </c>
    </row>
    <row r="332" spans="1:4" x14ac:dyDescent="0.25">
      <c r="A332" s="25">
        <v>8</v>
      </c>
      <c r="B332" s="25" t="s">
        <v>390</v>
      </c>
      <c r="C332" s="26" t="s">
        <v>377</v>
      </c>
      <c r="D332" s="25" t="str">
        <f t="shared" si="5"/>
        <v>Số thửaSố thửa235</v>
      </c>
    </row>
    <row r="333" spans="1:4" x14ac:dyDescent="0.25">
      <c r="A333" s="25">
        <v>8</v>
      </c>
      <c r="B333" s="25" t="s">
        <v>95</v>
      </c>
      <c r="C333" s="26" t="s">
        <v>377</v>
      </c>
      <c r="D333" s="25" t="str">
        <f t="shared" si="5"/>
        <v>Số thửaSố thửa241</v>
      </c>
    </row>
    <row r="334" spans="1:4" x14ac:dyDescent="0.25">
      <c r="A334" s="25">
        <v>9</v>
      </c>
      <c r="B334" s="25" t="s">
        <v>391</v>
      </c>
      <c r="C334" s="26" t="s">
        <v>386</v>
      </c>
      <c r="D334" s="25" t="str">
        <f t="shared" si="5"/>
        <v>Số thửaSố thửa638</v>
      </c>
    </row>
    <row r="335" spans="1:4" x14ac:dyDescent="0.25">
      <c r="A335" s="25">
        <v>2</v>
      </c>
      <c r="B335" s="25" t="s">
        <v>270</v>
      </c>
      <c r="C335" s="26" t="s">
        <v>392</v>
      </c>
      <c r="D335" s="25" t="str">
        <f t="shared" si="5"/>
        <v>Số thửaSố thửa16</v>
      </c>
    </row>
    <row r="336" spans="1:4" x14ac:dyDescent="0.25">
      <c r="A336" s="25">
        <v>3</v>
      </c>
      <c r="B336" s="25" t="s">
        <v>393</v>
      </c>
      <c r="C336" s="26" t="s">
        <v>394</v>
      </c>
      <c r="D336" s="25" t="str">
        <f t="shared" si="5"/>
        <v>Số thửaSố thửa134</v>
      </c>
    </row>
    <row r="337" spans="1:4" x14ac:dyDescent="0.25">
      <c r="A337" s="25">
        <v>3</v>
      </c>
      <c r="B337" s="25" t="s">
        <v>393</v>
      </c>
      <c r="C337" s="26" t="s">
        <v>394</v>
      </c>
      <c r="D337" s="25" t="str">
        <f t="shared" si="5"/>
        <v>Số thửaSố thửa134</v>
      </c>
    </row>
    <row r="338" spans="1:4" x14ac:dyDescent="0.25">
      <c r="A338" s="25">
        <v>4</v>
      </c>
      <c r="B338" s="25" t="s">
        <v>395</v>
      </c>
      <c r="C338" s="26" t="s">
        <v>396</v>
      </c>
      <c r="D338" s="25" t="str">
        <f t="shared" si="5"/>
        <v>Số thửaSố thửa170</v>
      </c>
    </row>
    <row r="339" spans="1:4" x14ac:dyDescent="0.25">
      <c r="A339" s="25">
        <v>4</v>
      </c>
      <c r="B339" s="25" t="s">
        <v>397</v>
      </c>
      <c r="C339" s="26" t="s">
        <v>396</v>
      </c>
      <c r="D339" s="25" t="str">
        <f t="shared" si="5"/>
        <v>Số thửaSố thửa171</v>
      </c>
    </row>
    <row r="340" spans="1:4" x14ac:dyDescent="0.25">
      <c r="A340" s="25">
        <v>4</v>
      </c>
      <c r="B340" s="25" t="s">
        <v>398</v>
      </c>
      <c r="C340" s="26" t="s">
        <v>396</v>
      </c>
      <c r="D340" s="25" t="str">
        <f t="shared" si="5"/>
        <v>Số thửaSố thửa172</v>
      </c>
    </row>
    <row r="341" spans="1:4" x14ac:dyDescent="0.25">
      <c r="A341" s="25">
        <v>4</v>
      </c>
      <c r="B341" s="25" t="s">
        <v>399</v>
      </c>
      <c r="C341" s="26" t="s">
        <v>396</v>
      </c>
      <c r="D341" s="25" t="str">
        <f t="shared" si="5"/>
        <v>Số thửaSố thửa173</v>
      </c>
    </row>
    <row r="342" spans="1:4" x14ac:dyDescent="0.25">
      <c r="A342" s="25">
        <v>4</v>
      </c>
      <c r="B342" s="25" t="s">
        <v>400</v>
      </c>
      <c r="C342" s="26" t="s">
        <v>396</v>
      </c>
      <c r="D342" s="25" t="str">
        <f t="shared" si="5"/>
        <v>Số thửaSố thửa174</v>
      </c>
    </row>
    <row r="343" spans="1:4" x14ac:dyDescent="0.25">
      <c r="A343" s="25">
        <v>4</v>
      </c>
      <c r="B343" s="25" t="s">
        <v>401</v>
      </c>
      <c r="C343" s="26" t="s">
        <v>396</v>
      </c>
      <c r="D343" s="25" t="str">
        <f t="shared" si="5"/>
        <v>Số thửaSố thửa175</v>
      </c>
    </row>
    <row r="344" spans="1:4" x14ac:dyDescent="0.25">
      <c r="A344" s="25">
        <v>4</v>
      </c>
      <c r="B344" s="25" t="s">
        <v>82</v>
      </c>
      <c r="C344" s="26" t="s">
        <v>396</v>
      </c>
      <c r="D344" s="25" t="str">
        <f t="shared" si="5"/>
        <v>Số thửaSố thửa215</v>
      </c>
    </row>
    <row r="345" spans="1:4" x14ac:dyDescent="0.25">
      <c r="A345" s="25">
        <v>4</v>
      </c>
      <c r="B345" s="25" t="s">
        <v>402</v>
      </c>
      <c r="C345" s="26" t="s">
        <v>396</v>
      </c>
      <c r="D345" s="25" t="str">
        <f t="shared" si="5"/>
        <v>Số thửaSố thửa232</v>
      </c>
    </row>
    <row r="346" spans="1:4" x14ac:dyDescent="0.25">
      <c r="A346" s="25">
        <v>4</v>
      </c>
      <c r="B346" s="25" t="s">
        <v>213</v>
      </c>
      <c r="C346" s="26" t="s">
        <v>396</v>
      </c>
      <c r="D346" s="25" t="str">
        <f t="shared" si="5"/>
        <v>Số thửaSố thửa267</v>
      </c>
    </row>
    <row r="347" spans="1:4" x14ac:dyDescent="0.25">
      <c r="A347" s="25">
        <v>4</v>
      </c>
      <c r="B347" s="25" t="s">
        <v>403</v>
      </c>
      <c r="C347" s="26" t="s">
        <v>396</v>
      </c>
      <c r="D347" s="25" t="str">
        <f t="shared" si="5"/>
        <v>Số thửaSố thửa282</v>
      </c>
    </row>
    <row r="348" spans="1:4" x14ac:dyDescent="0.25">
      <c r="A348" s="25">
        <v>4</v>
      </c>
      <c r="B348" s="25" t="s">
        <v>133</v>
      </c>
      <c r="C348" s="26" t="s">
        <v>396</v>
      </c>
      <c r="D348" s="25" t="str">
        <f t="shared" si="5"/>
        <v>Số thửaSố thửa283</v>
      </c>
    </row>
    <row r="349" spans="1:4" x14ac:dyDescent="0.25">
      <c r="A349" s="25">
        <v>4</v>
      </c>
      <c r="B349" s="25" t="s">
        <v>404</v>
      </c>
      <c r="C349" s="26" t="s">
        <v>396</v>
      </c>
      <c r="D349" s="25" t="str">
        <f t="shared" si="5"/>
        <v>Số thửaSố thửa310</v>
      </c>
    </row>
    <row r="350" spans="1:4" x14ac:dyDescent="0.25">
      <c r="A350" s="25">
        <v>4</v>
      </c>
      <c r="B350" s="25" t="s">
        <v>405</v>
      </c>
      <c r="C350" s="26" t="s">
        <v>396</v>
      </c>
      <c r="D350" s="25" t="str">
        <f t="shared" si="5"/>
        <v>Số thửaSố thửa311</v>
      </c>
    </row>
    <row r="351" spans="1:4" x14ac:dyDescent="0.25">
      <c r="A351" s="25">
        <v>4</v>
      </c>
      <c r="B351" s="25" t="s">
        <v>406</v>
      </c>
      <c r="C351" s="26" t="s">
        <v>396</v>
      </c>
      <c r="D351" s="25" t="str">
        <f t="shared" si="5"/>
        <v>Số thửaSố thửa312</v>
      </c>
    </row>
    <row r="352" spans="1:4" x14ac:dyDescent="0.25">
      <c r="A352" s="25">
        <v>4</v>
      </c>
      <c r="B352" s="25" t="s">
        <v>283</v>
      </c>
      <c r="C352" s="26" t="s">
        <v>396</v>
      </c>
      <c r="D352" s="25" t="str">
        <f t="shared" si="5"/>
        <v>Số thửaSố thửa325</v>
      </c>
    </row>
    <row r="353" spans="1:4" x14ac:dyDescent="0.25">
      <c r="A353" s="25">
        <v>4</v>
      </c>
      <c r="B353" s="25" t="s">
        <v>407</v>
      </c>
      <c r="C353" s="26" t="s">
        <v>396</v>
      </c>
      <c r="D353" s="25" t="str">
        <f t="shared" si="5"/>
        <v>Số thửaSố thửa327</v>
      </c>
    </row>
    <row r="354" spans="1:4" x14ac:dyDescent="0.25">
      <c r="A354" s="25">
        <v>4</v>
      </c>
      <c r="B354" s="25" t="s">
        <v>408</v>
      </c>
      <c r="C354" s="26" t="s">
        <v>409</v>
      </c>
      <c r="D354" s="25" t="str">
        <f t="shared" si="5"/>
        <v>Số thửaSố thửa350</v>
      </c>
    </row>
    <row r="355" spans="1:4" x14ac:dyDescent="0.25">
      <c r="A355" s="25">
        <v>7</v>
      </c>
      <c r="B355" s="25" t="s">
        <v>95</v>
      </c>
      <c r="C355" s="26" t="s">
        <v>410</v>
      </c>
      <c r="D355" s="25" t="str">
        <f t="shared" si="5"/>
        <v>Số thửaSố thửa241</v>
      </c>
    </row>
    <row r="356" spans="1:4" x14ac:dyDescent="0.25">
      <c r="A356" s="25">
        <v>7</v>
      </c>
      <c r="B356" s="25" t="s">
        <v>411</v>
      </c>
      <c r="C356" s="26" t="s">
        <v>410</v>
      </c>
      <c r="D356" s="25" t="str">
        <f t="shared" si="5"/>
        <v>Số thửaSố thửa599</v>
      </c>
    </row>
    <row r="357" spans="1:4" x14ac:dyDescent="0.25">
      <c r="A357" s="25">
        <v>7</v>
      </c>
      <c r="B357" s="25" t="s">
        <v>412</v>
      </c>
      <c r="C357" s="26" t="s">
        <v>413</v>
      </c>
      <c r="D357" s="25" t="str">
        <f t="shared" si="5"/>
        <v>Số thửaSố thửa661</v>
      </c>
    </row>
    <row r="358" spans="1:4" x14ac:dyDescent="0.25">
      <c r="A358" s="25">
        <v>7</v>
      </c>
      <c r="B358" s="25" t="s">
        <v>412</v>
      </c>
      <c r="C358" s="26" t="s">
        <v>413</v>
      </c>
      <c r="D358" s="25" t="str">
        <f t="shared" si="5"/>
        <v>Số thửaSố thửa661</v>
      </c>
    </row>
    <row r="359" spans="1:4" x14ac:dyDescent="0.25">
      <c r="A359" s="25">
        <v>8</v>
      </c>
      <c r="B359" s="25" t="s">
        <v>414</v>
      </c>
      <c r="C359" s="26" t="s">
        <v>415</v>
      </c>
      <c r="D359" s="25" t="str">
        <f t="shared" si="5"/>
        <v>Số thửaSố thửa38</v>
      </c>
    </row>
    <row r="360" spans="1:4" x14ac:dyDescent="0.25">
      <c r="A360" s="25">
        <v>9</v>
      </c>
      <c r="B360" s="25" t="s">
        <v>110</v>
      </c>
      <c r="C360" s="26" t="s">
        <v>415</v>
      </c>
      <c r="D360" s="25" t="str">
        <f t="shared" si="5"/>
        <v>Số thửaSố thửa1</v>
      </c>
    </row>
    <row r="361" spans="1:4" x14ac:dyDescent="0.25">
      <c r="A361" s="25">
        <v>9</v>
      </c>
      <c r="B361" s="25" t="s">
        <v>416</v>
      </c>
      <c r="C361" s="26" t="s">
        <v>415</v>
      </c>
      <c r="D361" s="25" t="str">
        <f t="shared" si="5"/>
        <v>Số thửaSố thửa2</v>
      </c>
    </row>
    <row r="362" spans="1:4" x14ac:dyDescent="0.25">
      <c r="A362" s="25">
        <v>9</v>
      </c>
      <c r="B362" s="25" t="s">
        <v>61</v>
      </c>
      <c r="C362" s="26" t="s">
        <v>415</v>
      </c>
      <c r="D362" s="25" t="str">
        <f t="shared" si="5"/>
        <v>Số thửaSố thửa13</v>
      </c>
    </row>
    <row r="363" spans="1:4" x14ac:dyDescent="0.25">
      <c r="A363" s="25">
        <v>9</v>
      </c>
      <c r="B363" s="25" t="s">
        <v>417</v>
      </c>
      <c r="C363" s="26" t="s">
        <v>415</v>
      </c>
      <c r="D363" s="25" t="str">
        <f t="shared" si="5"/>
        <v>Số thửaSố thửa14</v>
      </c>
    </row>
    <row r="364" spans="1:4" x14ac:dyDescent="0.25">
      <c r="A364" s="25">
        <v>9</v>
      </c>
      <c r="B364" s="25" t="s">
        <v>127</v>
      </c>
      <c r="C364" s="26" t="s">
        <v>415</v>
      </c>
      <c r="D364" s="25" t="str">
        <f t="shared" si="5"/>
        <v>Số thửaSố thửa15</v>
      </c>
    </row>
    <row r="365" spans="1:4" x14ac:dyDescent="0.25">
      <c r="A365" s="25">
        <v>9</v>
      </c>
      <c r="B365" s="25" t="s">
        <v>270</v>
      </c>
      <c r="C365" s="26" t="s">
        <v>415</v>
      </c>
      <c r="D365" s="25" t="str">
        <f t="shared" si="5"/>
        <v>Số thửaSố thửa16</v>
      </c>
    </row>
    <row r="366" spans="1:4" x14ac:dyDescent="0.25">
      <c r="A366" s="25">
        <v>9</v>
      </c>
      <c r="B366" s="25" t="s">
        <v>271</v>
      </c>
      <c r="C366" s="26" t="s">
        <v>415</v>
      </c>
      <c r="D366" s="25" t="str">
        <f t="shared" si="5"/>
        <v>Số thửaSố thửa17</v>
      </c>
    </row>
    <row r="367" spans="1:4" x14ac:dyDescent="0.25">
      <c r="A367" s="25">
        <v>9</v>
      </c>
      <c r="B367" s="25" t="s">
        <v>414</v>
      </c>
      <c r="C367" s="26" t="s">
        <v>415</v>
      </c>
      <c r="D367" s="25" t="str">
        <f t="shared" si="5"/>
        <v>Số thửaSố thửa38</v>
      </c>
    </row>
    <row r="368" spans="1:4" x14ac:dyDescent="0.25">
      <c r="A368" s="25">
        <v>9</v>
      </c>
      <c r="B368" s="25" t="s">
        <v>418</v>
      </c>
      <c r="C368" s="26" t="s">
        <v>415</v>
      </c>
      <c r="D368" s="25" t="str">
        <f t="shared" si="5"/>
        <v>Số thửaSố thửa796</v>
      </c>
    </row>
    <row r="369" spans="1:4" x14ac:dyDescent="0.25">
      <c r="A369" s="25">
        <v>9</v>
      </c>
      <c r="B369" s="25" t="s">
        <v>419</v>
      </c>
      <c r="C369" s="26" t="s">
        <v>415</v>
      </c>
      <c r="D369" s="25" t="str">
        <f t="shared" si="5"/>
        <v>Số thửaSố thửa813</v>
      </c>
    </row>
    <row r="370" spans="1:4" x14ac:dyDescent="0.25">
      <c r="A370" s="25">
        <v>9</v>
      </c>
      <c r="B370" s="25" t="s">
        <v>420</v>
      </c>
      <c r="C370" s="26" t="s">
        <v>421</v>
      </c>
      <c r="D370" s="25" t="str">
        <f t="shared" si="5"/>
        <v>Số thửaSố thửa466</v>
      </c>
    </row>
    <row r="371" spans="1:4" x14ac:dyDescent="0.25">
      <c r="A371" s="25">
        <v>9</v>
      </c>
      <c r="B371" s="25" t="s">
        <v>422</v>
      </c>
      <c r="C371" s="26" t="s">
        <v>421</v>
      </c>
      <c r="D371" s="25" t="str">
        <f t="shared" si="5"/>
        <v>Số thửaSố thửa639</v>
      </c>
    </row>
    <row r="372" spans="1:4" x14ac:dyDescent="0.25">
      <c r="A372" s="25">
        <v>9</v>
      </c>
      <c r="B372" s="25" t="s">
        <v>423</v>
      </c>
      <c r="C372" s="26" t="s">
        <v>424</v>
      </c>
      <c r="D372" s="25" t="str">
        <f t="shared" si="5"/>
        <v>Số thửaSố thửa681</v>
      </c>
    </row>
    <row r="373" spans="1:4" x14ac:dyDescent="0.25">
      <c r="A373" s="25">
        <v>9</v>
      </c>
      <c r="B373" s="25" t="s">
        <v>423</v>
      </c>
      <c r="C373" s="26" t="s">
        <v>424</v>
      </c>
      <c r="D373" s="25" t="str">
        <f t="shared" si="5"/>
        <v>Số thửaSố thửa681</v>
      </c>
    </row>
    <row r="374" spans="1:4" x14ac:dyDescent="0.25">
      <c r="A374" s="25">
        <v>9</v>
      </c>
      <c r="B374" s="25" t="s">
        <v>425</v>
      </c>
      <c r="C374" s="26" t="s">
        <v>426</v>
      </c>
      <c r="D374" s="25" t="str">
        <f t="shared" si="5"/>
        <v>Số thửaSố thửa701</v>
      </c>
    </row>
    <row r="375" spans="1:4" x14ac:dyDescent="0.25">
      <c r="A375" s="25">
        <v>9</v>
      </c>
      <c r="B375" s="25" t="s">
        <v>427</v>
      </c>
      <c r="C375" s="26" t="s">
        <v>426</v>
      </c>
      <c r="D375" s="25" t="str">
        <f t="shared" si="5"/>
        <v>Số thửaSố thửa702</v>
      </c>
    </row>
    <row r="376" spans="1:4" x14ac:dyDescent="0.25">
      <c r="A376" s="25">
        <v>9</v>
      </c>
      <c r="B376" s="25" t="s">
        <v>428</v>
      </c>
      <c r="C376" s="26" t="s">
        <v>421</v>
      </c>
      <c r="D376" s="25" t="str">
        <f t="shared" si="5"/>
        <v>Số thửaSố thửa703</v>
      </c>
    </row>
    <row r="377" spans="1:4" x14ac:dyDescent="0.25">
      <c r="A377" s="25">
        <v>9</v>
      </c>
      <c r="B377" s="25" t="s">
        <v>429</v>
      </c>
      <c r="C377" s="26" t="s">
        <v>426</v>
      </c>
      <c r="D377" s="25" t="str">
        <f t="shared" si="5"/>
        <v>Số thửaSố thửa717</v>
      </c>
    </row>
    <row r="378" spans="1:4" x14ac:dyDescent="0.25">
      <c r="A378" s="25">
        <v>9</v>
      </c>
      <c r="B378" s="25" t="s">
        <v>430</v>
      </c>
      <c r="C378" s="26" t="s">
        <v>426</v>
      </c>
      <c r="D378" s="25" t="str">
        <f t="shared" si="5"/>
        <v>Số thửaSố thửa723</v>
      </c>
    </row>
    <row r="379" spans="1:4" x14ac:dyDescent="0.25">
      <c r="A379" s="25">
        <v>9</v>
      </c>
      <c r="B379" s="25" t="s">
        <v>431</v>
      </c>
      <c r="C379" s="26" t="s">
        <v>421</v>
      </c>
      <c r="D379" s="25" t="str">
        <f t="shared" si="5"/>
        <v>Số thửaSố thửa835</v>
      </c>
    </row>
    <row r="380" spans="1:4" x14ac:dyDescent="0.25">
      <c r="A380" s="25">
        <v>11</v>
      </c>
      <c r="B380" s="25" t="s">
        <v>432</v>
      </c>
      <c r="C380" s="26" t="s">
        <v>433</v>
      </c>
      <c r="D380" s="25" t="str">
        <f t="shared" si="5"/>
        <v>Số thửaSố thửa252</v>
      </c>
    </row>
    <row r="381" spans="1:4" x14ac:dyDescent="0.25">
      <c r="A381" s="25">
        <v>11</v>
      </c>
      <c r="B381" s="25" t="s">
        <v>359</v>
      </c>
      <c r="C381" s="26" t="s">
        <v>433</v>
      </c>
      <c r="D381" s="25" t="str">
        <f t="shared" si="5"/>
        <v>Số thửaSố thửa268</v>
      </c>
    </row>
    <row r="382" spans="1:4" x14ac:dyDescent="0.25">
      <c r="A382" s="25">
        <v>11</v>
      </c>
      <c r="B382" s="25" t="s">
        <v>360</v>
      </c>
      <c r="C382" s="26" t="s">
        <v>433</v>
      </c>
      <c r="D382" s="25" t="str">
        <f t="shared" si="5"/>
        <v>Số thửaSố thửa269</v>
      </c>
    </row>
    <row r="383" spans="1:4" x14ac:dyDescent="0.25">
      <c r="A383" s="25">
        <v>11</v>
      </c>
      <c r="B383" s="25" t="s">
        <v>361</v>
      </c>
      <c r="C383" s="26" t="s">
        <v>433</v>
      </c>
      <c r="D383" s="25" t="str">
        <f t="shared" si="5"/>
        <v>Số thửaSố thửa270</v>
      </c>
    </row>
    <row r="384" spans="1:4" x14ac:dyDescent="0.25">
      <c r="A384" s="25">
        <v>11</v>
      </c>
      <c r="B384" s="25" t="s">
        <v>434</v>
      </c>
      <c r="C384" s="26" t="s">
        <v>433</v>
      </c>
      <c r="D384" s="25" t="str">
        <f t="shared" si="5"/>
        <v>Số thửaSố thửa271</v>
      </c>
    </row>
    <row r="385" spans="1:4" x14ac:dyDescent="0.25">
      <c r="A385" s="25">
        <v>11</v>
      </c>
      <c r="B385" s="25" t="s">
        <v>435</v>
      </c>
      <c r="C385" s="26" t="s">
        <v>433</v>
      </c>
      <c r="D385" s="25" t="str">
        <f t="shared" si="5"/>
        <v>Số thửaSố thửa272</v>
      </c>
    </row>
    <row r="386" spans="1:4" x14ac:dyDescent="0.25">
      <c r="A386" s="25">
        <v>11</v>
      </c>
      <c r="B386" s="25" t="s">
        <v>366</v>
      </c>
      <c r="C386" s="26" t="s">
        <v>433</v>
      </c>
      <c r="D386" s="25" t="str">
        <f t="shared" si="5"/>
        <v>Số thửaSố thửa280</v>
      </c>
    </row>
    <row r="387" spans="1:4" x14ac:dyDescent="0.25">
      <c r="A387" s="25">
        <v>11</v>
      </c>
      <c r="B387" s="25" t="s">
        <v>436</v>
      </c>
      <c r="C387" s="26" t="s">
        <v>433</v>
      </c>
      <c r="D387" s="25" t="str">
        <f t="shared" ref="D387:D450" si="6">$B$1&amp;B387</f>
        <v>Số thửaSố thửa281</v>
      </c>
    </row>
    <row r="388" spans="1:4" x14ac:dyDescent="0.25">
      <c r="A388" s="25">
        <v>11</v>
      </c>
      <c r="B388" s="25" t="s">
        <v>403</v>
      </c>
      <c r="C388" s="26" t="s">
        <v>433</v>
      </c>
      <c r="D388" s="25" t="str">
        <f t="shared" si="6"/>
        <v>Số thửaSố thửa282</v>
      </c>
    </row>
    <row r="389" spans="1:4" x14ac:dyDescent="0.25">
      <c r="A389" s="25">
        <v>11</v>
      </c>
      <c r="B389" s="25" t="s">
        <v>133</v>
      </c>
      <c r="C389" s="26" t="s">
        <v>433</v>
      </c>
      <c r="D389" s="25" t="str">
        <f t="shared" si="6"/>
        <v>Số thửaSố thửa283</v>
      </c>
    </row>
    <row r="390" spans="1:4" x14ac:dyDescent="0.25">
      <c r="A390" s="25">
        <v>13</v>
      </c>
      <c r="B390" s="25" t="s">
        <v>437</v>
      </c>
      <c r="C390" s="26" t="s">
        <v>438</v>
      </c>
      <c r="D390" s="25" t="str">
        <f t="shared" si="6"/>
        <v>Số thửaSố thửa630</v>
      </c>
    </row>
    <row r="391" spans="1:4" x14ac:dyDescent="0.25">
      <c r="A391" s="25">
        <v>13</v>
      </c>
      <c r="B391" s="25" t="s">
        <v>439</v>
      </c>
      <c r="C391" s="26" t="s">
        <v>433</v>
      </c>
      <c r="D391" s="25" t="str">
        <f t="shared" si="6"/>
        <v>Số thửaSố thửa665</v>
      </c>
    </row>
    <row r="392" spans="1:4" x14ac:dyDescent="0.25">
      <c r="A392" s="25">
        <v>13</v>
      </c>
      <c r="B392" s="25" t="s">
        <v>440</v>
      </c>
      <c r="C392" s="26" t="s">
        <v>433</v>
      </c>
      <c r="D392" s="25" t="str">
        <f t="shared" si="6"/>
        <v>Số thửaSố thửa666</v>
      </c>
    </row>
    <row r="393" spans="1:4" x14ac:dyDescent="0.25">
      <c r="A393" s="25">
        <v>13</v>
      </c>
      <c r="B393" s="25" t="s">
        <v>441</v>
      </c>
      <c r="C393" s="26" t="s">
        <v>433</v>
      </c>
      <c r="D393" s="25" t="str">
        <f t="shared" si="6"/>
        <v>Số thửaSố thửa667</v>
      </c>
    </row>
    <row r="394" spans="1:4" x14ac:dyDescent="0.25">
      <c r="A394" s="25">
        <v>13</v>
      </c>
      <c r="B394" s="25" t="s">
        <v>442</v>
      </c>
      <c r="C394" s="26" t="s">
        <v>433</v>
      </c>
      <c r="D394" s="25" t="str">
        <f t="shared" si="6"/>
        <v>Số thửaSố thửa668</v>
      </c>
    </row>
    <row r="395" spans="1:4" x14ac:dyDescent="0.25">
      <c r="A395" s="25">
        <v>13</v>
      </c>
      <c r="B395" s="25" t="s">
        <v>443</v>
      </c>
      <c r="C395" s="26" t="s">
        <v>433</v>
      </c>
      <c r="D395" s="25" t="str">
        <f t="shared" si="6"/>
        <v>Số thửaSố thửa686</v>
      </c>
    </row>
    <row r="396" spans="1:4" x14ac:dyDescent="0.25">
      <c r="A396" s="25">
        <v>13</v>
      </c>
      <c r="B396" s="25" t="s">
        <v>444</v>
      </c>
      <c r="C396" s="26" t="s">
        <v>433</v>
      </c>
      <c r="D396" s="25" t="str">
        <f t="shared" si="6"/>
        <v>Số thửaSố thửa687</v>
      </c>
    </row>
    <row r="397" spans="1:4" x14ac:dyDescent="0.25">
      <c r="A397" s="25">
        <v>13</v>
      </c>
      <c r="B397" s="25" t="s">
        <v>445</v>
      </c>
      <c r="C397" s="26" t="s">
        <v>438</v>
      </c>
      <c r="D397" s="25" t="str">
        <f t="shared" si="6"/>
        <v>Số thửaSố thửa697</v>
      </c>
    </row>
    <row r="398" spans="1:4" x14ac:dyDescent="0.25">
      <c r="A398" s="25">
        <v>13</v>
      </c>
      <c r="B398" s="25" t="s">
        <v>446</v>
      </c>
      <c r="C398" s="26" t="s">
        <v>447</v>
      </c>
      <c r="D398" s="25" t="str">
        <f t="shared" si="6"/>
        <v>Số thửaSố thửa720</v>
      </c>
    </row>
    <row r="399" spans="1:4" x14ac:dyDescent="0.25">
      <c r="A399" s="25">
        <v>13</v>
      </c>
      <c r="B399" s="25" t="s">
        <v>448</v>
      </c>
      <c r="C399" s="26" t="s">
        <v>438</v>
      </c>
      <c r="D399" s="25" t="str">
        <f t="shared" si="6"/>
        <v>Số thửaSố thửa877</v>
      </c>
    </row>
    <row r="400" spans="1:4" x14ac:dyDescent="0.25">
      <c r="A400" s="25">
        <v>14</v>
      </c>
      <c r="B400" s="25" t="s">
        <v>127</v>
      </c>
      <c r="C400" s="26" t="s">
        <v>447</v>
      </c>
      <c r="D400" s="25" t="str">
        <f t="shared" si="6"/>
        <v>Số thửaSố thửa15</v>
      </c>
    </row>
    <row r="401" spans="1:4" x14ac:dyDescent="0.25">
      <c r="A401" s="25">
        <v>14</v>
      </c>
      <c r="B401" s="25" t="s">
        <v>270</v>
      </c>
      <c r="C401" s="26" t="s">
        <v>438</v>
      </c>
      <c r="D401" s="25" t="str">
        <f t="shared" si="6"/>
        <v>Số thửaSố thửa16</v>
      </c>
    </row>
    <row r="402" spans="1:4" x14ac:dyDescent="0.25">
      <c r="A402" s="25">
        <v>13</v>
      </c>
      <c r="B402" s="25" t="s">
        <v>449</v>
      </c>
      <c r="C402" s="26" t="s">
        <v>450</v>
      </c>
      <c r="D402" s="25" t="str">
        <f t="shared" si="6"/>
        <v>Số thửaSố thửa296</v>
      </c>
    </row>
    <row r="403" spans="1:4" x14ac:dyDescent="0.25">
      <c r="A403" s="25">
        <v>13</v>
      </c>
      <c r="B403" s="25" t="s">
        <v>451</v>
      </c>
      <c r="C403" s="26" t="s">
        <v>450</v>
      </c>
      <c r="D403" s="25" t="str">
        <f t="shared" si="6"/>
        <v>Số thửaSố thửa390</v>
      </c>
    </row>
    <row r="404" spans="1:4" x14ac:dyDescent="0.25">
      <c r="A404" s="25">
        <v>13</v>
      </c>
      <c r="B404" s="25" t="s">
        <v>452</v>
      </c>
      <c r="C404" s="26" t="s">
        <v>450</v>
      </c>
      <c r="D404" s="25" t="str">
        <f t="shared" si="6"/>
        <v>Số thửaSố thửa391</v>
      </c>
    </row>
    <row r="405" spans="1:4" x14ac:dyDescent="0.25">
      <c r="A405" s="25">
        <v>13</v>
      </c>
      <c r="B405" s="25" t="s">
        <v>453</v>
      </c>
      <c r="C405" s="26" t="s">
        <v>454</v>
      </c>
      <c r="D405" s="25" t="str">
        <f t="shared" si="6"/>
        <v>Số thửaSố thửa693</v>
      </c>
    </row>
    <row r="406" spans="1:4" x14ac:dyDescent="0.25">
      <c r="A406" s="25">
        <v>13</v>
      </c>
      <c r="B406" s="25" t="s">
        <v>455</v>
      </c>
      <c r="C406" s="26" t="s">
        <v>454</v>
      </c>
      <c r="D406" s="25" t="str">
        <f t="shared" si="6"/>
        <v>Số thửaSố thửa694</v>
      </c>
    </row>
    <row r="407" spans="1:4" x14ac:dyDescent="0.25">
      <c r="A407" s="25">
        <v>14</v>
      </c>
      <c r="B407" s="25" t="s">
        <v>456</v>
      </c>
      <c r="C407" s="26" t="s">
        <v>450</v>
      </c>
      <c r="D407" s="25" t="str">
        <f t="shared" si="6"/>
        <v>Số thửaSố thửa151</v>
      </c>
    </row>
    <row r="408" spans="1:4" x14ac:dyDescent="0.25">
      <c r="A408" s="25">
        <v>15</v>
      </c>
      <c r="B408" s="25" t="s">
        <v>457</v>
      </c>
      <c r="C408" s="26" t="s">
        <v>450</v>
      </c>
      <c r="D408" s="25" t="str">
        <f t="shared" si="6"/>
        <v>Số thửaSố thửa10</v>
      </c>
    </row>
    <row r="409" spans="1:4" x14ac:dyDescent="0.25">
      <c r="A409" s="25">
        <v>15</v>
      </c>
      <c r="B409" s="25" t="s">
        <v>279</v>
      </c>
      <c r="C409" s="26" t="s">
        <v>450</v>
      </c>
      <c r="D409" s="25" t="str">
        <f t="shared" si="6"/>
        <v>Số thửaSố thửa37</v>
      </c>
    </row>
    <row r="410" spans="1:4" x14ac:dyDescent="0.25">
      <c r="A410" s="25">
        <v>4</v>
      </c>
      <c r="B410" s="25" t="s">
        <v>458</v>
      </c>
      <c r="C410" s="26" t="s">
        <v>459</v>
      </c>
      <c r="D410" s="25" t="str">
        <f t="shared" si="6"/>
        <v>Số thửaSố thửa40</v>
      </c>
    </row>
    <row r="411" spans="1:4" x14ac:dyDescent="0.25">
      <c r="A411" s="25">
        <v>4</v>
      </c>
      <c r="B411" s="25" t="s">
        <v>257</v>
      </c>
      <c r="C411" s="26" t="s">
        <v>459</v>
      </c>
      <c r="D411" s="25" t="str">
        <f t="shared" si="6"/>
        <v>Số thửaSố thửa48</v>
      </c>
    </row>
    <row r="412" spans="1:4" x14ac:dyDescent="0.25">
      <c r="A412" s="25">
        <v>4</v>
      </c>
      <c r="B412" s="25" t="s">
        <v>460</v>
      </c>
      <c r="C412" s="26" t="s">
        <v>459</v>
      </c>
      <c r="D412" s="25" t="str">
        <f t="shared" si="6"/>
        <v>Số thửaSố thửa49</v>
      </c>
    </row>
    <row r="413" spans="1:4" x14ac:dyDescent="0.25">
      <c r="A413" s="25">
        <v>4</v>
      </c>
      <c r="B413" s="25" t="s">
        <v>198</v>
      </c>
      <c r="C413" s="26" t="s">
        <v>459</v>
      </c>
      <c r="D413" s="25" t="str">
        <f t="shared" si="6"/>
        <v>Số thửaSố thửa55</v>
      </c>
    </row>
    <row r="414" spans="1:4" x14ac:dyDescent="0.25">
      <c r="A414" s="25">
        <v>4</v>
      </c>
      <c r="B414" s="25" t="s">
        <v>461</v>
      </c>
      <c r="C414" s="26" t="s">
        <v>459</v>
      </c>
      <c r="D414" s="25" t="str">
        <f t="shared" si="6"/>
        <v>Số thửaSố thửa71</v>
      </c>
    </row>
    <row r="415" spans="1:4" x14ac:dyDescent="0.25">
      <c r="A415" s="25">
        <v>4</v>
      </c>
      <c r="B415" s="25" t="s">
        <v>68</v>
      </c>
      <c r="C415" s="26" t="s">
        <v>459</v>
      </c>
      <c r="D415" s="25" t="str">
        <f t="shared" si="6"/>
        <v>Số thửaSố thửa72</v>
      </c>
    </row>
    <row r="416" spans="1:4" x14ac:dyDescent="0.25">
      <c r="A416" s="25">
        <v>4</v>
      </c>
      <c r="B416" s="25" t="s">
        <v>462</v>
      </c>
      <c r="C416" s="26" t="s">
        <v>459</v>
      </c>
      <c r="D416" s="25" t="str">
        <f t="shared" si="6"/>
        <v>Số thửaSố thửa75</v>
      </c>
    </row>
    <row r="417" spans="1:4" x14ac:dyDescent="0.25">
      <c r="A417" s="25">
        <v>4</v>
      </c>
      <c r="B417" s="25" t="s">
        <v>463</v>
      </c>
      <c r="C417" s="26" t="s">
        <v>464</v>
      </c>
      <c r="D417" s="25" t="str">
        <f t="shared" si="6"/>
        <v>Số thửaSố thửa76</v>
      </c>
    </row>
    <row r="418" spans="1:4" x14ac:dyDescent="0.25">
      <c r="A418" s="25">
        <v>4</v>
      </c>
      <c r="B418" s="25" t="s">
        <v>69</v>
      </c>
      <c r="C418" s="26" t="s">
        <v>465</v>
      </c>
      <c r="D418" s="25" t="str">
        <f t="shared" si="6"/>
        <v>Số thửaSố thửa77</v>
      </c>
    </row>
    <row r="419" spans="1:4" x14ac:dyDescent="0.25">
      <c r="A419" s="25">
        <v>4</v>
      </c>
      <c r="B419" s="25" t="s">
        <v>466</v>
      </c>
      <c r="C419" s="26" t="s">
        <v>467</v>
      </c>
      <c r="D419" s="25" t="str">
        <f t="shared" si="6"/>
        <v>Số thửaSố thửa79</v>
      </c>
    </row>
    <row r="420" spans="1:4" x14ac:dyDescent="0.25">
      <c r="A420" s="25">
        <v>4</v>
      </c>
      <c r="B420" s="25" t="s">
        <v>468</v>
      </c>
      <c r="C420" s="26" t="s">
        <v>465</v>
      </c>
      <c r="D420" s="25" t="str">
        <f t="shared" si="6"/>
        <v>Số thửaSố thửa93</v>
      </c>
    </row>
    <row r="421" spans="1:4" x14ac:dyDescent="0.25">
      <c r="A421" s="25">
        <v>4</v>
      </c>
      <c r="B421" s="25" t="s">
        <v>469</v>
      </c>
      <c r="C421" s="26" t="s">
        <v>465</v>
      </c>
      <c r="D421" s="25" t="str">
        <f t="shared" si="6"/>
        <v>Số thửaSố thửa94</v>
      </c>
    </row>
    <row r="422" spans="1:4" x14ac:dyDescent="0.25">
      <c r="A422" s="25">
        <v>4</v>
      </c>
      <c r="B422" s="25" t="s">
        <v>470</v>
      </c>
      <c r="C422" s="26" t="s">
        <v>465</v>
      </c>
      <c r="D422" s="25" t="str">
        <f t="shared" si="6"/>
        <v>Số thửaSố thửa96</v>
      </c>
    </row>
    <row r="423" spans="1:4" x14ac:dyDescent="0.25">
      <c r="A423" s="25">
        <v>4</v>
      </c>
      <c r="B423" s="25" t="s">
        <v>348</v>
      </c>
      <c r="C423" s="26" t="s">
        <v>465</v>
      </c>
      <c r="D423" s="25" t="str">
        <f t="shared" si="6"/>
        <v>Số thửaSố thửa97</v>
      </c>
    </row>
    <row r="424" spans="1:4" x14ac:dyDescent="0.25">
      <c r="A424" s="25">
        <v>4</v>
      </c>
      <c r="B424" s="25" t="s">
        <v>471</v>
      </c>
      <c r="C424" s="26" t="s">
        <v>465</v>
      </c>
      <c r="D424" s="25" t="str">
        <f t="shared" si="6"/>
        <v>Số thửaSố thửa107</v>
      </c>
    </row>
    <row r="425" spans="1:4" x14ac:dyDescent="0.25">
      <c r="A425" s="25">
        <v>4</v>
      </c>
      <c r="B425" s="25" t="s">
        <v>472</v>
      </c>
      <c r="C425" s="26" t="s">
        <v>464</v>
      </c>
      <c r="D425" s="25" t="str">
        <f t="shared" si="6"/>
        <v>Số thửaSố thửa110</v>
      </c>
    </row>
    <row r="426" spans="1:4" x14ac:dyDescent="0.25">
      <c r="A426" s="25">
        <v>7</v>
      </c>
      <c r="B426" s="25" t="s">
        <v>473</v>
      </c>
      <c r="C426" s="26" t="s">
        <v>467</v>
      </c>
      <c r="D426" s="25" t="str">
        <f t="shared" si="6"/>
        <v>Số thửaSố thửa549</v>
      </c>
    </row>
    <row r="427" spans="1:4" x14ac:dyDescent="0.25">
      <c r="A427" s="25">
        <v>7</v>
      </c>
      <c r="B427" s="25" t="s">
        <v>474</v>
      </c>
      <c r="C427" s="26" t="s">
        <v>467</v>
      </c>
      <c r="D427" s="25" t="str">
        <f t="shared" si="6"/>
        <v>Số thửaSố thửa578</v>
      </c>
    </row>
    <row r="428" spans="1:4" x14ac:dyDescent="0.25">
      <c r="A428" s="25">
        <v>7</v>
      </c>
      <c r="B428" s="25" t="s">
        <v>443</v>
      </c>
      <c r="C428" s="26" t="s">
        <v>475</v>
      </c>
      <c r="D428" s="25" t="str">
        <f t="shared" si="6"/>
        <v>Số thửaSố thửa686</v>
      </c>
    </row>
    <row r="429" spans="1:4" x14ac:dyDescent="0.25">
      <c r="A429" s="25">
        <v>7</v>
      </c>
      <c r="B429" s="25" t="s">
        <v>443</v>
      </c>
      <c r="C429" s="26" t="s">
        <v>475</v>
      </c>
      <c r="D429" s="25" t="str">
        <f t="shared" si="6"/>
        <v>Số thửaSố thửa686</v>
      </c>
    </row>
    <row r="430" spans="1:4" x14ac:dyDescent="0.25">
      <c r="A430" s="25">
        <v>7</v>
      </c>
      <c r="B430" s="25" t="s">
        <v>476</v>
      </c>
      <c r="C430" s="26" t="s">
        <v>464</v>
      </c>
      <c r="D430" s="25" t="str">
        <f t="shared" si="6"/>
        <v>Số thửaSố thửa715</v>
      </c>
    </row>
    <row r="431" spans="1:4" x14ac:dyDescent="0.25">
      <c r="A431" s="25">
        <v>7</v>
      </c>
      <c r="B431" s="25" t="s">
        <v>429</v>
      </c>
      <c r="C431" s="26" t="s">
        <v>465</v>
      </c>
      <c r="D431" s="25" t="str">
        <f t="shared" si="6"/>
        <v>Số thửaSố thửa717</v>
      </c>
    </row>
    <row r="432" spans="1:4" x14ac:dyDescent="0.25">
      <c r="A432" s="25">
        <v>7</v>
      </c>
      <c r="B432" s="25" t="s">
        <v>477</v>
      </c>
      <c r="C432" s="26" t="s">
        <v>465</v>
      </c>
      <c r="D432" s="25" t="str">
        <f t="shared" si="6"/>
        <v>Số thửaSố thửa718</v>
      </c>
    </row>
    <row r="433" spans="1:4" x14ac:dyDescent="0.25">
      <c r="A433" s="25">
        <v>7</v>
      </c>
      <c r="B433" s="25" t="s">
        <v>478</v>
      </c>
      <c r="C433" s="26" t="s">
        <v>465</v>
      </c>
      <c r="D433" s="25" t="str">
        <f t="shared" si="6"/>
        <v>Số thửaSố thửa742</v>
      </c>
    </row>
    <row r="434" spans="1:4" x14ac:dyDescent="0.25">
      <c r="A434" s="25">
        <v>7</v>
      </c>
      <c r="B434" s="25" t="s">
        <v>479</v>
      </c>
      <c r="C434" s="26" t="s">
        <v>465</v>
      </c>
      <c r="D434" s="25" t="str">
        <f t="shared" si="6"/>
        <v>Số thửaSố thửa766</v>
      </c>
    </row>
    <row r="435" spans="1:4" x14ac:dyDescent="0.25">
      <c r="A435" s="25">
        <v>7</v>
      </c>
      <c r="B435" s="25" t="s">
        <v>480</v>
      </c>
      <c r="C435" s="26" t="s">
        <v>465</v>
      </c>
      <c r="D435" s="25" t="str">
        <f t="shared" si="6"/>
        <v>Số thửaSố thửa767</v>
      </c>
    </row>
    <row r="436" spans="1:4" x14ac:dyDescent="0.25">
      <c r="A436" s="25">
        <v>7</v>
      </c>
      <c r="B436" s="25" t="s">
        <v>481</v>
      </c>
      <c r="C436" s="26" t="s">
        <v>465</v>
      </c>
      <c r="D436" s="25" t="str">
        <f t="shared" si="6"/>
        <v>Số thửaSố thửa773</v>
      </c>
    </row>
    <row r="437" spans="1:4" x14ac:dyDescent="0.25">
      <c r="A437" s="25">
        <v>7</v>
      </c>
      <c r="B437" s="25" t="s">
        <v>482</v>
      </c>
      <c r="C437" s="26" t="s">
        <v>465</v>
      </c>
      <c r="D437" s="25" t="str">
        <f t="shared" si="6"/>
        <v>Số thửaSố thửa774</v>
      </c>
    </row>
    <row r="438" spans="1:4" x14ac:dyDescent="0.25">
      <c r="A438" s="25">
        <v>7</v>
      </c>
      <c r="B438" s="25" t="s">
        <v>483</v>
      </c>
      <c r="C438" s="26" t="s">
        <v>465</v>
      </c>
      <c r="D438" s="25" t="str">
        <f t="shared" si="6"/>
        <v>Số thửaSố thửa775</v>
      </c>
    </row>
    <row r="439" spans="1:4" x14ac:dyDescent="0.25">
      <c r="A439" s="25">
        <v>6</v>
      </c>
      <c r="B439" s="25" t="s">
        <v>203</v>
      </c>
      <c r="C439" s="26" t="s">
        <v>484</v>
      </c>
      <c r="D439" s="25" t="str">
        <f t="shared" si="6"/>
        <v>Số thửaSố thửa190</v>
      </c>
    </row>
    <row r="440" spans="1:4" x14ac:dyDescent="0.25">
      <c r="A440" s="25">
        <v>6</v>
      </c>
      <c r="B440" s="25" t="s">
        <v>485</v>
      </c>
      <c r="C440" s="26" t="s">
        <v>484</v>
      </c>
      <c r="D440" s="25" t="str">
        <f t="shared" si="6"/>
        <v>Số thửaSố thửa264</v>
      </c>
    </row>
    <row r="441" spans="1:4" x14ac:dyDescent="0.25">
      <c r="A441" s="25">
        <v>6</v>
      </c>
      <c r="B441" s="25" t="s">
        <v>486</v>
      </c>
      <c r="C441" s="26" t="s">
        <v>484</v>
      </c>
      <c r="D441" s="25" t="str">
        <f t="shared" si="6"/>
        <v>Số thửaSố thửa265</v>
      </c>
    </row>
    <row r="442" spans="1:4" x14ac:dyDescent="0.25">
      <c r="A442" s="25">
        <v>6</v>
      </c>
      <c r="B442" s="25" t="s">
        <v>211</v>
      </c>
      <c r="C442" s="26" t="s">
        <v>484</v>
      </c>
      <c r="D442" s="25" t="str">
        <f t="shared" si="6"/>
        <v>Số thửaSố thửa266</v>
      </c>
    </row>
    <row r="443" spans="1:4" x14ac:dyDescent="0.25">
      <c r="A443" s="25">
        <v>6</v>
      </c>
      <c r="B443" s="25" t="s">
        <v>359</v>
      </c>
      <c r="C443" s="26" t="s">
        <v>484</v>
      </c>
      <c r="D443" s="25" t="str">
        <f t="shared" si="6"/>
        <v>Số thửaSố thửa268</v>
      </c>
    </row>
    <row r="444" spans="1:4" x14ac:dyDescent="0.25">
      <c r="A444" s="25">
        <v>6</v>
      </c>
      <c r="B444" s="25" t="s">
        <v>360</v>
      </c>
      <c r="C444" s="26" t="s">
        <v>484</v>
      </c>
      <c r="D444" s="25" t="str">
        <f t="shared" si="6"/>
        <v>Số thửaSố thửa269</v>
      </c>
    </row>
    <row r="445" spans="1:4" x14ac:dyDescent="0.25">
      <c r="A445" s="25">
        <v>6</v>
      </c>
      <c r="B445" s="25" t="s">
        <v>144</v>
      </c>
      <c r="C445" s="26" t="s">
        <v>484</v>
      </c>
      <c r="D445" s="25" t="str">
        <f t="shared" si="6"/>
        <v>Số thửaSố thửa332</v>
      </c>
    </row>
    <row r="446" spans="1:4" x14ac:dyDescent="0.25">
      <c r="A446" s="25">
        <v>6</v>
      </c>
      <c r="B446" s="25" t="s">
        <v>487</v>
      </c>
      <c r="C446" s="26" t="s">
        <v>484</v>
      </c>
      <c r="D446" s="25" t="str">
        <f t="shared" si="6"/>
        <v>Số thửaSố thửa334</v>
      </c>
    </row>
    <row r="447" spans="1:4" x14ac:dyDescent="0.25">
      <c r="A447" s="25">
        <v>6</v>
      </c>
      <c r="B447" s="25" t="s">
        <v>369</v>
      </c>
      <c r="C447" s="26" t="s">
        <v>484</v>
      </c>
      <c r="D447" s="25" t="str">
        <f t="shared" si="6"/>
        <v>Số thửaSố thửa335</v>
      </c>
    </row>
    <row r="448" spans="1:4" x14ac:dyDescent="0.25">
      <c r="A448" s="25">
        <v>6</v>
      </c>
      <c r="B448" s="25" t="s">
        <v>216</v>
      </c>
      <c r="C448" s="26" t="s">
        <v>484</v>
      </c>
      <c r="D448" s="25" t="str">
        <f t="shared" si="6"/>
        <v>Số thửaSố thửa336</v>
      </c>
    </row>
    <row r="449" spans="1:4" x14ac:dyDescent="0.25">
      <c r="A449" s="25">
        <v>6</v>
      </c>
      <c r="B449" s="25" t="s">
        <v>114</v>
      </c>
      <c r="C449" s="26" t="s">
        <v>484</v>
      </c>
      <c r="D449" s="25" t="str">
        <f t="shared" si="6"/>
        <v>Số thửaSố thửa337</v>
      </c>
    </row>
    <row r="450" spans="1:4" x14ac:dyDescent="0.25">
      <c r="A450" s="25">
        <v>6</v>
      </c>
      <c r="B450" s="25" t="s">
        <v>488</v>
      </c>
      <c r="C450" s="26" t="s">
        <v>489</v>
      </c>
      <c r="D450" s="25" t="str">
        <f t="shared" si="6"/>
        <v>Số thửaSố thửa904</v>
      </c>
    </row>
    <row r="451" spans="1:4" x14ac:dyDescent="0.25">
      <c r="A451" s="25">
        <v>6</v>
      </c>
      <c r="B451" s="25" t="s">
        <v>488</v>
      </c>
      <c r="C451" s="26" t="s">
        <v>489</v>
      </c>
      <c r="D451" s="25" t="str">
        <f t="shared" ref="D451:D514" si="7">$B$1&amp;B451</f>
        <v>Số thửaSố thửa904</v>
      </c>
    </row>
    <row r="452" spans="1:4" x14ac:dyDescent="0.25">
      <c r="A452" s="25">
        <v>7</v>
      </c>
      <c r="B452" s="25" t="s">
        <v>395</v>
      </c>
      <c r="C452" s="26" t="s">
        <v>484</v>
      </c>
      <c r="D452" s="25" t="str">
        <f t="shared" si="7"/>
        <v>Số thửaSố thửa170</v>
      </c>
    </row>
    <row r="453" spans="1:4" x14ac:dyDescent="0.25">
      <c r="A453" s="25">
        <v>7</v>
      </c>
      <c r="B453" s="25" t="s">
        <v>490</v>
      </c>
      <c r="C453" s="26" t="s">
        <v>484</v>
      </c>
      <c r="D453" s="25" t="str">
        <f t="shared" si="7"/>
        <v>Số thửaSố thửa377</v>
      </c>
    </row>
    <row r="454" spans="1:4" x14ac:dyDescent="0.25">
      <c r="A454" s="25">
        <v>7</v>
      </c>
      <c r="B454" s="25" t="s">
        <v>491</v>
      </c>
      <c r="C454" s="26" t="s">
        <v>492</v>
      </c>
      <c r="D454" s="25" t="str">
        <f t="shared" si="7"/>
        <v>Số thửaSố thửa521</v>
      </c>
    </row>
    <row r="455" spans="1:4" x14ac:dyDescent="0.25">
      <c r="A455" s="25">
        <v>7</v>
      </c>
      <c r="B455" s="25" t="s">
        <v>493</v>
      </c>
      <c r="C455" s="26" t="s">
        <v>492</v>
      </c>
      <c r="D455" s="25" t="str">
        <f t="shared" si="7"/>
        <v>Số thửaSố thửa555</v>
      </c>
    </row>
    <row r="456" spans="1:4" x14ac:dyDescent="0.25">
      <c r="A456" s="25">
        <v>1</v>
      </c>
      <c r="B456" s="25" t="s">
        <v>494</v>
      </c>
      <c r="C456" s="26" t="s">
        <v>495</v>
      </c>
      <c r="D456" s="25" t="str">
        <f t="shared" si="7"/>
        <v>Số thửaSố thửa92</v>
      </c>
    </row>
    <row r="457" spans="1:4" x14ac:dyDescent="0.25">
      <c r="A457" s="25">
        <v>6</v>
      </c>
      <c r="B457" s="25" t="s">
        <v>236</v>
      </c>
      <c r="C457" s="26" t="s">
        <v>496</v>
      </c>
      <c r="D457" s="25" t="str">
        <f t="shared" si="7"/>
        <v>Số thửaSố thửa843</v>
      </c>
    </row>
    <row r="458" spans="1:4" x14ac:dyDescent="0.25">
      <c r="A458" s="25">
        <v>6</v>
      </c>
      <c r="B458" s="25" t="s">
        <v>236</v>
      </c>
      <c r="C458" s="26" t="s">
        <v>496</v>
      </c>
      <c r="D458" s="25" t="str">
        <f t="shared" si="7"/>
        <v>Số thửaSố thửa843</v>
      </c>
    </row>
    <row r="459" spans="1:4" x14ac:dyDescent="0.25">
      <c r="A459" s="25">
        <v>3</v>
      </c>
      <c r="B459" s="25" t="s">
        <v>497</v>
      </c>
      <c r="C459" s="26" t="s">
        <v>498</v>
      </c>
      <c r="D459" s="25" t="str">
        <f t="shared" si="7"/>
        <v>Số thửaSố thửa250</v>
      </c>
    </row>
    <row r="460" spans="1:4" x14ac:dyDescent="0.25">
      <c r="A460" s="25">
        <v>3</v>
      </c>
      <c r="B460" s="25" t="s">
        <v>282</v>
      </c>
      <c r="C460" s="26" t="s">
        <v>498</v>
      </c>
      <c r="D460" s="25" t="str">
        <f t="shared" si="7"/>
        <v>Số thửaSố thửa324</v>
      </c>
    </row>
    <row r="461" spans="1:4" x14ac:dyDescent="0.25">
      <c r="A461" s="25">
        <v>3</v>
      </c>
      <c r="B461" s="25" t="s">
        <v>283</v>
      </c>
      <c r="C461" s="26" t="s">
        <v>498</v>
      </c>
      <c r="D461" s="25" t="str">
        <f t="shared" si="7"/>
        <v>Số thửaSố thửa325</v>
      </c>
    </row>
    <row r="462" spans="1:4" x14ac:dyDescent="0.25">
      <c r="A462" s="25">
        <v>3</v>
      </c>
      <c r="B462" s="25" t="s">
        <v>499</v>
      </c>
      <c r="C462" s="26" t="s">
        <v>498</v>
      </c>
      <c r="D462" s="25" t="str">
        <f t="shared" si="7"/>
        <v>Số thửaSố thửa326</v>
      </c>
    </row>
    <row r="463" spans="1:4" x14ac:dyDescent="0.25">
      <c r="A463" s="25">
        <v>3</v>
      </c>
      <c r="B463" s="25" t="s">
        <v>500</v>
      </c>
      <c r="C463" s="26" t="s">
        <v>498</v>
      </c>
      <c r="D463" s="25" t="str">
        <f t="shared" si="7"/>
        <v>Số thửaSố thửa489</v>
      </c>
    </row>
    <row r="464" spans="1:4" x14ac:dyDescent="0.25">
      <c r="A464" s="25">
        <v>3</v>
      </c>
      <c r="B464" s="25" t="s">
        <v>501</v>
      </c>
      <c r="C464" s="26" t="s">
        <v>498</v>
      </c>
      <c r="D464" s="25" t="str">
        <f t="shared" si="7"/>
        <v>Số thửaSố thửa490</v>
      </c>
    </row>
    <row r="465" spans="1:4" x14ac:dyDescent="0.25">
      <c r="A465" s="25">
        <v>3</v>
      </c>
      <c r="B465" s="25" t="s">
        <v>502</v>
      </c>
      <c r="C465" s="26" t="s">
        <v>498</v>
      </c>
      <c r="D465" s="25" t="str">
        <f t="shared" si="7"/>
        <v>Số thửaSố thửa497</v>
      </c>
    </row>
    <row r="466" spans="1:4" x14ac:dyDescent="0.25">
      <c r="A466" s="25">
        <v>3</v>
      </c>
      <c r="B466" s="25" t="s">
        <v>503</v>
      </c>
      <c r="C466" s="26" t="s">
        <v>498</v>
      </c>
      <c r="D466" s="25" t="str">
        <f t="shared" si="7"/>
        <v>Số thửaSố thửa498</v>
      </c>
    </row>
    <row r="467" spans="1:4" x14ac:dyDescent="0.25">
      <c r="A467" s="25">
        <v>3</v>
      </c>
      <c r="B467" s="25" t="s">
        <v>504</v>
      </c>
      <c r="C467" s="26" t="s">
        <v>498</v>
      </c>
      <c r="D467" s="25" t="str">
        <f t="shared" si="7"/>
        <v>Số thửaSố thửa500</v>
      </c>
    </row>
    <row r="468" spans="1:4" x14ac:dyDescent="0.25">
      <c r="A468" s="25">
        <v>3</v>
      </c>
      <c r="B468" s="25" t="s">
        <v>505</v>
      </c>
      <c r="C468" s="26" t="s">
        <v>498</v>
      </c>
      <c r="D468" s="25" t="str">
        <f t="shared" si="7"/>
        <v>Số thửaSố thửa501</v>
      </c>
    </row>
    <row r="469" spans="1:4" x14ac:dyDescent="0.25">
      <c r="A469" s="25">
        <v>3</v>
      </c>
      <c r="B469" s="25" t="s">
        <v>506</v>
      </c>
      <c r="C469" s="26" t="s">
        <v>498</v>
      </c>
      <c r="D469" s="25" t="str">
        <f t="shared" si="7"/>
        <v>Số thửaSố thửa502</v>
      </c>
    </row>
    <row r="470" spans="1:4" x14ac:dyDescent="0.25">
      <c r="A470" s="25">
        <v>3</v>
      </c>
      <c r="B470" s="25" t="s">
        <v>507</v>
      </c>
      <c r="C470" s="26" t="s">
        <v>498</v>
      </c>
      <c r="D470" s="25" t="str">
        <f t="shared" si="7"/>
        <v>Số thửaSố thửa574</v>
      </c>
    </row>
    <row r="471" spans="1:4" x14ac:dyDescent="0.25">
      <c r="A471" s="25">
        <v>3</v>
      </c>
      <c r="B471" s="25" t="s">
        <v>508</v>
      </c>
      <c r="C471" s="26" t="s">
        <v>498</v>
      </c>
      <c r="D471" s="25" t="str">
        <f t="shared" si="7"/>
        <v>Số thửaSố thửa575</v>
      </c>
    </row>
    <row r="472" spans="1:4" x14ac:dyDescent="0.25">
      <c r="A472" s="25">
        <v>3</v>
      </c>
      <c r="B472" s="25" t="s">
        <v>509</v>
      </c>
      <c r="C472" s="26" t="s">
        <v>498</v>
      </c>
      <c r="D472" s="25" t="str">
        <f t="shared" si="7"/>
        <v>Số thửaSố thửa577</v>
      </c>
    </row>
    <row r="473" spans="1:4" x14ac:dyDescent="0.25">
      <c r="A473" s="25">
        <v>4</v>
      </c>
      <c r="B473" s="25" t="s">
        <v>383</v>
      </c>
      <c r="C473" s="26" t="s">
        <v>498</v>
      </c>
      <c r="D473" s="25" t="str">
        <f t="shared" si="7"/>
        <v>Số thửaSố thửa148</v>
      </c>
    </row>
    <row r="474" spans="1:4" x14ac:dyDescent="0.25">
      <c r="A474" s="25">
        <v>4</v>
      </c>
      <c r="B474" s="25" t="s">
        <v>510</v>
      </c>
      <c r="C474" s="26" t="s">
        <v>498</v>
      </c>
      <c r="D474" s="25" t="str">
        <f t="shared" si="7"/>
        <v>Số thửaSố thửa149</v>
      </c>
    </row>
    <row r="475" spans="1:4" x14ac:dyDescent="0.25">
      <c r="A475" s="25">
        <v>4</v>
      </c>
      <c r="B475" s="25" t="s">
        <v>511</v>
      </c>
      <c r="C475" s="26" t="s">
        <v>512</v>
      </c>
      <c r="D475" s="25" t="str">
        <f t="shared" si="7"/>
        <v>Số thửaSố thửa150</v>
      </c>
    </row>
    <row r="476" spans="1:4" x14ac:dyDescent="0.25">
      <c r="A476" s="25">
        <v>4</v>
      </c>
      <c r="B476" s="25" t="s">
        <v>74</v>
      </c>
      <c r="C476" s="26" t="s">
        <v>512</v>
      </c>
      <c r="D476" s="25" t="str">
        <f t="shared" si="7"/>
        <v>Số thửaSố thửa183</v>
      </c>
    </row>
    <row r="477" spans="1:4" x14ac:dyDescent="0.25">
      <c r="A477" s="25">
        <v>4</v>
      </c>
      <c r="B477" s="25" t="s">
        <v>513</v>
      </c>
      <c r="C477" s="26" t="s">
        <v>514</v>
      </c>
      <c r="D477" s="25" t="str">
        <f t="shared" si="7"/>
        <v>Số thửaSố thửa203</v>
      </c>
    </row>
    <row r="478" spans="1:4" x14ac:dyDescent="0.25">
      <c r="A478" s="25">
        <v>4</v>
      </c>
      <c r="B478" s="25" t="s">
        <v>515</v>
      </c>
      <c r="C478" s="26" t="s">
        <v>514</v>
      </c>
      <c r="D478" s="25" t="str">
        <f t="shared" si="7"/>
        <v>Số thửaSố thửa293</v>
      </c>
    </row>
    <row r="479" spans="1:4" x14ac:dyDescent="0.25">
      <c r="A479" s="25">
        <v>7</v>
      </c>
      <c r="B479" s="25" t="s">
        <v>65</v>
      </c>
      <c r="C479" s="26" t="s">
        <v>512</v>
      </c>
      <c r="D479" s="25" t="str">
        <f t="shared" si="7"/>
        <v>Số thửaSố thửa61</v>
      </c>
    </row>
    <row r="480" spans="1:4" x14ac:dyDescent="0.25">
      <c r="A480" s="25">
        <v>7</v>
      </c>
      <c r="B480" s="25" t="s">
        <v>462</v>
      </c>
      <c r="C480" s="26" t="s">
        <v>512</v>
      </c>
      <c r="D480" s="25" t="str">
        <f t="shared" si="7"/>
        <v>Số thửaSố thửa75</v>
      </c>
    </row>
    <row r="481" spans="1:4" x14ac:dyDescent="0.25">
      <c r="A481" s="25">
        <v>7</v>
      </c>
      <c r="B481" s="25" t="s">
        <v>516</v>
      </c>
      <c r="C481" s="26" t="s">
        <v>514</v>
      </c>
      <c r="D481" s="25" t="str">
        <f t="shared" si="7"/>
        <v>Số thửaSố thửa492</v>
      </c>
    </row>
    <row r="482" spans="1:4" x14ac:dyDescent="0.25">
      <c r="A482" s="25">
        <v>7</v>
      </c>
      <c r="B482" s="25" t="s">
        <v>517</v>
      </c>
      <c r="C482" s="26" t="s">
        <v>514</v>
      </c>
      <c r="D482" s="25" t="str">
        <f t="shared" si="7"/>
        <v>Số thửaSố thửa571</v>
      </c>
    </row>
    <row r="483" spans="1:4" x14ac:dyDescent="0.25">
      <c r="A483" s="25">
        <v>7</v>
      </c>
      <c r="B483" s="25" t="s">
        <v>518</v>
      </c>
      <c r="C483" s="26" t="s">
        <v>514</v>
      </c>
      <c r="D483" s="25" t="str">
        <f t="shared" si="7"/>
        <v>Số thửaSố thửa576</v>
      </c>
    </row>
    <row r="484" spans="1:4" x14ac:dyDescent="0.25">
      <c r="A484" s="25">
        <v>7</v>
      </c>
      <c r="B484" s="25" t="s">
        <v>519</v>
      </c>
      <c r="C484" s="26" t="s">
        <v>514</v>
      </c>
      <c r="D484" s="25" t="str">
        <f t="shared" si="7"/>
        <v>Số thửaSố thửa688</v>
      </c>
    </row>
    <row r="485" spans="1:4" x14ac:dyDescent="0.25">
      <c r="A485" s="25">
        <v>7</v>
      </c>
      <c r="B485" s="25" t="s">
        <v>520</v>
      </c>
      <c r="C485" s="26" t="s">
        <v>521</v>
      </c>
      <c r="D485" s="25" t="str">
        <f t="shared" si="7"/>
        <v>Số thửaSố thửa691</v>
      </c>
    </row>
    <row r="486" spans="1:4" x14ac:dyDescent="0.25">
      <c r="A486" s="25">
        <v>7</v>
      </c>
      <c r="B486" s="25" t="s">
        <v>520</v>
      </c>
      <c r="C486" s="26" t="s">
        <v>521</v>
      </c>
      <c r="D486" s="25" t="str">
        <f t="shared" si="7"/>
        <v>Số thửaSố thửa691</v>
      </c>
    </row>
    <row r="487" spans="1:4" x14ac:dyDescent="0.25">
      <c r="A487" s="25">
        <v>1</v>
      </c>
      <c r="B487" s="25" t="s">
        <v>522</v>
      </c>
      <c r="C487" s="26" t="s">
        <v>523</v>
      </c>
      <c r="D487" s="25" t="str">
        <f t="shared" si="7"/>
        <v>Số thửaSố thửa31</v>
      </c>
    </row>
    <row r="488" spans="1:4" x14ac:dyDescent="0.25">
      <c r="A488" s="25">
        <v>7</v>
      </c>
      <c r="B488" s="25" t="s">
        <v>524</v>
      </c>
      <c r="C488" s="26" t="s">
        <v>525</v>
      </c>
      <c r="D488" s="25" t="str">
        <f t="shared" si="7"/>
        <v>Số thửaSố thửa351</v>
      </c>
    </row>
    <row r="489" spans="1:4" x14ac:dyDescent="0.25">
      <c r="A489" s="25">
        <v>7</v>
      </c>
      <c r="B489" s="25" t="s">
        <v>526</v>
      </c>
      <c r="C489" s="26" t="s">
        <v>527</v>
      </c>
      <c r="D489" s="25" t="str">
        <f t="shared" si="7"/>
        <v>Số thửaSố thửa380</v>
      </c>
    </row>
    <row r="490" spans="1:4" x14ac:dyDescent="0.25">
      <c r="A490" s="25">
        <v>7</v>
      </c>
      <c r="B490" s="25" t="s">
        <v>528</v>
      </c>
      <c r="C490" s="26" t="s">
        <v>525</v>
      </c>
      <c r="D490" s="25" t="str">
        <f t="shared" si="7"/>
        <v>Số thửaSố thửa381</v>
      </c>
    </row>
    <row r="491" spans="1:4" x14ac:dyDescent="0.25">
      <c r="A491" s="25">
        <v>7</v>
      </c>
      <c r="B491" s="25" t="s">
        <v>529</v>
      </c>
      <c r="C491" s="26" t="s">
        <v>525</v>
      </c>
      <c r="D491" s="25" t="str">
        <f t="shared" si="7"/>
        <v>Số thửaSố thửa382</v>
      </c>
    </row>
    <row r="492" spans="1:4" x14ac:dyDescent="0.25">
      <c r="A492" s="25">
        <v>7</v>
      </c>
      <c r="B492" s="25" t="s">
        <v>370</v>
      </c>
      <c r="C492" s="26" t="s">
        <v>525</v>
      </c>
      <c r="D492" s="25" t="str">
        <f t="shared" si="7"/>
        <v>Số thửaSố thửa392</v>
      </c>
    </row>
    <row r="493" spans="1:4" x14ac:dyDescent="0.25">
      <c r="A493" s="25">
        <v>7</v>
      </c>
      <c r="B493" s="25" t="s">
        <v>530</v>
      </c>
      <c r="C493" s="26" t="s">
        <v>525</v>
      </c>
      <c r="D493" s="25" t="str">
        <f t="shared" si="7"/>
        <v>Số thửaSố thửa393</v>
      </c>
    </row>
    <row r="494" spans="1:4" x14ac:dyDescent="0.25">
      <c r="A494" s="25">
        <v>7</v>
      </c>
      <c r="B494" s="25" t="s">
        <v>531</v>
      </c>
      <c r="C494" s="26" t="s">
        <v>525</v>
      </c>
      <c r="D494" s="25" t="str">
        <f t="shared" si="7"/>
        <v>Số thửaSố thửa429</v>
      </c>
    </row>
    <row r="495" spans="1:4" x14ac:dyDescent="0.25">
      <c r="A495" s="25">
        <v>7</v>
      </c>
      <c r="B495" s="25" t="s">
        <v>532</v>
      </c>
      <c r="C495" s="26" t="s">
        <v>525</v>
      </c>
      <c r="D495" s="25" t="str">
        <f t="shared" si="7"/>
        <v>Số thửaSố thửa430</v>
      </c>
    </row>
    <row r="496" spans="1:4" x14ac:dyDescent="0.25">
      <c r="A496" s="25">
        <v>7</v>
      </c>
      <c r="B496" s="25" t="s">
        <v>533</v>
      </c>
      <c r="C496" s="26" t="s">
        <v>525</v>
      </c>
      <c r="D496" s="25" t="str">
        <f t="shared" si="7"/>
        <v>Số thửaSố thửa431</v>
      </c>
    </row>
    <row r="497" spans="1:4" x14ac:dyDescent="0.25">
      <c r="A497" s="25">
        <v>7</v>
      </c>
      <c r="B497" s="25" t="s">
        <v>534</v>
      </c>
      <c r="C497" s="26" t="s">
        <v>525</v>
      </c>
      <c r="D497" s="25" t="str">
        <f t="shared" si="7"/>
        <v>Số thửaSố thửa432</v>
      </c>
    </row>
    <row r="498" spans="1:4" x14ac:dyDescent="0.25">
      <c r="A498" s="25">
        <v>7</v>
      </c>
      <c r="B498" s="25" t="s">
        <v>535</v>
      </c>
      <c r="C498" s="26" t="s">
        <v>525</v>
      </c>
      <c r="D498" s="25" t="str">
        <f t="shared" si="7"/>
        <v>Số thửaSố thửa442</v>
      </c>
    </row>
    <row r="499" spans="1:4" x14ac:dyDescent="0.25">
      <c r="A499" s="25">
        <v>7</v>
      </c>
      <c r="B499" s="25" t="s">
        <v>536</v>
      </c>
      <c r="C499" s="26" t="s">
        <v>525</v>
      </c>
      <c r="D499" s="25" t="str">
        <f t="shared" si="7"/>
        <v>Số thửaSố thửa443</v>
      </c>
    </row>
    <row r="500" spans="1:4" x14ac:dyDescent="0.25">
      <c r="A500" s="25">
        <v>7</v>
      </c>
      <c r="B500" s="25" t="s">
        <v>537</v>
      </c>
      <c r="C500" s="26" t="s">
        <v>525</v>
      </c>
      <c r="D500" s="25" t="str">
        <f t="shared" si="7"/>
        <v>Số thửaSố thửa472</v>
      </c>
    </row>
    <row r="501" spans="1:4" x14ac:dyDescent="0.25">
      <c r="A501" s="25">
        <v>7</v>
      </c>
      <c r="B501" s="25" t="s">
        <v>538</v>
      </c>
      <c r="C501" s="26" t="s">
        <v>525</v>
      </c>
      <c r="D501" s="25" t="str">
        <f t="shared" si="7"/>
        <v>Số thửaSố thửa475</v>
      </c>
    </row>
    <row r="502" spans="1:4" x14ac:dyDescent="0.25">
      <c r="A502" s="25">
        <v>7</v>
      </c>
      <c r="B502" s="25" t="s">
        <v>501</v>
      </c>
      <c r="C502" s="26" t="s">
        <v>525</v>
      </c>
      <c r="D502" s="25" t="str">
        <f t="shared" si="7"/>
        <v>Số thửaSố thửa490</v>
      </c>
    </row>
    <row r="503" spans="1:4" x14ac:dyDescent="0.25">
      <c r="A503" s="25">
        <v>7</v>
      </c>
      <c r="B503" s="25" t="s">
        <v>539</v>
      </c>
      <c r="C503" s="26" t="s">
        <v>540</v>
      </c>
      <c r="D503" s="25" t="str">
        <f t="shared" si="7"/>
        <v>Số thửaSố thửa692</v>
      </c>
    </row>
    <row r="504" spans="1:4" x14ac:dyDescent="0.25">
      <c r="A504" s="25">
        <v>7</v>
      </c>
      <c r="B504" s="25" t="s">
        <v>539</v>
      </c>
      <c r="C504" s="26" t="s">
        <v>540</v>
      </c>
      <c r="D504" s="25" t="str">
        <f t="shared" si="7"/>
        <v>Số thửaSố thửa692</v>
      </c>
    </row>
    <row r="505" spans="1:4" x14ac:dyDescent="0.25">
      <c r="A505" s="25">
        <v>7</v>
      </c>
      <c r="B505" s="25" t="s">
        <v>455</v>
      </c>
      <c r="C505" s="26" t="s">
        <v>527</v>
      </c>
      <c r="D505" s="25" t="str">
        <f t="shared" si="7"/>
        <v>Số thửaSố thửa694</v>
      </c>
    </row>
    <row r="506" spans="1:4" x14ac:dyDescent="0.25">
      <c r="A506" s="25">
        <v>7</v>
      </c>
      <c r="B506" s="25" t="s">
        <v>541</v>
      </c>
      <c r="C506" s="26" t="s">
        <v>525</v>
      </c>
      <c r="D506" s="25" t="str">
        <f t="shared" si="7"/>
        <v>Số thửaSố thửa734</v>
      </c>
    </row>
    <row r="507" spans="1:4" x14ac:dyDescent="0.25">
      <c r="A507" s="25">
        <v>7</v>
      </c>
      <c r="B507" s="25" t="s">
        <v>307</v>
      </c>
      <c r="C507" s="26" t="s">
        <v>525</v>
      </c>
      <c r="D507" s="25" t="str">
        <f t="shared" si="7"/>
        <v>Số thửaSố thửa735</v>
      </c>
    </row>
    <row r="508" spans="1:4" x14ac:dyDescent="0.25">
      <c r="A508" s="25">
        <v>7</v>
      </c>
      <c r="B508" s="25" t="s">
        <v>542</v>
      </c>
      <c r="C508" s="26" t="s">
        <v>543</v>
      </c>
      <c r="D508" s="25" t="str">
        <f t="shared" si="7"/>
        <v>Số thửaSố thửa736</v>
      </c>
    </row>
    <row r="509" spans="1:4" x14ac:dyDescent="0.25">
      <c r="A509" s="25">
        <v>7</v>
      </c>
      <c r="B509" s="25" t="s">
        <v>309</v>
      </c>
      <c r="C509" s="26" t="s">
        <v>543</v>
      </c>
      <c r="D509" s="25" t="str">
        <f t="shared" si="7"/>
        <v>Số thửaSố thửa743</v>
      </c>
    </row>
    <row r="510" spans="1:4" x14ac:dyDescent="0.25">
      <c r="A510" s="25">
        <v>7</v>
      </c>
      <c r="B510" s="25" t="s">
        <v>544</v>
      </c>
      <c r="C510" s="26" t="s">
        <v>543</v>
      </c>
      <c r="D510" s="25" t="str">
        <f t="shared" si="7"/>
        <v>Số thửaSố thửa744</v>
      </c>
    </row>
    <row r="511" spans="1:4" x14ac:dyDescent="0.25">
      <c r="A511" s="25">
        <v>7</v>
      </c>
      <c r="B511" s="25" t="s">
        <v>311</v>
      </c>
      <c r="C511" s="26" t="s">
        <v>543</v>
      </c>
      <c r="D511" s="25" t="str">
        <f t="shared" si="7"/>
        <v>Số thửaSố thửa745</v>
      </c>
    </row>
    <row r="512" spans="1:4" x14ac:dyDescent="0.25">
      <c r="A512" s="25">
        <v>7</v>
      </c>
      <c r="B512" s="25" t="s">
        <v>545</v>
      </c>
      <c r="C512" s="26" t="s">
        <v>543</v>
      </c>
      <c r="D512" s="25" t="str">
        <f t="shared" si="7"/>
        <v>Số thửaSố thửa764</v>
      </c>
    </row>
    <row r="513" spans="1:4" x14ac:dyDescent="0.25">
      <c r="A513" s="25">
        <v>7</v>
      </c>
      <c r="B513" s="25" t="s">
        <v>546</v>
      </c>
      <c r="C513" s="26" t="s">
        <v>543</v>
      </c>
      <c r="D513" s="25" t="str">
        <f t="shared" si="7"/>
        <v>Số thửaSố thửa776</v>
      </c>
    </row>
    <row r="514" spans="1:4" x14ac:dyDescent="0.25">
      <c r="A514" s="25">
        <v>1</v>
      </c>
      <c r="B514" s="25" t="s">
        <v>375</v>
      </c>
      <c r="C514" s="26" t="s">
        <v>547</v>
      </c>
      <c r="D514" s="25" t="str">
        <f t="shared" si="7"/>
        <v>Số thửaSố thửa123</v>
      </c>
    </row>
    <row r="515" spans="1:4" x14ac:dyDescent="0.25">
      <c r="A515" s="25">
        <v>4</v>
      </c>
      <c r="B515" s="25" t="s">
        <v>381</v>
      </c>
      <c r="C515" s="26" t="s">
        <v>548</v>
      </c>
      <c r="D515" s="25" t="str">
        <f t="shared" ref="D515:D578" si="8">$B$1&amp;B515</f>
        <v>Số thửaSố thửa145</v>
      </c>
    </row>
    <row r="516" spans="1:4" x14ac:dyDescent="0.25">
      <c r="A516" s="25">
        <v>4</v>
      </c>
      <c r="B516" s="25" t="s">
        <v>549</v>
      </c>
      <c r="C516" s="26" t="s">
        <v>548</v>
      </c>
      <c r="D516" s="25" t="str">
        <f t="shared" si="8"/>
        <v>Số thửaSố thửa187</v>
      </c>
    </row>
    <row r="517" spans="1:4" x14ac:dyDescent="0.25">
      <c r="A517" s="25">
        <v>7</v>
      </c>
      <c r="B517" s="25" t="s">
        <v>252</v>
      </c>
      <c r="C517" s="26" t="s">
        <v>550</v>
      </c>
      <c r="D517" s="25" t="str">
        <f t="shared" si="8"/>
        <v>Số thửaSố thửa359</v>
      </c>
    </row>
    <row r="518" spans="1:4" x14ac:dyDescent="0.25">
      <c r="A518" s="25">
        <v>7</v>
      </c>
      <c r="B518" s="25" t="s">
        <v>253</v>
      </c>
      <c r="C518" s="26" t="s">
        <v>550</v>
      </c>
      <c r="D518" s="25" t="str">
        <f t="shared" si="8"/>
        <v>Số thửaSố thửa360</v>
      </c>
    </row>
    <row r="519" spans="1:4" x14ac:dyDescent="0.25">
      <c r="A519" s="25">
        <v>7</v>
      </c>
      <c r="B519" s="25" t="s">
        <v>551</v>
      </c>
      <c r="C519" s="26" t="s">
        <v>550</v>
      </c>
      <c r="D519" s="25" t="str">
        <f t="shared" si="8"/>
        <v>Số thửaSố thửa361</v>
      </c>
    </row>
    <row r="520" spans="1:4" x14ac:dyDescent="0.25">
      <c r="A520" s="25">
        <v>7</v>
      </c>
      <c r="B520" s="25" t="s">
        <v>552</v>
      </c>
      <c r="C520" s="26" t="s">
        <v>550</v>
      </c>
      <c r="D520" s="25" t="str">
        <f t="shared" si="8"/>
        <v>Số thửaSố thửa369</v>
      </c>
    </row>
    <row r="521" spans="1:4" x14ac:dyDescent="0.25">
      <c r="A521" s="25">
        <v>7</v>
      </c>
      <c r="B521" s="25" t="s">
        <v>181</v>
      </c>
      <c r="C521" s="26" t="s">
        <v>550</v>
      </c>
      <c r="D521" s="25" t="str">
        <f t="shared" si="8"/>
        <v>Số thửaSố thửa370</v>
      </c>
    </row>
    <row r="522" spans="1:4" x14ac:dyDescent="0.25">
      <c r="A522" s="25">
        <v>7</v>
      </c>
      <c r="B522" s="25" t="s">
        <v>553</v>
      </c>
      <c r="C522" s="26" t="s">
        <v>550</v>
      </c>
      <c r="D522" s="25" t="str">
        <f t="shared" si="8"/>
        <v>Số thửaSố thửa402</v>
      </c>
    </row>
    <row r="523" spans="1:4" x14ac:dyDescent="0.25">
      <c r="A523" s="25">
        <v>7</v>
      </c>
      <c r="B523" s="25" t="s">
        <v>554</v>
      </c>
      <c r="C523" s="26" t="s">
        <v>550</v>
      </c>
      <c r="D523" s="25" t="str">
        <f t="shared" si="8"/>
        <v>Số thửaSố thửa403</v>
      </c>
    </row>
    <row r="524" spans="1:4" x14ac:dyDescent="0.25">
      <c r="A524" s="25">
        <v>7</v>
      </c>
      <c r="B524" s="25" t="s">
        <v>555</v>
      </c>
      <c r="C524" s="26" t="s">
        <v>550</v>
      </c>
      <c r="D524" s="25" t="str">
        <f t="shared" si="8"/>
        <v>Số thửaSố thửa405</v>
      </c>
    </row>
    <row r="525" spans="1:4" x14ac:dyDescent="0.25">
      <c r="A525" s="25">
        <v>7</v>
      </c>
      <c r="B525" s="25" t="s">
        <v>556</v>
      </c>
      <c r="C525" s="26" t="s">
        <v>548</v>
      </c>
      <c r="D525" s="25" t="str">
        <f t="shared" si="8"/>
        <v>Số thửaSố thửa426</v>
      </c>
    </row>
    <row r="526" spans="1:4" x14ac:dyDescent="0.25">
      <c r="A526" s="25">
        <v>1</v>
      </c>
      <c r="B526" s="25" t="s">
        <v>557</v>
      </c>
      <c r="C526" s="26" t="s">
        <v>558</v>
      </c>
      <c r="D526" s="25" t="str">
        <f t="shared" si="8"/>
        <v>Số thửaSố thửa87</v>
      </c>
    </row>
    <row r="527" spans="1:4" x14ac:dyDescent="0.25">
      <c r="A527" s="25">
        <v>1</v>
      </c>
      <c r="B527" s="25" t="s">
        <v>380</v>
      </c>
      <c r="C527" s="26" t="s">
        <v>559</v>
      </c>
      <c r="D527" s="25" t="str">
        <f t="shared" si="8"/>
        <v>Số thửaSố thửa130</v>
      </c>
    </row>
    <row r="528" spans="1:4" x14ac:dyDescent="0.25">
      <c r="A528" s="25">
        <v>13</v>
      </c>
      <c r="B528" s="25" t="s">
        <v>560</v>
      </c>
      <c r="C528" s="26" t="s">
        <v>561</v>
      </c>
      <c r="D528" s="25" t="str">
        <f t="shared" si="8"/>
        <v>Số thửaSố thửa819</v>
      </c>
    </row>
    <row r="529" spans="1:4" x14ac:dyDescent="0.25">
      <c r="A529" s="25">
        <v>13</v>
      </c>
      <c r="B529" s="25" t="s">
        <v>562</v>
      </c>
      <c r="C529" s="26" t="s">
        <v>561</v>
      </c>
      <c r="D529" s="25" t="str">
        <f t="shared" si="8"/>
        <v>Số thửaSố thửa872</v>
      </c>
    </row>
    <row r="530" spans="1:4" x14ac:dyDescent="0.25">
      <c r="A530" s="25">
        <v>13</v>
      </c>
      <c r="B530" s="25" t="s">
        <v>563</v>
      </c>
      <c r="C530" s="26" t="s">
        <v>561</v>
      </c>
      <c r="D530" s="25" t="str">
        <f t="shared" si="8"/>
        <v>Số thửaSố thửa873</v>
      </c>
    </row>
    <row r="531" spans="1:4" x14ac:dyDescent="0.25">
      <c r="A531" s="25">
        <v>14</v>
      </c>
      <c r="B531" s="25" t="s">
        <v>110</v>
      </c>
      <c r="C531" s="26" t="s">
        <v>564</v>
      </c>
      <c r="D531" s="25" t="str">
        <f t="shared" si="8"/>
        <v>Số thửaSố thửa1</v>
      </c>
    </row>
    <row r="532" spans="1:4" x14ac:dyDescent="0.25">
      <c r="A532" s="25">
        <v>14</v>
      </c>
      <c r="B532" s="25" t="s">
        <v>255</v>
      </c>
      <c r="C532" s="26" t="s">
        <v>564</v>
      </c>
      <c r="D532" s="25" t="str">
        <f t="shared" si="8"/>
        <v>Số thửaSố thửa28</v>
      </c>
    </row>
    <row r="533" spans="1:4" x14ac:dyDescent="0.25">
      <c r="A533" s="25">
        <v>14</v>
      </c>
      <c r="B533" s="25" t="s">
        <v>62</v>
      </c>
      <c r="C533" s="26" t="s">
        <v>564</v>
      </c>
      <c r="D533" s="25" t="str">
        <f t="shared" si="8"/>
        <v>Số thửaSố thửa29</v>
      </c>
    </row>
    <row r="534" spans="1:4" x14ac:dyDescent="0.25">
      <c r="A534" s="25">
        <v>14</v>
      </c>
      <c r="B534" s="25" t="s">
        <v>565</v>
      </c>
      <c r="C534" s="26" t="s">
        <v>564</v>
      </c>
      <c r="D534" s="25" t="str">
        <f t="shared" si="8"/>
        <v>Số thửaSố thửa30</v>
      </c>
    </row>
    <row r="535" spans="1:4" x14ac:dyDescent="0.25">
      <c r="A535" s="25">
        <v>14</v>
      </c>
      <c r="B535" s="25" t="s">
        <v>241</v>
      </c>
      <c r="C535" s="26" t="s">
        <v>564</v>
      </c>
      <c r="D535" s="25" t="str">
        <f t="shared" si="8"/>
        <v>Số thửaSố thửa34</v>
      </c>
    </row>
    <row r="536" spans="1:4" x14ac:dyDescent="0.25">
      <c r="A536" s="25">
        <v>14</v>
      </c>
      <c r="B536" s="25" t="s">
        <v>242</v>
      </c>
      <c r="C536" s="26" t="s">
        <v>564</v>
      </c>
      <c r="D536" s="25" t="str">
        <f t="shared" si="8"/>
        <v>Số thửaSố thửa35</v>
      </c>
    </row>
    <row r="537" spans="1:4" x14ac:dyDescent="0.25">
      <c r="A537" s="25">
        <v>14</v>
      </c>
      <c r="B537" s="25" t="s">
        <v>256</v>
      </c>
      <c r="C537" s="26" t="s">
        <v>564</v>
      </c>
      <c r="D537" s="25" t="str">
        <f t="shared" si="8"/>
        <v>Số thửaSố thửa47</v>
      </c>
    </row>
    <row r="538" spans="1:4" x14ac:dyDescent="0.25">
      <c r="A538" s="25">
        <v>14</v>
      </c>
      <c r="B538" s="25" t="s">
        <v>94</v>
      </c>
      <c r="C538" s="26" t="s">
        <v>561</v>
      </c>
      <c r="D538" s="25" t="str">
        <f t="shared" si="8"/>
        <v>Số thửaSố thửa240</v>
      </c>
    </row>
    <row r="539" spans="1:4" x14ac:dyDescent="0.25">
      <c r="A539" s="25">
        <v>9</v>
      </c>
      <c r="B539" s="25" t="s">
        <v>395</v>
      </c>
      <c r="C539" s="26" t="s">
        <v>566</v>
      </c>
      <c r="D539" s="25" t="str">
        <f t="shared" si="8"/>
        <v>Số thửaSố thửa170</v>
      </c>
    </row>
    <row r="540" spans="1:4" x14ac:dyDescent="0.25">
      <c r="A540" s="25">
        <v>9</v>
      </c>
      <c r="B540" s="25" t="s">
        <v>171</v>
      </c>
      <c r="C540" s="26" t="s">
        <v>566</v>
      </c>
      <c r="D540" s="25" t="str">
        <f t="shared" si="8"/>
        <v>Số thửaSố thửa182</v>
      </c>
    </row>
    <row r="541" spans="1:4" x14ac:dyDescent="0.25">
      <c r="A541" s="25">
        <v>9</v>
      </c>
      <c r="B541" s="25" t="s">
        <v>74</v>
      </c>
      <c r="C541" s="26" t="s">
        <v>566</v>
      </c>
      <c r="D541" s="25" t="str">
        <f t="shared" si="8"/>
        <v>Số thửaSố thửa183</v>
      </c>
    </row>
    <row r="542" spans="1:4" x14ac:dyDescent="0.25">
      <c r="A542" s="25">
        <v>9</v>
      </c>
      <c r="B542" s="25" t="s">
        <v>567</v>
      </c>
      <c r="C542" s="26" t="s">
        <v>566</v>
      </c>
      <c r="D542" s="25" t="str">
        <f t="shared" si="8"/>
        <v>Số thửaSố thửa184</v>
      </c>
    </row>
    <row r="543" spans="1:4" x14ac:dyDescent="0.25">
      <c r="A543" s="25">
        <v>9</v>
      </c>
      <c r="B543" s="25" t="s">
        <v>112</v>
      </c>
      <c r="C543" s="26" t="s">
        <v>566</v>
      </c>
      <c r="D543" s="25" t="str">
        <f t="shared" si="8"/>
        <v>Số thửaSố thửa185</v>
      </c>
    </row>
    <row r="544" spans="1:4" x14ac:dyDescent="0.25">
      <c r="A544" s="25">
        <v>9</v>
      </c>
      <c r="B544" s="25" t="s">
        <v>568</v>
      </c>
      <c r="C544" s="26" t="s">
        <v>566</v>
      </c>
      <c r="D544" s="25" t="str">
        <f t="shared" si="8"/>
        <v>Số thửaSố thửa186</v>
      </c>
    </row>
    <row r="545" spans="1:4" x14ac:dyDescent="0.25">
      <c r="A545" s="25">
        <v>9</v>
      </c>
      <c r="B545" s="25" t="s">
        <v>549</v>
      </c>
      <c r="C545" s="26" t="s">
        <v>566</v>
      </c>
      <c r="D545" s="25" t="str">
        <f t="shared" si="8"/>
        <v>Số thửaSố thửa187</v>
      </c>
    </row>
    <row r="546" spans="1:4" x14ac:dyDescent="0.25">
      <c r="A546" s="25">
        <v>9</v>
      </c>
      <c r="B546" s="25" t="s">
        <v>173</v>
      </c>
      <c r="C546" s="26" t="s">
        <v>566</v>
      </c>
      <c r="D546" s="25" t="str">
        <f t="shared" si="8"/>
        <v>Số thửaSố thửa204</v>
      </c>
    </row>
    <row r="547" spans="1:4" x14ac:dyDescent="0.25">
      <c r="A547" s="25">
        <v>9</v>
      </c>
      <c r="B547" s="25" t="s">
        <v>175</v>
      </c>
      <c r="C547" s="26" t="s">
        <v>566</v>
      </c>
      <c r="D547" s="25" t="str">
        <f t="shared" si="8"/>
        <v>Số thửaSố thửa207</v>
      </c>
    </row>
    <row r="548" spans="1:4" x14ac:dyDescent="0.25">
      <c r="A548" s="25">
        <v>9</v>
      </c>
      <c r="B548" s="25" t="s">
        <v>569</v>
      </c>
      <c r="C548" s="26" t="s">
        <v>566</v>
      </c>
      <c r="D548" s="25" t="str">
        <f t="shared" si="8"/>
        <v>Số thửaSố thửa486</v>
      </c>
    </row>
    <row r="549" spans="1:4" x14ac:dyDescent="0.25">
      <c r="A549" s="25">
        <v>9</v>
      </c>
      <c r="B549" s="25" t="s">
        <v>570</v>
      </c>
      <c r="C549" s="26" t="s">
        <v>566</v>
      </c>
      <c r="D549" s="25" t="str">
        <f t="shared" si="8"/>
        <v>Số thửaSố thửa487</v>
      </c>
    </row>
    <row r="550" spans="1:4" x14ac:dyDescent="0.25">
      <c r="A550" s="25">
        <v>9</v>
      </c>
      <c r="B550" s="25" t="s">
        <v>571</v>
      </c>
      <c r="C550" s="26" t="s">
        <v>566</v>
      </c>
      <c r="D550" s="25" t="str">
        <f t="shared" si="8"/>
        <v>Số thửaSố thửa488</v>
      </c>
    </row>
    <row r="551" spans="1:4" x14ac:dyDescent="0.25">
      <c r="A551" s="25">
        <v>9</v>
      </c>
      <c r="B551" s="25" t="s">
        <v>500</v>
      </c>
      <c r="C551" s="26" t="s">
        <v>566</v>
      </c>
      <c r="D551" s="25" t="str">
        <f t="shared" si="8"/>
        <v>Số thửaSố thửa489</v>
      </c>
    </row>
    <row r="552" spans="1:4" x14ac:dyDescent="0.25">
      <c r="A552" s="25">
        <v>9</v>
      </c>
      <c r="B552" s="25" t="s">
        <v>501</v>
      </c>
      <c r="C552" s="26" t="s">
        <v>566</v>
      </c>
      <c r="D552" s="25" t="str">
        <f t="shared" si="8"/>
        <v>Số thửaSố thửa490</v>
      </c>
    </row>
    <row r="553" spans="1:4" x14ac:dyDescent="0.25">
      <c r="A553" s="25">
        <v>9</v>
      </c>
      <c r="B553" s="25" t="s">
        <v>572</v>
      </c>
      <c r="C553" s="26" t="s">
        <v>566</v>
      </c>
      <c r="D553" s="25" t="str">
        <f t="shared" si="8"/>
        <v>Số thửaSố thửa491</v>
      </c>
    </row>
    <row r="554" spans="1:4" x14ac:dyDescent="0.25">
      <c r="A554" s="25">
        <v>9</v>
      </c>
      <c r="B554" s="25" t="s">
        <v>516</v>
      </c>
      <c r="C554" s="26" t="s">
        <v>566</v>
      </c>
      <c r="D554" s="25" t="str">
        <f t="shared" si="8"/>
        <v>Số thửaSố thửa492</v>
      </c>
    </row>
    <row r="555" spans="1:4" x14ac:dyDescent="0.25">
      <c r="A555" s="25">
        <v>9</v>
      </c>
      <c r="B555" s="25" t="s">
        <v>202</v>
      </c>
      <c r="C555" s="26" t="s">
        <v>573</v>
      </c>
      <c r="D555" s="25" t="str">
        <f t="shared" si="8"/>
        <v>Số thửaSố thửa493</v>
      </c>
    </row>
    <row r="556" spans="1:4" x14ac:dyDescent="0.25">
      <c r="A556" s="25">
        <v>9</v>
      </c>
      <c r="B556" s="25" t="s">
        <v>491</v>
      </c>
      <c r="C556" s="26" t="s">
        <v>573</v>
      </c>
      <c r="D556" s="25" t="str">
        <f t="shared" si="8"/>
        <v>Số thửaSố thửa521</v>
      </c>
    </row>
    <row r="557" spans="1:4" x14ac:dyDescent="0.25">
      <c r="A557" s="25">
        <v>9</v>
      </c>
      <c r="B557" s="25" t="s">
        <v>574</v>
      </c>
      <c r="C557" s="26" t="s">
        <v>575</v>
      </c>
      <c r="D557" s="25" t="str">
        <f t="shared" si="8"/>
        <v>Số thửaSố thửa535</v>
      </c>
    </row>
    <row r="558" spans="1:4" x14ac:dyDescent="0.25">
      <c r="A558" s="25">
        <v>9</v>
      </c>
      <c r="B558" s="25" t="s">
        <v>576</v>
      </c>
      <c r="C558" s="26" t="s">
        <v>575</v>
      </c>
      <c r="D558" s="25" t="str">
        <f t="shared" si="8"/>
        <v>Số thửaSố thửa634</v>
      </c>
    </row>
    <row r="559" spans="1:4" x14ac:dyDescent="0.25">
      <c r="A559" s="25">
        <v>9</v>
      </c>
      <c r="B559" s="25" t="s">
        <v>577</v>
      </c>
      <c r="C559" s="26" t="s">
        <v>575</v>
      </c>
      <c r="D559" s="25" t="str">
        <f t="shared" si="8"/>
        <v>Số thửaSố thửa834</v>
      </c>
    </row>
    <row r="560" spans="1:4" x14ac:dyDescent="0.25">
      <c r="A560" s="25">
        <v>4</v>
      </c>
      <c r="B560" s="25" t="s">
        <v>578</v>
      </c>
      <c r="C560" s="26" t="s">
        <v>579</v>
      </c>
      <c r="D560" s="25" t="str">
        <f t="shared" si="8"/>
        <v>Số thửaSố thửa122</v>
      </c>
    </row>
    <row r="561" spans="1:4" x14ac:dyDescent="0.25">
      <c r="A561" s="25">
        <v>4</v>
      </c>
      <c r="B561" s="25" t="s">
        <v>580</v>
      </c>
      <c r="C561" s="26" t="s">
        <v>581</v>
      </c>
      <c r="D561" s="25" t="str">
        <f t="shared" si="8"/>
        <v>Số thửaSố thửa300</v>
      </c>
    </row>
    <row r="562" spans="1:4" x14ac:dyDescent="0.25">
      <c r="A562" s="25">
        <v>4</v>
      </c>
      <c r="B562" s="25" t="s">
        <v>582</v>
      </c>
      <c r="C562" s="26" t="s">
        <v>581</v>
      </c>
      <c r="D562" s="25" t="str">
        <f t="shared" si="8"/>
        <v>Số thửaSố thửa301</v>
      </c>
    </row>
    <row r="563" spans="1:4" x14ac:dyDescent="0.25">
      <c r="A563" s="25">
        <v>6</v>
      </c>
      <c r="B563" s="25" t="s">
        <v>583</v>
      </c>
      <c r="C563" s="26" t="s">
        <v>579</v>
      </c>
      <c r="D563" s="25" t="str">
        <f t="shared" si="8"/>
        <v>Số thửaSố thửa496</v>
      </c>
    </row>
    <row r="564" spans="1:4" x14ac:dyDescent="0.25">
      <c r="A564" s="25">
        <v>6</v>
      </c>
      <c r="B564" s="25" t="s">
        <v>584</v>
      </c>
      <c r="C564" s="26" t="s">
        <v>579</v>
      </c>
      <c r="D564" s="25" t="str">
        <f t="shared" si="8"/>
        <v>Số thửaSố thửa539</v>
      </c>
    </row>
    <row r="565" spans="1:4" x14ac:dyDescent="0.25">
      <c r="A565" s="25">
        <v>6</v>
      </c>
      <c r="B565" s="25" t="s">
        <v>585</v>
      </c>
      <c r="C565" s="26" t="s">
        <v>579</v>
      </c>
      <c r="D565" s="25" t="str">
        <f t="shared" si="8"/>
        <v>Số thửaSố thửa540</v>
      </c>
    </row>
    <row r="566" spans="1:4" x14ac:dyDescent="0.25">
      <c r="A566" s="25">
        <v>6</v>
      </c>
      <c r="B566" s="25" t="s">
        <v>586</v>
      </c>
      <c r="C566" s="26" t="s">
        <v>579</v>
      </c>
      <c r="D566" s="25" t="str">
        <f t="shared" si="8"/>
        <v>Số thửaSố thửa545</v>
      </c>
    </row>
    <row r="567" spans="1:4" x14ac:dyDescent="0.25">
      <c r="A567" s="25">
        <v>6</v>
      </c>
      <c r="B567" s="25" t="s">
        <v>587</v>
      </c>
      <c r="C567" s="26" t="s">
        <v>579</v>
      </c>
      <c r="D567" s="25" t="str">
        <f t="shared" si="8"/>
        <v>Số thửaSố thửa546</v>
      </c>
    </row>
    <row r="568" spans="1:4" x14ac:dyDescent="0.25">
      <c r="A568" s="25">
        <v>6</v>
      </c>
      <c r="B568" s="25" t="s">
        <v>588</v>
      </c>
      <c r="C568" s="26" t="s">
        <v>579</v>
      </c>
      <c r="D568" s="25" t="str">
        <f t="shared" si="8"/>
        <v>Số thửaSố thửa548</v>
      </c>
    </row>
    <row r="569" spans="1:4" x14ac:dyDescent="0.25">
      <c r="A569" s="25">
        <v>6</v>
      </c>
      <c r="B569" s="25" t="s">
        <v>473</v>
      </c>
      <c r="C569" s="26" t="s">
        <v>579</v>
      </c>
      <c r="D569" s="25" t="str">
        <f t="shared" si="8"/>
        <v>Số thửaSố thửa549</v>
      </c>
    </row>
    <row r="570" spans="1:4" x14ac:dyDescent="0.25">
      <c r="A570" s="25">
        <v>6</v>
      </c>
      <c r="B570" s="25" t="s">
        <v>589</v>
      </c>
      <c r="C570" s="26" t="s">
        <v>579</v>
      </c>
      <c r="D570" s="25" t="str">
        <f t="shared" si="8"/>
        <v>Số thửaSố thửa550</v>
      </c>
    </row>
    <row r="571" spans="1:4" x14ac:dyDescent="0.25">
      <c r="A571" s="25">
        <v>6</v>
      </c>
      <c r="B571" s="25" t="s">
        <v>334</v>
      </c>
      <c r="C571" s="26" t="s">
        <v>579</v>
      </c>
      <c r="D571" s="25" t="str">
        <f t="shared" si="8"/>
        <v>Số thửaSố thửa589</v>
      </c>
    </row>
    <row r="572" spans="1:4" x14ac:dyDescent="0.25">
      <c r="A572" s="25">
        <v>6</v>
      </c>
      <c r="B572" s="25" t="s">
        <v>338</v>
      </c>
      <c r="C572" s="26" t="s">
        <v>579</v>
      </c>
      <c r="D572" s="25" t="str">
        <f t="shared" si="8"/>
        <v>Số thửaSố thửa592</v>
      </c>
    </row>
    <row r="573" spans="1:4" x14ac:dyDescent="0.25">
      <c r="A573" s="25">
        <v>6</v>
      </c>
      <c r="B573" s="25" t="s">
        <v>339</v>
      </c>
      <c r="C573" s="26" t="s">
        <v>579</v>
      </c>
      <c r="D573" s="25" t="str">
        <f t="shared" si="8"/>
        <v>Số thửaSố thửa593</v>
      </c>
    </row>
    <row r="574" spans="1:4" x14ac:dyDescent="0.25">
      <c r="A574" s="25">
        <v>6</v>
      </c>
      <c r="B574" s="25" t="s">
        <v>207</v>
      </c>
      <c r="C574" s="26" t="s">
        <v>579</v>
      </c>
      <c r="D574" s="25" t="str">
        <f t="shared" si="8"/>
        <v>Số thửaSố thửa595</v>
      </c>
    </row>
    <row r="575" spans="1:4" x14ac:dyDescent="0.25">
      <c r="A575" s="25">
        <v>6</v>
      </c>
      <c r="B575" s="25" t="s">
        <v>590</v>
      </c>
      <c r="C575" s="26" t="s">
        <v>579</v>
      </c>
      <c r="D575" s="25" t="str">
        <f t="shared" si="8"/>
        <v>Số thửaSố thửa596</v>
      </c>
    </row>
    <row r="576" spans="1:4" x14ac:dyDescent="0.25">
      <c r="A576" s="25">
        <v>6</v>
      </c>
      <c r="B576" s="25" t="s">
        <v>591</v>
      </c>
      <c r="C576" s="26" t="s">
        <v>579</v>
      </c>
      <c r="D576" s="25" t="str">
        <f t="shared" si="8"/>
        <v>Số thửaSố thửa597</v>
      </c>
    </row>
    <row r="577" spans="1:4" x14ac:dyDescent="0.25">
      <c r="A577" s="25">
        <v>6</v>
      </c>
      <c r="B577" s="25" t="s">
        <v>592</v>
      </c>
      <c r="C577" s="26" t="s">
        <v>593</v>
      </c>
      <c r="D577" s="25" t="str">
        <f t="shared" si="8"/>
        <v>Số thửaSố thửa598</v>
      </c>
    </row>
    <row r="578" spans="1:4" x14ac:dyDescent="0.25">
      <c r="A578" s="25">
        <v>6</v>
      </c>
      <c r="B578" s="25" t="s">
        <v>411</v>
      </c>
      <c r="C578" s="26" t="s">
        <v>593</v>
      </c>
      <c r="D578" s="25" t="str">
        <f t="shared" si="8"/>
        <v>Số thửaSố thửa599</v>
      </c>
    </row>
    <row r="579" spans="1:4" x14ac:dyDescent="0.25">
      <c r="A579" s="25">
        <v>6</v>
      </c>
      <c r="B579" s="25" t="s">
        <v>594</v>
      </c>
      <c r="C579" s="26" t="s">
        <v>593</v>
      </c>
      <c r="D579" s="25" t="str">
        <f t="shared" ref="D579:D642" si="9">$B$1&amp;B579</f>
        <v>Số thửaSố thửa601</v>
      </c>
    </row>
    <row r="580" spans="1:4" x14ac:dyDescent="0.25">
      <c r="A580" s="25">
        <v>6</v>
      </c>
      <c r="B580" s="25" t="s">
        <v>595</v>
      </c>
      <c r="C580" s="26" t="s">
        <v>593</v>
      </c>
      <c r="D580" s="25" t="str">
        <f t="shared" si="9"/>
        <v>Số thửaSố thửa602</v>
      </c>
    </row>
    <row r="581" spans="1:4" x14ac:dyDescent="0.25">
      <c r="A581" s="25">
        <v>6</v>
      </c>
      <c r="B581" s="25" t="s">
        <v>596</v>
      </c>
      <c r="C581" s="26" t="s">
        <v>579</v>
      </c>
      <c r="D581" s="25" t="str">
        <f t="shared" si="9"/>
        <v>Số thửaSố thửa603</v>
      </c>
    </row>
    <row r="582" spans="1:4" x14ac:dyDescent="0.25">
      <c r="A582" s="25">
        <v>6</v>
      </c>
      <c r="B582" s="25" t="s">
        <v>597</v>
      </c>
      <c r="C582" s="26" t="s">
        <v>593</v>
      </c>
      <c r="D582" s="25" t="str">
        <f t="shared" si="9"/>
        <v>Số thửaSố thửa646</v>
      </c>
    </row>
    <row r="583" spans="1:4" x14ac:dyDescent="0.25">
      <c r="A583" s="25">
        <v>6</v>
      </c>
      <c r="B583" s="25" t="s">
        <v>598</v>
      </c>
      <c r="C583" s="26" t="s">
        <v>593</v>
      </c>
      <c r="D583" s="25" t="str">
        <f t="shared" si="9"/>
        <v>Số thửaSố thửa647</v>
      </c>
    </row>
    <row r="584" spans="1:4" x14ac:dyDescent="0.25">
      <c r="A584" s="25">
        <v>6</v>
      </c>
      <c r="B584" s="25" t="s">
        <v>599</v>
      </c>
      <c r="C584" s="26" t="s">
        <v>593</v>
      </c>
      <c r="D584" s="25" t="str">
        <f t="shared" si="9"/>
        <v>Số thửaSố thửa648</v>
      </c>
    </row>
    <row r="585" spans="1:4" x14ac:dyDescent="0.25">
      <c r="A585" s="25">
        <v>6</v>
      </c>
      <c r="B585" s="25" t="s">
        <v>600</v>
      </c>
      <c r="C585" s="26" t="s">
        <v>593</v>
      </c>
      <c r="D585" s="25" t="str">
        <f t="shared" si="9"/>
        <v>Số thửaSố thửa649</v>
      </c>
    </row>
    <row r="586" spans="1:4" x14ac:dyDescent="0.25">
      <c r="A586" s="25">
        <v>6</v>
      </c>
      <c r="B586" s="25" t="s">
        <v>309</v>
      </c>
      <c r="C586" s="26" t="s">
        <v>581</v>
      </c>
      <c r="D586" s="25" t="str">
        <f t="shared" si="9"/>
        <v>Số thửaSố thửa743</v>
      </c>
    </row>
    <row r="587" spans="1:4" x14ac:dyDescent="0.25">
      <c r="A587" s="25">
        <v>7</v>
      </c>
      <c r="B587" s="25" t="s">
        <v>403</v>
      </c>
      <c r="C587" s="26" t="s">
        <v>581</v>
      </c>
      <c r="D587" s="25" t="str">
        <f t="shared" si="9"/>
        <v>Số thửaSố thửa282</v>
      </c>
    </row>
    <row r="588" spans="1:4" x14ac:dyDescent="0.25">
      <c r="A588" s="25">
        <v>7</v>
      </c>
      <c r="B588" s="25" t="s">
        <v>487</v>
      </c>
      <c r="C588" s="26" t="s">
        <v>581</v>
      </c>
      <c r="D588" s="25" t="str">
        <f t="shared" si="9"/>
        <v>Số thửaSố thửa334</v>
      </c>
    </row>
    <row r="589" spans="1:4" x14ac:dyDescent="0.25">
      <c r="A589" s="25">
        <v>7</v>
      </c>
      <c r="B589" s="25" t="s">
        <v>583</v>
      </c>
      <c r="C589" s="26" t="s">
        <v>593</v>
      </c>
      <c r="D589" s="25" t="str">
        <f t="shared" si="9"/>
        <v>Số thửaSố thửa496</v>
      </c>
    </row>
    <row r="590" spans="1:4" x14ac:dyDescent="0.25">
      <c r="A590" s="25">
        <v>7</v>
      </c>
      <c r="B590" s="25" t="s">
        <v>502</v>
      </c>
      <c r="C590" s="26" t="s">
        <v>593</v>
      </c>
      <c r="D590" s="25" t="str">
        <f t="shared" si="9"/>
        <v>Số thửaSố thửa497</v>
      </c>
    </row>
    <row r="591" spans="1:4" x14ac:dyDescent="0.25">
      <c r="A591" s="25">
        <v>7</v>
      </c>
      <c r="B591" s="25" t="s">
        <v>601</v>
      </c>
      <c r="C591" s="26" t="s">
        <v>602</v>
      </c>
      <c r="D591" s="25" t="str">
        <f t="shared" si="9"/>
        <v>Số thửaSố thửa882</v>
      </c>
    </row>
    <row r="592" spans="1:4" x14ac:dyDescent="0.25">
      <c r="A592" s="25">
        <v>7</v>
      </c>
      <c r="B592" s="25" t="s">
        <v>601</v>
      </c>
      <c r="C592" s="26" t="s">
        <v>602</v>
      </c>
      <c r="D592" s="25" t="str">
        <f t="shared" si="9"/>
        <v>Số thửaSố thửa882</v>
      </c>
    </row>
    <row r="593" spans="1:4" x14ac:dyDescent="0.25">
      <c r="A593" s="25">
        <v>11</v>
      </c>
      <c r="B593" s="25" t="s">
        <v>603</v>
      </c>
      <c r="C593" s="26" t="s">
        <v>604</v>
      </c>
      <c r="D593" s="25" t="str">
        <f t="shared" si="9"/>
        <v>Số thửaSố thửa294</v>
      </c>
    </row>
    <row r="594" spans="1:4" x14ac:dyDescent="0.25">
      <c r="A594" s="25">
        <v>11</v>
      </c>
      <c r="B594" s="25" t="s">
        <v>449</v>
      </c>
      <c r="C594" s="26" t="s">
        <v>604</v>
      </c>
      <c r="D594" s="25" t="str">
        <f t="shared" si="9"/>
        <v>Số thửaSố thửa296</v>
      </c>
    </row>
    <row r="595" spans="1:4" x14ac:dyDescent="0.25">
      <c r="A595" s="25">
        <v>13</v>
      </c>
      <c r="B595" s="25" t="s">
        <v>605</v>
      </c>
      <c r="C595" s="26" t="s">
        <v>606</v>
      </c>
      <c r="D595" s="25" t="str">
        <f t="shared" si="9"/>
        <v>Số thửaSố thửa394</v>
      </c>
    </row>
    <row r="596" spans="1:4" x14ac:dyDescent="0.25">
      <c r="A596" s="25">
        <v>13</v>
      </c>
      <c r="B596" s="25" t="s">
        <v>607</v>
      </c>
      <c r="C596" s="26" t="s">
        <v>604</v>
      </c>
      <c r="D596" s="25" t="str">
        <f t="shared" si="9"/>
        <v>Số thửaSố thửa415</v>
      </c>
    </row>
    <row r="597" spans="1:4" x14ac:dyDescent="0.25">
      <c r="A597" s="25">
        <v>13</v>
      </c>
      <c r="B597" s="25" t="s">
        <v>608</v>
      </c>
      <c r="C597" s="26" t="s">
        <v>604</v>
      </c>
      <c r="D597" s="25" t="str">
        <f t="shared" si="9"/>
        <v>Số thửaSố thửa417</v>
      </c>
    </row>
    <row r="598" spans="1:4" x14ac:dyDescent="0.25">
      <c r="A598" s="25">
        <v>13</v>
      </c>
      <c r="B598" s="25" t="s">
        <v>609</v>
      </c>
      <c r="C598" s="26" t="s">
        <v>604</v>
      </c>
      <c r="D598" s="25" t="str">
        <f t="shared" si="9"/>
        <v>Số thửaSố thửa418</v>
      </c>
    </row>
    <row r="599" spans="1:4" x14ac:dyDescent="0.25">
      <c r="A599" s="25">
        <v>13</v>
      </c>
      <c r="B599" s="25" t="s">
        <v>610</v>
      </c>
      <c r="C599" s="26" t="s">
        <v>604</v>
      </c>
      <c r="D599" s="25" t="str">
        <f t="shared" si="9"/>
        <v>Số thửaSố thửa433</v>
      </c>
    </row>
    <row r="600" spans="1:4" x14ac:dyDescent="0.25">
      <c r="A600" s="25">
        <v>13</v>
      </c>
      <c r="B600" s="25" t="s">
        <v>611</v>
      </c>
      <c r="C600" s="26" t="s">
        <v>604</v>
      </c>
      <c r="D600" s="25" t="str">
        <f t="shared" si="9"/>
        <v>Số thửaSố thửa434</v>
      </c>
    </row>
    <row r="601" spans="1:4" x14ac:dyDescent="0.25">
      <c r="A601" s="25">
        <v>13</v>
      </c>
      <c r="B601" s="25" t="s">
        <v>612</v>
      </c>
      <c r="C601" s="26" t="s">
        <v>604</v>
      </c>
      <c r="D601" s="25" t="str">
        <f t="shared" si="9"/>
        <v>Số thửaSố thửa435</v>
      </c>
    </row>
    <row r="602" spans="1:4" x14ac:dyDescent="0.25">
      <c r="A602" s="25">
        <v>13</v>
      </c>
      <c r="B602" s="25" t="s">
        <v>613</v>
      </c>
      <c r="C602" s="26" t="s">
        <v>604</v>
      </c>
      <c r="D602" s="25" t="str">
        <f t="shared" si="9"/>
        <v>Số thửaSố thửa436</v>
      </c>
    </row>
    <row r="603" spans="1:4" x14ac:dyDescent="0.25">
      <c r="A603" s="25">
        <v>13</v>
      </c>
      <c r="B603" s="25" t="s">
        <v>614</v>
      </c>
      <c r="C603" s="26" t="s">
        <v>604</v>
      </c>
      <c r="D603" s="25" t="str">
        <f t="shared" si="9"/>
        <v>Số thửaSố thửa437</v>
      </c>
    </row>
    <row r="604" spans="1:4" x14ac:dyDescent="0.25">
      <c r="A604" s="25">
        <v>13</v>
      </c>
      <c r="B604" s="25" t="s">
        <v>615</v>
      </c>
      <c r="C604" s="26" t="s">
        <v>604</v>
      </c>
      <c r="D604" s="25" t="str">
        <f t="shared" si="9"/>
        <v>Số thửaSố thửa438</v>
      </c>
    </row>
    <row r="605" spans="1:4" x14ac:dyDescent="0.25">
      <c r="A605" s="25">
        <v>13</v>
      </c>
      <c r="B605" s="25" t="s">
        <v>616</v>
      </c>
      <c r="C605" s="26" t="s">
        <v>604</v>
      </c>
      <c r="D605" s="25" t="str">
        <f t="shared" si="9"/>
        <v>Số thửaSố thửa439</v>
      </c>
    </row>
    <row r="606" spans="1:4" x14ac:dyDescent="0.25">
      <c r="A606" s="25">
        <v>13</v>
      </c>
      <c r="B606" s="25" t="s">
        <v>617</v>
      </c>
      <c r="C606" s="26" t="s">
        <v>604</v>
      </c>
      <c r="D606" s="25" t="str">
        <f t="shared" si="9"/>
        <v>Số thửaSố thửa440</v>
      </c>
    </row>
    <row r="607" spans="1:4" x14ac:dyDescent="0.25">
      <c r="A607" s="25">
        <v>13</v>
      </c>
      <c r="B607" s="25" t="s">
        <v>618</v>
      </c>
      <c r="C607" s="26" t="s">
        <v>604</v>
      </c>
      <c r="D607" s="25" t="str">
        <f t="shared" si="9"/>
        <v>Số thửaSố thửa441</v>
      </c>
    </row>
    <row r="608" spans="1:4" x14ac:dyDescent="0.25">
      <c r="A608" s="25">
        <v>13</v>
      </c>
      <c r="B608" s="25" t="s">
        <v>619</v>
      </c>
      <c r="C608" s="26" t="s">
        <v>604</v>
      </c>
      <c r="D608" s="25" t="str">
        <f t="shared" si="9"/>
        <v>Số thửaSố thửa449</v>
      </c>
    </row>
    <row r="609" spans="1:4" x14ac:dyDescent="0.25">
      <c r="A609" s="25">
        <v>13</v>
      </c>
      <c r="B609" s="25" t="s">
        <v>620</v>
      </c>
      <c r="C609" s="26" t="s">
        <v>604</v>
      </c>
      <c r="D609" s="25" t="str">
        <f t="shared" si="9"/>
        <v>Số thửaSố thửa450</v>
      </c>
    </row>
    <row r="610" spans="1:4" x14ac:dyDescent="0.25">
      <c r="A610" s="25">
        <v>13</v>
      </c>
      <c r="B610" s="25" t="s">
        <v>289</v>
      </c>
      <c r="C610" s="26" t="s">
        <v>621</v>
      </c>
      <c r="D610" s="25" t="str">
        <f t="shared" si="9"/>
        <v>Số thửaSố thửa453</v>
      </c>
    </row>
    <row r="611" spans="1:4" x14ac:dyDescent="0.25">
      <c r="A611" s="25">
        <v>13</v>
      </c>
      <c r="B611" s="25" t="s">
        <v>622</v>
      </c>
      <c r="C611" s="26" t="s">
        <v>621</v>
      </c>
      <c r="D611" s="25" t="str">
        <f t="shared" si="9"/>
        <v>Số thửaSố thửa511</v>
      </c>
    </row>
    <row r="612" spans="1:4" x14ac:dyDescent="0.25">
      <c r="A612" s="25">
        <v>13</v>
      </c>
      <c r="B612" s="25" t="s">
        <v>623</v>
      </c>
      <c r="C612" s="26" t="s">
        <v>621</v>
      </c>
      <c r="D612" s="25" t="str">
        <f t="shared" si="9"/>
        <v>Số thửaSố thửa512</v>
      </c>
    </row>
    <row r="613" spans="1:4" x14ac:dyDescent="0.25">
      <c r="A613" s="25">
        <v>13</v>
      </c>
      <c r="B613" s="25" t="s">
        <v>624</v>
      </c>
      <c r="C613" s="26" t="s">
        <v>621</v>
      </c>
      <c r="D613" s="25" t="str">
        <f t="shared" si="9"/>
        <v>Số thửaSố thửa513</v>
      </c>
    </row>
    <row r="614" spans="1:4" x14ac:dyDescent="0.25">
      <c r="A614" s="25">
        <v>13</v>
      </c>
      <c r="B614" s="25" t="s">
        <v>625</v>
      </c>
      <c r="C614" s="26" t="s">
        <v>626</v>
      </c>
      <c r="D614" s="25" t="str">
        <f t="shared" si="9"/>
        <v>Số thửaSố thửa643</v>
      </c>
    </row>
    <row r="615" spans="1:4" x14ac:dyDescent="0.25">
      <c r="A615" s="25">
        <v>13</v>
      </c>
      <c r="B615" s="25" t="s">
        <v>627</v>
      </c>
      <c r="C615" s="26" t="s">
        <v>606</v>
      </c>
      <c r="D615" s="25" t="str">
        <f t="shared" si="9"/>
        <v>Số thửaSố thửa749</v>
      </c>
    </row>
    <row r="616" spans="1:4" x14ac:dyDescent="0.25">
      <c r="A616" s="25">
        <v>14</v>
      </c>
      <c r="B616" s="25" t="s">
        <v>416</v>
      </c>
      <c r="C616" s="26" t="s">
        <v>621</v>
      </c>
      <c r="D616" s="25" t="str">
        <f t="shared" si="9"/>
        <v>Số thửaSố thửa2</v>
      </c>
    </row>
    <row r="617" spans="1:4" x14ac:dyDescent="0.25">
      <c r="A617" s="25">
        <v>14</v>
      </c>
      <c r="B617" s="25" t="s">
        <v>58</v>
      </c>
      <c r="C617" s="26" t="s">
        <v>621</v>
      </c>
      <c r="D617" s="25" t="str">
        <f t="shared" si="9"/>
        <v>Số thửaSố thửa3</v>
      </c>
    </row>
    <row r="618" spans="1:4" x14ac:dyDescent="0.25">
      <c r="A618" s="25">
        <v>14</v>
      </c>
      <c r="B618" s="25" t="s">
        <v>59</v>
      </c>
      <c r="C618" s="26" t="s">
        <v>621</v>
      </c>
      <c r="D618" s="25" t="str">
        <f t="shared" si="9"/>
        <v>Số thửaSố thửa4</v>
      </c>
    </row>
    <row r="619" spans="1:4" x14ac:dyDescent="0.25">
      <c r="A619" s="25">
        <v>14</v>
      </c>
      <c r="B619" s="25" t="s">
        <v>628</v>
      </c>
      <c r="C619" s="26" t="s">
        <v>621</v>
      </c>
      <c r="D619" s="25" t="str">
        <f t="shared" si="9"/>
        <v>Số thửaSố thửa5</v>
      </c>
    </row>
    <row r="620" spans="1:4" x14ac:dyDescent="0.25">
      <c r="A620" s="25">
        <v>14</v>
      </c>
      <c r="B620" s="25" t="s">
        <v>254</v>
      </c>
      <c r="C620" s="26" t="s">
        <v>621</v>
      </c>
      <c r="D620" s="25" t="str">
        <f t="shared" si="9"/>
        <v>Số thửaSố thửa6</v>
      </c>
    </row>
    <row r="621" spans="1:4" x14ac:dyDescent="0.25">
      <c r="A621" s="25">
        <v>14</v>
      </c>
      <c r="B621" s="25" t="s">
        <v>60</v>
      </c>
      <c r="C621" s="26" t="s">
        <v>621</v>
      </c>
      <c r="D621" s="25" t="str">
        <f t="shared" si="9"/>
        <v>Số thửaSố thửa7</v>
      </c>
    </row>
    <row r="622" spans="1:4" x14ac:dyDescent="0.25">
      <c r="A622" s="25">
        <v>14</v>
      </c>
      <c r="B622" s="25" t="s">
        <v>276</v>
      </c>
      <c r="C622" s="26" t="s">
        <v>621</v>
      </c>
      <c r="D622" s="25" t="str">
        <f t="shared" si="9"/>
        <v>Số thửaSố thửa25</v>
      </c>
    </row>
    <row r="623" spans="1:4" x14ac:dyDescent="0.25">
      <c r="A623" s="25">
        <v>14</v>
      </c>
      <c r="B623" s="25" t="s">
        <v>277</v>
      </c>
      <c r="C623" s="26" t="s">
        <v>621</v>
      </c>
      <c r="D623" s="25" t="str">
        <f t="shared" si="9"/>
        <v>Số thửaSố thửa26</v>
      </c>
    </row>
    <row r="624" spans="1:4" x14ac:dyDescent="0.25">
      <c r="A624" s="25">
        <v>14</v>
      </c>
      <c r="B624" s="25" t="s">
        <v>278</v>
      </c>
      <c r="C624" s="26" t="s">
        <v>621</v>
      </c>
      <c r="D624" s="25" t="str">
        <f t="shared" si="9"/>
        <v>Số thửaSố thửa27</v>
      </c>
    </row>
    <row r="625" spans="1:4" x14ac:dyDescent="0.25">
      <c r="A625" s="25">
        <v>14</v>
      </c>
      <c r="B625" s="25" t="s">
        <v>522</v>
      </c>
      <c r="C625" s="26" t="s">
        <v>621</v>
      </c>
      <c r="D625" s="25" t="str">
        <f t="shared" si="9"/>
        <v>Số thửaSố thửa31</v>
      </c>
    </row>
    <row r="626" spans="1:4" x14ac:dyDescent="0.25">
      <c r="A626" s="25">
        <v>14</v>
      </c>
      <c r="B626" s="25" t="s">
        <v>629</v>
      </c>
      <c r="C626" s="26" t="s">
        <v>621</v>
      </c>
      <c r="D626" s="25" t="str">
        <f t="shared" si="9"/>
        <v>Số thửaSố thửa32</v>
      </c>
    </row>
    <row r="627" spans="1:4" x14ac:dyDescent="0.25">
      <c r="A627" s="25">
        <v>14</v>
      </c>
      <c r="B627" s="25" t="s">
        <v>240</v>
      </c>
      <c r="C627" s="26" t="s">
        <v>621</v>
      </c>
      <c r="D627" s="25" t="str">
        <f t="shared" si="9"/>
        <v>Số thửaSố thửa33</v>
      </c>
    </row>
    <row r="628" spans="1:4" x14ac:dyDescent="0.25">
      <c r="A628" s="25">
        <v>14</v>
      </c>
      <c r="B628" s="25" t="s">
        <v>630</v>
      </c>
      <c r="C628" s="26" t="s">
        <v>631</v>
      </c>
      <c r="D628" s="25" t="str">
        <f t="shared" si="9"/>
        <v>Số thửaSố thửa36</v>
      </c>
    </row>
    <row r="629" spans="1:4" x14ac:dyDescent="0.25">
      <c r="A629" s="25">
        <v>14</v>
      </c>
      <c r="B629" s="25" t="s">
        <v>279</v>
      </c>
      <c r="C629" s="26" t="s">
        <v>631</v>
      </c>
      <c r="D629" s="25" t="str">
        <f t="shared" si="9"/>
        <v>Số thửaSố thửa37</v>
      </c>
    </row>
    <row r="630" spans="1:4" x14ac:dyDescent="0.25">
      <c r="A630" s="25">
        <v>14</v>
      </c>
      <c r="B630" s="25" t="s">
        <v>414</v>
      </c>
      <c r="C630" s="26" t="s">
        <v>631</v>
      </c>
      <c r="D630" s="25" t="str">
        <f t="shared" si="9"/>
        <v>Số thửaSố thửa38</v>
      </c>
    </row>
    <row r="631" spans="1:4" x14ac:dyDescent="0.25">
      <c r="A631" s="25">
        <v>14</v>
      </c>
      <c r="B631" s="25" t="s">
        <v>243</v>
      </c>
      <c r="C631" s="26" t="s">
        <v>631</v>
      </c>
      <c r="D631" s="25" t="str">
        <f t="shared" si="9"/>
        <v>Số thửaSố thửa44</v>
      </c>
    </row>
    <row r="632" spans="1:4" x14ac:dyDescent="0.25">
      <c r="A632" s="25">
        <v>14</v>
      </c>
      <c r="B632" s="25" t="s">
        <v>244</v>
      </c>
      <c r="C632" s="26" t="s">
        <v>631</v>
      </c>
      <c r="D632" s="25" t="str">
        <f t="shared" si="9"/>
        <v>Số thửaSố thửa45</v>
      </c>
    </row>
    <row r="633" spans="1:4" x14ac:dyDescent="0.25">
      <c r="A633" s="25">
        <v>14</v>
      </c>
      <c r="B633" s="25" t="s">
        <v>165</v>
      </c>
      <c r="C633" s="26" t="s">
        <v>631</v>
      </c>
      <c r="D633" s="25" t="str">
        <f t="shared" si="9"/>
        <v>Số thửaSố thửa46</v>
      </c>
    </row>
    <row r="634" spans="1:4" x14ac:dyDescent="0.25">
      <c r="A634" s="25">
        <v>14</v>
      </c>
      <c r="B634" s="25" t="s">
        <v>632</v>
      </c>
      <c r="C634" s="26" t="s">
        <v>631</v>
      </c>
      <c r="D634" s="25" t="str">
        <f t="shared" si="9"/>
        <v>Số thửaSố thửa54</v>
      </c>
    </row>
    <row r="635" spans="1:4" x14ac:dyDescent="0.25">
      <c r="A635" s="25">
        <v>14</v>
      </c>
      <c r="B635" s="25" t="s">
        <v>198</v>
      </c>
      <c r="C635" s="26" t="s">
        <v>631</v>
      </c>
      <c r="D635" s="25" t="str">
        <f t="shared" si="9"/>
        <v>Số thửaSố thửa55</v>
      </c>
    </row>
    <row r="636" spans="1:4" x14ac:dyDescent="0.25">
      <c r="A636" s="25">
        <v>14</v>
      </c>
      <c r="B636" s="25" t="s">
        <v>63</v>
      </c>
      <c r="C636" s="26" t="s">
        <v>631</v>
      </c>
      <c r="D636" s="25" t="str">
        <f t="shared" si="9"/>
        <v>Số thửaSố thửa56</v>
      </c>
    </row>
    <row r="637" spans="1:4" x14ac:dyDescent="0.25">
      <c r="A637" s="25">
        <v>14</v>
      </c>
      <c r="B637" s="25" t="s">
        <v>96</v>
      </c>
      <c r="C637" s="26" t="s">
        <v>606</v>
      </c>
      <c r="D637" s="25" t="str">
        <f t="shared" si="9"/>
        <v>Số thửaSố thửa242</v>
      </c>
    </row>
    <row r="638" spans="1:4" x14ac:dyDescent="0.25">
      <c r="A638" s="25">
        <v>16</v>
      </c>
      <c r="B638" s="25" t="s">
        <v>110</v>
      </c>
      <c r="C638" s="26" t="s">
        <v>606</v>
      </c>
      <c r="D638" s="25" t="str">
        <f t="shared" si="9"/>
        <v>Số thửaSố thửa1</v>
      </c>
    </row>
    <row r="639" spans="1:4" x14ac:dyDescent="0.25">
      <c r="A639" s="25">
        <v>16</v>
      </c>
      <c r="B639" s="25" t="s">
        <v>132</v>
      </c>
      <c r="C639" s="26" t="s">
        <v>606</v>
      </c>
      <c r="D639" s="25" t="str">
        <f t="shared" si="9"/>
        <v>Số thửaSố thửa8</v>
      </c>
    </row>
    <row r="640" spans="1:4" x14ac:dyDescent="0.25">
      <c r="A640" s="25">
        <v>9</v>
      </c>
      <c r="B640" s="25" t="s">
        <v>633</v>
      </c>
      <c r="C640" s="26" t="s">
        <v>634</v>
      </c>
      <c r="D640" s="25" t="str">
        <f t="shared" si="9"/>
        <v>Số thửaSố thửa682</v>
      </c>
    </row>
    <row r="641" spans="1:4" x14ac:dyDescent="0.25">
      <c r="A641" s="25">
        <v>9</v>
      </c>
      <c r="B641" s="25" t="s">
        <v>635</v>
      </c>
      <c r="C641" s="26" t="s">
        <v>634</v>
      </c>
      <c r="D641" s="25" t="str">
        <f t="shared" si="9"/>
        <v>Số thửaSố thửa709</v>
      </c>
    </row>
    <row r="642" spans="1:4" x14ac:dyDescent="0.25">
      <c r="A642" s="25">
        <v>9</v>
      </c>
      <c r="B642" s="25" t="s">
        <v>636</v>
      </c>
      <c r="C642" s="26" t="s">
        <v>634</v>
      </c>
      <c r="D642" s="25" t="str">
        <f t="shared" si="9"/>
        <v>Số thửaSố thửa712</v>
      </c>
    </row>
    <row r="643" spans="1:4" x14ac:dyDescent="0.25">
      <c r="A643" s="25">
        <v>9</v>
      </c>
      <c r="B643" s="25" t="s">
        <v>637</v>
      </c>
      <c r="C643" s="26" t="s">
        <v>634</v>
      </c>
      <c r="D643" s="25" t="str">
        <f t="shared" ref="D643:D706" si="10">$B$1&amp;B643</f>
        <v>Số thửaSố thửa747</v>
      </c>
    </row>
    <row r="644" spans="1:4" x14ac:dyDescent="0.25">
      <c r="A644" s="25">
        <v>10</v>
      </c>
      <c r="B644" s="25" t="s">
        <v>638</v>
      </c>
      <c r="C644" s="26" t="s">
        <v>639</v>
      </c>
      <c r="D644" s="25" t="str">
        <f t="shared" si="10"/>
        <v>Số thửaSố thửa328</v>
      </c>
    </row>
    <row r="645" spans="1:4" x14ac:dyDescent="0.25">
      <c r="A645" s="25">
        <v>10</v>
      </c>
      <c r="B645" s="25" t="s">
        <v>143</v>
      </c>
      <c r="C645" s="26" t="s">
        <v>639</v>
      </c>
      <c r="D645" s="25" t="str">
        <f t="shared" si="10"/>
        <v>Số thửaSố thửa331</v>
      </c>
    </row>
    <row r="646" spans="1:4" x14ac:dyDescent="0.25">
      <c r="A646" s="25">
        <v>10</v>
      </c>
      <c r="B646" s="25" t="s">
        <v>144</v>
      </c>
      <c r="C646" s="26" t="s">
        <v>639</v>
      </c>
      <c r="D646" s="25" t="str">
        <f t="shared" si="10"/>
        <v>Số thửaSố thửa332</v>
      </c>
    </row>
    <row r="647" spans="1:4" x14ac:dyDescent="0.25">
      <c r="A647" s="25">
        <v>10</v>
      </c>
      <c r="B647" s="25" t="s">
        <v>640</v>
      </c>
      <c r="C647" s="26" t="s">
        <v>639</v>
      </c>
      <c r="D647" s="25" t="str">
        <f t="shared" si="10"/>
        <v>Số thửaSố thửa333</v>
      </c>
    </row>
    <row r="648" spans="1:4" x14ac:dyDescent="0.25">
      <c r="A648" s="25">
        <v>10</v>
      </c>
      <c r="B648" s="25" t="s">
        <v>487</v>
      </c>
      <c r="C648" s="26" t="s">
        <v>639</v>
      </c>
      <c r="D648" s="25" t="str">
        <f t="shared" si="10"/>
        <v>Số thửaSố thửa334</v>
      </c>
    </row>
    <row r="649" spans="1:4" x14ac:dyDescent="0.25">
      <c r="A649" s="25">
        <v>10</v>
      </c>
      <c r="B649" s="25" t="s">
        <v>524</v>
      </c>
      <c r="C649" s="26" t="s">
        <v>639</v>
      </c>
      <c r="D649" s="25" t="str">
        <f t="shared" si="10"/>
        <v>Số thửaSố thửa351</v>
      </c>
    </row>
    <row r="650" spans="1:4" x14ac:dyDescent="0.25">
      <c r="A650" s="25">
        <v>10</v>
      </c>
      <c r="B650" s="25" t="s">
        <v>641</v>
      </c>
      <c r="C650" s="26" t="s">
        <v>639</v>
      </c>
      <c r="D650" s="25" t="str">
        <f t="shared" si="10"/>
        <v>Số thửaSố thửa352</v>
      </c>
    </row>
    <row r="651" spans="1:4" x14ac:dyDescent="0.25">
      <c r="A651" s="25">
        <v>10</v>
      </c>
      <c r="B651" s="25" t="s">
        <v>145</v>
      </c>
      <c r="C651" s="26" t="s">
        <v>639</v>
      </c>
      <c r="D651" s="25" t="str">
        <f t="shared" si="10"/>
        <v>Số thửaSố thửa353</v>
      </c>
    </row>
    <row r="652" spans="1:4" x14ac:dyDescent="0.25">
      <c r="A652" s="25">
        <v>10</v>
      </c>
      <c r="B652" s="25" t="s">
        <v>146</v>
      </c>
      <c r="C652" s="26" t="s">
        <v>639</v>
      </c>
      <c r="D652" s="25" t="str">
        <f t="shared" si="10"/>
        <v>Số thửaSố thửa354</v>
      </c>
    </row>
    <row r="653" spans="1:4" x14ac:dyDescent="0.25">
      <c r="A653" s="25">
        <v>10</v>
      </c>
      <c r="B653" s="25" t="s">
        <v>642</v>
      </c>
      <c r="C653" s="26" t="s">
        <v>639</v>
      </c>
      <c r="D653" s="25" t="str">
        <f t="shared" si="10"/>
        <v>Số thửaSố thửa355</v>
      </c>
    </row>
    <row r="654" spans="1:4" x14ac:dyDescent="0.25">
      <c r="A654" s="25">
        <v>13</v>
      </c>
      <c r="B654" s="25" t="s">
        <v>416</v>
      </c>
      <c r="C654" s="26" t="s">
        <v>639</v>
      </c>
      <c r="D654" s="25" t="str">
        <f t="shared" si="10"/>
        <v>Số thửaSố thửa2</v>
      </c>
    </row>
    <row r="655" spans="1:4" x14ac:dyDescent="0.25">
      <c r="A655" s="25">
        <v>13</v>
      </c>
      <c r="B655" s="25" t="s">
        <v>414</v>
      </c>
      <c r="C655" s="26" t="s">
        <v>639</v>
      </c>
      <c r="D655" s="25" t="str">
        <f t="shared" si="10"/>
        <v>Số thửaSố thửa38</v>
      </c>
    </row>
    <row r="656" spans="1:4" x14ac:dyDescent="0.25">
      <c r="A656" s="25">
        <v>13</v>
      </c>
      <c r="B656" s="25" t="s">
        <v>643</v>
      </c>
      <c r="C656" s="26" t="s">
        <v>639</v>
      </c>
      <c r="D656" s="25" t="str">
        <f t="shared" si="10"/>
        <v>Số thửaSố thửa63</v>
      </c>
    </row>
    <row r="657" spans="1:4" x14ac:dyDescent="0.25">
      <c r="A657" s="25">
        <v>13</v>
      </c>
      <c r="B657" s="25" t="s">
        <v>378</v>
      </c>
      <c r="C657" s="26" t="s">
        <v>634</v>
      </c>
      <c r="D657" s="25" t="str">
        <f t="shared" si="10"/>
        <v>Số thửaSố thửa126</v>
      </c>
    </row>
    <row r="658" spans="1:4" x14ac:dyDescent="0.25">
      <c r="A658" s="25">
        <v>13</v>
      </c>
      <c r="B658" s="25" t="s">
        <v>192</v>
      </c>
      <c r="C658" s="26" t="s">
        <v>634</v>
      </c>
      <c r="D658" s="25" t="str">
        <f t="shared" si="10"/>
        <v>Số thửaSố thửa127</v>
      </c>
    </row>
    <row r="659" spans="1:4" x14ac:dyDescent="0.25">
      <c r="A659" s="25">
        <v>7</v>
      </c>
      <c r="B659" s="25" t="s">
        <v>644</v>
      </c>
      <c r="C659" s="26" t="s">
        <v>645</v>
      </c>
      <c r="D659" s="25" t="str">
        <f t="shared" si="10"/>
        <v>Số thửaSố thửa622</v>
      </c>
    </row>
    <row r="660" spans="1:4" x14ac:dyDescent="0.25">
      <c r="A660" s="25">
        <v>13</v>
      </c>
      <c r="B660" s="25" t="s">
        <v>288</v>
      </c>
      <c r="C660" s="26" t="s">
        <v>646</v>
      </c>
      <c r="D660" s="25" t="str">
        <f t="shared" si="10"/>
        <v>Số thửaSố thửa452</v>
      </c>
    </row>
    <row r="661" spans="1:4" x14ac:dyDescent="0.25">
      <c r="A661" s="25">
        <v>13</v>
      </c>
      <c r="B661" s="25" t="s">
        <v>647</v>
      </c>
      <c r="C661" s="26" t="s">
        <v>646</v>
      </c>
      <c r="D661" s="25" t="str">
        <f t="shared" si="10"/>
        <v>Số thửaSố thửa510</v>
      </c>
    </row>
    <row r="662" spans="1:4" x14ac:dyDescent="0.25">
      <c r="A662" s="25">
        <v>13</v>
      </c>
      <c r="B662" s="25" t="s">
        <v>648</v>
      </c>
      <c r="C662" s="26" t="s">
        <v>646</v>
      </c>
      <c r="D662" s="25" t="str">
        <f t="shared" si="10"/>
        <v>Số thửaSố thửa516</v>
      </c>
    </row>
    <row r="663" spans="1:4" x14ac:dyDescent="0.25">
      <c r="A663" s="25">
        <v>13</v>
      </c>
      <c r="B663" s="25" t="s">
        <v>649</v>
      </c>
      <c r="C663" s="26" t="s">
        <v>646</v>
      </c>
      <c r="D663" s="25" t="str">
        <f t="shared" si="10"/>
        <v>Số thửaSố thửa517</v>
      </c>
    </row>
    <row r="664" spans="1:4" x14ac:dyDescent="0.25">
      <c r="A664" s="25">
        <v>13</v>
      </c>
      <c r="B664" s="25" t="s">
        <v>306</v>
      </c>
      <c r="C664" s="26" t="s">
        <v>646</v>
      </c>
      <c r="D664" s="25" t="str">
        <f t="shared" si="10"/>
        <v>Số thửaSố thửa560</v>
      </c>
    </row>
    <row r="665" spans="1:4" x14ac:dyDescent="0.25">
      <c r="A665" s="25">
        <v>13</v>
      </c>
      <c r="B665" s="25" t="s">
        <v>650</v>
      </c>
      <c r="C665" s="26" t="s">
        <v>651</v>
      </c>
      <c r="D665" s="25" t="str">
        <f t="shared" si="10"/>
        <v>Số thửaSố thửa561</v>
      </c>
    </row>
    <row r="666" spans="1:4" x14ac:dyDescent="0.25">
      <c r="A666" s="25">
        <v>13</v>
      </c>
      <c r="B666" s="25" t="s">
        <v>652</v>
      </c>
      <c r="C666" s="26" t="s">
        <v>651</v>
      </c>
      <c r="D666" s="25" t="str">
        <f t="shared" si="10"/>
        <v>Số thửaSố thửa664</v>
      </c>
    </row>
    <row r="667" spans="1:4" x14ac:dyDescent="0.25">
      <c r="A667" s="25">
        <v>14</v>
      </c>
      <c r="B667" s="25" t="s">
        <v>653</v>
      </c>
      <c r="C667" s="26" t="s">
        <v>651</v>
      </c>
      <c r="D667" s="25" t="str">
        <f t="shared" si="10"/>
        <v>Số thửaSố thửa177</v>
      </c>
    </row>
    <row r="668" spans="1:4" x14ac:dyDescent="0.25">
      <c r="A668" s="25">
        <v>1</v>
      </c>
      <c r="B668" s="25" t="s">
        <v>654</v>
      </c>
      <c r="C668" s="26" t="s">
        <v>655</v>
      </c>
      <c r="D668" s="25" t="str">
        <f t="shared" si="10"/>
        <v>Số thửaSố thửa103</v>
      </c>
    </row>
    <row r="669" spans="1:4" x14ac:dyDescent="0.25">
      <c r="A669" s="25">
        <v>1</v>
      </c>
      <c r="B669" s="25" t="s">
        <v>379</v>
      </c>
      <c r="C669" s="26" t="s">
        <v>656</v>
      </c>
      <c r="D669" s="25" t="str">
        <f t="shared" si="10"/>
        <v>Số thửaSố thửa129</v>
      </c>
    </row>
    <row r="670" spans="1:4" x14ac:dyDescent="0.25">
      <c r="A670" s="25">
        <v>10</v>
      </c>
      <c r="B670" s="25" t="s">
        <v>275</v>
      </c>
      <c r="C670" s="26" t="s">
        <v>657</v>
      </c>
      <c r="D670" s="25" t="str">
        <f t="shared" si="10"/>
        <v>Số thửaSố thửa24</v>
      </c>
    </row>
    <row r="671" spans="1:4" x14ac:dyDescent="0.25">
      <c r="A671" s="25">
        <v>10</v>
      </c>
      <c r="B671" s="25" t="s">
        <v>460</v>
      </c>
      <c r="C671" s="26" t="s">
        <v>657</v>
      </c>
      <c r="D671" s="25" t="str">
        <f t="shared" si="10"/>
        <v>Số thửaSố thửa49</v>
      </c>
    </row>
    <row r="672" spans="1:4" x14ac:dyDescent="0.25">
      <c r="A672" s="25">
        <v>10</v>
      </c>
      <c r="B672" s="25" t="s">
        <v>196</v>
      </c>
      <c r="C672" s="26" t="s">
        <v>657</v>
      </c>
      <c r="D672" s="25" t="str">
        <f t="shared" si="10"/>
        <v>Số thửaSố thửa50</v>
      </c>
    </row>
    <row r="673" spans="1:4" x14ac:dyDescent="0.25">
      <c r="A673" s="25">
        <v>10</v>
      </c>
      <c r="B673" s="25" t="s">
        <v>658</v>
      </c>
      <c r="C673" s="26" t="s">
        <v>659</v>
      </c>
      <c r="D673" s="25" t="str">
        <f t="shared" si="10"/>
        <v>Số thửaSố thửa65</v>
      </c>
    </row>
    <row r="674" spans="1:4" x14ac:dyDescent="0.25">
      <c r="A674" s="25">
        <v>10</v>
      </c>
      <c r="B674" s="25" t="s">
        <v>660</v>
      </c>
      <c r="C674" s="26" t="s">
        <v>659</v>
      </c>
      <c r="D674" s="25" t="str">
        <f t="shared" si="10"/>
        <v>Số thửaSố thửa78</v>
      </c>
    </row>
    <row r="675" spans="1:4" x14ac:dyDescent="0.25">
      <c r="A675" s="25">
        <v>10</v>
      </c>
      <c r="B675" s="25" t="s">
        <v>466</v>
      </c>
      <c r="C675" s="26" t="s">
        <v>659</v>
      </c>
      <c r="D675" s="25" t="str">
        <f t="shared" si="10"/>
        <v>Số thửaSố thửa79</v>
      </c>
    </row>
    <row r="676" spans="1:4" x14ac:dyDescent="0.25">
      <c r="A676" s="25">
        <v>10</v>
      </c>
      <c r="B676" s="25" t="s">
        <v>661</v>
      </c>
      <c r="C676" s="26" t="s">
        <v>659</v>
      </c>
      <c r="D676" s="25" t="str">
        <f t="shared" si="10"/>
        <v>Số thửaSố thửa89</v>
      </c>
    </row>
    <row r="677" spans="1:4" x14ac:dyDescent="0.25">
      <c r="A677" s="25">
        <v>10</v>
      </c>
      <c r="B677" s="25" t="s">
        <v>662</v>
      </c>
      <c r="C677" s="26" t="s">
        <v>659</v>
      </c>
      <c r="D677" s="25" t="str">
        <f t="shared" si="10"/>
        <v>Số thửaSố thửa90</v>
      </c>
    </row>
    <row r="678" spans="1:4" x14ac:dyDescent="0.25">
      <c r="A678" s="25">
        <v>10</v>
      </c>
      <c r="B678" s="25" t="s">
        <v>470</v>
      </c>
      <c r="C678" s="26" t="s">
        <v>659</v>
      </c>
      <c r="D678" s="25" t="str">
        <f t="shared" si="10"/>
        <v>Số thửaSố thửa96</v>
      </c>
    </row>
    <row r="679" spans="1:4" x14ac:dyDescent="0.25">
      <c r="A679" s="25">
        <v>10</v>
      </c>
      <c r="B679" s="25" t="s">
        <v>348</v>
      </c>
      <c r="C679" s="26" t="s">
        <v>659</v>
      </c>
      <c r="D679" s="25" t="str">
        <f t="shared" si="10"/>
        <v>Số thửaSố thửa97</v>
      </c>
    </row>
    <row r="680" spans="1:4" x14ac:dyDescent="0.25">
      <c r="A680" s="25">
        <v>10</v>
      </c>
      <c r="B680" s="25" t="s">
        <v>314</v>
      </c>
      <c r="C680" s="26" t="s">
        <v>659</v>
      </c>
      <c r="D680" s="25" t="str">
        <f t="shared" si="10"/>
        <v>Số thửaSố thửa98</v>
      </c>
    </row>
    <row r="681" spans="1:4" x14ac:dyDescent="0.25">
      <c r="A681" s="25">
        <v>10</v>
      </c>
      <c r="B681" s="25" t="s">
        <v>71</v>
      </c>
      <c r="C681" s="26" t="s">
        <v>659</v>
      </c>
      <c r="D681" s="25" t="str">
        <f t="shared" si="10"/>
        <v>Số thửaSố thửa99</v>
      </c>
    </row>
    <row r="682" spans="1:4" x14ac:dyDescent="0.25">
      <c r="A682" s="25">
        <v>10</v>
      </c>
      <c r="B682" s="25" t="s">
        <v>194</v>
      </c>
      <c r="C682" s="26" t="s">
        <v>657</v>
      </c>
      <c r="D682" s="25" t="str">
        <f t="shared" si="10"/>
        <v>Số thửaSố thửa100</v>
      </c>
    </row>
    <row r="683" spans="1:4" x14ac:dyDescent="0.25">
      <c r="A683" s="25">
        <v>10</v>
      </c>
      <c r="B683" s="25" t="s">
        <v>106</v>
      </c>
      <c r="C683" s="26" t="s">
        <v>659</v>
      </c>
      <c r="D683" s="25" t="str">
        <f t="shared" si="10"/>
        <v>Số thửaSố thửa116</v>
      </c>
    </row>
    <row r="684" spans="1:4" x14ac:dyDescent="0.25">
      <c r="A684" s="25">
        <v>10</v>
      </c>
      <c r="B684" s="25" t="s">
        <v>374</v>
      </c>
      <c r="C684" s="26" t="s">
        <v>659</v>
      </c>
      <c r="D684" s="25" t="str">
        <f t="shared" si="10"/>
        <v>Số thửaSố thửa117</v>
      </c>
    </row>
    <row r="685" spans="1:4" x14ac:dyDescent="0.25">
      <c r="A685" s="25">
        <v>10</v>
      </c>
      <c r="B685" s="25" t="s">
        <v>107</v>
      </c>
      <c r="C685" s="26" t="s">
        <v>657</v>
      </c>
      <c r="D685" s="25" t="str">
        <f t="shared" si="10"/>
        <v>Số thửaSố thửa118</v>
      </c>
    </row>
    <row r="686" spans="1:4" x14ac:dyDescent="0.25">
      <c r="A686" s="25">
        <v>10</v>
      </c>
      <c r="B686" s="25" t="s">
        <v>376</v>
      </c>
      <c r="C686" s="26" t="s">
        <v>657</v>
      </c>
      <c r="D686" s="25" t="str">
        <f t="shared" si="10"/>
        <v>Số thửaSố thửa125</v>
      </c>
    </row>
    <row r="687" spans="1:4" x14ac:dyDescent="0.25">
      <c r="A687" s="25">
        <v>10</v>
      </c>
      <c r="B687" s="25" t="s">
        <v>378</v>
      </c>
      <c r="C687" s="26" t="s">
        <v>663</v>
      </c>
      <c r="D687" s="25" t="str">
        <f t="shared" si="10"/>
        <v>Số thửaSố thửa126</v>
      </c>
    </row>
    <row r="688" spans="1:4" x14ac:dyDescent="0.25">
      <c r="A688" s="25">
        <v>10</v>
      </c>
      <c r="B688" s="25" t="s">
        <v>192</v>
      </c>
      <c r="C688" s="26" t="s">
        <v>659</v>
      </c>
      <c r="D688" s="25" t="str">
        <f t="shared" si="10"/>
        <v>Số thửaSố thửa127</v>
      </c>
    </row>
    <row r="689" spans="1:4" x14ac:dyDescent="0.25">
      <c r="A689" s="25">
        <v>10</v>
      </c>
      <c r="B689" s="25" t="s">
        <v>664</v>
      </c>
      <c r="C689" s="26" t="s">
        <v>659</v>
      </c>
      <c r="D689" s="25" t="str">
        <f t="shared" si="10"/>
        <v>Số thửaSố thửa128</v>
      </c>
    </row>
    <row r="690" spans="1:4" x14ac:dyDescent="0.25">
      <c r="A690" s="25">
        <v>10</v>
      </c>
      <c r="B690" s="25" t="s">
        <v>379</v>
      </c>
      <c r="C690" s="26" t="s">
        <v>659</v>
      </c>
      <c r="D690" s="25" t="str">
        <f t="shared" si="10"/>
        <v>Số thửaSố thửa129</v>
      </c>
    </row>
    <row r="691" spans="1:4" x14ac:dyDescent="0.25">
      <c r="A691" s="25">
        <v>10</v>
      </c>
      <c r="B691" s="25" t="s">
        <v>380</v>
      </c>
      <c r="C691" s="26" t="s">
        <v>659</v>
      </c>
      <c r="D691" s="25" t="str">
        <f t="shared" si="10"/>
        <v>Số thửaSố thửa130</v>
      </c>
    </row>
    <row r="692" spans="1:4" x14ac:dyDescent="0.25">
      <c r="A692" s="25">
        <v>10</v>
      </c>
      <c r="B692" s="25" t="s">
        <v>665</v>
      </c>
      <c r="C692" s="26" t="s">
        <v>659</v>
      </c>
      <c r="D692" s="25" t="str">
        <f t="shared" si="10"/>
        <v>Số thửaSố thửa141</v>
      </c>
    </row>
    <row r="693" spans="1:4" x14ac:dyDescent="0.25">
      <c r="A693" s="25">
        <v>10</v>
      </c>
      <c r="B693" s="25" t="s">
        <v>666</v>
      </c>
      <c r="C693" s="26" t="s">
        <v>663</v>
      </c>
      <c r="D693" s="25" t="str">
        <f t="shared" si="10"/>
        <v>Số thửaSố thửa142</v>
      </c>
    </row>
    <row r="694" spans="1:4" x14ac:dyDescent="0.25">
      <c r="A694" s="25">
        <v>10</v>
      </c>
      <c r="B694" s="25" t="s">
        <v>667</v>
      </c>
      <c r="C694" s="26" t="s">
        <v>657</v>
      </c>
      <c r="D694" s="25" t="str">
        <f t="shared" si="10"/>
        <v>Số thửaSố thửa152</v>
      </c>
    </row>
    <row r="695" spans="1:4" x14ac:dyDescent="0.25">
      <c r="A695" s="25">
        <v>10</v>
      </c>
      <c r="B695" s="25" t="s">
        <v>668</v>
      </c>
      <c r="C695" s="26" t="s">
        <v>663</v>
      </c>
      <c r="D695" s="25" t="str">
        <f t="shared" si="10"/>
        <v>Số thửaSố thửa153</v>
      </c>
    </row>
    <row r="696" spans="1:4" x14ac:dyDescent="0.25">
      <c r="A696" s="25">
        <v>10</v>
      </c>
      <c r="B696" s="25" t="s">
        <v>669</v>
      </c>
      <c r="C696" s="26" t="s">
        <v>663</v>
      </c>
      <c r="D696" s="25" t="str">
        <f t="shared" si="10"/>
        <v>Số thửaSố thửa154</v>
      </c>
    </row>
    <row r="697" spans="1:4" x14ac:dyDescent="0.25">
      <c r="A697" s="25">
        <v>10</v>
      </c>
      <c r="B697" s="25" t="s">
        <v>312</v>
      </c>
      <c r="C697" s="26" t="s">
        <v>657</v>
      </c>
      <c r="D697" s="25" t="str">
        <f t="shared" si="10"/>
        <v>Số thửaSố thửa180</v>
      </c>
    </row>
    <row r="698" spans="1:4" x14ac:dyDescent="0.25">
      <c r="A698" s="25">
        <v>13</v>
      </c>
      <c r="B698" s="25" t="s">
        <v>387</v>
      </c>
      <c r="C698" s="26" t="s">
        <v>670</v>
      </c>
      <c r="D698" s="25" t="str">
        <f t="shared" si="10"/>
        <v>Số thửaSố thửa228</v>
      </c>
    </row>
    <row r="699" spans="1:4" x14ac:dyDescent="0.25">
      <c r="A699" s="25">
        <v>13</v>
      </c>
      <c r="B699" s="25" t="s">
        <v>671</v>
      </c>
      <c r="C699" s="26" t="s">
        <v>670</v>
      </c>
      <c r="D699" s="25" t="str">
        <f t="shared" si="10"/>
        <v>Số thửaSố thửa314</v>
      </c>
    </row>
    <row r="700" spans="1:4" x14ac:dyDescent="0.25">
      <c r="A700" s="25">
        <v>13</v>
      </c>
      <c r="B700" s="25" t="s">
        <v>672</v>
      </c>
      <c r="C700" s="26" t="s">
        <v>670</v>
      </c>
      <c r="D700" s="25" t="str">
        <f t="shared" si="10"/>
        <v>Số thửaSố thửa340</v>
      </c>
    </row>
    <row r="701" spans="1:4" x14ac:dyDescent="0.25">
      <c r="A701" s="25">
        <v>13</v>
      </c>
      <c r="B701" s="25" t="s">
        <v>673</v>
      </c>
      <c r="C701" s="26" t="s">
        <v>670</v>
      </c>
      <c r="D701" s="25" t="str">
        <f t="shared" si="10"/>
        <v>Số thửaSố thửa341</v>
      </c>
    </row>
    <row r="702" spans="1:4" x14ac:dyDescent="0.25">
      <c r="A702" s="25">
        <v>13</v>
      </c>
      <c r="B702" s="25" t="s">
        <v>674</v>
      </c>
      <c r="C702" s="26" t="s">
        <v>670</v>
      </c>
      <c r="D702" s="25" t="str">
        <f t="shared" si="10"/>
        <v>Số thửaSố thửa367</v>
      </c>
    </row>
    <row r="703" spans="1:4" x14ac:dyDescent="0.25">
      <c r="A703" s="25">
        <v>13</v>
      </c>
      <c r="B703" s="25" t="s">
        <v>526</v>
      </c>
      <c r="C703" s="26" t="s">
        <v>670</v>
      </c>
      <c r="D703" s="25" t="str">
        <f t="shared" si="10"/>
        <v>Số thửaSố thửa380</v>
      </c>
    </row>
    <row r="704" spans="1:4" x14ac:dyDescent="0.25">
      <c r="A704" s="25">
        <v>14</v>
      </c>
      <c r="B704" s="25" t="s">
        <v>83</v>
      </c>
      <c r="C704" s="26" t="s">
        <v>675</v>
      </c>
      <c r="D704" s="25" t="str">
        <f t="shared" si="10"/>
        <v>Số thửaSố thửa217</v>
      </c>
    </row>
    <row r="705" spans="1:4" x14ac:dyDescent="0.25">
      <c r="A705" s="25">
        <v>14</v>
      </c>
      <c r="B705" s="25" t="s">
        <v>676</v>
      </c>
      <c r="C705" s="26" t="s">
        <v>677</v>
      </c>
      <c r="D705" s="25" t="str">
        <f t="shared" si="10"/>
        <v>Số thửaSố thửa226</v>
      </c>
    </row>
    <row r="706" spans="1:4" x14ac:dyDescent="0.25">
      <c r="A706" s="25">
        <v>14</v>
      </c>
      <c r="B706" s="25" t="s">
        <v>676</v>
      </c>
      <c r="C706" s="26" t="s">
        <v>677</v>
      </c>
      <c r="D706" s="25" t="str">
        <f t="shared" si="10"/>
        <v>Số thửaSố thửa226</v>
      </c>
    </row>
    <row r="707" spans="1:4" x14ac:dyDescent="0.25">
      <c r="A707" s="25">
        <v>1</v>
      </c>
      <c r="B707" s="25" t="s">
        <v>472</v>
      </c>
      <c r="C707" s="26" t="s">
        <v>678</v>
      </c>
      <c r="D707" s="25" t="str">
        <f t="shared" ref="D707:D770" si="11">$B$1&amp;B707</f>
        <v>Số thửaSố thửa110</v>
      </c>
    </row>
    <row r="708" spans="1:4" x14ac:dyDescent="0.25">
      <c r="A708" s="25">
        <v>9</v>
      </c>
      <c r="B708" s="25" t="s">
        <v>174</v>
      </c>
      <c r="C708" s="26" t="s">
        <v>679</v>
      </c>
      <c r="D708" s="25" t="str">
        <f t="shared" si="11"/>
        <v>Số thửaSố thửa205</v>
      </c>
    </row>
    <row r="709" spans="1:4" x14ac:dyDescent="0.25">
      <c r="A709" s="25">
        <v>9</v>
      </c>
      <c r="B709" s="25" t="s">
        <v>680</v>
      </c>
      <c r="C709" s="26" t="s">
        <v>679</v>
      </c>
      <c r="D709" s="25" t="str">
        <f t="shared" si="11"/>
        <v>Số thửaSố thửa206</v>
      </c>
    </row>
    <row r="710" spans="1:4" x14ac:dyDescent="0.25">
      <c r="A710" s="25">
        <v>9</v>
      </c>
      <c r="B710" s="25" t="s">
        <v>385</v>
      </c>
      <c r="C710" s="26" t="s">
        <v>679</v>
      </c>
      <c r="D710" s="25" t="str">
        <f t="shared" si="11"/>
        <v>Số thửaSố thửa208</v>
      </c>
    </row>
    <row r="711" spans="1:4" x14ac:dyDescent="0.25">
      <c r="A711" s="25">
        <v>9</v>
      </c>
      <c r="B711" s="25" t="s">
        <v>681</v>
      </c>
      <c r="C711" s="26" t="s">
        <v>679</v>
      </c>
      <c r="D711" s="25" t="str">
        <f t="shared" si="11"/>
        <v>Số thửaSố thửa209</v>
      </c>
    </row>
    <row r="712" spans="1:4" x14ac:dyDescent="0.25">
      <c r="A712" s="25">
        <v>9</v>
      </c>
      <c r="B712" s="25" t="s">
        <v>676</v>
      </c>
      <c r="C712" s="26" t="s">
        <v>679</v>
      </c>
      <c r="D712" s="25" t="str">
        <f t="shared" si="11"/>
        <v>Số thửaSố thửa226</v>
      </c>
    </row>
    <row r="713" spans="1:4" x14ac:dyDescent="0.25">
      <c r="A713" s="25">
        <v>9</v>
      </c>
      <c r="B713" s="25" t="s">
        <v>682</v>
      </c>
      <c r="C713" s="26" t="s">
        <v>683</v>
      </c>
      <c r="D713" s="25" t="str">
        <f t="shared" si="11"/>
        <v>Số thửaSố thửa725</v>
      </c>
    </row>
    <row r="714" spans="1:4" x14ac:dyDescent="0.25">
      <c r="A714" s="25">
        <v>9</v>
      </c>
      <c r="B714" s="25" t="s">
        <v>541</v>
      </c>
      <c r="C714" s="26" t="s">
        <v>683</v>
      </c>
      <c r="D714" s="25" t="str">
        <f t="shared" si="11"/>
        <v>Số thửaSố thửa734</v>
      </c>
    </row>
    <row r="715" spans="1:4" x14ac:dyDescent="0.25">
      <c r="A715" s="25">
        <v>1</v>
      </c>
      <c r="B715" s="25" t="s">
        <v>274</v>
      </c>
      <c r="C715" s="26" t="s">
        <v>684</v>
      </c>
      <c r="D715" s="25" t="str">
        <f t="shared" si="11"/>
        <v>Số thửaSố thửa23</v>
      </c>
    </row>
    <row r="716" spans="1:4" x14ac:dyDescent="0.25">
      <c r="A716" s="25">
        <v>4</v>
      </c>
      <c r="B716" s="25" t="s">
        <v>685</v>
      </c>
      <c r="C716" s="26" t="s">
        <v>686</v>
      </c>
      <c r="D716" s="25" t="str">
        <f t="shared" si="11"/>
        <v>Số thửaSố thửa160</v>
      </c>
    </row>
    <row r="717" spans="1:4" x14ac:dyDescent="0.25">
      <c r="A717" s="25">
        <v>4</v>
      </c>
      <c r="B717" s="25" t="s">
        <v>73</v>
      </c>
      <c r="C717" s="26" t="s">
        <v>686</v>
      </c>
      <c r="D717" s="25" t="str">
        <f t="shared" si="11"/>
        <v>Số thửaSố thửa168</v>
      </c>
    </row>
    <row r="718" spans="1:4" x14ac:dyDescent="0.25">
      <c r="A718" s="25">
        <v>4</v>
      </c>
      <c r="B718" s="25" t="s">
        <v>357</v>
      </c>
      <c r="C718" s="26" t="s">
        <v>686</v>
      </c>
      <c r="D718" s="25" t="str">
        <f t="shared" si="11"/>
        <v>Số thửaSố thửa169</v>
      </c>
    </row>
    <row r="719" spans="1:4" x14ac:dyDescent="0.25">
      <c r="A719" s="25">
        <v>4</v>
      </c>
      <c r="B719" s="25" t="s">
        <v>84</v>
      </c>
      <c r="C719" s="26" t="s">
        <v>686</v>
      </c>
      <c r="D719" s="25" t="str">
        <f t="shared" si="11"/>
        <v>Số thửaSố thửa218</v>
      </c>
    </row>
    <row r="720" spans="1:4" x14ac:dyDescent="0.25">
      <c r="A720" s="25">
        <v>4</v>
      </c>
      <c r="B720" s="25" t="s">
        <v>85</v>
      </c>
      <c r="C720" s="26" t="s">
        <v>686</v>
      </c>
      <c r="D720" s="25" t="str">
        <f t="shared" si="11"/>
        <v>Số thửaSố thửa219</v>
      </c>
    </row>
    <row r="721" spans="1:4" x14ac:dyDescent="0.25">
      <c r="A721" s="25">
        <v>6</v>
      </c>
      <c r="B721" s="25" t="s">
        <v>687</v>
      </c>
      <c r="C721" s="26" t="s">
        <v>686</v>
      </c>
      <c r="D721" s="25" t="str">
        <f t="shared" si="11"/>
        <v>Số thửaSố thửa551</v>
      </c>
    </row>
    <row r="722" spans="1:4" x14ac:dyDescent="0.25">
      <c r="A722" s="25">
        <v>6</v>
      </c>
      <c r="B722" s="25" t="s">
        <v>333</v>
      </c>
      <c r="C722" s="26" t="s">
        <v>686</v>
      </c>
      <c r="D722" s="25" t="str">
        <f t="shared" si="11"/>
        <v>Số thửaSố thửa588</v>
      </c>
    </row>
    <row r="723" spans="1:4" x14ac:dyDescent="0.25">
      <c r="A723" s="25">
        <v>6</v>
      </c>
      <c r="B723" s="25" t="s">
        <v>688</v>
      </c>
      <c r="C723" s="26" t="s">
        <v>686</v>
      </c>
      <c r="D723" s="25" t="str">
        <f t="shared" si="11"/>
        <v>Số thửaSố thửa604</v>
      </c>
    </row>
    <row r="724" spans="1:4" x14ac:dyDescent="0.25">
      <c r="A724" s="25">
        <v>7</v>
      </c>
      <c r="B724" s="25" t="s">
        <v>200</v>
      </c>
      <c r="C724" s="26" t="s">
        <v>689</v>
      </c>
      <c r="D724" s="25" t="str">
        <f t="shared" si="11"/>
        <v>Số thửaSố thửa445</v>
      </c>
    </row>
    <row r="725" spans="1:4" x14ac:dyDescent="0.25">
      <c r="A725" s="25">
        <v>7</v>
      </c>
      <c r="B725" s="25" t="s">
        <v>690</v>
      </c>
      <c r="C725" s="26" t="s">
        <v>691</v>
      </c>
      <c r="D725" s="25" t="str">
        <f t="shared" si="11"/>
        <v>Số thửaSố thửa752</v>
      </c>
    </row>
    <row r="726" spans="1:4" x14ac:dyDescent="0.25">
      <c r="A726" s="25">
        <v>7</v>
      </c>
      <c r="B726" s="25" t="s">
        <v>690</v>
      </c>
      <c r="C726" s="26" t="s">
        <v>691</v>
      </c>
      <c r="D726" s="25" t="str">
        <f t="shared" si="11"/>
        <v>Số thửaSố thửa752</v>
      </c>
    </row>
    <row r="727" spans="1:4" x14ac:dyDescent="0.25">
      <c r="A727" s="25">
        <v>7</v>
      </c>
      <c r="B727" s="25" t="s">
        <v>692</v>
      </c>
      <c r="C727" s="26" t="s">
        <v>689</v>
      </c>
      <c r="D727" s="25" t="str">
        <f t="shared" si="11"/>
        <v>Số thửaSố thửa900</v>
      </c>
    </row>
    <row r="728" spans="1:4" x14ac:dyDescent="0.25">
      <c r="A728" s="25">
        <v>12</v>
      </c>
      <c r="B728" s="25" t="s">
        <v>58</v>
      </c>
      <c r="C728" s="26" t="s">
        <v>686</v>
      </c>
      <c r="D728" s="25" t="str">
        <f t="shared" si="11"/>
        <v>Số thửaSố thửa3</v>
      </c>
    </row>
    <row r="729" spans="1:4" x14ac:dyDescent="0.25">
      <c r="A729" s="25">
        <v>12</v>
      </c>
      <c r="B729" s="25" t="s">
        <v>59</v>
      </c>
      <c r="C729" s="26" t="s">
        <v>686</v>
      </c>
      <c r="D729" s="25" t="str">
        <f t="shared" si="11"/>
        <v>Số thửaSố thửa4</v>
      </c>
    </row>
    <row r="730" spans="1:4" x14ac:dyDescent="0.25">
      <c r="A730" s="25">
        <v>1</v>
      </c>
      <c r="B730" s="25" t="s">
        <v>693</v>
      </c>
      <c r="C730" s="26" t="s">
        <v>694</v>
      </c>
      <c r="D730" s="25" t="str">
        <f t="shared" si="11"/>
        <v>Số thửaSố thửa115</v>
      </c>
    </row>
    <row r="731" spans="1:4" x14ac:dyDescent="0.25">
      <c r="A731" s="25">
        <v>1</v>
      </c>
      <c r="B731" s="25" t="s">
        <v>378</v>
      </c>
      <c r="C731" s="26" t="s">
        <v>695</v>
      </c>
      <c r="D731" s="25" t="str">
        <f t="shared" si="11"/>
        <v>Số thửaSố thửa126</v>
      </c>
    </row>
    <row r="732" spans="1:4" x14ac:dyDescent="0.25">
      <c r="A732" s="25">
        <v>1</v>
      </c>
      <c r="B732" s="25" t="s">
        <v>100</v>
      </c>
      <c r="C732" s="26" t="s">
        <v>696</v>
      </c>
      <c r="D732" s="25" t="str">
        <f t="shared" si="11"/>
        <v>Số thửaSố thửa112</v>
      </c>
    </row>
    <row r="733" spans="1:4" x14ac:dyDescent="0.25">
      <c r="A733" s="25">
        <v>4</v>
      </c>
      <c r="B733" s="25" t="s">
        <v>367</v>
      </c>
      <c r="C733" s="26" t="s">
        <v>697</v>
      </c>
      <c r="D733" s="25" t="str">
        <f t="shared" si="11"/>
        <v>Số thửaSố thửa321</v>
      </c>
    </row>
    <row r="734" spans="1:4" x14ac:dyDescent="0.25">
      <c r="A734" s="25">
        <v>4</v>
      </c>
      <c r="B734" s="25" t="s">
        <v>368</v>
      </c>
      <c r="C734" s="26" t="s">
        <v>697</v>
      </c>
      <c r="D734" s="25" t="str">
        <f t="shared" si="11"/>
        <v>Số thửaSố thửa322</v>
      </c>
    </row>
    <row r="735" spans="1:4" x14ac:dyDescent="0.25">
      <c r="A735" s="25">
        <v>4</v>
      </c>
      <c r="B735" s="25" t="s">
        <v>698</v>
      </c>
      <c r="C735" s="26" t="s">
        <v>697</v>
      </c>
      <c r="D735" s="25" t="str">
        <f t="shared" si="11"/>
        <v>Số thửaSố thửa323</v>
      </c>
    </row>
    <row r="736" spans="1:4" x14ac:dyDescent="0.25">
      <c r="A736" s="25">
        <v>6</v>
      </c>
      <c r="B736" s="25" t="s">
        <v>74</v>
      </c>
      <c r="C736" s="26" t="s">
        <v>699</v>
      </c>
      <c r="D736" s="25" t="str">
        <f t="shared" si="11"/>
        <v>Số thửaSố thửa183</v>
      </c>
    </row>
    <row r="737" spans="1:4" x14ac:dyDescent="0.25">
      <c r="A737" s="25">
        <v>7</v>
      </c>
      <c r="B737" s="25" t="s">
        <v>497</v>
      </c>
      <c r="C737" s="26" t="s">
        <v>699</v>
      </c>
      <c r="D737" s="25" t="str">
        <f t="shared" si="11"/>
        <v>Số thửaSố thửa250</v>
      </c>
    </row>
    <row r="738" spans="1:4" x14ac:dyDescent="0.25">
      <c r="A738" s="25">
        <v>7</v>
      </c>
      <c r="B738" s="25" t="s">
        <v>700</v>
      </c>
      <c r="C738" s="26" t="s">
        <v>697</v>
      </c>
      <c r="D738" s="25" t="str">
        <f t="shared" si="11"/>
        <v>Số thửaSố thửa777</v>
      </c>
    </row>
    <row r="739" spans="1:4" x14ac:dyDescent="0.25">
      <c r="A739" s="25">
        <v>1</v>
      </c>
      <c r="B739" s="25" t="s">
        <v>701</v>
      </c>
      <c r="C739" s="26" t="s">
        <v>702</v>
      </c>
      <c r="D739" s="25" t="str">
        <f t="shared" si="11"/>
        <v>Số thửaSố thửa108</v>
      </c>
    </row>
    <row r="740" spans="1:4" x14ac:dyDescent="0.25">
      <c r="A740" s="25">
        <v>10</v>
      </c>
      <c r="B740" s="25" t="s">
        <v>121</v>
      </c>
      <c r="C740" s="26" t="s">
        <v>703</v>
      </c>
      <c r="D740" s="25" t="str">
        <f t="shared" si="11"/>
        <v>Số thửaSố thửa105</v>
      </c>
    </row>
    <row r="741" spans="1:4" x14ac:dyDescent="0.25">
      <c r="A741" s="25">
        <v>10</v>
      </c>
      <c r="B741" s="25" t="s">
        <v>372</v>
      </c>
      <c r="C741" s="26" t="s">
        <v>703</v>
      </c>
      <c r="D741" s="25" t="str">
        <f t="shared" si="11"/>
        <v>Số thửaSố thửa109</v>
      </c>
    </row>
    <row r="742" spans="1:4" x14ac:dyDescent="0.25">
      <c r="A742" s="25">
        <v>10</v>
      </c>
      <c r="B742" s="25" t="s">
        <v>472</v>
      </c>
      <c r="C742" s="26" t="s">
        <v>703</v>
      </c>
      <c r="D742" s="25" t="str">
        <f t="shared" si="11"/>
        <v>Số thửaSố thửa110</v>
      </c>
    </row>
    <row r="743" spans="1:4" x14ac:dyDescent="0.25">
      <c r="A743" s="25">
        <v>10</v>
      </c>
      <c r="B743" s="25" t="s">
        <v>704</v>
      </c>
      <c r="C743" s="26" t="s">
        <v>703</v>
      </c>
      <c r="D743" s="25" t="str">
        <f t="shared" si="11"/>
        <v>Số thửaSố thửa111</v>
      </c>
    </row>
    <row r="744" spans="1:4" x14ac:dyDescent="0.25">
      <c r="A744" s="25">
        <v>10</v>
      </c>
      <c r="B744" s="25" t="s">
        <v>135</v>
      </c>
      <c r="C744" s="26" t="s">
        <v>703</v>
      </c>
      <c r="D744" s="25" t="str">
        <f t="shared" si="11"/>
        <v>Số thửaSố thửa132</v>
      </c>
    </row>
    <row r="745" spans="1:4" x14ac:dyDescent="0.25">
      <c r="A745" s="25">
        <v>10</v>
      </c>
      <c r="B745" s="25" t="s">
        <v>393</v>
      </c>
      <c r="C745" s="26" t="s">
        <v>703</v>
      </c>
      <c r="D745" s="25" t="str">
        <f t="shared" si="11"/>
        <v>Số thửaSố thửa134</v>
      </c>
    </row>
    <row r="746" spans="1:4" x14ac:dyDescent="0.25">
      <c r="A746" s="25">
        <v>10</v>
      </c>
      <c r="B746" s="25" t="s">
        <v>705</v>
      </c>
      <c r="C746" s="26" t="s">
        <v>703</v>
      </c>
      <c r="D746" s="25" t="str">
        <f t="shared" si="11"/>
        <v>Số thửaSố thửa135</v>
      </c>
    </row>
    <row r="747" spans="1:4" x14ac:dyDescent="0.25">
      <c r="A747" s="25">
        <v>10</v>
      </c>
      <c r="B747" s="25" t="s">
        <v>706</v>
      </c>
      <c r="C747" s="26" t="s">
        <v>703</v>
      </c>
      <c r="D747" s="25" t="str">
        <f t="shared" si="11"/>
        <v>Số thửaSố thửa161</v>
      </c>
    </row>
    <row r="748" spans="1:4" x14ac:dyDescent="0.25">
      <c r="A748" s="25">
        <v>10</v>
      </c>
      <c r="B748" s="25" t="s">
        <v>707</v>
      </c>
      <c r="C748" s="26" t="s">
        <v>703</v>
      </c>
      <c r="D748" s="25" t="str">
        <f t="shared" si="11"/>
        <v>Số thửaSố thửa162</v>
      </c>
    </row>
    <row r="749" spans="1:4" x14ac:dyDescent="0.25">
      <c r="A749" s="25">
        <v>10</v>
      </c>
      <c r="B749" s="25" t="s">
        <v>708</v>
      </c>
      <c r="C749" s="26" t="s">
        <v>703</v>
      </c>
      <c r="D749" s="25" t="str">
        <f t="shared" si="11"/>
        <v>Số thửaSố thửa163</v>
      </c>
    </row>
    <row r="750" spans="1:4" x14ac:dyDescent="0.25">
      <c r="A750" s="25">
        <v>10</v>
      </c>
      <c r="B750" s="25" t="s">
        <v>709</v>
      </c>
      <c r="C750" s="26" t="s">
        <v>703</v>
      </c>
      <c r="D750" s="25" t="str">
        <f t="shared" si="11"/>
        <v>Số thửaSố thửa164</v>
      </c>
    </row>
    <row r="751" spans="1:4" x14ac:dyDescent="0.25">
      <c r="A751" s="25">
        <v>10</v>
      </c>
      <c r="B751" s="25" t="s">
        <v>397</v>
      </c>
      <c r="C751" s="26" t="s">
        <v>703</v>
      </c>
      <c r="D751" s="25" t="str">
        <f t="shared" si="11"/>
        <v>Số thửaSố thửa171</v>
      </c>
    </row>
    <row r="752" spans="1:4" x14ac:dyDescent="0.25">
      <c r="A752" s="25">
        <v>10</v>
      </c>
      <c r="B752" s="25" t="s">
        <v>710</v>
      </c>
      <c r="C752" s="26" t="s">
        <v>703</v>
      </c>
      <c r="D752" s="25" t="str">
        <f t="shared" si="11"/>
        <v>Số thửaSố thửa198</v>
      </c>
    </row>
    <row r="753" spans="1:4" x14ac:dyDescent="0.25">
      <c r="A753" s="25">
        <v>10</v>
      </c>
      <c r="B753" s="25" t="s">
        <v>711</v>
      </c>
      <c r="C753" s="26" t="s">
        <v>712</v>
      </c>
      <c r="D753" s="25" t="str">
        <f t="shared" si="11"/>
        <v>Số thửaSố thửa298</v>
      </c>
    </row>
    <row r="754" spans="1:4" x14ac:dyDescent="0.25">
      <c r="A754" s="25">
        <v>10</v>
      </c>
      <c r="B754" s="25" t="s">
        <v>711</v>
      </c>
      <c r="C754" s="26" t="s">
        <v>712</v>
      </c>
      <c r="D754" s="25" t="str">
        <f t="shared" si="11"/>
        <v>Số thửaSố thửa298</v>
      </c>
    </row>
    <row r="755" spans="1:4" x14ac:dyDescent="0.25">
      <c r="A755" s="25">
        <v>10</v>
      </c>
      <c r="B755" s="25" t="s">
        <v>713</v>
      </c>
      <c r="C755" s="26" t="s">
        <v>714</v>
      </c>
      <c r="D755" s="25" t="str">
        <f t="shared" si="11"/>
        <v>Số thửaSố thửa308</v>
      </c>
    </row>
    <row r="756" spans="1:4" x14ac:dyDescent="0.25">
      <c r="A756" s="25">
        <v>10</v>
      </c>
      <c r="B756" s="25" t="s">
        <v>715</v>
      </c>
      <c r="C756" s="26" t="s">
        <v>703</v>
      </c>
      <c r="D756" s="25" t="str">
        <f t="shared" si="11"/>
        <v>Số thửaSố thửa309</v>
      </c>
    </row>
    <row r="757" spans="1:4" x14ac:dyDescent="0.25">
      <c r="A757" s="25">
        <v>10</v>
      </c>
      <c r="B757" s="25" t="s">
        <v>216</v>
      </c>
      <c r="C757" s="26" t="s">
        <v>703</v>
      </c>
      <c r="D757" s="25" t="str">
        <f t="shared" si="11"/>
        <v>Số thửaSố thửa336</v>
      </c>
    </row>
    <row r="758" spans="1:4" x14ac:dyDescent="0.25">
      <c r="A758" s="25">
        <v>1</v>
      </c>
      <c r="B758" s="25" t="s">
        <v>468</v>
      </c>
      <c r="C758" s="26" t="s">
        <v>716</v>
      </c>
      <c r="D758" s="25" t="str">
        <f t="shared" si="11"/>
        <v>Số thửaSố thửa93</v>
      </c>
    </row>
    <row r="759" spans="1:4" x14ac:dyDescent="0.25">
      <c r="A759" s="25">
        <v>1</v>
      </c>
      <c r="B759" s="25" t="s">
        <v>108</v>
      </c>
      <c r="C759" s="26" t="s">
        <v>717</v>
      </c>
      <c r="D759" s="25" t="str">
        <f t="shared" si="11"/>
        <v>Số thửaSố thửa119</v>
      </c>
    </row>
    <row r="760" spans="1:4" x14ac:dyDescent="0.25">
      <c r="A760" s="25">
        <v>4</v>
      </c>
      <c r="B760" s="25" t="s">
        <v>242</v>
      </c>
      <c r="C760" s="26" t="s">
        <v>718</v>
      </c>
      <c r="D760" s="25" t="str">
        <f t="shared" si="11"/>
        <v>Số thửaSố thửa35</v>
      </c>
    </row>
    <row r="761" spans="1:4" x14ac:dyDescent="0.25">
      <c r="A761" s="25">
        <v>7</v>
      </c>
      <c r="B761" s="25" t="s">
        <v>719</v>
      </c>
      <c r="C761" s="26" t="s">
        <v>720</v>
      </c>
      <c r="D761" s="25" t="str">
        <f t="shared" si="11"/>
        <v>Số thửaSố thửa157</v>
      </c>
    </row>
    <row r="762" spans="1:4" x14ac:dyDescent="0.25">
      <c r="A762" s="25">
        <v>7</v>
      </c>
      <c r="B762" s="25" t="s">
        <v>171</v>
      </c>
      <c r="C762" s="26" t="s">
        <v>720</v>
      </c>
      <c r="D762" s="25" t="str">
        <f t="shared" si="11"/>
        <v>Số thửaSố thửa182</v>
      </c>
    </row>
    <row r="763" spans="1:4" x14ac:dyDescent="0.25">
      <c r="A763" s="25">
        <v>7</v>
      </c>
      <c r="B763" s="25" t="s">
        <v>74</v>
      </c>
      <c r="C763" s="26" t="s">
        <v>720</v>
      </c>
      <c r="D763" s="25" t="str">
        <f t="shared" si="11"/>
        <v>Số thửaSố thửa183</v>
      </c>
    </row>
    <row r="764" spans="1:4" x14ac:dyDescent="0.25">
      <c r="A764" s="25">
        <v>7</v>
      </c>
      <c r="B764" s="25" t="s">
        <v>567</v>
      </c>
      <c r="C764" s="26" t="s">
        <v>720</v>
      </c>
      <c r="D764" s="25" t="str">
        <f t="shared" si="11"/>
        <v>Số thửaSố thửa184</v>
      </c>
    </row>
    <row r="765" spans="1:4" x14ac:dyDescent="0.25">
      <c r="A765" s="25">
        <v>7</v>
      </c>
      <c r="B765" s="25" t="s">
        <v>680</v>
      </c>
      <c r="C765" s="26" t="s">
        <v>720</v>
      </c>
      <c r="D765" s="25" t="str">
        <f t="shared" si="11"/>
        <v>Số thửaSố thửa206</v>
      </c>
    </row>
    <row r="766" spans="1:4" x14ac:dyDescent="0.25">
      <c r="A766" s="25">
        <v>7</v>
      </c>
      <c r="B766" s="25" t="s">
        <v>175</v>
      </c>
      <c r="C766" s="26" t="s">
        <v>720</v>
      </c>
      <c r="D766" s="25" t="str">
        <f t="shared" si="11"/>
        <v>Số thửaSố thửa207</v>
      </c>
    </row>
    <row r="767" spans="1:4" x14ac:dyDescent="0.25">
      <c r="A767" s="25">
        <v>7</v>
      </c>
      <c r="B767" s="25" t="s">
        <v>385</v>
      </c>
      <c r="C767" s="26" t="s">
        <v>720</v>
      </c>
      <c r="D767" s="25" t="str">
        <f t="shared" si="11"/>
        <v>Số thửaSố thửa208</v>
      </c>
    </row>
    <row r="768" spans="1:4" x14ac:dyDescent="0.25">
      <c r="A768" s="25">
        <v>7</v>
      </c>
      <c r="B768" s="25" t="s">
        <v>90</v>
      </c>
      <c r="C768" s="26" t="s">
        <v>720</v>
      </c>
      <c r="D768" s="25" t="str">
        <f t="shared" si="11"/>
        <v>Số thửaSố thửa225</v>
      </c>
    </row>
    <row r="769" spans="1:4" x14ac:dyDescent="0.25">
      <c r="A769" s="25">
        <v>7</v>
      </c>
      <c r="B769" s="25" t="s">
        <v>721</v>
      </c>
      <c r="C769" s="26" t="s">
        <v>720</v>
      </c>
      <c r="D769" s="25" t="str">
        <f t="shared" si="11"/>
        <v>Số thửaSố thửa231</v>
      </c>
    </row>
    <row r="770" spans="1:4" x14ac:dyDescent="0.25">
      <c r="A770" s="25">
        <v>7</v>
      </c>
      <c r="B770" s="25" t="s">
        <v>402</v>
      </c>
      <c r="C770" s="26" t="s">
        <v>720</v>
      </c>
      <c r="D770" s="25" t="str">
        <f t="shared" si="11"/>
        <v>Số thửaSố thửa232</v>
      </c>
    </row>
    <row r="771" spans="1:4" x14ac:dyDescent="0.25">
      <c r="A771" s="25">
        <v>7</v>
      </c>
      <c r="B771" s="25" t="s">
        <v>388</v>
      </c>
      <c r="C771" s="26" t="s">
        <v>720</v>
      </c>
      <c r="D771" s="25" t="str">
        <f t="shared" ref="D771:D834" si="12">$B$1&amp;B771</f>
        <v>Số thửaSố thửa233</v>
      </c>
    </row>
    <row r="772" spans="1:4" x14ac:dyDescent="0.25">
      <c r="A772" s="25">
        <v>7</v>
      </c>
      <c r="B772" s="25" t="s">
        <v>389</v>
      </c>
      <c r="C772" s="26" t="s">
        <v>720</v>
      </c>
      <c r="D772" s="25" t="str">
        <f t="shared" si="12"/>
        <v>Số thửaSố thửa234</v>
      </c>
    </row>
    <row r="773" spans="1:4" x14ac:dyDescent="0.25">
      <c r="A773" s="25">
        <v>7</v>
      </c>
      <c r="B773" s="25" t="s">
        <v>390</v>
      </c>
      <c r="C773" s="26" t="s">
        <v>720</v>
      </c>
      <c r="D773" s="25" t="str">
        <f t="shared" si="12"/>
        <v>Số thửaSố thửa235</v>
      </c>
    </row>
    <row r="774" spans="1:4" x14ac:dyDescent="0.25">
      <c r="A774" s="25">
        <v>7</v>
      </c>
      <c r="B774" s="25" t="s">
        <v>91</v>
      </c>
      <c r="C774" s="26" t="s">
        <v>720</v>
      </c>
      <c r="D774" s="25" t="str">
        <f t="shared" si="12"/>
        <v>Số thửaSố thửa236</v>
      </c>
    </row>
    <row r="775" spans="1:4" x14ac:dyDescent="0.25">
      <c r="A775" s="25">
        <v>7</v>
      </c>
      <c r="B775" s="25" t="s">
        <v>224</v>
      </c>
      <c r="C775" s="26" t="s">
        <v>722</v>
      </c>
      <c r="D775" s="25" t="str">
        <f t="shared" si="12"/>
        <v>Số thửaSố thửa237</v>
      </c>
    </row>
    <row r="776" spans="1:4" x14ac:dyDescent="0.25">
      <c r="A776" s="25">
        <v>7</v>
      </c>
      <c r="B776" s="25" t="s">
        <v>92</v>
      </c>
      <c r="C776" s="26" t="s">
        <v>720</v>
      </c>
      <c r="D776" s="25" t="str">
        <f t="shared" si="12"/>
        <v>Số thửaSố thửa238</v>
      </c>
    </row>
    <row r="777" spans="1:4" x14ac:dyDescent="0.25">
      <c r="A777" s="25">
        <v>7</v>
      </c>
      <c r="B777" s="25" t="s">
        <v>723</v>
      </c>
      <c r="C777" s="26" t="s">
        <v>720</v>
      </c>
      <c r="D777" s="25" t="str">
        <f t="shared" si="12"/>
        <v>Số thửaSố thửa253</v>
      </c>
    </row>
    <row r="778" spans="1:4" x14ac:dyDescent="0.25">
      <c r="A778" s="25">
        <v>7</v>
      </c>
      <c r="B778" s="25" t="s">
        <v>724</v>
      </c>
      <c r="C778" s="26" t="s">
        <v>725</v>
      </c>
      <c r="D778" s="25" t="str">
        <f t="shared" si="12"/>
        <v>Số thửaSố thửa254</v>
      </c>
    </row>
    <row r="779" spans="1:4" x14ac:dyDescent="0.25">
      <c r="A779" s="25">
        <v>7</v>
      </c>
      <c r="B779" s="25" t="s">
        <v>726</v>
      </c>
      <c r="C779" s="26" t="s">
        <v>725</v>
      </c>
      <c r="D779" s="25" t="str">
        <f t="shared" si="12"/>
        <v>Số thửaSố thửa255</v>
      </c>
    </row>
    <row r="780" spans="1:4" x14ac:dyDescent="0.25">
      <c r="A780" s="25">
        <v>7</v>
      </c>
      <c r="B780" s="25" t="s">
        <v>727</v>
      </c>
      <c r="C780" s="26" t="s">
        <v>725</v>
      </c>
      <c r="D780" s="25" t="str">
        <f t="shared" si="12"/>
        <v>Số thửaSố thửa256</v>
      </c>
    </row>
    <row r="781" spans="1:4" x14ac:dyDescent="0.25">
      <c r="A781" s="25">
        <v>7</v>
      </c>
      <c r="B781" s="25" t="s">
        <v>728</v>
      </c>
      <c r="C781" s="26" t="s">
        <v>725</v>
      </c>
      <c r="D781" s="25" t="str">
        <f t="shared" si="12"/>
        <v>Số thửaSố thửa262</v>
      </c>
    </row>
    <row r="782" spans="1:4" x14ac:dyDescent="0.25">
      <c r="A782" s="25">
        <v>7</v>
      </c>
      <c r="B782" s="25" t="s">
        <v>485</v>
      </c>
      <c r="C782" s="26" t="s">
        <v>725</v>
      </c>
      <c r="D782" s="25" t="str">
        <f t="shared" si="12"/>
        <v>Số thửaSố thửa264</v>
      </c>
    </row>
    <row r="783" spans="1:4" x14ac:dyDescent="0.25">
      <c r="A783" s="25">
        <v>7</v>
      </c>
      <c r="B783" s="25" t="s">
        <v>361</v>
      </c>
      <c r="C783" s="26" t="s">
        <v>725</v>
      </c>
      <c r="D783" s="25" t="str">
        <f t="shared" si="12"/>
        <v>Số thửaSố thửa270</v>
      </c>
    </row>
    <row r="784" spans="1:4" x14ac:dyDescent="0.25">
      <c r="A784" s="25">
        <v>7</v>
      </c>
      <c r="B784" s="25" t="s">
        <v>729</v>
      </c>
      <c r="C784" s="26" t="s">
        <v>725</v>
      </c>
      <c r="D784" s="25" t="str">
        <f t="shared" si="12"/>
        <v>Số thửaSố thửa278</v>
      </c>
    </row>
    <row r="785" spans="1:4" x14ac:dyDescent="0.25">
      <c r="A785" s="25">
        <v>7</v>
      </c>
      <c r="B785" s="25" t="s">
        <v>730</v>
      </c>
      <c r="C785" s="26" t="s">
        <v>722</v>
      </c>
      <c r="D785" s="25" t="str">
        <f t="shared" si="12"/>
        <v>Số thửaSố thửa279</v>
      </c>
    </row>
    <row r="786" spans="1:4" x14ac:dyDescent="0.25">
      <c r="A786" s="25">
        <v>7</v>
      </c>
      <c r="B786" s="25" t="s">
        <v>366</v>
      </c>
      <c r="C786" s="26" t="s">
        <v>722</v>
      </c>
      <c r="D786" s="25" t="str">
        <f t="shared" si="12"/>
        <v>Số thửaSố thửa280</v>
      </c>
    </row>
    <row r="787" spans="1:4" x14ac:dyDescent="0.25">
      <c r="A787" s="25">
        <v>7</v>
      </c>
      <c r="B787" s="25" t="s">
        <v>731</v>
      </c>
      <c r="C787" s="26" t="s">
        <v>732</v>
      </c>
      <c r="D787" s="25" t="str">
        <f t="shared" si="12"/>
        <v>Số thửaSố thửa304</v>
      </c>
    </row>
    <row r="788" spans="1:4" x14ac:dyDescent="0.25">
      <c r="A788" s="25">
        <v>7</v>
      </c>
      <c r="B788" s="25" t="s">
        <v>731</v>
      </c>
      <c r="C788" s="26" t="s">
        <v>732</v>
      </c>
      <c r="D788" s="25" t="str">
        <f t="shared" si="12"/>
        <v>Số thửaSố thửa304</v>
      </c>
    </row>
    <row r="789" spans="1:4" x14ac:dyDescent="0.25">
      <c r="A789" s="25">
        <v>7</v>
      </c>
      <c r="B789" s="25" t="s">
        <v>713</v>
      </c>
      <c r="C789" s="26" t="s">
        <v>722</v>
      </c>
      <c r="D789" s="25" t="str">
        <f t="shared" si="12"/>
        <v>Số thửaSố thửa308</v>
      </c>
    </row>
    <row r="790" spans="1:4" x14ac:dyDescent="0.25">
      <c r="A790" s="25">
        <v>7</v>
      </c>
      <c r="B790" s="25" t="s">
        <v>715</v>
      </c>
      <c r="C790" s="26" t="s">
        <v>722</v>
      </c>
      <c r="D790" s="25" t="str">
        <f t="shared" si="12"/>
        <v>Số thửaSố thửa309</v>
      </c>
    </row>
    <row r="791" spans="1:4" x14ac:dyDescent="0.25">
      <c r="A791" s="25">
        <v>7</v>
      </c>
      <c r="B791" s="25" t="s">
        <v>404</v>
      </c>
      <c r="C791" s="26" t="s">
        <v>722</v>
      </c>
      <c r="D791" s="25" t="str">
        <f t="shared" si="12"/>
        <v>Số thửaSố thửa310</v>
      </c>
    </row>
    <row r="792" spans="1:4" x14ac:dyDescent="0.25">
      <c r="A792" s="25">
        <v>7</v>
      </c>
      <c r="B792" s="25" t="s">
        <v>733</v>
      </c>
      <c r="C792" s="26" t="s">
        <v>734</v>
      </c>
      <c r="D792" s="25" t="str">
        <f t="shared" si="12"/>
        <v>Số thửaSố thửa503</v>
      </c>
    </row>
    <row r="793" spans="1:4" x14ac:dyDescent="0.25">
      <c r="A793" s="25">
        <v>7</v>
      </c>
      <c r="B793" s="25" t="s">
        <v>430</v>
      </c>
      <c r="C793" s="26" t="s">
        <v>734</v>
      </c>
      <c r="D793" s="25" t="str">
        <f t="shared" si="12"/>
        <v>Số thửaSố thửa723</v>
      </c>
    </row>
    <row r="794" spans="1:4" x14ac:dyDescent="0.25">
      <c r="A794" s="25">
        <v>6</v>
      </c>
      <c r="B794" s="25" t="s">
        <v>735</v>
      </c>
      <c r="C794" s="26" t="s">
        <v>736</v>
      </c>
      <c r="D794" s="25" t="str">
        <f t="shared" si="12"/>
        <v>Số thửaSố thửa338</v>
      </c>
    </row>
    <row r="795" spans="1:4" x14ac:dyDescent="0.25">
      <c r="A795" s="25">
        <v>6</v>
      </c>
      <c r="B795" s="25" t="s">
        <v>284</v>
      </c>
      <c r="C795" s="26" t="s">
        <v>736</v>
      </c>
      <c r="D795" s="25" t="str">
        <f t="shared" si="12"/>
        <v>Số thửaSố thửa385</v>
      </c>
    </row>
    <row r="796" spans="1:4" x14ac:dyDescent="0.25">
      <c r="A796" s="25">
        <v>6</v>
      </c>
      <c r="B796" s="25" t="s">
        <v>184</v>
      </c>
      <c r="C796" s="26" t="s">
        <v>736</v>
      </c>
      <c r="D796" s="25" t="str">
        <f t="shared" si="12"/>
        <v>Số thửaSố thửa388</v>
      </c>
    </row>
    <row r="797" spans="1:4" x14ac:dyDescent="0.25">
      <c r="A797" s="25">
        <v>6</v>
      </c>
      <c r="B797" s="25" t="s">
        <v>452</v>
      </c>
      <c r="C797" s="26" t="s">
        <v>736</v>
      </c>
      <c r="D797" s="25" t="str">
        <f t="shared" si="12"/>
        <v>Số thửaSố thửa391</v>
      </c>
    </row>
    <row r="798" spans="1:4" x14ac:dyDescent="0.25">
      <c r="A798" s="25">
        <v>6</v>
      </c>
      <c r="B798" s="25" t="s">
        <v>370</v>
      </c>
      <c r="C798" s="26" t="s">
        <v>736</v>
      </c>
      <c r="D798" s="25" t="str">
        <f t="shared" si="12"/>
        <v>Số thửaSố thửa392</v>
      </c>
    </row>
    <row r="799" spans="1:4" x14ac:dyDescent="0.25">
      <c r="A799" s="25">
        <v>6</v>
      </c>
      <c r="B799" s="25" t="s">
        <v>530</v>
      </c>
      <c r="C799" s="26" t="s">
        <v>736</v>
      </c>
      <c r="D799" s="25" t="str">
        <f t="shared" si="12"/>
        <v>Số thửaSố thửa393</v>
      </c>
    </row>
    <row r="800" spans="1:4" x14ac:dyDescent="0.25">
      <c r="A800" s="25">
        <v>6</v>
      </c>
      <c r="B800" s="25" t="s">
        <v>605</v>
      </c>
      <c r="C800" s="26" t="s">
        <v>736</v>
      </c>
      <c r="D800" s="25" t="str">
        <f t="shared" si="12"/>
        <v>Số thửaSố thửa394</v>
      </c>
    </row>
    <row r="801" spans="1:4" x14ac:dyDescent="0.25">
      <c r="A801" s="25">
        <v>6</v>
      </c>
      <c r="B801" s="25" t="s">
        <v>148</v>
      </c>
      <c r="C801" s="26" t="s">
        <v>736</v>
      </c>
      <c r="D801" s="25" t="str">
        <f t="shared" si="12"/>
        <v>Số thửaSố thửa395</v>
      </c>
    </row>
    <row r="802" spans="1:4" x14ac:dyDescent="0.25">
      <c r="A802" s="25">
        <v>6</v>
      </c>
      <c r="B802" s="25" t="s">
        <v>737</v>
      </c>
      <c r="C802" s="26" t="s">
        <v>736</v>
      </c>
      <c r="D802" s="25" t="str">
        <f t="shared" si="12"/>
        <v>Số thửaSố thửa396</v>
      </c>
    </row>
    <row r="803" spans="1:4" x14ac:dyDescent="0.25">
      <c r="A803" s="25">
        <v>6</v>
      </c>
      <c r="B803" s="25" t="s">
        <v>738</v>
      </c>
      <c r="C803" s="26" t="s">
        <v>736</v>
      </c>
      <c r="D803" s="25" t="str">
        <f t="shared" si="12"/>
        <v>Số thửaSố thửa397</v>
      </c>
    </row>
    <row r="804" spans="1:4" x14ac:dyDescent="0.25">
      <c r="A804" s="25">
        <v>6</v>
      </c>
      <c r="B804" s="25" t="s">
        <v>739</v>
      </c>
      <c r="C804" s="26" t="s">
        <v>736</v>
      </c>
      <c r="D804" s="25" t="str">
        <f t="shared" si="12"/>
        <v>Số thửaSố thửa398</v>
      </c>
    </row>
    <row r="805" spans="1:4" x14ac:dyDescent="0.25">
      <c r="A805" s="25">
        <v>6</v>
      </c>
      <c r="B805" s="25" t="s">
        <v>740</v>
      </c>
      <c r="C805" s="26" t="s">
        <v>736</v>
      </c>
      <c r="D805" s="25" t="str">
        <f t="shared" si="12"/>
        <v>Số thửaSố thửa400</v>
      </c>
    </row>
    <row r="806" spans="1:4" x14ac:dyDescent="0.25">
      <c r="A806" s="25">
        <v>6</v>
      </c>
      <c r="B806" s="25" t="s">
        <v>286</v>
      </c>
      <c r="C806" s="26" t="s">
        <v>736</v>
      </c>
      <c r="D806" s="25" t="str">
        <f t="shared" si="12"/>
        <v>Số thửaSố thửa401</v>
      </c>
    </row>
    <row r="807" spans="1:4" x14ac:dyDescent="0.25">
      <c r="A807" s="25">
        <v>6</v>
      </c>
      <c r="B807" s="25" t="s">
        <v>553</v>
      </c>
      <c r="C807" s="26" t="s">
        <v>736</v>
      </c>
      <c r="D807" s="25" t="str">
        <f t="shared" si="12"/>
        <v>Số thửaSố thửa402</v>
      </c>
    </row>
    <row r="808" spans="1:4" x14ac:dyDescent="0.25">
      <c r="A808" s="25">
        <v>6</v>
      </c>
      <c r="B808" s="25" t="s">
        <v>616</v>
      </c>
      <c r="C808" s="26" t="s">
        <v>736</v>
      </c>
      <c r="D808" s="25" t="str">
        <f t="shared" si="12"/>
        <v>Số thửaSố thửa439</v>
      </c>
    </row>
    <row r="809" spans="1:4" x14ac:dyDescent="0.25">
      <c r="A809" s="25">
        <v>6</v>
      </c>
      <c r="B809" s="25" t="s">
        <v>617</v>
      </c>
      <c r="C809" s="26" t="s">
        <v>736</v>
      </c>
      <c r="D809" s="25" t="str">
        <f t="shared" si="12"/>
        <v>Số thửaSố thửa440</v>
      </c>
    </row>
    <row r="810" spans="1:4" x14ac:dyDescent="0.25">
      <c r="A810" s="25">
        <v>6</v>
      </c>
      <c r="B810" s="25" t="s">
        <v>618</v>
      </c>
      <c r="C810" s="26" t="s">
        <v>741</v>
      </c>
      <c r="D810" s="25" t="str">
        <f t="shared" si="12"/>
        <v>Số thửaSố thửa441</v>
      </c>
    </row>
    <row r="811" spans="1:4" x14ac:dyDescent="0.25">
      <c r="A811" s="25">
        <v>6</v>
      </c>
      <c r="B811" s="25" t="s">
        <v>742</v>
      </c>
      <c r="C811" s="26" t="s">
        <v>741</v>
      </c>
      <c r="D811" s="25" t="str">
        <f t="shared" si="12"/>
        <v>Số thửaSố thửa444</v>
      </c>
    </row>
    <row r="812" spans="1:4" x14ac:dyDescent="0.25">
      <c r="A812" s="25">
        <v>6</v>
      </c>
      <c r="B812" s="25" t="s">
        <v>743</v>
      </c>
      <c r="C812" s="26" t="s">
        <v>741</v>
      </c>
      <c r="D812" s="25" t="str">
        <f t="shared" si="12"/>
        <v>Số thửaSố thửa446</v>
      </c>
    </row>
    <row r="813" spans="1:4" x14ac:dyDescent="0.25">
      <c r="A813" s="25">
        <v>6</v>
      </c>
      <c r="B813" s="25" t="s">
        <v>744</v>
      </c>
      <c r="C813" s="26" t="s">
        <v>741</v>
      </c>
      <c r="D813" s="25" t="str">
        <f t="shared" si="12"/>
        <v>Số thửaSố thửa494</v>
      </c>
    </row>
    <row r="814" spans="1:4" x14ac:dyDescent="0.25">
      <c r="A814" s="25">
        <v>6</v>
      </c>
      <c r="B814" s="25" t="s">
        <v>745</v>
      </c>
      <c r="C814" s="26" t="s">
        <v>741</v>
      </c>
      <c r="D814" s="25" t="str">
        <f t="shared" si="12"/>
        <v>Số thửaSố thửa543</v>
      </c>
    </row>
    <row r="815" spans="1:4" x14ac:dyDescent="0.25">
      <c r="A815" s="25">
        <v>6</v>
      </c>
      <c r="B815" s="25" t="s">
        <v>431</v>
      </c>
      <c r="C815" s="26" t="s">
        <v>746</v>
      </c>
      <c r="D815" s="25" t="str">
        <f t="shared" si="12"/>
        <v>Số thửaSố thửa835</v>
      </c>
    </row>
    <row r="816" spans="1:4" x14ac:dyDescent="0.25">
      <c r="A816" s="25">
        <v>7</v>
      </c>
      <c r="B816" s="25" t="s">
        <v>255</v>
      </c>
      <c r="C816" s="26" t="s">
        <v>746</v>
      </c>
      <c r="D816" s="25" t="str">
        <f t="shared" si="12"/>
        <v>Số thửaSố thửa28</v>
      </c>
    </row>
    <row r="817" spans="1:4" x14ac:dyDescent="0.25">
      <c r="A817" s="25">
        <v>7</v>
      </c>
      <c r="B817" s="25" t="s">
        <v>747</v>
      </c>
      <c r="C817" s="26" t="s">
        <v>741</v>
      </c>
      <c r="D817" s="25" t="str">
        <f t="shared" si="12"/>
        <v>Số thửaSố thửa319</v>
      </c>
    </row>
    <row r="818" spans="1:4" x14ac:dyDescent="0.25">
      <c r="A818" s="25">
        <v>7</v>
      </c>
      <c r="B818" s="25" t="s">
        <v>748</v>
      </c>
      <c r="C818" s="26" t="s">
        <v>741</v>
      </c>
      <c r="D818" s="25" t="str">
        <f t="shared" si="12"/>
        <v>Số thửaSố thửa358</v>
      </c>
    </row>
    <row r="819" spans="1:4" x14ac:dyDescent="0.25">
      <c r="A819" s="25">
        <v>7</v>
      </c>
      <c r="B819" s="25" t="s">
        <v>182</v>
      </c>
      <c r="C819" s="26" t="s">
        <v>741</v>
      </c>
      <c r="D819" s="25" t="str">
        <f t="shared" si="12"/>
        <v>Số thửaSố thửa371</v>
      </c>
    </row>
    <row r="820" spans="1:4" x14ac:dyDescent="0.25">
      <c r="A820" s="25">
        <v>7</v>
      </c>
      <c r="B820" s="25" t="s">
        <v>183</v>
      </c>
      <c r="C820" s="26" t="s">
        <v>741</v>
      </c>
      <c r="D820" s="25" t="str">
        <f t="shared" si="12"/>
        <v>Số thửaSố thửa372</v>
      </c>
    </row>
    <row r="821" spans="1:4" x14ac:dyDescent="0.25">
      <c r="A821" s="25">
        <v>7</v>
      </c>
      <c r="B821" s="25" t="s">
        <v>749</v>
      </c>
      <c r="C821" s="26" t="s">
        <v>741</v>
      </c>
      <c r="D821" s="25" t="str">
        <f t="shared" si="12"/>
        <v>Số thửaSố thửa373</v>
      </c>
    </row>
    <row r="822" spans="1:4" x14ac:dyDescent="0.25">
      <c r="A822" s="25">
        <v>7</v>
      </c>
      <c r="B822" s="25" t="s">
        <v>740</v>
      </c>
      <c r="C822" s="26" t="s">
        <v>741</v>
      </c>
      <c r="D822" s="25" t="str">
        <f t="shared" si="12"/>
        <v>Số thửaSố thửa400</v>
      </c>
    </row>
    <row r="823" spans="1:4" x14ac:dyDescent="0.25">
      <c r="A823" s="25">
        <v>7</v>
      </c>
      <c r="B823" s="25" t="s">
        <v>286</v>
      </c>
      <c r="C823" s="26" t="s">
        <v>741</v>
      </c>
      <c r="D823" s="25" t="str">
        <f t="shared" si="12"/>
        <v>Số thửaSố thửa401</v>
      </c>
    </row>
    <row r="824" spans="1:4" x14ac:dyDescent="0.25">
      <c r="A824" s="25">
        <v>7</v>
      </c>
      <c r="B824" s="25" t="s">
        <v>750</v>
      </c>
      <c r="C824" s="26" t="s">
        <v>741</v>
      </c>
      <c r="D824" s="25" t="str">
        <f t="shared" si="12"/>
        <v>Số thửaSố thửa404</v>
      </c>
    </row>
    <row r="825" spans="1:4" x14ac:dyDescent="0.25">
      <c r="A825" s="25">
        <v>7</v>
      </c>
      <c r="B825" s="25" t="s">
        <v>751</v>
      </c>
      <c r="C825" s="26" t="s">
        <v>741</v>
      </c>
      <c r="D825" s="25" t="str">
        <f t="shared" si="12"/>
        <v>Số thửaSố thửa416</v>
      </c>
    </row>
    <row r="826" spans="1:4" x14ac:dyDescent="0.25">
      <c r="A826" s="25">
        <v>7</v>
      </c>
      <c r="B826" s="25" t="s">
        <v>608</v>
      </c>
      <c r="C826" s="26" t="s">
        <v>752</v>
      </c>
      <c r="D826" s="25" t="str">
        <f t="shared" si="12"/>
        <v>Số thửaSố thửa417</v>
      </c>
    </row>
    <row r="827" spans="1:4" x14ac:dyDescent="0.25">
      <c r="A827" s="25">
        <v>7</v>
      </c>
      <c r="B827" s="25" t="s">
        <v>609</v>
      </c>
      <c r="C827" s="26" t="s">
        <v>752</v>
      </c>
      <c r="D827" s="25" t="str">
        <f t="shared" si="12"/>
        <v>Số thửaSố thửa418</v>
      </c>
    </row>
    <row r="828" spans="1:4" x14ac:dyDescent="0.25">
      <c r="A828" s="25">
        <v>7</v>
      </c>
      <c r="B828" s="25" t="s">
        <v>753</v>
      </c>
      <c r="C828" s="26" t="s">
        <v>741</v>
      </c>
      <c r="D828" s="25" t="str">
        <f t="shared" si="12"/>
        <v>Số thửaSố thửa419</v>
      </c>
    </row>
    <row r="829" spans="1:4" x14ac:dyDescent="0.25">
      <c r="A829" s="25">
        <v>7</v>
      </c>
      <c r="B829" s="25" t="s">
        <v>754</v>
      </c>
      <c r="C829" s="26" t="s">
        <v>741</v>
      </c>
      <c r="D829" s="25" t="str">
        <f t="shared" si="12"/>
        <v>Số thửaSố thửa420</v>
      </c>
    </row>
    <row r="830" spans="1:4" x14ac:dyDescent="0.25">
      <c r="A830" s="25">
        <v>7</v>
      </c>
      <c r="B830" s="25" t="s">
        <v>755</v>
      </c>
      <c r="C830" s="26" t="s">
        <v>752</v>
      </c>
      <c r="D830" s="25" t="str">
        <f t="shared" si="12"/>
        <v>Số thửaSố thửa421</v>
      </c>
    </row>
    <row r="831" spans="1:4" x14ac:dyDescent="0.25">
      <c r="A831" s="25">
        <v>7</v>
      </c>
      <c r="B831" s="25" t="s">
        <v>756</v>
      </c>
      <c r="C831" s="26" t="s">
        <v>752</v>
      </c>
      <c r="D831" s="25" t="str">
        <f t="shared" si="12"/>
        <v>Số thửaSố thửa422</v>
      </c>
    </row>
    <row r="832" spans="1:4" x14ac:dyDescent="0.25">
      <c r="A832" s="25">
        <v>7</v>
      </c>
      <c r="B832" s="25" t="s">
        <v>291</v>
      </c>
      <c r="C832" s="26" t="s">
        <v>752</v>
      </c>
      <c r="D832" s="25" t="str">
        <f t="shared" si="12"/>
        <v>Số thửaSố thửa455</v>
      </c>
    </row>
    <row r="833" spans="1:4" x14ac:dyDescent="0.25">
      <c r="A833" s="25">
        <v>7</v>
      </c>
      <c r="B833" s="25" t="s">
        <v>757</v>
      </c>
      <c r="C833" s="26" t="s">
        <v>752</v>
      </c>
      <c r="D833" s="25" t="str">
        <f t="shared" si="12"/>
        <v>Số thửaSố thửa456</v>
      </c>
    </row>
    <row r="834" spans="1:4" x14ac:dyDescent="0.25">
      <c r="A834" s="25">
        <v>7</v>
      </c>
      <c r="B834" s="25" t="s">
        <v>758</v>
      </c>
      <c r="C834" s="26" t="s">
        <v>752</v>
      </c>
      <c r="D834" s="25" t="str">
        <f t="shared" si="12"/>
        <v>Số thửaSố thửa459</v>
      </c>
    </row>
    <row r="835" spans="1:4" x14ac:dyDescent="0.25">
      <c r="A835" s="25">
        <v>7</v>
      </c>
      <c r="B835" s="25" t="s">
        <v>759</v>
      </c>
      <c r="C835" s="26" t="s">
        <v>752</v>
      </c>
      <c r="D835" s="25" t="str">
        <f t="shared" ref="D835:D898" si="13">$B$1&amp;B835</f>
        <v>Số thửaSố thửa460</v>
      </c>
    </row>
    <row r="836" spans="1:4" x14ac:dyDescent="0.25">
      <c r="A836" s="25">
        <v>7</v>
      </c>
      <c r="B836" s="25" t="s">
        <v>760</v>
      </c>
      <c r="C836" s="26" t="s">
        <v>752</v>
      </c>
      <c r="D836" s="25" t="str">
        <f t="shared" si="13"/>
        <v>Số thửaSố thửa461</v>
      </c>
    </row>
    <row r="837" spans="1:4" x14ac:dyDescent="0.25">
      <c r="A837" s="25">
        <v>7</v>
      </c>
      <c r="B837" s="25" t="s">
        <v>761</v>
      </c>
      <c r="C837" s="26" t="s">
        <v>752</v>
      </c>
      <c r="D837" s="25" t="str">
        <f t="shared" si="13"/>
        <v>Số thửaSố thửa462</v>
      </c>
    </row>
    <row r="838" spans="1:4" x14ac:dyDescent="0.25">
      <c r="A838" s="25">
        <v>7</v>
      </c>
      <c r="B838" s="25" t="s">
        <v>762</v>
      </c>
      <c r="C838" s="26" t="s">
        <v>752</v>
      </c>
      <c r="D838" s="25" t="str">
        <f t="shared" si="13"/>
        <v>Số thửaSố thửa463</v>
      </c>
    </row>
    <row r="839" spans="1:4" x14ac:dyDescent="0.25">
      <c r="A839" s="25">
        <v>7</v>
      </c>
      <c r="B839" s="25" t="s">
        <v>744</v>
      </c>
      <c r="C839" s="26" t="s">
        <v>752</v>
      </c>
      <c r="D839" s="25" t="str">
        <f t="shared" si="13"/>
        <v>Số thửaSố thửa494</v>
      </c>
    </row>
    <row r="840" spans="1:4" x14ac:dyDescent="0.25">
      <c r="A840" s="25">
        <v>1</v>
      </c>
      <c r="B840" s="25" t="s">
        <v>763</v>
      </c>
      <c r="C840" s="26" t="s">
        <v>764</v>
      </c>
      <c r="D840" s="25" t="str">
        <f t="shared" si="13"/>
        <v>Số thửaSố thửa86</v>
      </c>
    </row>
    <row r="841" spans="1:4" x14ac:dyDescent="0.25">
      <c r="A841" s="25">
        <v>3</v>
      </c>
      <c r="B841" s="25" t="s">
        <v>286</v>
      </c>
      <c r="C841" s="26" t="s">
        <v>765</v>
      </c>
      <c r="D841" s="25" t="str">
        <f t="shared" si="13"/>
        <v>Số thửaSố thửa401</v>
      </c>
    </row>
    <row r="842" spans="1:4" x14ac:dyDescent="0.25">
      <c r="A842" s="25">
        <v>3</v>
      </c>
      <c r="B842" s="25" t="s">
        <v>534</v>
      </c>
      <c r="C842" s="26" t="s">
        <v>765</v>
      </c>
      <c r="D842" s="25" t="str">
        <f t="shared" si="13"/>
        <v>Số thửaSố thửa432</v>
      </c>
    </row>
    <row r="843" spans="1:4" x14ac:dyDescent="0.25">
      <c r="A843" s="25">
        <v>3</v>
      </c>
      <c r="B843" s="25" t="s">
        <v>610</v>
      </c>
      <c r="C843" s="26" t="s">
        <v>765</v>
      </c>
      <c r="D843" s="25" t="str">
        <f t="shared" si="13"/>
        <v>Số thửaSố thửa433</v>
      </c>
    </row>
    <row r="844" spans="1:4" x14ac:dyDescent="0.25">
      <c r="A844" s="25">
        <v>3</v>
      </c>
      <c r="B844" s="25" t="s">
        <v>537</v>
      </c>
      <c r="C844" s="26" t="s">
        <v>765</v>
      </c>
      <c r="D844" s="25" t="str">
        <f t="shared" si="13"/>
        <v>Số thửaSố thửa472</v>
      </c>
    </row>
    <row r="845" spans="1:4" x14ac:dyDescent="0.25">
      <c r="A845" s="25">
        <v>3</v>
      </c>
      <c r="B845" s="25" t="s">
        <v>766</v>
      </c>
      <c r="C845" s="26" t="s">
        <v>765</v>
      </c>
      <c r="D845" s="25" t="str">
        <f t="shared" si="13"/>
        <v>Số thửaSố thửa473</v>
      </c>
    </row>
    <row r="846" spans="1:4" x14ac:dyDescent="0.25">
      <c r="A846" s="25">
        <v>5</v>
      </c>
      <c r="B846" s="25" t="s">
        <v>62</v>
      </c>
      <c r="C846" s="26" t="s">
        <v>765</v>
      </c>
      <c r="D846" s="25" t="str">
        <f t="shared" si="13"/>
        <v>Số thửaSố thửa29</v>
      </c>
    </row>
    <row r="847" spans="1:4" x14ac:dyDescent="0.25">
      <c r="A847" s="25">
        <v>6</v>
      </c>
      <c r="B847" s="25" t="s">
        <v>497</v>
      </c>
      <c r="C847" s="26" t="s">
        <v>765</v>
      </c>
      <c r="D847" s="25" t="str">
        <f t="shared" si="13"/>
        <v>Số thửaSố thửa250</v>
      </c>
    </row>
    <row r="848" spans="1:4" x14ac:dyDescent="0.25">
      <c r="A848" s="25">
        <v>6</v>
      </c>
      <c r="B848" s="25" t="s">
        <v>713</v>
      </c>
      <c r="C848" s="26" t="s">
        <v>765</v>
      </c>
      <c r="D848" s="25" t="str">
        <f t="shared" si="13"/>
        <v>Số thửaSố thửa308</v>
      </c>
    </row>
    <row r="849" spans="1:4" x14ac:dyDescent="0.25">
      <c r="A849" s="25">
        <v>6</v>
      </c>
      <c r="B849" s="25" t="s">
        <v>715</v>
      </c>
      <c r="C849" s="26" t="s">
        <v>765</v>
      </c>
      <c r="D849" s="25" t="str">
        <f t="shared" si="13"/>
        <v>Số thửaSố thửa309</v>
      </c>
    </row>
    <row r="850" spans="1:4" x14ac:dyDescent="0.25">
      <c r="A850" s="25">
        <v>6</v>
      </c>
      <c r="B850" s="25" t="s">
        <v>404</v>
      </c>
      <c r="C850" s="26" t="s">
        <v>765</v>
      </c>
      <c r="D850" s="25" t="str">
        <f t="shared" si="13"/>
        <v>Số thửaSố thửa310</v>
      </c>
    </row>
    <row r="851" spans="1:4" x14ac:dyDescent="0.25">
      <c r="A851" s="25">
        <v>6</v>
      </c>
      <c r="B851" s="25" t="s">
        <v>146</v>
      </c>
      <c r="C851" s="26" t="s">
        <v>765</v>
      </c>
      <c r="D851" s="25" t="str">
        <f t="shared" si="13"/>
        <v>Số thửaSố thửa354</v>
      </c>
    </row>
    <row r="852" spans="1:4" x14ac:dyDescent="0.25">
      <c r="A852" s="25">
        <v>6</v>
      </c>
      <c r="B852" s="25" t="s">
        <v>642</v>
      </c>
      <c r="C852" s="26" t="s">
        <v>765</v>
      </c>
      <c r="D852" s="25" t="str">
        <f t="shared" si="13"/>
        <v>Số thửaSố thửa355</v>
      </c>
    </row>
    <row r="853" spans="1:4" x14ac:dyDescent="0.25">
      <c r="A853" s="25">
        <v>6</v>
      </c>
      <c r="B853" s="25" t="s">
        <v>767</v>
      </c>
      <c r="C853" s="26" t="s">
        <v>765</v>
      </c>
      <c r="D853" s="25" t="str">
        <f t="shared" si="13"/>
        <v>Số thửaSố thửa356</v>
      </c>
    </row>
    <row r="854" spans="1:4" x14ac:dyDescent="0.25">
      <c r="A854" s="25">
        <v>6</v>
      </c>
      <c r="B854" s="25" t="s">
        <v>754</v>
      </c>
      <c r="C854" s="26" t="s">
        <v>768</v>
      </c>
      <c r="D854" s="25" t="str">
        <f t="shared" si="13"/>
        <v>Số thửaSố thửa420</v>
      </c>
    </row>
    <row r="855" spans="1:4" x14ac:dyDescent="0.25">
      <c r="A855" s="25">
        <v>6</v>
      </c>
      <c r="B855" s="25" t="s">
        <v>754</v>
      </c>
      <c r="C855" s="26" t="s">
        <v>768</v>
      </c>
      <c r="D855" s="25" t="str">
        <f t="shared" si="13"/>
        <v>Số thửaSố thửa420</v>
      </c>
    </row>
    <row r="856" spans="1:4" x14ac:dyDescent="0.25">
      <c r="A856" s="25">
        <v>6</v>
      </c>
      <c r="B856" s="25" t="s">
        <v>150</v>
      </c>
      <c r="C856" s="26" t="s">
        <v>765</v>
      </c>
      <c r="D856" s="25" t="str">
        <f t="shared" si="13"/>
        <v>Số thửaSố thửa464</v>
      </c>
    </row>
    <row r="857" spans="1:4" x14ac:dyDescent="0.25">
      <c r="A857" s="25">
        <v>6</v>
      </c>
      <c r="B857" s="25" t="s">
        <v>769</v>
      </c>
      <c r="C857" s="26" t="s">
        <v>765</v>
      </c>
      <c r="D857" s="25" t="str">
        <f t="shared" si="13"/>
        <v>Số thửaSố thửa465</v>
      </c>
    </row>
    <row r="858" spans="1:4" x14ac:dyDescent="0.25">
      <c r="A858" s="25">
        <v>6</v>
      </c>
      <c r="B858" s="25" t="s">
        <v>770</v>
      </c>
      <c r="C858" s="26" t="s">
        <v>765</v>
      </c>
      <c r="D858" s="25" t="str">
        <f t="shared" si="13"/>
        <v>Số thửaSố thửa470</v>
      </c>
    </row>
    <row r="859" spans="1:4" x14ac:dyDescent="0.25">
      <c r="A859" s="25">
        <v>6</v>
      </c>
      <c r="B859" s="25" t="s">
        <v>771</v>
      </c>
      <c r="C859" s="26" t="s">
        <v>772</v>
      </c>
      <c r="D859" s="25" t="str">
        <f t="shared" si="13"/>
        <v>Số thửaSố thửa580</v>
      </c>
    </row>
    <row r="860" spans="1:4" x14ac:dyDescent="0.25">
      <c r="A860" s="25">
        <v>6</v>
      </c>
      <c r="B860" s="25" t="s">
        <v>773</v>
      </c>
      <c r="C860" s="26" t="s">
        <v>772</v>
      </c>
      <c r="D860" s="25" t="str">
        <f t="shared" si="13"/>
        <v>Số thửaSố thửa678</v>
      </c>
    </row>
    <row r="861" spans="1:4" x14ac:dyDescent="0.25">
      <c r="A861" s="25">
        <v>7</v>
      </c>
      <c r="B861" s="25" t="s">
        <v>774</v>
      </c>
      <c r="C861" s="26" t="s">
        <v>775</v>
      </c>
      <c r="D861" s="25" t="str">
        <f t="shared" si="13"/>
        <v>Số thửaSố thửa789</v>
      </c>
    </row>
    <row r="862" spans="1:4" x14ac:dyDescent="0.25">
      <c r="A862" s="25">
        <v>7</v>
      </c>
      <c r="B862" s="25" t="s">
        <v>774</v>
      </c>
      <c r="C862" s="26" t="s">
        <v>775</v>
      </c>
      <c r="D862" s="25" t="str">
        <f t="shared" si="13"/>
        <v>Số thửaSố thửa789</v>
      </c>
    </row>
    <row r="863" spans="1:4" x14ac:dyDescent="0.25">
      <c r="A863" s="25">
        <v>6</v>
      </c>
      <c r="B863" s="25" t="s">
        <v>557</v>
      </c>
      <c r="C863" s="26" t="s">
        <v>776</v>
      </c>
      <c r="D863" s="25" t="str">
        <f t="shared" si="13"/>
        <v>Số thửaSố thửa87</v>
      </c>
    </row>
    <row r="864" spans="1:4" x14ac:dyDescent="0.25">
      <c r="A864" s="25">
        <v>6</v>
      </c>
      <c r="B864" s="25" t="s">
        <v>661</v>
      </c>
      <c r="C864" s="26" t="s">
        <v>776</v>
      </c>
      <c r="D864" s="25" t="str">
        <f t="shared" si="13"/>
        <v>Số thửaSố thửa89</v>
      </c>
    </row>
    <row r="865" spans="1:4" x14ac:dyDescent="0.25">
      <c r="A865" s="25">
        <v>6</v>
      </c>
      <c r="B865" s="25" t="s">
        <v>777</v>
      </c>
      <c r="C865" s="26" t="s">
        <v>776</v>
      </c>
      <c r="D865" s="25" t="str">
        <f t="shared" si="13"/>
        <v>Số thửaSố thửa91</v>
      </c>
    </row>
    <row r="866" spans="1:4" x14ac:dyDescent="0.25">
      <c r="A866" s="25">
        <v>6</v>
      </c>
      <c r="B866" s="25" t="s">
        <v>382</v>
      </c>
      <c r="C866" s="26" t="s">
        <v>776</v>
      </c>
      <c r="D866" s="25" t="str">
        <f t="shared" si="13"/>
        <v>Số thửaSố thửa146</v>
      </c>
    </row>
    <row r="867" spans="1:4" x14ac:dyDescent="0.25">
      <c r="A867" s="25">
        <v>6</v>
      </c>
      <c r="B867" s="25" t="s">
        <v>383</v>
      </c>
      <c r="C867" s="26" t="s">
        <v>776</v>
      </c>
      <c r="D867" s="25" t="str">
        <f t="shared" si="13"/>
        <v>Số thửaSố thửa148</v>
      </c>
    </row>
    <row r="868" spans="1:4" x14ac:dyDescent="0.25">
      <c r="A868" s="25">
        <v>6</v>
      </c>
      <c r="B868" s="25" t="s">
        <v>510</v>
      </c>
      <c r="C868" s="26" t="s">
        <v>776</v>
      </c>
      <c r="D868" s="25" t="str">
        <f t="shared" si="13"/>
        <v>Số thửaSố thửa149</v>
      </c>
    </row>
    <row r="869" spans="1:4" x14ac:dyDescent="0.25">
      <c r="A869" s="25">
        <v>6</v>
      </c>
      <c r="B869" s="25" t="s">
        <v>511</v>
      </c>
      <c r="C869" s="26" t="s">
        <v>776</v>
      </c>
      <c r="D869" s="25" t="str">
        <f t="shared" si="13"/>
        <v>Số thửaSố thửa150</v>
      </c>
    </row>
    <row r="870" spans="1:4" x14ac:dyDescent="0.25">
      <c r="A870" s="25">
        <v>6</v>
      </c>
      <c r="B870" s="25" t="s">
        <v>456</v>
      </c>
      <c r="C870" s="26" t="s">
        <v>776</v>
      </c>
      <c r="D870" s="25" t="str">
        <f t="shared" si="13"/>
        <v>Số thửaSố thửa151</v>
      </c>
    </row>
    <row r="871" spans="1:4" x14ac:dyDescent="0.25">
      <c r="A871" s="25">
        <v>6</v>
      </c>
      <c r="B871" s="25" t="s">
        <v>778</v>
      </c>
      <c r="C871" s="26" t="s">
        <v>776</v>
      </c>
      <c r="D871" s="25" t="str">
        <f t="shared" si="13"/>
        <v>Số thửaSố thửa155</v>
      </c>
    </row>
    <row r="872" spans="1:4" x14ac:dyDescent="0.25">
      <c r="A872" s="25">
        <v>6</v>
      </c>
      <c r="B872" s="25" t="s">
        <v>346</v>
      </c>
      <c r="C872" s="26" t="s">
        <v>776</v>
      </c>
      <c r="D872" s="25" t="str">
        <f t="shared" si="13"/>
        <v>Số thửaSố thửa156</v>
      </c>
    </row>
    <row r="873" spans="1:4" x14ac:dyDescent="0.25">
      <c r="A873" s="25">
        <v>6</v>
      </c>
      <c r="B873" s="25" t="s">
        <v>719</v>
      </c>
      <c r="C873" s="26" t="s">
        <v>776</v>
      </c>
      <c r="D873" s="25" t="str">
        <f t="shared" si="13"/>
        <v>Số thửaSố thửa157</v>
      </c>
    </row>
    <row r="874" spans="1:4" x14ac:dyDescent="0.25">
      <c r="A874" s="25">
        <v>6</v>
      </c>
      <c r="B874" s="25" t="s">
        <v>87</v>
      </c>
      <c r="C874" s="26" t="s">
        <v>776</v>
      </c>
      <c r="D874" s="25" t="str">
        <f t="shared" si="13"/>
        <v>Số thửaSố thửa221</v>
      </c>
    </row>
    <row r="875" spans="1:4" x14ac:dyDescent="0.25">
      <c r="A875" s="25">
        <v>6</v>
      </c>
      <c r="B875" s="25" t="s">
        <v>491</v>
      </c>
      <c r="C875" s="26" t="s">
        <v>779</v>
      </c>
      <c r="D875" s="25" t="str">
        <f t="shared" si="13"/>
        <v>Số thửaSố thửa521</v>
      </c>
    </row>
    <row r="876" spans="1:4" x14ac:dyDescent="0.25">
      <c r="A876" s="25">
        <v>1</v>
      </c>
      <c r="B876" s="25" t="s">
        <v>273</v>
      </c>
      <c r="C876" s="26" t="s">
        <v>780</v>
      </c>
      <c r="D876" s="25" t="str">
        <f t="shared" si="13"/>
        <v>Số thửaSố thửa22</v>
      </c>
    </row>
    <row r="877" spans="1:4" x14ac:dyDescent="0.25">
      <c r="A877" s="25">
        <v>1</v>
      </c>
      <c r="B877" s="25" t="s">
        <v>704</v>
      </c>
      <c r="C877" s="26" t="s">
        <v>781</v>
      </c>
      <c r="D877" s="25" t="str">
        <f t="shared" si="13"/>
        <v>Số thửaSố thửa111</v>
      </c>
    </row>
    <row r="878" spans="1:4" x14ac:dyDescent="0.25">
      <c r="A878" s="25">
        <v>4</v>
      </c>
      <c r="B878" s="25" t="s">
        <v>638</v>
      </c>
      <c r="C878" s="26" t="s">
        <v>782</v>
      </c>
      <c r="D878" s="25" t="str">
        <f t="shared" si="13"/>
        <v>Số thửaSố thửa328</v>
      </c>
    </row>
    <row r="879" spans="1:4" x14ac:dyDescent="0.25">
      <c r="A879" s="25">
        <v>4</v>
      </c>
      <c r="B879" s="25" t="s">
        <v>248</v>
      </c>
      <c r="C879" s="26" t="s">
        <v>782</v>
      </c>
      <c r="D879" s="25" t="str">
        <f t="shared" si="13"/>
        <v>Số thửaSố thửa346</v>
      </c>
    </row>
    <row r="880" spans="1:4" x14ac:dyDescent="0.25">
      <c r="A880" s="25">
        <v>4</v>
      </c>
      <c r="B880" s="25" t="s">
        <v>250</v>
      </c>
      <c r="C880" s="26" t="s">
        <v>782</v>
      </c>
      <c r="D880" s="25" t="str">
        <f t="shared" si="13"/>
        <v>Số thửaSố thửa347</v>
      </c>
    </row>
    <row r="881" spans="1:4" x14ac:dyDescent="0.25">
      <c r="A881" s="25">
        <v>4</v>
      </c>
      <c r="B881" s="25" t="s">
        <v>251</v>
      </c>
      <c r="C881" s="26" t="s">
        <v>782</v>
      </c>
      <c r="D881" s="25" t="str">
        <f t="shared" si="13"/>
        <v>Số thửaSố thửa348</v>
      </c>
    </row>
    <row r="882" spans="1:4" x14ac:dyDescent="0.25">
      <c r="A882" s="25">
        <v>4</v>
      </c>
      <c r="B882" s="25" t="s">
        <v>783</v>
      </c>
      <c r="C882" s="26" t="s">
        <v>782</v>
      </c>
      <c r="D882" s="25" t="str">
        <f t="shared" si="13"/>
        <v>Số thửaSố thửa349</v>
      </c>
    </row>
    <row r="883" spans="1:4" x14ac:dyDescent="0.25">
      <c r="A883" s="25">
        <v>4</v>
      </c>
      <c r="B883" s="25" t="s">
        <v>674</v>
      </c>
      <c r="C883" s="26" t="s">
        <v>782</v>
      </c>
      <c r="D883" s="25" t="str">
        <f t="shared" si="13"/>
        <v>Số thửaSố thửa367</v>
      </c>
    </row>
    <row r="884" spans="1:4" x14ac:dyDescent="0.25">
      <c r="A884" s="25">
        <v>4</v>
      </c>
      <c r="B884" s="25" t="s">
        <v>784</v>
      </c>
      <c r="C884" s="26" t="s">
        <v>782</v>
      </c>
      <c r="D884" s="25" t="str">
        <f t="shared" si="13"/>
        <v>Số thửaSố thửa368</v>
      </c>
    </row>
    <row r="885" spans="1:4" x14ac:dyDescent="0.25">
      <c r="A885" s="25">
        <v>4</v>
      </c>
      <c r="B885" s="25" t="s">
        <v>552</v>
      </c>
      <c r="C885" s="26" t="s">
        <v>782</v>
      </c>
      <c r="D885" s="25" t="str">
        <f t="shared" si="13"/>
        <v>Số thửaSố thửa369</v>
      </c>
    </row>
    <row r="886" spans="1:4" x14ac:dyDescent="0.25">
      <c r="A886" s="25">
        <v>4</v>
      </c>
      <c r="B886" s="25" t="s">
        <v>530</v>
      </c>
      <c r="C886" s="26" t="s">
        <v>782</v>
      </c>
      <c r="D886" s="25" t="str">
        <f t="shared" si="13"/>
        <v>Số thửaSố thửa393</v>
      </c>
    </row>
    <row r="887" spans="1:4" x14ac:dyDescent="0.25">
      <c r="A887" s="25">
        <v>4</v>
      </c>
      <c r="B887" s="25" t="s">
        <v>605</v>
      </c>
      <c r="C887" s="26" t="s">
        <v>782</v>
      </c>
      <c r="D887" s="25" t="str">
        <f t="shared" si="13"/>
        <v>Số thửaSố thửa394</v>
      </c>
    </row>
    <row r="888" spans="1:4" x14ac:dyDescent="0.25">
      <c r="A888" s="25">
        <v>4</v>
      </c>
      <c r="B888" s="25" t="s">
        <v>608</v>
      </c>
      <c r="C888" s="26" t="s">
        <v>782</v>
      </c>
      <c r="D888" s="25" t="str">
        <f t="shared" si="13"/>
        <v>Số thửaSố thửa417</v>
      </c>
    </row>
    <row r="889" spans="1:4" x14ac:dyDescent="0.25">
      <c r="A889" s="25">
        <v>6</v>
      </c>
      <c r="B889" s="25" t="s">
        <v>785</v>
      </c>
      <c r="C889" s="26" t="s">
        <v>786</v>
      </c>
      <c r="D889" s="25" t="str">
        <f t="shared" si="13"/>
        <v>Số thửaSố thửa683</v>
      </c>
    </row>
    <row r="890" spans="1:4" x14ac:dyDescent="0.25">
      <c r="A890" s="25">
        <v>6</v>
      </c>
      <c r="B890" s="25" t="s">
        <v>635</v>
      </c>
      <c r="C890" s="26" t="s">
        <v>786</v>
      </c>
      <c r="D890" s="25" t="str">
        <f t="shared" si="13"/>
        <v>Số thửaSố thửa709</v>
      </c>
    </row>
    <row r="891" spans="1:4" x14ac:dyDescent="0.25">
      <c r="A891" s="25">
        <v>7</v>
      </c>
      <c r="B891" s="25" t="s">
        <v>627</v>
      </c>
      <c r="C891" s="26" t="s">
        <v>787</v>
      </c>
      <c r="D891" s="25" t="str">
        <f t="shared" si="13"/>
        <v>Số thửaSố thửa749</v>
      </c>
    </row>
    <row r="892" spans="1:4" x14ac:dyDescent="0.25">
      <c r="A892" s="25">
        <v>7</v>
      </c>
      <c r="B892" s="25" t="s">
        <v>627</v>
      </c>
      <c r="C892" s="26" t="s">
        <v>787</v>
      </c>
      <c r="D892" s="25" t="str">
        <f t="shared" si="13"/>
        <v>Số thửaSố thửa749</v>
      </c>
    </row>
    <row r="893" spans="1:4" x14ac:dyDescent="0.25">
      <c r="A893" s="25">
        <v>1</v>
      </c>
      <c r="B893" s="25" t="s">
        <v>788</v>
      </c>
      <c r="C893" s="26" t="s">
        <v>789</v>
      </c>
      <c r="D893" s="25" t="str">
        <f t="shared" si="13"/>
        <v>Số thửaSố thửa18</v>
      </c>
    </row>
    <row r="894" spans="1:4" x14ac:dyDescent="0.25">
      <c r="A894" s="25">
        <v>6</v>
      </c>
      <c r="B894" s="25" t="s">
        <v>790</v>
      </c>
      <c r="C894" s="26" t="s">
        <v>791</v>
      </c>
      <c r="D894" s="25" t="str">
        <f t="shared" si="13"/>
        <v>Số thửaSố thửa448</v>
      </c>
    </row>
    <row r="895" spans="1:4" x14ac:dyDescent="0.25">
      <c r="A895" s="25">
        <v>6</v>
      </c>
      <c r="B895" s="25" t="s">
        <v>500</v>
      </c>
      <c r="C895" s="26" t="s">
        <v>791</v>
      </c>
      <c r="D895" s="25" t="str">
        <f t="shared" si="13"/>
        <v>Số thửaSố thửa489</v>
      </c>
    </row>
    <row r="896" spans="1:4" x14ac:dyDescent="0.25">
      <c r="A896" s="25">
        <v>6</v>
      </c>
      <c r="B896" s="25" t="s">
        <v>501</v>
      </c>
      <c r="C896" s="26" t="s">
        <v>791</v>
      </c>
      <c r="D896" s="25" t="str">
        <f t="shared" si="13"/>
        <v>Số thửaSố thửa490</v>
      </c>
    </row>
    <row r="897" spans="1:4" x14ac:dyDescent="0.25">
      <c r="A897" s="25">
        <v>6</v>
      </c>
      <c r="B897" s="25" t="s">
        <v>572</v>
      </c>
      <c r="C897" s="26" t="s">
        <v>791</v>
      </c>
      <c r="D897" s="25" t="str">
        <f t="shared" si="13"/>
        <v>Số thửaSố thửa491</v>
      </c>
    </row>
    <row r="898" spans="1:4" x14ac:dyDescent="0.25">
      <c r="A898" s="25">
        <v>6</v>
      </c>
      <c r="B898" s="25" t="s">
        <v>516</v>
      </c>
      <c r="C898" s="26" t="s">
        <v>791</v>
      </c>
      <c r="D898" s="25" t="str">
        <f t="shared" si="13"/>
        <v>Số thửaSố thửa492</v>
      </c>
    </row>
    <row r="899" spans="1:4" x14ac:dyDescent="0.25">
      <c r="A899" s="25">
        <v>6</v>
      </c>
      <c r="B899" s="25" t="s">
        <v>792</v>
      </c>
      <c r="C899" s="26" t="s">
        <v>791</v>
      </c>
      <c r="D899" s="25" t="str">
        <f t="shared" ref="D899:D962" si="14">$B$1&amp;B899</f>
        <v>Số thửaSố thửa495</v>
      </c>
    </row>
    <row r="900" spans="1:4" x14ac:dyDescent="0.25">
      <c r="A900" s="25">
        <v>6</v>
      </c>
      <c r="B900" s="25" t="s">
        <v>503</v>
      </c>
      <c r="C900" s="26" t="s">
        <v>791</v>
      </c>
      <c r="D900" s="25" t="str">
        <f t="shared" si="14"/>
        <v>Số thửaSố thửa498</v>
      </c>
    </row>
    <row r="901" spans="1:4" x14ac:dyDescent="0.25">
      <c r="A901" s="25">
        <v>6</v>
      </c>
      <c r="B901" s="25" t="s">
        <v>504</v>
      </c>
      <c r="C901" s="26" t="s">
        <v>791</v>
      </c>
      <c r="D901" s="25" t="str">
        <f t="shared" si="14"/>
        <v>Số thửaSố thửa500</v>
      </c>
    </row>
    <row r="902" spans="1:4" x14ac:dyDescent="0.25">
      <c r="A902" s="25">
        <v>6</v>
      </c>
      <c r="B902" s="25" t="s">
        <v>505</v>
      </c>
      <c r="C902" s="26" t="s">
        <v>791</v>
      </c>
      <c r="D902" s="25" t="str">
        <f t="shared" si="14"/>
        <v>Số thửaSố thửa501</v>
      </c>
    </row>
    <row r="903" spans="1:4" x14ac:dyDescent="0.25">
      <c r="A903" s="25">
        <v>6</v>
      </c>
      <c r="B903" s="25" t="s">
        <v>506</v>
      </c>
      <c r="C903" s="26" t="s">
        <v>791</v>
      </c>
      <c r="D903" s="25" t="str">
        <f t="shared" si="14"/>
        <v>Số thửaSố thửa502</v>
      </c>
    </row>
    <row r="904" spans="1:4" x14ac:dyDescent="0.25">
      <c r="A904" s="25">
        <v>6</v>
      </c>
      <c r="B904" s="25" t="s">
        <v>733</v>
      </c>
      <c r="C904" s="26" t="s">
        <v>791</v>
      </c>
      <c r="D904" s="25" t="str">
        <f t="shared" si="14"/>
        <v>Số thửaSố thửa503</v>
      </c>
    </row>
    <row r="905" spans="1:4" x14ac:dyDescent="0.25">
      <c r="A905" s="25">
        <v>6</v>
      </c>
      <c r="B905" s="25" t="s">
        <v>793</v>
      </c>
      <c r="C905" s="26" t="s">
        <v>794</v>
      </c>
      <c r="D905" s="25" t="str">
        <f t="shared" si="14"/>
        <v>Số thửaSố thửa537</v>
      </c>
    </row>
    <row r="906" spans="1:4" x14ac:dyDescent="0.25">
      <c r="A906" s="25">
        <v>7</v>
      </c>
      <c r="B906" s="25" t="s">
        <v>795</v>
      </c>
      <c r="C906" s="26" t="s">
        <v>796</v>
      </c>
      <c r="D906" s="25" t="str">
        <f t="shared" si="14"/>
        <v>Số thửaSố thửa831</v>
      </c>
    </row>
    <row r="907" spans="1:4" x14ac:dyDescent="0.25">
      <c r="A907" s="25">
        <v>7</v>
      </c>
      <c r="B907" s="25" t="s">
        <v>795</v>
      </c>
      <c r="C907" s="26" t="s">
        <v>796</v>
      </c>
      <c r="D907" s="25" t="str">
        <f t="shared" si="14"/>
        <v>Số thửaSố thửa831</v>
      </c>
    </row>
    <row r="908" spans="1:4" x14ac:dyDescent="0.25">
      <c r="A908" s="25">
        <v>4</v>
      </c>
      <c r="B908" s="25" t="s">
        <v>797</v>
      </c>
      <c r="C908" s="26" t="s">
        <v>798</v>
      </c>
      <c r="D908" s="25" t="str">
        <f t="shared" si="14"/>
        <v>Số thửaSố thửa246</v>
      </c>
    </row>
    <row r="909" spans="1:4" x14ac:dyDescent="0.25">
      <c r="A909" s="25">
        <v>4</v>
      </c>
      <c r="B909" s="25" t="s">
        <v>603</v>
      </c>
      <c r="C909" s="26" t="s">
        <v>799</v>
      </c>
      <c r="D909" s="25" t="str">
        <f t="shared" si="14"/>
        <v>Số thửaSố thửa294</v>
      </c>
    </row>
    <row r="910" spans="1:4" x14ac:dyDescent="0.25">
      <c r="A910" s="25">
        <v>6</v>
      </c>
      <c r="B910" s="25" t="s">
        <v>120</v>
      </c>
      <c r="C910" s="26" t="s">
        <v>800</v>
      </c>
      <c r="D910" s="25" t="str">
        <f t="shared" si="14"/>
        <v>Số thửaSố thửa891</v>
      </c>
    </row>
    <row r="911" spans="1:4" x14ac:dyDescent="0.25">
      <c r="A911" s="25">
        <v>6</v>
      </c>
      <c r="B911" s="25" t="s">
        <v>801</v>
      </c>
      <c r="C911" s="26" t="s">
        <v>800</v>
      </c>
      <c r="D911" s="25" t="str">
        <f t="shared" si="14"/>
        <v>Số thửaSố thửa907</v>
      </c>
    </row>
    <row r="912" spans="1:4" x14ac:dyDescent="0.25">
      <c r="A912" s="25">
        <v>6</v>
      </c>
      <c r="B912" s="25" t="s">
        <v>802</v>
      </c>
      <c r="C912" s="26" t="s">
        <v>803</v>
      </c>
      <c r="D912" s="25" t="str">
        <f t="shared" si="14"/>
        <v>Số thửaSố thửa920</v>
      </c>
    </row>
    <row r="913" spans="1:4" x14ac:dyDescent="0.25">
      <c r="A913" s="25">
        <v>7</v>
      </c>
      <c r="B913" s="25" t="s">
        <v>804</v>
      </c>
      <c r="C913" s="26" t="s">
        <v>799</v>
      </c>
      <c r="D913" s="25" t="str">
        <f t="shared" si="14"/>
        <v>Số thửaSố thửa632</v>
      </c>
    </row>
    <row r="914" spans="1:4" x14ac:dyDescent="0.25">
      <c r="A914" s="25">
        <v>6</v>
      </c>
      <c r="B914" s="25" t="s">
        <v>363</v>
      </c>
      <c r="C914" s="26" t="s">
        <v>805</v>
      </c>
      <c r="D914" s="25" t="str">
        <f t="shared" si="14"/>
        <v>Số thửaSố thửa275</v>
      </c>
    </row>
    <row r="915" spans="1:4" x14ac:dyDescent="0.25">
      <c r="A915" s="25">
        <v>6</v>
      </c>
      <c r="B915" s="25" t="s">
        <v>364</v>
      </c>
      <c r="C915" s="26" t="s">
        <v>805</v>
      </c>
      <c r="D915" s="25" t="str">
        <f t="shared" si="14"/>
        <v>Số thửaSố thửa276</v>
      </c>
    </row>
    <row r="916" spans="1:4" x14ac:dyDescent="0.25">
      <c r="A916" s="25">
        <v>6</v>
      </c>
      <c r="B916" s="25" t="s">
        <v>747</v>
      </c>
      <c r="C916" s="26" t="s">
        <v>805</v>
      </c>
      <c r="D916" s="25" t="str">
        <f t="shared" si="14"/>
        <v>Số thửaSố thửa319</v>
      </c>
    </row>
    <row r="917" spans="1:4" x14ac:dyDescent="0.25">
      <c r="A917" s="25">
        <v>6</v>
      </c>
      <c r="B917" s="25" t="s">
        <v>806</v>
      </c>
      <c r="C917" s="26" t="s">
        <v>805</v>
      </c>
      <c r="D917" s="25" t="str">
        <f t="shared" si="14"/>
        <v>Số thửaSố thửa320</v>
      </c>
    </row>
    <row r="918" spans="1:4" x14ac:dyDescent="0.25">
      <c r="A918" s="25">
        <v>6</v>
      </c>
      <c r="B918" s="25" t="s">
        <v>367</v>
      </c>
      <c r="C918" s="26" t="s">
        <v>805</v>
      </c>
      <c r="D918" s="25" t="str">
        <f t="shared" si="14"/>
        <v>Số thửaSố thửa321</v>
      </c>
    </row>
    <row r="919" spans="1:4" x14ac:dyDescent="0.25">
      <c r="A919" s="25">
        <v>6</v>
      </c>
      <c r="B919" s="25" t="s">
        <v>368</v>
      </c>
      <c r="C919" s="26" t="s">
        <v>805</v>
      </c>
      <c r="D919" s="25" t="str">
        <f t="shared" si="14"/>
        <v>Số thửaSố thửa322</v>
      </c>
    </row>
    <row r="920" spans="1:4" x14ac:dyDescent="0.25">
      <c r="A920" s="25">
        <v>6</v>
      </c>
      <c r="B920" s="25" t="s">
        <v>250</v>
      </c>
      <c r="C920" s="26" t="s">
        <v>805</v>
      </c>
      <c r="D920" s="25" t="str">
        <f t="shared" si="14"/>
        <v>Số thửaSố thửa347</v>
      </c>
    </row>
    <row r="921" spans="1:4" x14ac:dyDescent="0.25">
      <c r="A921" s="25">
        <v>6</v>
      </c>
      <c r="B921" s="25" t="s">
        <v>251</v>
      </c>
      <c r="C921" s="26" t="s">
        <v>805</v>
      </c>
      <c r="D921" s="25" t="str">
        <f t="shared" si="14"/>
        <v>Số thửaSố thửa348</v>
      </c>
    </row>
    <row r="922" spans="1:4" x14ac:dyDescent="0.25">
      <c r="A922" s="25">
        <v>6</v>
      </c>
      <c r="B922" s="25" t="s">
        <v>783</v>
      </c>
      <c r="C922" s="26" t="s">
        <v>805</v>
      </c>
      <c r="D922" s="25" t="str">
        <f t="shared" si="14"/>
        <v>Số thửaSố thửa349</v>
      </c>
    </row>
    <row r="923" spans="1:4" x14ac:dyDescent="0.25">
      <c r="A923" s="25">
        <v>6</v>
      </c>
      <c r="B923" s="25" t="s">
        <v>807</v>
      </c>
      <c r="C923" s="26" t="s">
        <v>805</v>
      </c>
      <c r="D923" s="25" t="str">
        <f t="shared" si="14"/>
        <v>Số thửaSố thửa374</v>
      </c>
    </row>
    <row r="924" spans="1:4" x14ac:dyDescent="0.25">
      <c r="A924" s="25">
        <v>6</v>
      </c>
      <c r="B924" s="25" t="s">
        <v>808</v>
      </c>
      <c r="C924" s="26" t="s">
        <v>805</v>
      </c>
      <c r="D924" s="25" t="str">
        <f t="shared" si="14"/>
        <v>Số thửaSố thửa375</v>
      </c>
    </row>
    <row r="925" spans="1:4" x14ac:dyDescent="0.25">
      <c r="A925" s="25">
        <v>6</v>
      </c>
      <c r="B925" s="25" t="s">
        <v>147</v>
      </c>
      <c r="C925" s="26" t="s">
        <v>805</v>
      </c>
      <c r="D925" s="25" t="str">
        <f t="shared" si="14"/>
        <v>Số thửaSố thửa376</v>
      </c>
    </row>
    <row r="926" spans="1:4" x14ac:dyDescent="0.25">
      <c r="A926" s="25">
        <v>6</v>
      </c>
      <c r="B926" s="25" t="s">
        <v>809</v>
      </c>
      <c r="C926" s="26" t="s">
        <v>805</v>
      </c>
      <c r="D926" s="25" t="str">
        <f t="shared" si="14"/>
        <v>Số thửaSố thửa407</v>
      </c>
    </row>
    <row r="927" spans="1:4" x14ac:dyDescent="0.25">
      <c r="A927" s="25">
        <v>1</v>
      </c>
      <c r="B927" s="25" t="s">
        <v>661</v>
      </c>
      <c r="C927" s="26" t="s">
        <v>810</v>
      </c>
      <c r="D927" s="25" t="str">
        <f t="shared" si="14"/>
        <v>Số thửaSố thửa89</v>
      </c>
    </row>
    <row r="928" spans="1:4" x14ac:dyDescent="0.25">
      <c r="A928" s="25">
        <v>2</v>
      </c>
      <c r="B928" s="25" t="s">
        <v>811</v>
      </c>
      <c r="C928" s="26" t="s">
        <v>812</v>
      </c>
      <c r="D928" s="25" t="str">
        <f t="shared" si="14"/>
        <v>Số thửaSố thửa357</v>
      </c>
    </row>
    <row r="929" spans="1:4" x14ac:dyDescent="0.25">
      <c r="A929" s="25">
        <v>2</v>
      </c>
      <c r="B929" s="25" t="s">
        <v>252</v>
      </c>
      <c r="C929" s="26" t="s">
        <v>812</v>
      </c>
      <c r="D929" s="25" t="str">
        <f t="shared" si="14"/>
        <v>Số thửaSố thửa359</v>
      </c>
    </row>
    <row r="930" spans="1:4" x14ac:dyDescent="0.25">
      <c r="A930" s="25">
        <v>2</v>
      </c>
      <c r="B930" s="25" t="s">
        <v>253</v>
      </c>
      <c r="C930" s="26" t="s">
        <v>812</v>
      </c>
      <c r="D930" s="25" t="str">
        <f t="shared" si="14"/>
        <v>Số thửaSố thửa360</v>
      </c>
    </row>
    <row r="931" spans="1:4" x14ac:dyDescent="0.25">
      <c r="A931" s="25">
        <v>2</v>
      </c>
      <c r="B931" s="25" t="s">
        <v>813</v>
      </c>
      <c r="C931" s="26" t="s">
        <v>812</v>
      </c>
      <c r="D931" s="25" t="str">
        <f t="shared" si="14"/>
        <v>Số thửaSố thửa362</v>
      </c>
    </row>
    <row r="932" spans="1:4" x14ac:dyDescent="0.25">
      <c r="A932" s="25">
        <v>2</v>
      </c>
      <c r="B932" s="25" t="s">
        <v>814</v>
      </c>
      <c r="C932" s="26" t="s">
        <v>812</v>
      </c>
      <c r="D932" s="25" t="str">
        <f t="shared" si="14"/>
        <v>Số thửaSố thửa363</v>
      </c>
    </row>
    <row r="933" spans="1:4" x14ac:dyDescent="0.25">
      <c r="A933" s="25">
        <v>2</v>
      </c>
      <c r="B933" s="25" t="s">
        <v>815</v>
      </c>
      <c r="C933" s="26" t="s">
        <v>812</v>
      </c>
      <c r="D933" s="25" t="str">
        <f t="shared" si="14"/>
        <v>Số thửaSố thửa364</v>
      </c>
    </row>
    <row r="934" spans="1:4" x14ac:dyDescent="0.25">
      <c r="A934" s="25">
        <v>2</v>
      </c>
      <c r="B934" s="25" t="s">
        <v>183</v>
      </c>
      <c r="C934" s="26" t="s">
        <v>816</v>
      </c>
      <c r="D934" s="25" t="str">
        <f t="shared" si="14"/>
        <v>Số thửaSố thửa372</v>
      </c>
    </row>
    <row r="935" spans="1:4" x14ac:dyDescent="0.25">
      <c r="A935" s="25">
        <v>2</v>
      </c>
      <c r="B935" s="25" t="s">
        <v>807</v>
      </c>
      <c r="C935" s="26" t="s">
        <v>812</v>
      </c>
      <c r="D935" s="25" t="str">
        <f t="shared" si="14"/>
        <v>Số thửaSố thửa374</v>
      </c>
    </row>
    <row r="936" spans="1:4" x14ac:dyDescent="0.25">
      <c r="A936" s="25">
        <v>2</v>
      </c>
      <c r="B936" s="25" t="s">
        <v>808</v>
      </c>
      <c r="C936" s="26" t="s">
        <v>812</v>
      </c>
      <c r="D936" s="25" t="str">
        <f t="shared" si="14"/>
        <v>Số thửaSố thửa375</v>
      </c>
    </row>
    <row r="937" spans="1:4" x14ac:dyDescent="0.25">
      <c r="A937" s="25">
        <v>5</v>
      </c>
      <c r="B937" s="25" t="s">
        <v>66</v>
      </c>
      <c r="C937" s="26" t="s">
        <v>816</v>
      </c>
      <c r="D937" s="25" t="str">
        <f t="shared" si="14"/>
        <v>Số thửaSố thửa62</v>
      </c>
    </row>
    <row r="938" spans="1:4" x14ac:dyDescent="0.25">
      <c r="A938" s="25">
        <v>6</v>
      </c>
      <c r="B938" s="25" t="s">
        <v>174</v>
      </c>
      <c r="C938" s="26" t="s">
        <v>812</v>
      </c>
      <c r="D938" s="25" t="str">
        <f t="shared" si="14"/>
        <v>Số thửaSố thửa205</v>
      </c>
    </row>
    <row r="939" spans="1:4" x14ac:dyDescent="0.25">
      <c r="A939" s="25">
        <v>6</v>
      </c>
      <c r="B939" s="25" t="s">
        <v>224</v>
      </c>
      <c r="C939" s="26" t="s">
        <v>812</v>
      </c>
      <c r="D939" s="25" t="str">
        <f t="shared" si="14"/>
        <v>Số thửaSố thửa237</v>
      </c>
    </row>
    <row r="940" spans="1:4" x14ac:dyDescent="0.25">
      <c r="A940" s="25">
        <v>6</v>
      </c>
      <c r="B940" s="25" t="s">
        <v>92</v>
      </c>
      <c r="C940" s="26" t="s">
        <v>812</v>
      </c>
      <c r="D940" s="25" t="str">
        <f t="shared" si="14"/>
        <v>Số thửaSố thửa238</v>
      </c>
    </row>
    <row r="941" spans="1:4" x14ac:dyDescent="0.25">
      <c r="A941" s="25">
        <v>6</v>
      </c>
      <c r="B941" s="25" t="s">
        <v>93</v>
      </c>
      <c r="C941" s="26" t="s">
        <v>812</v>
      </c>
      <c r="D941" s="25" t="str">
        <f t="shared" si="14"/>
        <v>Số thửaSố thửa239</v>
      </c>
    </row>
    <row r="942" spans="1:4" x14ac:dyDescent="0.25">
      <c r="A942" s="25">
        <v>6</v>
      </c>
      <c r="B942" s="25" t="s">
        <v>94</v>
      </c>
      <c r="C942" s="26" t="s">
        <v>812</v>
      </c>
      <c r="D942" s="25" t="str">
        <f t="shared" si="14"/>
        <v>Số thửaSố thửa240</v>
      </c>
    </row>
    <row r="943" spans="1:4" x14ac:dyDescent="0.25">
      <c r="A943" s="25">
        <v>6</v>
      </c>
      <c r="B943" s="25" t="s">
        <v>95</v>
      </c>
      <c r="C943" s="26" t="s">
        <v>812</v>
      </c>
      <c r="D943" s="25" t="str">
        <f t="shared" si="14"/>
        <v>Số thửaSố thửa241</v>
      </c>
    </row>
    <row r="944" spans="1:4" x14ac:dyDescent="0.25">
      <c r="A944" s="25">
        <v>6</v>
      </c>
      <c r="B944" s="25" t="s">
        <v>96</v>
      </c>
      <c r="C944" s="26" t="s">
        <v>812</v>
      </c>
      <c r="D944" s="25" t="str">
        <f t="shared" si="14"/>
        <v>Số thửaSố thửa242</v>
      </c>
    </row>
    <row r="945" spans="1:4" x14ac:dyDescent="0.25">
      <c r="A945" s="25">
        <v>6</v>
      </c>
      <c r="B945" s="25" t="s">
        <v>97</v>
      </c>
      <c r="C945" s="26" t="s">
        <v>812</v>
      </c>
      <c r="D945" s="25" t="str">
        <f t="shared" si="14"/>
        <v>Số thửaSố thửa243</v>
      </c>
    </row>
    <row r="946" spans="1:4" x14ac:dyDescent="0.25">
      <c r="A946" s="25">
        <v>6</v>
      </c>
      <c r="B946" s="25" t="s">
        <v>817</v>
      </c>
      <c r="C946" s="26" t="s">
        <v>818</v>
      </c>
      <c r="D946" s="25" t="str">
        <f t="shared" si="14"/>
        <v>Số thửaSố thửa244</v>
      </c>
    </row>
    <row r="947" spans="1:4" x14ac:dyDescent="0.25">
      <c r="A947" s="25">
        <v>6</v>
      </c>
      <c r="B947" s="25" t="s">
        <v>819</v>
      </c>
      <c r="C947" s="26" t="s">
        <v>818</v>
      </c>
      <c r="D947" s="25" t="str">
        <f t="shared" si="14"/>
        <v>Số thửaSố thửa284</v>
      </c>
    </row>
    <row r="948" spans="1:4" x14ac:dyDescent="0.25">
      <c r="A948" s="25">
        <v>6</v>
      </c>
      <c r="B948" s="25" t="s">
        <v>820</v>
      </c>
      <c r="C948" s="26" t="s">
        <v>816</v>
      </c>
      <c r="D948" s="25" t="str">
        <f t="shared" si="14"/>
        <v>Số thửaSố thửa811</v>
      </c>
    </row>
    <row r="949" spans="1:4" x14ac:dyDescent="0.25">
      <c r="A949" s="25">
        <v>6</v>
      </c>
      <c r="B949" s="25" t="s">
        <v>795</v>
      </c>
      <c r="C949" s="26" t="s">
        <v>821</v>
      </c>
      <c r="D949" s="25" t="str">
        <f t="shared" si="14"/>
        <v>Số thửaSố thửa831</v>
      </c>
    </row>
    <row r="950" spans="1:4" x14ac:dyDescent="0.25">
      <c r="A950" s="25">
        <v>6</v>
      </c>
      <c r="B950" s="25" t="s">
        <v>795</v>
      </c>
      <c r="C950" s="26" t="s">
        <v>821</v>
      </c>
      <c r="D950" s="25" t="str">
        <f t="shared" si="14"/>
        <v>Số thửaSố thửa831</v>
      </c>
    </row>
    <row r="951" spans="1:4" x14ac:dyDescent="0.25">
      <c r="A951" s="25">
        <v>6</v>
      </c>
      <c r="B951" s="25" t="s">
        <v>822</v>
      </c>
      <c r="C951" s="26" t="s">
        <v>816</v>
      </c>
      <c r="D951" s="25" t="str">
        <f t="shared" si="14"/>
        <v>Số thửaSố thửa858</v>
      </c>
    </row>
    <row r="952" spans="1:4" x14ac:dyDescent="0.25">
      <c r="A952" s="25">
        <v>1</v>
      </c>
      <c r="B952" s="25" t="s">
        <v>823</v>
      </c>
      <c r="C952" s="26" t="s">
        <v>824</v>
      </c>
      <c r="D952" s="25" t="str">
        <f t="shared" si="14"/>
        <v>Số thửaSố thửa95</v>
      </c>
    </row>
    <row r="953" spans="1:4" x14ac:dyDescent="0.25">
      <c r="A953" s="25">
        <v>1</v>
      </c>
      <c r="B953" s="25" t="s">
        <v>374</v>
      </c>
      <c r="C953" s="26" t="s">
        <v>825</v>
      </c>
      <c r="D953" s="25" t="str">
        <f t="shared" si="14"/>
        <v>Số thửaSố thửa117</v>
      </c>
    </row>
    <row r="954" spans="1:4" x14ac:dyDescent="0.25">
      <c r="A954" s="25">
        <v>1</v>
      </c>
      <c r="B954" s="25" t="s">
        <v>372</v>
      </c>
      <c r="C954" s="26" t="s">
        <v>826</v>
      </c>
      <c r="D954" s="25" t="str">
        <f t="shared" si="14"/>
        <v>Số thửaSố thửa109</v>
      </c>
    </row>
    <row r="955" spans="1:4" x14ac:dyDescent="0.25">
      <c r="A955" s="25">
        <v>1</v>
      </c>
      <c r="B955" s="25" t="s">
        <v>244</v>
      </c>
      <c r="C955" s="26" t="s">
        <v>827</v>
      </c>
      <c r="D955" s="25" t="str">
        <f t="shared" si="14"/>
        <v>Số thửaSố thửa45</v>
      </c>
    </row>
    <row r="956" spans="1:4" x14ac:dyDescent="0.25">
      <c r="A956" s="25">
        <v>1</v>
      </c>
      <c r="B956" s="25" t="s">
        <v>632</v>
      </c>
      <c r="C956" s="26" t="s">
        <v>828</v>
      </c>
      <c r="D956" s="25" t="str">
        <f t="shared" si="14"/>
        <v>Số thửaSố thửa54</v>
      </c>
    </row>
    <row r="957" spans="1:4" x14ac:dyDescent="0.25">
      <c r="A957" s="25">
        <v>6</v>
      </c>
      <c r="B957" s="25" t="s">
        <v>829</v>
      </c>
      <c r="C957" s="26" t="s">
        <v>830</v>
      </c>
      <c r="D957" s="25" t="str">
        <f t="shared" si="14"/>
        <v>Số thửaSố thửa167</v>
      </c>
    </row>
    <row r="958" spans="1:4" x14ac:dyDescent="0.25">
      <c r="A958" s="25">
        <v>6</v>
      </c>
      <c r="B958" s="25" t="s">
        <v>73</v>
      </c>
      <c r="C958" s="26" t="s">
        <v>830</v>
      </c>
      <c r="D958" s="25" t="str">
        <f t="shared" si="14"/>
        <v>Số thửaSố thửa168</v>
      </c>
    </row>
    <row r="959" spans="1:4" x14ac:dyDescent="0.25">
      <c r="A959" s="25">
        <v>6</v>
      </c>
      <c r="B959" s="25" t="s">
        <v>357</v>
      </c>
      <c r="C959" s="26" t="s">
        <v>830</v>
      </c>
      <c r="D959" s="25" t="str">
        <f t="shared" si="14"/>
        <v>Số thửaSố thửa169</v>
      </c>
    </row>
    <row r="960" spans="1:4" x14ac:dyDescent="0.25">
      <c r="A960" s="25">
        <v>6</v>
      </c>
      <c r="B960" s="25" t="s">
        <v>355</v>
      </c>
      <c r="C960" s="26" t="s">
        <v>831</v>
      </c>
      <c r="D960" s="25" t="str">
        <f t="shared" si="14"/>
        <v>Số thửaSố thửa832</v>
      </c>
    </row>
    <row r="961" spans="1:4" x14ac:dyDescent="0.25">
      <c r="A961" s="25">
        <v>6</v>
      </c>
      <c r="B961" s="25" t="s">
        <v>237</v>
      </c>
      <c r="C961" s="26" t="s">
        <v>830</v>
      </c>
      <c r="D961" s="25" t="str">
        <f t="shared" si="14"/>
        <v>Số thửaSố thửa844</v>
      </c>
    </row>
    <row r="962" spans="1:4" x14ac:dyDescent="0.25">
      <c r="A962" s="25">
        <v>6</v>
      </c>
      <c r="B962" s="25" t="s">
        <v>832</v>
      </c>
      <c r="C962" s="26" t="s">
        <v>831</v>
      </c>
      <c r="D962" s="25" t="str">
        <f t="shared" si="14"/>
        <v>Số thửaSố thửa859</v>
      </c>
    </row>
    <row r="963" spans="1:4" x14ac:dyDescent="0.25">
      <c r="A963" s="25">
        <v>6</v>
      </c>
      <c r="B963" s="25" t="s">
        <v>833</v>
      </c>
      <c r="C963" s="26" t="s">
        <v>830</v>
      </c>
      <c r="D963" s="25" t="str">
        <f t="shared" ref="D963:D1026" si="15">$B$1&amp;B963</f>
        <v>Số thửaSố thửa861</v>
      </c>
    </row>
    <row r="964" spans="1:4" x14ac:dyDescent="0.25">
      <c r="A964" s="25">
        <v>6</v>
      </c>
      <c r="B964" s="25" t="s">
        <v>158</v>
      </c>
      <c r="C964" s="26" t="s">
        <v>830</v>
      </c>
      <c r="D964" s="25" t="str">
        <f t="shared" si="15"/>
        <v>Số thửaSố thửa862</v>
      </c>
    </row>
    <row r="965" spans="1:4" x14ac:dyDescent="0.25">
      <c r="A965" s="25">
        <v>6</v>
      </c>
      <c r="B965" s="25" t="s">
        <v>834</v>
      </c>
      <c r="C965" s="26" t="s">
        <v>830</v>
      </c>
      <c r="D965" s="25" t="str">
        <f t="shared" si="15"/>
        <v>Số thửaSố thửa863</v>
      </c>
    </row>
    <row r="966" spans="1:4" x14ac:dyDescent="0.25">
      <c r="A966" s="25">
        <v>6</v>
      </c>
      <c r="B966" s="25" t="s">
        <v>835</v>
      </c>
      <c r="C966" s="26" t="s">
        <v>831</v>
      </c>
      <c r="D966" s="25" t="str">
        <f t="shared" si="15"/>
        <v>Số thửaSố thửa870</v>
      </c>
    </row>
    <row r="967" spans="1:4" x14ac:dyDescent="0.25">
      <c r="A967" s="25">
        <v>6</v>
      </c>
      <c r="B967" s="25" t="s">
        <v>836</v>
      </c>
      <c r="C967" s="26" t="s">
        <v>831</v>
      </c>
      <c r="D967" s="25" t="str">
        <f t="shared" si="15"/>
        <v>Số thửaSố thửa871</v>
      </c>
    </row>
    <row r="968" spans="1:4" x14ac:dyDescent="0.25">
      <c r="A968" s="25">
        <v>6</v>
      </c>
      <c r="B968" s="25" t="s">
        <v>562</v>
      </c>
      <c r="C968" s="26" t="s">
        <v>831</v>
      </c>
      <c r="D968" s="25" t="str">
        <f t="shared" si="15"/>
        <v>Số thửaSố thửa872</v>
      </c>
    </row>
    <row r="969" spans="1:4" x14ac:dyDescent="0.25">
      <c r="A969" s="25">
        <v>6</v>
      </c>
      <c r="B969" s="25" t="s">
        <v>563</v>
      </c>
      <c r="C969" s="26" t="s">
        <v>831</v>
      </c>
      <c r="D969" s="25" t="str">
        <f t="shared" si="15"/>
        <v>Số thửaSố thửa873</v>
      </c>
    </row>
    <row r="970" spans="1:4" x14ac:dyDescent="0.25">
      <c r="A970" s="25">
        <v>6</v>
      </c>
      <c r="B970" s="25" t="s">
        <v>837</v>
      </c>
      <c r="C970" s="26" t="s">
        <v>831</v>
      </c>
      <c r="D970" s="25" t="str">
        <f t="shared" si="15"/>
        <v>Số thửaSố thửa874</v>
      </c>
    </row>
    <row r="971" spans="1:4" x14ac:dyDescent="0.25">
      <c r="A971" s="25">
        <v>6</v>
      </c>
      <c r="B971" s="25" t="s">
        <v>838</v>
      </c>
      <c r="C971" s="26" t="s">
        <v>831</v>
      </c>
      <c r="D971" s="25" t="str">
        <f t="shared" si="15"/>
        <v>Số thửaSố thửa875</v>
      </c>
    </row>
    <row r="972" spans="1:4" x14ac:dyDescent="0.25">
      <c r="A972" s="25">
        <v>6</v>
      </c>
      <c r="B972" s="25" t="s">
        <v>839</v>
      </c>
      <c r="C972" s="26" t="s">
        <v>840</v>
      </c>
      <c r="D972" s="25" t="str">
        <f t="shared" si="15"/>
        <v>Số thửaSố thửa876</v>
      </c>
    </row>
    <row r="973" spans="1:4" x14ac:dyDescent="0.25">
      <c r="A973" s="25">
        <v>6</v>
      </c>
      <c r="B973" s="25" t="s">
        <v>839</v>
      </c>
      <c r="C973" s="26" t="s">
        <v>840</v>
      </c>
      <c r="D973" s="25" t="str">
        <f t="shared" si="15"/>
        <v>Số thửaSố thửa876</v>
      </c>
    </row>
    <row r="974" spans="1:4" x14ac:dyDescent="0.25">
      <c r="A974" s="25">
        <v>6</v>
      </c>
      <c r="B974" s="25" t="s">
        <v>841</v>
      </c>
      <c r="C974" s="26" t="s">
        <v>830</v>
      </c>
      <c r="D974" s="25" t="str">
        <f t="shared" si="15"/>
        <v>Số thửaSố thửa898</v>
      </c>
    </row>
    <row r="975" spans="1:4" x14ac:dyDescent="0.25">
      <c r="A975" s="25">
        <v>6</v>
      </c>
      <c r="B975" s="25" t="s">
        <v>692</v>
      </c>
      <c r="C975" s="26" t="s">
        <v>831</v>
      </c>
      <c r="D975" s="25" t="str">
        <f t="shared" si="15"/>
        <v>Số thửaSố thửa900</v>
      </c>
    </row>
    <row r="976" spans="1:4" x14ac:dyDescent="0.25">
      <c r="A976" s="25">
        <v>1</v>
      </c>
      <c r="B976" s="25" t="s">
        <v>376</v>
      </c>
      <c r="C976" s="26" t="s">
        <v>842</v>
      </c>
      <c r="D976" s="25" t="str">
        <f t="shared" si="15"/>
        <v>Số thửaSố thửa125</v>
      </c>
    </row>
    <row r="977" spans="1:4" x14ac:dyDescent="0.25">
      <c r="A977" s="25">
        <v>4</v>
      </c>
      <c r="B977" s="25" t="s">
        <v>282</v>
      </c>
      <c r="C977" s="26" t="s">
        <v>843</v>
      </c>
      <c r="D977" s="25" t="str">
        <f t="shared" si="15"/>
        <v>Số thửaSố thửa324</v>
      </c>
    </row>
    <row r="978" spans="1:4" x14ac:dyDescent="0.25">
      <c r="A978" s="25">
        <v>4</v>
      </c>
      <c r="B978" s="25" t="s">
        <v>524</v>
      </c>
      <c r="C978" s="26" t="s">
        <v>843</v>
      </c>
      <c r="D978" s="25" t="str">
        <f t="shared" si="15"/>
        <v>Số thửaSố thửa351</v>
      </c>
    </row>
    <row r="979" spans="1:4" x14ac:dyDescent="0.25">
      <c r="A979" s="25">
        <v>4</v>
      </c>
      <c r="B979" s="25" t="s">
        <v>641</v>
      </c>
      <c r="C979" s="26" t="s">
        <v>843</v>
      </c>
      <c r="D979" s="25" t="str">
        <f t="shared" si="15"/>
        <v>Số thửaSố thửa352</v>
      </c>
    </row>
    <row r="980" spans="1:4" x14ac:dyDescent="0.25">
      <c r="A980" s="25">
        <v>4</v>
      </c>
      <c r="B980" s="25" t="s">
        <v>145</v>
      </c>
      <c r="C980" s="26" t="s">
        <v>843</v>
      </c>
      <c r="D980" s="25" t="str">
        <f t="shared" si="15"/>
        <v>Số thửaSố thửa353</v>
      </c>
    </row>
    <row r="981" spans="1:4" x14ac:dyDescent="0.25">
      <c r="A981" s="25">
        <v>4</v>
      </c>
      <c r="B981" s="25" t="s">
        <v>146</v>
      </c>
      <c r="C981" s="26" t="s">
        <v>843</v>
      </c>
      <c r="D981" s="25" t="str">
        <f t="shared" si="15"/>
        <v>Số thửaSố thửa354</v>
      </c>
    </row>
    <row r="982" spans="1:4" x14ac:dyDescent="0.25">
      <c r="A982" s="25">
        <v>4</v>
      </c>
      <c r="B982" s="25" t="s">
        <v>814</v>
      </c>
      <c r="C982" s="26" t="s">
        <v>843</v>
      </c>
      <c r="D982" s="25" t="str">
        <f t="shared" si="15"/>
        <v>Số thửaSố thửa363</v>
      </c>
    </row>
    <row r="983" spans="1:4" x14ac:dyDescent="0.25">
      <c r="A983" s="25">
        <v>4</v>
      </c>
      <c r="B983" s="25" t="s">
        <v>815</v>
      </c>
      <c r="C983" s="26" t="s">
        <v>843</v>
      </c>
      <c r="D983" s="25" t="str">
        <f t="shared" si="15"/>
        <v>Số thửaSố thửa364</v>
      </c>
    </row>
    <row r="984" spans="1:4" x14ac:dyDescent="0.25">
      <c r="A984" s="25">
        <v>4</v>
      </c>
      <c r="B984" s="25" t="s">
        <v>844</v>
      </c>
      <c r="C984" s="26" t="s">
        <v>843</v>
      </c>
      <c r="D984" s="25" t="str">
        <f t="shared" si="15"/>
        <v>Số thửaSố thửa365</v>
      </c>
    </row>
    <row r="985" spans="1:4" x14ac:dyDescent="0.25">
      <c r="A985" s="25">
        <v>4</v>
      </c>
      <c r="B985" s="25" t="s">
        <v>845</v>
      </c>
      <c r="C985" s="26" t="s">
        <v>843</v>
      </c>
      <c r="D985" s="25" t="str">
        <f t="shared" si="15"/>
        <v>Số thửaSố thửa366</v>
      </c>
    </row>
    <row r="986" spans="1:4" x14ac:dyDescent="0.25">
      <c r="A986" s="25">
        <v>4</v>
      </c>
      <c r="B986" s="25" t="s">
        <v>148</v>
      </c>
      <c r="C986" s="26" t="s">
        <v>843</v>
      </c>
      <c r="D986" s="25" t="str">
        <f t="shared" si="15"/>
        <v>Số thửaSố thửa395</v>
      </c>
    </row>
    <row r="987" spans="1:4" x14ac:dyDescent="0.25">
      <c r="A987" s="25">
        <v>4</v>
      </c>
      <c r="B987" s="25" t="s">
        <v>737</v>
      </c>
      <c r="C987" s="26" t="s">
        <v>843</v>
      </c>
      <c r="D987" s="25" t="str">
        <f t="shared" si="15"/>
        <v>Số thửaSố thửa396</v>
      </c>
    </row>
    <row r="988" spans="1:4" x14ac:dyDescent="0.25">
      <c r="A988" s="25">
        <v>4</v>
      </c>
      <c r="B988" s="25" t="s">
        <v>846</v>
      </c>
      <c r="C988" s="26" t="s">
        <v>843</v>
      </c>
      <c r="D988" s="25" t="str">
        <f t="shared" si="15"/>
        <v>Số thửaSố thửa409</v>
      </c>
    </row>
    <row r="989" spans="1:4" x14ac:dyDescent="0.25">
      <c r="A989" s="25">
        <v>4</v>
      </c>
      <c r="B989" s="25" t="s">
        <v>847</v>
      </c>
      <c r="C989" s="26" t="s">
        <v>843</v>
      </c>
      <c r="D989" s="25" t="str">
        <f t="shared" si="15"/>
        <v>Số thửaSố thửa410</v>
      </c>
    </row>
    <row r="990" spans="1:4" x14ac:dyDescent="0.25">
      <c r="A990" s="25">
        <v>4</v>
      </c>
      <c r="B990" s="25" t="s">
        <v>848</v>
      </c>
      <c r="C990" s="26" t="s">
        <v>843</v>
      </c>
      <c r="D990" s="25" t="str">
        <f t="shared" si="15"/>
        <v>Số thửaSố thửa412</v>
      </c>
    </row>
    <row r="991" spans="1:4" x14ac:dyDescent="0.25">
      <c r="A991" s="25">
        <v>4</v>
      </c>
      <c r="B991" s="25" t="s">
        <v>205</v>
      </c>
      <c r="C991" s="26" t="s">
        <v>843</v>
      </c>
      <c r="D991" s="25" t="str">
        <f t="shared" si="15"/>
        <v>Số thửaSố thửa413</v>
      </c>
    </row>
    <row r="992" spans="1:4" x14ac:dyDescent="0.25">
      <c r="A992" s="25">
        <v>7</v>
      </c>
      <c r="B992" s="25" t="s">
        <v>849</v>
      </c>
      <c r="C992" s="26" t="s">
        <v>850</v>
      </c>
      <c r="D992" s="25" t="str">
        <f t="shared" si="15"/>
        <v>Số thửaSố thửa191</v>
      </c>
    </row>
    <row r="993" spans="1:4" x14ac:dyDescent="0.25">
      <c r="A993" s="25">
        <v>7</v>
      </c>
      <c r="B993" s="25" t="s">
        <v>743</v>
      </c>
      <c r="C993" s="26" t="s">
        <v>851</v>
      </c>
      <c r="D993" s="25" t="str">
        <f t="shared" si="15"/>
        <v>Số thửaSố thửa446</v>
      </c>
    </row>
    <row r="994" spans="1:4" x14ac:dyDescent="0.25">
      <c r="A994" s="25">
        <v>7</v>
      </c>
      <c r="B994" s="25" t="s">
        <v>852</v>
      </c>
      <c r="C994" s="26" t="s">
        <v>843</v>
      </c>
      <c r="D994" s="25" t="str">
        <f t="shared" si="15"/>
        <v>Số thửaSố thửa519</v>
      </c>
    </row>
    <row r="995" spans="1:4" x14ac:dyDescent="0.25">
      <c r="A995" s="25">
        <v>7</v>
      </c>
      <c r="B995" s="25" t="s">
        <v>853</v>
      </c>
      <c r="C995" s="26" t="s">
        <v>851</v>
      </c>
      <c r="D995" s="25" t="str">
        <f t="shared" si="15"/>
        <v>Số thửaSố thửa530</v>
      </c>
    </row>
    <row r="996" spans="1:4" x14ac:dyDescent="0.25">
      <c r="A996" s="25">
        <v>7</v>
      </c>
      <c r="B996" s="25" t="s">
        <v>854</v>
      </c>
      <c r="C996" s="26" t="s">
        <v>850</v>
      </c>
      <c r="D996" s="25" t="str">
        <f t="shared" si="15"/>
        <v>Số thửaSố thửa532</v>
      </c>
    </row>
    <row r="997" spans="1:4" x14ac:dyDescent="0.25">
      <c r="A997" s="25">
        <v>7</v>
      </c>
      <c r="B997" s="25" t="s">
        <v>855</v>
      </c>
      <c r="C997" s="26" t="s">
        <v>856</v>
      </c>
      <c r="D997" s="25" t="str">
        <f t="shared" si="15"/>
        <v>Số thửaSố thửa533</v>
      </c>
    </row>
    <row r="998" spans="1:4" x14ac:dyDescent="0.25">
      <c r="A998" s="25">
        <v>7</v>
      </c>
      <c r="B998" s="25" t="s">
        <v>857</v>
      </c>
      <c r="C998" s="26" t="s">
        <v>856</v>
      </c>
      <c r="D998" s="25" t="str">
        <f t="shared" si="15"/>
        <v>Số thửaSố thửa534</v>
      </c>
    </row>
    <row r="999" spans="1:4" x14ac:dyDescent="0.25">
      <c r="A999" s="25">
        <v>7</v>
      </c>
      <c r="B999" s="25" t="s">
        <v>793</v>
      </c>
      <c r="C999" s="26" t="s">
        <v>856</v>
      </c>
      <c r="D999" s="25" t="str">
        <f t="shared" si="15"/>
        <v>Số thửaSố thửa537</v>
      </c>
    </row>
    <row r="1000" spans="1:4" x14ac:dyDescent="0.25">
      <c r="A1000" s="25">
        <v>7</v>
      </c>
      <c r="B1000" s="25" t="s">
        <v>858</v>
      </c>
      <c r="C1000" s="26" t="s">
        <v>856</v>
      </c>
      <c r="D1000" s="25" t="str">
        <f t="shared" si="15"/>
        <v>Số thửaSố thửa538</v>
      </c>
    </row>
    <row r="1001" spans="1:4" x14ac:dyDescent="0.25">
      <c r="A1001" s="25">
        <v>7</v>
      </c>
      <c r="B1001" s="25" t="s">
        <v>584</v>
      </c>
      <c r="C1001" s="26" t="s">
        <v>856</v>
      </c>
      <c r="D1001" s="25" t="str">
        <f t="shared" si="15"/>
        <v>Số thửaSố thửa539</v>
      </c>
    </row>
    <row r="1002" spans="1:4" x14ac:dyDescent="0.25">
      <c r="A1002" s="25">
        <v>7</v>
      </c>
      <c r="B1002" s="25" t="s">
        <v>585</v>
      </c>
      <c r="C1002" s="26" t="s">
        <v>856</v>
      </c>
      <c r="D1002" s="25" t="str">
        <f t="shared" si="15"/>
        <v>Số thửaSố thửa540</v>
      </c>
    </row>
    <row r="1003" spans="1:4" x14ac:dyDescent="0.25">
      <c r="A1003" s="25">
        <v>7</v>
      </c>
      <c r="B1003" s="25" t="s">
        <v>859</v>
      </c>
      <c r="C1003" s="26" t="s">
        <v>856</v>
      </c>
      <c r="D1003" s="25" t="str">
        <f t="shared" si="15"/>
        <v>Số thửaSố thửa541</v>
      </c>
    </row>
    <row r="1004" spans="1:4" x14ac:dyDescent="0.25">
      <c r="A1004" s="25">
        <v>7</v>
      </c>
      <c r="B1004" s="25" t="s">
        <v>745</v>
      </c>
      <c r="C1004" s="26" t="s">
        <v>856</v>
      </c>
      <c r="D1004" s="25" t="str">
        <f t="shared" si="15"/>
        <v>Số thửaSố thửa543</v>
      </c>
    </row>
    <row r="1005" spans="1:4" x14ac:dyDescent="0.25">
      <c r="A1005" s="25">
        <v>7</v>
      </c>
      <c r="B1005" s="25" t="s">
        <v>860</v>
      </c>
      <c r="C1005" s="26" t="s">
        <v>856</v>
      </c>
      <c r="D1005" s="25" t="str">
        <f t="shared" si="15"/>
        <v>Số thửaSố thửa544</v>
      </c>
    </row>
    <row r="1006" spans="1:4" x14ac:dyDescent="0.25">
      <c r="A1006" s="25">
        <v>7</v>
      </c>
      <c r="B1006" s="25" t="s">
        <v>586</v>
      </c>
      <c r="C1006" s="26" t="s">
        <v>856</v>
      </c>
      <c r="D1006" s="25" t="str">
        <f t="shared" si="15"/>
        <v>Số thửaSố thửa545</v>
      </c>
    </row>
    <row r="1007" spans="1:4" x14ac:dyDescent="0.25">
      <c r="A1007" s="25">
        <v>7</v>
      </c>
      <c r="B1007" s="25" t="s">
        <v>587</v>
      </c>
      <c r="C1007" s="26" t="s">
        <v>856</v>
      </c>
      <c r="D1007" s="25" t="str">
        <f t="shared" si="15"/>
        <v>Số thửaSố thửa546</v>
      </c>
    </row>
    <row r="1008" spans="1:4" x14ac:dyDescent="0.25">
      <c r="A1008" s="25">
        <v>7</v>
      </c>
      <c r="B1008" s="25" t="s">
        <v>861</v>
      </c>
      <c r="C1008" s="26" t="s">
        <v>856</v>
      </c>
      <c r="D1008" s="25" t="str">
        <f t="shared" si="15"/>
        <v>Số thửaSố thửa557</v>
      </c>
    </row>
    <row r="1009" spans="1:4" x14ac:dyDescent="0.25">
      <c r="A1009" s="25">
        <v>7</v>
      </c>
      <c r="B1009" s="25" t="s">
        <v>595</v>
      </c>
      <c r="C1009" s="26" t="s">
        <v>851</v>
      </c>
      <c r="D1009" s="25" t="str">
        <f t="shared" si="15"/>
        <v>Số thửaSố thửa602</v>
      </c>
    </row>
    <row r="1010" spans="1:4" x14ac:dyDescent="0.25">
      <c r="A1010" s="25">
        <v>7</v>
      </c>
      <c r="B1010" s="25" t="s">
        <v>637</v>
      </c>
      <c r="C1010" s="26" t="s">
        <v>862</v>
      </c>
      <c r="D1010" s="25" t="str">
        <f t="shared" si="15"/>
        <v>Số thửaSố thửa747</v>
      </c>
    </row>
    <row r="1011" spans="1:4" x14ac:dyDescent="0.25">
      <c r="A1011" s="25">
        <v>7</v>
      </c>
      <c r="B1011" s="25" t="s">
        <v>637</v>
      </c>
      <c r="C1011" s="26" t="s">
        <v>862</v>
      </c>
      <c r="D1011" s="25" t="str">
        <f t="shared" si="15"/>
        <v>Số thửaSố thửa747</v>
      </c>
    </row>
    <row r="1012" spans="1:4" x14ac:dyDescent="0.25">
      <c r="A1012" s="25">
        <v>1</v>
      </c>
      <c r="B1012" s="25" t="s">
        <v>264</v>
      </c>
      <c r="C1012" s="26" t="s">
        <v>863</v>
      </c>
      <c r="D1012" s="25" t="str">
        <f t="shared" si="15"/>
        <v>Số thửaSố thửa80</v>
      </c>
    </row>
    <row r="1013" spans="1:4" x14ac:dyDescent="0.25">
      <c r="A1013" s="25">
        <v>6</v>
      </c>
      <c r="B1013" s="25" t="s">
        <v>567</v>
      </c>
      <c r="C1013" s="26" t="s">
        <v>864</v>
      </c>
      <c r="D1013" s="25" t="str">
        <f t="shared" si="15"/>
        <v>Số thửaSố thửa184</v>
      </c>
    </row>
    <row r="1014" spans="1:4" x14ac:dyDescent="0.25">
      <c r="A1014" s="25">
        <v>6</v>
      </c>
      <c r="B1014" s="25" t="s">
        <v>865</v>
      </c>
      <c r="C1014" s="26" t="s">
        <v>864</v>
      </c>
      <c r="D1014" s="25" t="str">
        <f t="shared" si="15"/>
        <v>Số thửaSố thửa195</v>
      </c>
    </row>
    <row r="1015" spans="1:4" x14ac:dyDescent="0.25">
      <c r="A1015" s="25">
        <v>6</v>
      </c>
      <c r="B1015" s="25" t="s">
        <v>866</v>
      </c>
      <c r="C1015" s="26" t="s">
        <v>864</v>
      </c>
      <c r="D1015" s="25" t="str">
        <f t="shared" si="15"/>
        <v>Số thửaSố thửa196</v>
      </c>
    </row>
    <row r="1016" spans="1:4" x14ac:dyDescent="0.25">
      <c r="A1016" s="25">
        <v>6</v>
      </c>
      <c r="B1016" s="25" t="s">
        <v>867</v>
      </c>
      <c r="C1016" s="26" t="s">
        <v>864</v>
      </c>
      <c r="D1016" s="25" t="str">
        <f t="shared" si="15"/>
        <v>Số thửaSố thửa197</v>
      </c>
    </row>
    <row r="1017" spans="1:4" x14ac:dyDescent="0.25">
      <c r="A1017" s="25">
        <v>6</v>
      </c>
      <c r="B1017" s="25" t="s">
        <v>868</v>
      </c>
      <c r="C1017" s="26" t="s">
        <v>869</v>
      </c>
      <c r="D1017" s="25" t="str">
        <f t="shared" si="15"/>
        <v>Số thửaSố thửa258</v>
      </c>
    </row>
    <row r="1018" spans="1:4" x14ac:dyDescent="0.25">
      <c r="A1018" s="25">
        <v>6</v>
      </c>
      <c r="B1018" s="25" t="s">
        <v>176</v>
      </c>
      <c r="C1018" s="26" t="s">
        <v>864</v>
      </c>
      <c r="D1018" s="25" t="str">
        <f t="shared" si="15"/>
        <v>Số thửaSố thửa259</v>
      </c>
    </row>
    <row r="1019" spans="1:4" x14ac:dyDescent="0.25">
      <c r="A1019" s="25">
        <v>6</v>
      </c>
      <c r="B1019" s="25" t="s">
        <v>177</v>
      </c>
      <c r="C1019" s="26" t="s">
        <v>864</v>
      </c>
      <c r="D1019" s="25" t="str">
        <f t="shared" si="15"/>
        <v>Số thửaSố thửa260</v>
      </c>
    </row>
    <row r="1020" spans="1:4" x14ac:dyDescent="0.25">
      <c r="A1020" s="25">
        <v>6</v>
      </c>
      <c r="B1020" s="25" t="s">
        <v>870</v>
      </c>
      <c r="C1020" s="26" t="s">
        <v>864</v>
      </c>
      <c r="D1020" s="25" t="str">
        <f t="shared" si="15"/>
        <v>Số thửaSố thửa261</v>
      </c>
    </row>
    <row r="1021" spans="1:4" x14ac:dyDescent="0.25">
      <c r="A1021" s="25">
        <v>6</v>
      </c>
      <c r="B1021" s="25" t="s">
        <v>871</v>
      </c>
      <c r="C1021" s="26" t="s">
        <v>864</v>
      </c>
      <c r="D1021" s="25" t="str">
        <f t="shared" si="15"/>
        <v>Số thửaSố thửa273</v>
      </c>
    </row>
    <row r="1022" spans="1:4" x14ac:dyDescent="0.25">
      <c r="A1022" s="25">
        <v>6</v>
      </c>
      <c r="B1022" s="25" t="s">
        <v>362</v>
      </c>
      <c r="C1022" s="26" t="s">
        <v>869</v>
      </c>
      <c r="D1022" s="25" t="str">
        <f t="shared" si="15"/>
        <v>Số thửaSố thửa274</v>
      </c>
    </row>
    <row r="1023" spans="1:4" x14ac:dyDescent="0.25">
      <c r="A1023" s="25">
        <v>6</v>
      </c>
      <c r="B1023" s="25" t="s">
        <v>282</v>
      </c>
      <c r="C1023" s="26" t="s">
        <v>869</v>
      </c>
      <c r="D1023" s="25" t="str">
        <f t="shared" si="15"/>
        <v>Số thửaSố thửa324</v>
      </c>
    </row>
    <row r="1024" spans="1:4" x14ac:dyDescent="0.25">
      <c r="A1024" s="25">
        <v>6</v>
      </c>
      <c r="B1024" s="25" t="s">
        <v>283</v>
      </c>
      <c r="C1024" s="26" t="s">
        <v>869</v>
      </c>
      <c r="D1024" s="25" t="str">
        <f t="shared" si="15"/>
        <v>Số thửaSố thửa325</v>
      </c>
    </row>
    <row r="1025" spans="1:4" x14ac:dyDescent="0.25">
      <c r="A1025" s="25">
        <v>6</v>
      </c>
      <c r="B1025" s="25" t="s">
        <v>499</v>
      </c>
      <c r="C1025" s="26" t="s">
        <v>869</v>
      </c>
      <c r="D1025" s="25" t="str">
        <f t="shared" si="15"/>
        <v>Số thửaSố thửa326</v>
      </c>
    </row>
    <row r="1026" spans="1:4" x14ac:dyDescent="0.25">
      <c r="A1026" s="25">
        <v>6</v>
      </c>
      <c r="B1026" s="25" t="s">
        <v>872</v>
      </c>
      <c r="C1026" s="26" t="s">
        <v>869</v>
      </c>
      <c r="D1026" s="25" t="str">
        <f t="shared" si="15"/>
        <v>Số thửaSố thửa343</v>
      </c>
    </row>
    <row r="1027" spans="1:4" x14ac:dyDescent="0.25">
      <c r="A1027" s="25">
        <v>6</v>
      </c>
      <c r="B1027" s="25" t="s">
        <v>180</v>
      </c>
      <c r="C1027" s="26" t="s">
        <v>869</v>
      </c>
      <c r="D1027" s="25" t="str">
        <f t="shared" ref="D1027:D1090" si="16">$B$1&amp;B1027</f>
        <v>Số thửaSố thửa344</v>
      </c>
    </row>
    <row r="1028" spans="1:4" x14ac:dyDescent="0.25">
      <c r="A1028" s="25">
        <v>6</v>
      </c>
      <c r="B1028" s="25" t="s">
        <v>749</v>
      </c>
      <c r="C1028" s="26" t="s">
        <v>869</v>
      </c>
      <c r="D1028" s="25" t="str">
        <f t="shared" si="16"/>
        <v>Số thửaSố thửa373</v>
      </c>
    </row>
    <row r="1029" spans="1:4" x14ac:dyDescent="0.25">
      <c r="A1029" s="25">
        <v>6</v>
      </c>
      <c r="B1029" s="25" t="s">
        <v>873</v>
      </c>
      <c r="C1029" s="26" t="s">
        <v>869</v>
      </c>
      <c r="D1029" s="25" t="str">
        <f t="shared" si="16"/>
        <v>Số thửaSố thửa408</v>
      </c>
    </row>
    <row r="1030" spans="1:4" x14ac:dyDescent="0.25">
      <c r="A1030" s="25">
        <v>6</v>
      </c>
      <c r="B1030" s="25" t="s">
        <v>846</v>
      </c>
      <c r="C1030" s="26" t="s">
        <v>869</v>
      </c>
      <c r="D1030" s="25" t="str">
        <f t="shared" si="16"/>
        <v>Số thửaSố thửa409</v>
      </c>
    </row>
    <row r="1031" spans="1:4" x14ac:dyDescent="0.25">
      <c r="A1031" s="25">
        <v>6</v>
      </c>
      <c r="B1031" s="25" t="s">
        <v>622</v>
      </c>
      <c r="C1031" s="26" t="s">
        <v>874</v>
      </c>
      <c r="D1031" s="25" t="str">
        <f t="shared" si="16"/>
        <v>Số thửaSố thửa511</v>
      </c>
    </row>
    <row r="1032" spans="1:4" x14ac:dyDescent="0.25">
      <c r="A1032" s="25">
        <v>7</v>
      </c>
      <c r="B1032" s="25" t="s">
        <v>875</v>
      </c>
      <c r="C1032" s="26" t="s">
        <v>876</v>
      </c>
      <c r="D1032" s="25" t="str">
        <f t="shared" si="16"/>
        <v>Số thửaSố thửa188</v>
      </c>
    </row>
    <row r="1033" spans="1:4" x14ac:dyDescent="0.25">
      <c r="A1033" s="25">
        <v>7</v>
      </c>
      <c r="B1033" s="25" t="s">
        <v>877</v>
      </c>
      <c r="C1033" s="26" t="s">
        <v>869</v>
      </c>
      <c r="D1033" s="25" t="str">
        <f t="shared" si="16"/>
        <v>Số thửaSố thửa425</v>
      </c>
    </row>
    <row r="1034" spans="1:4" x14ac:dyDescent="0.25">
      <c r="A1034" s="25">
        <v>7</v>
      </c>
      <c r="B1034" s="25" t="s">
        <v>878</v>
      </c>
      <c r="C1034" s="26" t="s">
        <v>869</v>
      </c>
      <c r="D1034" s="25" t="str">
        <f t="shared" si="16"/>
        <v>Số thửaSố thửa447</v>
      </c>
    </row>
    <row r="1035" spans="1:4" x14ac:dyDescent="0.25">
      <c r="A1035" s="25">
        <v>7</v>
      </c>
      <c r="B1035" s="25" t="s">
        <v>790</v>
      </c>
      <c r="C1035" s="26" t="s">
        <v>874</v>
      </c>
      <c r="D1035" s="25" t="str">
        <f t="shared" si="16"/>
        <v>Số thửaSố thửa448</v>
      </c>
    </row>
    <row r="1036" spans="1:4" x14ac:dyDescent="0.25">
      <c r="A1036" s="25">
        <v>7</v>
      </c>
      <c r="B1036" s="25" t="s">
        <v>879</v>
      </c>
      <c r="C1036" s="26" t="s">
        <v>869</v>
      </c>
      <c r="D1036" s="25" t="str">
        <f t="shared" si="16"/>
        <v>Số thửaSố thửa469</v>
      </c>
    </row>
    <row r="1037" spans="1:4" x14ac:dyDescent="0.25">
      <c r="A1037" s="25">
        <v>7</v>
      </c>
      <c r="B1037" s="25" t="s">
        <v>880</v>
      </c>
      <c r="C1037" s="26" t="s">
        <v>876</v>
      </c>
      <c r="D1037" s="25" t="str">
        <f t="shared" si="16"/>
        <v>Số thửaSố thửa504</v>
      </c>
    </row>
    <row r="1038" spans="1:4" x14ac:dyDescent="0.25">
      <c r="A1038" s="25">
        <v>7</v>
      </c>
      <c r="B1038" s="25" t="s">
        <v>881</v>
      </c>
      <c r="C1038" s="26" t="s">
        <v>874</v>
      </c>
      <c r="D1038" s="25" t="str">
        <f t="shared" si="16"/>
        <v>Số thửaSố thửa505</v>
      </c>
    </row>
    <row r="1039" spans="1:4" x14ac:dyDescent="0.25">
      <c r="A1039" s="25">
        <v>7</v>
      </c>
      <c r="B1039" s="25" t="s">
        <v>882</v>
      </c>
      <c r="C1039" s="26" t="s">
        <v>883</v>
      </c>
      <c r="D1039" s="25" t="str">
        <f t="shared" si="16"/>
        <v>Số thửaSố thửa729</v>
      </c>
    </row>
    <row r="1040" spans="1:4" x14ac:dyDescent="0.25">
      <c r="A1040" s="25">
        <v>7</v>
      </c>
      <c r="B1040" s="25" t="s">
        <v>882</v>
      </c>
      <c r="C1040" s="26" t="s">
        <v>883</v>
      </c>
      <c r="D1040" s="25" t="str">
        <f t="shared" si="16"/>
        <v>Số thửaSố thửa729</v>
      </c>
    </row>
    <row r="1041" spans="1:4" x14ac:dyDescent="0.25">
      <c r="A1041" s="25">
        <v>1</v>
      </c>
      <c r="B1041" s="25" t="s">
        <v>578</v>
      </c>
      <c r="C1041" s="26" t="s">
        <v>884</v>
      </c>
      <c r="D1041" s="25" t="str">
        <f t="shared" si="16"/>
        <v>Số thửaSố thửa122</v>
      </c>
    </row>
    <row r="1042" spans="1:4" x14ac:dyDescent="0.25">
      <c r="A1042" s="25">
        <v>9</v>
      </c>
      <c r="B1042" s="25" t="s">
        <v>885</v>
      </c>
      <c r="C1042" s="26" t="s">
        <v>886</v>
      </c>
      <c r="D1042" s="25" t="str">
        <f t="shared" si="16"/>
        <v>Số thửaSố thửa106</v>
      </c>
    </row>
    <row r="1043" spans="1:4" x14ac:dyDescent="0.25">
      <c r="A1043" s="25">
        <v>7</v>
      </c>
      <c r="B1043" s="25" t="s">
        <v>887</v>
      </c>
      <c r="C1043" s="26" t="s">
        <v>888</v>
      </c>
      <c r="D1043" s="25" t="str">
        <f t="shared" si="16"/>
        <v>Số thửaSố thửa339</v>
      </c>
    </row>
    <row r="1044" spans="1:4" x14ac:dyDescent="0.25">
      <c r="A1044" s="25">
        <v>7</v>
      </c>
      <c r="B1044" s="25" t="s">
        <v>783</v>
      </c>
      <c r="C1044" s="26" t="s">
        <v>888</v>
      </c>
      <c r="D1044" s="25" t="str">
        <f t="shared" si="16"/>
        <v>Số thửaSố thửa349</v>
      </c>
    </row>
    <row r="1045" spans="1:4" x14ac:dyDescent="0.25">
      <c r="A1045" s="25">
        <v>7</v>
      </c>
      <c r="B1045" s="25" t="s">
        <v>408</v>
      </c>
      <c r="C1045" s="26" t="s">
        <v>888</v>
      </c>
      <c r="D1045" s="25" t="str">
        <f t="shared" si="16"/>
        <v>Số thửaSố thửa350</v>
      </c>
    </row>
    <row r="1046" spans="1:4" x14ac:dyDescent="0.25">
      <c r="A1046" s="25">
        <v>1</v>
      </c>
      <c r="B1046" s="25" t="s">
        <v>259</v>
      </c>
      <c r="C1046" s="26" t="s">
        <v>889</v>
      </c>
      <c r="D1046" s="25" t="str">
        <f t="shared" si="16"/>
        <v>Số thửaSố thửa58</v>
      </c>
    </row>
    <row r="1047" spans="1:4" x14ac:dyDescent="0.25">
      <c r="A1047" s="25">
        <v>4</v>
      </c>
      <c r="B1047" s="25" t="s">
        <v>788</v>
      </c>
      <c r="C1047" s="26" t="s">
        <v>890</v>
      </c>
      <c r="D1047" s="25" t="str">
        <f t="shared" si="16"/>
        <v>Số thửaSố thửa18</v>
      </c>
    </row>
    <row r="1048" spans="1:4" x14ac:dyDescent="0.25">
      <c r="A1048" s="25">
        <v>6</v>
      </c>
      <c r="B1048" s="25" t="s">
        <v>891</v>
      </c>
      <c r="C1048" s="26" t="s">
        <v>892</v>
      </c>
      <c r="D1048" s="25" t="str">
        <f t="shared" si="16"/>
        <v>Số thửaSố thửa124</v>
      </c>
    </row>
    <row r="1049" spans="1:4" x14ac:dyDescent="0.25">
      <c r="A1049" s="25">
        <v>6</v>
      </c>
      <c r="B1049" s="25" t="s">
        <v>875</v>
      </c>
      <c r="C1049" s="26" t="s">
        <v>892</v>
      </c>
      <c r="D1049" s="25" t="str">
        <f t="shared" si="16"/>
        <v>Số thửaSố thửa188</v>
      </c>
    </row>
    <row r="1050" spans="1:4" x14ac:dyDescent="0.25">
      <c r="A1050" s="25">
        <v>6</v>
      </c>
      <c r="B1050" s="25" t="s">
        <v>849</v>
      </c>
      <c r="C1050" s="26" t="s">
        <v>892</v>
      </c>
      <c r="D1050" s="25" t="str">
        <f t="shared" si="16"/>
        <v>Số thửaSố thửa191</v>
      </c>
    </row>
    <row r="1051" spans="1:4" x14ac:dyDescent="0.25">
      <c r="A1051" s="25">
        <v>7</v>
      </c>
      <c r="B1051" s="25" t="s">
        <v>469</v>
      </c>
      <c r="C1051" s="26" t="s">
        <v>890</v>
      </c>
      <c r="D1051" s="25" t="str">
        <f t="shared" si="16"/>
        <v>Số thửaSố thửa94</v>
      </c>
    </row>
    <row r="1052" spans="1:4" x14ac:dyDescent="0.25">
      <c r="A1052" s="25">
        <v>7</v>
      </c>
      <c r="B1052" s="25" t="s">
        <v>708</v>
      </c>
      <c r="C1052" s="26" t="s">
        <v>893</v>
      </c>
      <c r="D1052" s="25" t="str">
        <f t="shared" si="16"/>
        <v>Số thửaSố thửa163</v>
      </c>
    </row>
    <row r="1053" spans="1:4" x14ac:dyDescent="0.25">
      <c r="A1053" s="25">
        <v>7</v>
      </c>
      <c r="B1053" s="25" t="s">
        <v>709</v>
      </c>
      <c r="C1053" s="26" t="s">
        <v>892</v>
      </c>
      <c r="D1053" s="25" t="str">
        <f t="shared" si="16"/>
        <v>Số thửaSố thửa164</v>
      </c>
    </row>
    <row r="1054" spans="1:4" x14ac:dyDescent="0.25">
      <c r="A1054" s="25">
        <v>7</v>
      </c>
      <c r="B1054" s="25" t="s">
        <v>894</v>
      </c>
      <c r="C1054" s="26" t="s">
        <v>892</v>
      </c>
      <c r="D1054" s="25" t="str">
        <f t="shared" si="16"/>
        <v>Số thửaSố thửa165</v>
      </c>
    </row>
    <row r="1055" spans="1:4" x14ac:dyDescent="0.25">
      <c r="A1055" s="25">
        <v>7</v>
      </c>
      <c r="B1055" s="25" t="s">
        <v>653</v>
      </c>
      <c r="C1055" s="26" t="s">
        <v>892</v>
      </c>
      <c r="D1055" s="25" t="str">
        <f t="shared" si="16"/>
        <v>Số thửaSố thửa177</v>
      </c>
    </row>
    <row r="1056" spans="1:4" x14ac:dyDescent="0.25">
      <c r="A1056" s="25">
        <v>7</v>
      </c>
      <c r="B1056" s="25" t="s">
        <v>895</v>
      </c>
      <c r="C1056" s="26" t="s">
        <v>892</v>
      </c>
      <c r="D1056" s="25" t="str">
        <f t="shared" si="16"/>
        <v>Số thửaSố thửa179</v>
      </c>
    </row>
    <row r="1057" spans="1:4" x14ac:dyDescent="0.25">
      <c r="A1057" s="25">
        <v>7</v>
      </c>
      <c r="B1057" s="25" t="s">
        <v>312</v>
      </c>
      <c r="C1057" s="26" t="s">
        <v>892</v>
      </c>
      <c r="D1057" s="25" t="str">
        <f t="shared" si="16"/>
        <v>Số thửaSố thửa180</v>
      </c>
    </row>
    <row r="1058" spans="1:4" x14ac:dyDescent="0.25">
      <c r="A1058" s="25">
        <v>7</v>
      </c>
      <c r="B1058" s="25" t="s">
        <v>81</v>
      </c>
      <c r="C1058" s="26" t="s">
        <v>892</v>
      </c>
      <c r="D1058" s="25" t="str">
        <f t="shared" si="16"/>
        <v>Số thửaSố thửa214</v>
      </c>
    </row>
    <row r="1059" spans="1:4" x14ac:dyDescent="0.25">
      <c r="A1059" s="25">
        <v>7</v>
      </c>
      <c r="B1059" s="25" t="s">
        <v>82</v>
      </c>
      <c r="C1059" s="26" t="s">
        <v>892</v>
      </c>
      <c r="D1059" s="25" t="str">
        <f t="shared" si="16"/>
        <v>Số thửaSố thửa215</v>
      </c>
    </row>
    <row r="1060" spans="1:4" x14ac:dyDescent="0.25">
      <c r="A1060" s="25">
        <v>7</v>
      </c>
      <c r="B1060" s="25" t="s">
        <v>676</v>
      </c>
      <c r="C1060" s="26" t="s">
        <v>893</v>
      </c>
      <c r="D1060" s="25" t="str">
        <f t="shared" si="16"/>
        <v>Số thửaSố thửa226</v>
      </c>
    </row>
    <row r="1061" spans="1:4" x14ac:dyDescent="0.25">
      <c r="A1061" s="25">
        <v>7</v>
      </c>
      <c r="B1061" s="25" t="s">
        <v>222</v>
      </c>
      <c r="C1061" s="26" t="s">
        <v>893</v>
      </c>
      <c r="D1061" s="25" t="str">
        <f t="shared" si="16"/>
        <v>Số thửaSố thửa227</v>
      </c>
    </row>
    <row r="1062" spans="1:4" x14ac:dyDescent="0.25">
      <c r="A1062" s="25">
        <v>7</v>
      </c>
      <c r="B1062" s="25" t="s">
        <v>387</v>
      </c>
      <c r="C1062" s="26" t="s">
        <v>892</v>
      </c>
      <c r="D1062" s="25" t="str">
        <f t="shared" si="16"/>
        <v>Số thửaSố thửa228</v>
      </c>
    </row>
    <row r="1063" spans="1:4" x14ac:dyDescent="0.25">
      <c r="A1063" s="25">
        <v>7</v>
      </c>
      <c r="B1063" s="25" t="s">
        <v>56</v>
      </c>
      <c r="C1063" s="26" t="s">
        <v>892</v>
      </c>
      <c r="D1063" s="25" t="str">
        <f t="shared" si="16"/>
        <v>Số thửaSố thửa229</v>
      </c>
    </row>
    <row r="1064" spans="1:4" x14ac:dyDescent="0.25">
      <c r="A1064" s="25">
        <v>7</v>
      </c>
      <c r="B1064" s="25" t="s">
        <v>896</v>
      </c>
      <c r="C1064" s="26" t="s">
        <v>892</v>
      </c>
      <c r="D1064" s="25" t="str">
        <f t="shared" si="16"/>
        <v>Số thửaSố thửa257</v>
      </c>
    </row>
    <row r="1065" spans="1:4" x14ac:dyDescent="0.25">
      <c r="A1065" s="25">
        <v>7</v>
      </c>
      <c r="B1065" s="25" t="s">
        <v>770</v>
      </c>
      <c r="C1065" s="26" t="s">
        <v>890</v>
      </c>
      <c r="D1065" s="25" t="str">
        <f t="shared" si="16"/>
        <v>Số thửaSố thửa470</v>
      </c>
    </row>
    <row r="1066" spans="1:4" x14ac:dyDescent="0.25">
      <c r="A1066" s="25">
        <v>7</v>
      </c>
      <c r="B1066" s="25" t="s">
        <v>897</v>
      </c>
      <c r="C1066" s="26" t="s">
        <v>898</v>
      </c>
      <c r="D1066" s="25" t="str">
        <f t="shared" si="16"/>
        <v>Số thửaSố thửa724</v>
      </c>
    </row>
    <row r="1067" spans="1:4" x14ac:dyDescent="0.25">
      <c r="A1067" s="25">
        <v>7</v>
      </c>
      <c r="B1067" s="25" t="s">
        <v>897</v>
      </c>
      <c r="C1067" s="26" t="s">
        <v>898</v>
      </c>
      <c r="D1067" s="25" t="str">
        <f t="shared" si="16"/>
        <v>Số thửaSố thửa724</v>
      </c>
    </row>
    <row r="1068" spans="1:4" x14ac:dyDescent="0.25">
      <c r="A1068" s="25">
        <v>7</v>
      </c>
      <c r="B1068" s="25" t="s">
        <v>899</v>
      </c>
      <c r="C1068" s="26" t="s">
        <v>890</v>
      </c>
      <c r="D1068" s="25" t="str">
        <f t="shared" si="16"/>
        <v>Số thửaSố thửa756</v>
      </c>
    </row>
    <row r="1069" spans="1:4" x14ac:dyDescent="0.25">
      <c r="A1069" s="25">
        <v>7</v>
      </c>
      <c r="B1069" s="25" t="s">
        <v>900</v>
      </c>
      <c r="C1069" s="26" t="s">
        <v>892</v>
      </c>
      <c r="D1069" s="25" t="str">
        <f t="shared" si="16"/>
        <v>Số thửaSố thửa837</v>
      </c>
    </row>
    <row r="1070" spans="1:4" x14ac:dyDescent="0.25">
      <c r="A1070" s="25">
        <v>7</v>
      </c>
      <c r="B1070" s="25" t="s">
        <v>230</v>
      </c>
      <c r="C1070" s="26" t="s">
        <v>892</v>
      </c>
      <c r="D1070" s="25" t="str">
        <f t="shared" si="16"/>
        <v>Số thửaSố thửa838</v>
      </c>
    </row>
    <row r="1071" spans="1:4" x14ac:dyDescent="0.25">
      <c r="A1071" s="25">
        <v>7</v>
      </c>
      <c r="B1071" s="25" t="s">
        <v>901</v>
      </c>
      <c r="C1071" s="26" t="s">
        <v>892</v>
      </c>
      <c r="D1071" s="25" t="str">
        <f t="shared" si="16"/>
        <v>Số thửaSố thửa851</v>
      </c>
    </row>
    <row r="1072" spans="1:4" x14ac:dyDescent="0.25">
      <c r="A1072" s="25">
        <v>1</v>
      </c>
      <c r="B1072" s="25" t="s">
        <v>902</v>
      </c>
      <c r="C1072" s="26" t="s">
        <v>903</v>
      </c>
      <c r="D1072" s="25" t="str">
        <f t="shared" si="16"/>
        <v>Số thửaSố thửa68</v>
      </c>
    </row>
    <row r="1073" spans="1:4" x14ac:dyDescent="0.25">
      <c r="A1073" s="25">
        <v>1</v>
      </c>
      <c r="B1073" s="25" t="s">
        <v>904</v>
      </c>
      <c r="C1073" s="26" t="s">
        <v>905</v>
      </c>
      <c r="D1073" s="25" t="str">
        <f t="shared" si="16"/>
        <v>Số thửaSố thửa84</v>
      </c>
    </row>
    <row r="1074" spans="1:4" x14ac:dyDescent="0.25">
      <c r="A1074" s="25">
        <v>1</v>
      </c>
      <c r="B1074" s="25" t="s">
        <v>471</v>
      </c>
      <c r="C1074" s="26" t="s">
        <v>906</v>
      </c>
      <c r="D1074" s="25" t="str">
        <f t="shared" si="16"/>
        <v>Số thửaSố thửa107</v>
      </c>
    </row>
    <row r="1075" spans="1:4" x14ac:dyDescent="0.25">
      <c r="A1075" s="25">
        <v>1</v>
      </c>
      <c r="B1075" s="25" t="s">
        <v>323</v>
      </c>
      <c r="C1075" s="26" t="s">
        <v>907</v>
      </c>
      <c r="D1075" s="25" t="str">
        <f t="shared" si="16"/>
        <v>Số thửaSố thửa114</v>
      </c>
    </row>
    <row r="1076" spans="1:4" x14ac:dyDescent="0.25">
      <c r="A1076" s="25">
        <v>1</v>
      </c>
      <c r="B1076" s="25" t="s">
        <v>107</v>
      </c>
      <c r="C1076" s="26" t="s">
        <v>908</v>
      </c>
      <c r="D1076" s="25" t="str">
        <f t="shared" si="16"/>
        <v>Số thửaSố thửa118</v>
      </c>
    </row>
    <row r="1077" spans="1:4" x14ac:dyDescent="0.25">
      <c r="A1077" s="25">
        <v>1</v>
      </c>
      <c r="B1077" s="25" t="s">
        <v>891</v>
      </c>
      <c r="C1077" s="26" t="s">
        <v>909</v>
      </c>
      <c r="D1077" s="25" t="str">
        <f t="shared" si="16"/>
        <v>Số thửaSố thửa124</v>
      </c>
    </row>
    <row r="1078" spans="1:4" x14ac:dyDescent="0.25">
      <c r="A1078" s="25">
        <v>4</v>
      </c>
      <c r="B1078" s="25" t="s">
        <v>274</v>
      </c>
      <c r="C1078" s="26" t="s">
        <v>910</v>
      </c>
      <c r="D1078" s="25" t="str">
        <f t="shared" si="16"/>
        <v>Số thửaSố thửa23</v>
      </c>
    </row>
    <row r="1079" spans="1:4" x14ac:dyDescent="0.25">
      <c r="A1079" s="25">
        <v>4</v>
      </c>
      <c r="B1079" s="25" t="s">
        <v>432</v>
      </c>
      <c r="C1079" s="26" t="s">
        <v>910</v>
      </c>
      <c r="D1079" s="25" t="str">
        <f t="shared" si="16"/>
        <v>Số thửaSố thửa252</v>
      </c>
    </row>
    <row r="1080" spans="1:4" x14ac:dyDescent="0.25">
      <c r="A1080" s="25">
        <v>4</v>
      </c>
      <c r="B1080" s="25" t="s">
        <v>526</v>
      </c>
      <c r="C1080" s="26" t="s">
        <v>911</v>
      </c>
      <c r="D1080" s="25" t="str">
        <f t="shared" si="16"/>
        <v>Số thửaSố thửa380</v>
      </c>
    </row>
    <row r="1081" spans="1:4" x14ac:dyDescent="0.25">
      <c r="A1081" s="25">
        <v>4</v>
      </c>
      <c r="B1081" s="25" t="s">
        <v>526</v>
      </c>
      <c r="C1081" s="26" t="s">
        <v>911</v>
      </c>
      <c r="D1081" s="25" t="str">
        <f t="shared" si="16"/>
        <v>Số thửaSố thửa380</v>
      </c>
    </row>
    <row r="1082" spans="1:4" x14ac:dyDescent="0.25">
      <c r="A1082" s="25">
        <v>1</v>
      </c>
      <c r="B1082" s="25" t="s">
        <v>912</v>
      </c>
      <c r="C1082" s="26" t="s">
        <v>913</v>
      </c>
      <c r="D1082" s="25" t="str">
        <f t="shared" si="16"/>
        <v>Số thửaSố thửa121</v>
      </c>
    </row>
    <row r="1083" spans="1:4" x14ac:dyDescent="0.25">
      <c r="A1083" s="25">
        <v>5</v>
      </c>
      <c r="B1083" s="25" t="s">
        <v>259</v>
      </c>
      <c r="C1083" s="26" t="s">
        <v>914</v>
      </c>
      <c r="D1083" s="25" t="str">
        <f t="shared" si="16"/>
        <v>Số thửaSố thửa58</v>
      </c>
    </row>
    <row r="1084" spans="1:4" x14ac:dyDescent="0.25">
      <c r="A1084" s="25">
        <v>5</v>
      </c>
      <c r="B1084" s="25" t="s">
        <v>261</v>
      </c>
      <c r="C1084" s="26" t="s">
        <v>915</v>
      </c>
      <c r="D1084" s="25" t="str">
        <f t="shared" si="16"/>
        <v>Số thửaSố thửa59</v>
      </c>
    </row>
    <row r="1085" spans="1:4" x14ac:dyDescent="0.25">
      <c r="A1085" s="25">
        <v>5</v>
      </c>
      <c r="B1085" s="25" t="s">
        <v>64</v>
      </c>
      <c r="C1085" s="26" t="s">
        <v>915</v>
      </c>
      <c r="D1085" s="25" t="str">
        <f t="shared" si="16"/>
        <v>Số thửaSố thửa60</v>
      </c>
    </row>
    <row r="1086" spans="1:4" x14ac:dyDescent="0.25">
      <c r="A1086" s="25">
        <v>5</v>
      </c>
      <c r="B1086" s="25" t="s">
        <v>65</v>
      </c>
      <c r="C1086" s="26" t="s">
        <v>915</v>
      </c>
      <c r="D1086" s="25" t="str">
        <f t="shared" si="16"/>
        <v>Số thửaSố thửa61</v>
      </c>
    </row>
    <row r="1087" spans="1:4" x14ac:dyDescent="0.25">
      <c r="A1087" s="25">
        <v>6</v>
      </c>
      <c r="B1087" s="25" t="s">
        <v>542</v>
      </c>
      <c r="C1087" s="26" t="s">
        <v>914</v>
      </c>
      <c r="D1087" s="25" t="str">
        <f t="shared" si="16"/>
        <v>Số thửaSố thửa736</v>
      </c>
    </row>
    <row r="1088" spans="1:4" x14ac:dyDescent="0.25">
      <c r="A1088" s="25">
        <v>6</v>
      </c>
      <c r="B1088" s="25" t="s">
        <v>916</v>
      </c>
      <c r="C1088" s="26" t="s">
        <v>915</v>
      </c>
      <c r="D1088" s="25" t="str">
        <f t="shared" si="16"/>
        <v>Số thửaSố thửa782</v>
      </c>
    </row>
    <row r="1089" spans="1:4" x14ac:dyDescent="0.25">
      <c r="A1089" s="25">
        <v>6</v>
      </c>
      <c r="B1089" s="25" t="s">
        <v>917</v>
      </c>
      <c r="C1089" s="26" t="s">
        <v>915</v>
      </c>
      <c r="D1089" s="25" t="str">
        <f t="shared" si="16"/>
        <v>Số thửaSố thửa784</v>
      </c>
    </row>
    <row r="1090" spans="1:4" x14ac:dyDescent="0.25">
      <c r="A1090" s="25">
        <v>6</v>
      </c>
      <c r="B1090" s="25" t="s">
        <v>189</v>
      </c>
      <c r="C1090" s="26" t="s">
        <v>915</v>
      </c>
      <c r="D1090" s="25" t="str">
        <f t="shared" si="16"/>
        <v>Số thửaSố thửa785</v>
      </c>
    </row>
    <row r="1091" spans="1:4" x14ac:dyDescent="0.25">
      <c r="A1091" s="25">
        <v>6</v>
      </c>
      <c r="B1091" s="25" t="s">
        <v>918</v>
      </c>
      <c r="C1091" s="26" t="s">
        <v>915</v>
      </c>
      <c r="D1091" s="25" t="str">
        <f t="shared" ref="D1091:D1154" si="17">$B$1&amp;B1091</f>
        <v>Số thửaSố thửa787</v>
      </c>
    </row>
    <row r="1092" spans="1:4" x14ac:dyDescent="0.25">
      <c r="A1092" s="25">
        <v>11</v>
      </c>
      <c r="B1092" s="25" t="s">
        <v>275</v>
      </c>
      <c r="C1092" s="26" t="s">
        <v>914</v>
      </c>
      <c r="D1092" s="25" t="str">
        <f t="shared" si="17"/>
        <v>Số thửaSố thửa24</v>
      </c>
    </row>
    <row r="1093" spans="1:4" x14ac:dyDescent="0.25">
      <c r="A1093" s="25">
        <v>1</v>
      </c>
      <c r="B1093" s="25" t="s">
        <v>895</v>
      </c>
      <c r="C1093" s="26" t="s">
        <v>919</v>
      </c>
      <c r="D1093" s="25" t="str">
        <f t="shared" si="17"/>
        <v>Số thửaSố thửa179</v>
      </c>
    </row>
    <row r="1094" spans="1:4" x14ac:dyDescent="0.25">
      <c r="A1094" s="25">
        <v>1</v>
      </c>
      <c r="B1094" s="25" t="s">
        <v>121</v>
      </c>
      <c r="C1094" s="26" t="s">
        <v>920</v>
      </c>
      <c r="D1094" s="25" t="str">
        <f t="shared" si="17"/>
        <v>Số thửaSố thửa105</v>
      </c>
    </row>
    <row r="1095" spans="1:4" x14ac:dyDescent="0.25">
      <c r="A1095" s="25">
        <v>1</v>
      </c>
      <c r="B1095" s="25" t="s">
        <v>461</v>
      </c>
      <c r="C1095" s="26" t="s">
        <v>921</v>
      </c>
      <c r="D1095" s="25" t="str">
        <f t="shared" si="17"/>
        <v>Số thửaSố thửa71</v>
      </c>
    </row>
    <row r="1096" spans="1:4" x14ac:dyDescent="0.25">
      <c r="A1096" s="25">
        <v>1</v>
      </c>
      <c r="B1096" s="25" t="s">
        <v>343</v>
      </c>
      <c r="C1096" s="26" t="s">
        <v>922</v>
      </c>
      <c r="D1096" s="25" t="str">
        <f t="shared" si="17"/>
        <v>Số thửaSố thửa83</v>
      </c>
    </row>
    <row r="1097" spans="1:4" x14ac:dyDescent="0.25">
      <c r="A1097" s="25">
        <v>1</v>
      </c>
      <c r="B1097" s="25" t="s">
        <v>777</v>
      </c>
      <c r="C1097" s="26" t="s">
        <v>923</v>
      </c>
      <c r="D1097" s="25" t="str">
        <f t="shared" si="17"/>
        <v>Số thửaSố thửa91</v>
      </c>
    </row>
    <row r="1098" spans="1:4" x14ac:dyDescent="0.25">
      <c r="A1098" s="25">
        <v>3</v>
      </c>
      <c r="B1098" s="25" t="s">
        <v>924</v>
      </c>
      <c r="C1098" s="26" t="s">
        <v>925</v>
      </c>
      <c r="D1098" s="25" t="str">
        <f t="shared" si="17"/>
        <v>Số thửaSố thửa316</v>
      </c>
    </row>
    <row r="1099" spans="1:4" x14ac:dyDescent="0.25">
      <c r="A1099" s="25">
        <v>3</v>
      </c>
      <c r="B1099" s="25" t="s">
        <v>551</v>
      </c>
      <c r="C1099" s="26" t="s">
        <v>925</v>
      </c>
      <c r="D1099" s="25" t="str">
        <f t="shared" si="17"/>
        <v>Số thửaSố thửa361</v>
      </c>
    </row>
    <row r="1100" spans="1:4" x14ac:dyDescent="0.25">
      <c r="A1100" s="25">
        <v>14</v>
      </c>
      <c r="B1100" s="25" t="s">
        <v>926</v>
      </c>
      <c r="C1100" s="26" t="s">
        <v>927</v>
      </c>
      <c r="D1100" s="25" t="str">
        <f t="shared" si="17"/>
        <v>Số thửaSố thửa147</v>
      </c>
    </row>
    <row r="1101" spans="1:4" x14ac:dyDescent="0.25">
      <c r="A1101" s="25">
        <v>1</v>
      </c>
      <c r="B1101" s="25" t="s">
        <v>568</v>
      </c>
      <c r="C1101" s="26" t="s">
        <v>928</v>
      </c>
      <c r="D1101" s="25" t="str">
        <f t="shared" si="17"/>
        <v>Số thửaSố thửa186</v>
      </c>
    </row>
    <row r="1102" spans="1:4" x14ac:dyDescent="0.25">
      <c r="A1102" s="25">
        <v>10</v>
      </c>
      <c r="B1102" s="25" t="s">
        <v>272</v>
      </c>
      <c r="C1102" s="26" t="s">
        <v>929</v>
      </c>
      <c r="D1102" s="25" t="str">
        <f t="shared" si="17"/>
        <v>Số thửaSố thửa19</v>
      </c>
    </row>
    <row r="1103" spans="1:4" x14ac:dyDescent="0.25">
      <c r="A1103" s="25">
        <v>10</v>
      </c>
      <c r="B1103" s="25" t="s">
        <v>246</v>
      </c>
      <c r="C1103" s="26" t="s">
        <v>930</v>
      </c>
      <c r="D1103" s="25" t="str">
        <f t="shared" si="17"/>
        <v>Số thửaSố thửa39</v>
      </c>
    </row>
    <row r="1104" spans="1:4" x14ac:dyDescent="0.25">
      <c r="A1104" s="25">
        <v>10</v>
      </c>
      <c r="B1104" s="25" t="s">
        <v>931</v>
      </c>
      <c r="C1104" s="26" t="s">
        <v>930</v>
      </c>
      <c r="D1104" s="25" t="str">
        <f t="shared" si="17"/>
        <v>Số thửaSố thửa41</v>
      </c>
    </row>
    <row r="1105" spans="1:4" x14ac:dyDescent="0.25">
      <c r="A1105" s="25">
        <v>10</v>
      </c>
      <c r="B1105" s="25" t="s">
        <v>932</v>
      </c>
      <c r="C1105" s="26" t="s">
        <v>930</v>
      </c>
      <c r="D1105" s="25" t="str">
        <f t="shared" si="17"/>
        <v>Số thửaSố thửa42</v>
      </c>
    </row>
    <row r="1106" spans="1:4" x14ac:dyDescent="0.25">
      <c r="A1106" s="25">
        <v>10</v>
      </c>
      <c r="B1106" s="25" t="s">
        <v>933</v>
      </c>
      <c r="C1106" s="26" t="s">
        <v>930</v>
      </c>
      <c r="D1106" s="25" t="str">
        <f t="shared" si="17"/>
        <v>Số thửaSố thửa53</v>
      </c>
    </row>
    <row r="1107" spans="1:4" x14ac:dyDescent="0.25">
      <c r="A1107" s="25">
        <v>10</v>
      </c>
      <c r="B1107" s="25" t="s">
        <v>632</v>
      </c>
      <c r="C1107" s="26" t="s">
        <v>930</v>
      </c>
      <c r="D1107" s="25" t="str">
        <f t="shared" si="17"/>
        <v>Số thửaSố thửa54</v>
      </c>
    </row>
    <row r="1108" spans="1:4" x14ac:dyDescent="0.25">
      <c r="A1108" s="25">
        <v>10</v>
      </c>
      <c r="B1108" s="25" t="s">
        <v>259</v>
      </c>
      <c r="C1108" s="26" t="s">
        <v>930</v>
      </c>
      <c r="D1108" s="25" t="str">
        <f t="shared" si="17"/>
        <v>Số thửaSố thửa58</v>
      </c>
    </row>
    <row r="1109" spans="1:4" x14ac:dyDescent="0.25">
      <c r="A1109" s="25">
        <v>10</v>
      </c>
      <c r="B1109" s="25" t="s">
        <v>261</v>
      </c>
      <c r="C1109" s="26" t="s">
        <v>930</v>
      </c>
      <c r="D1109" s="25" t="str">
        <f t="shared" si="17"/>
        <v>Số thửaSố thửa59</v>
      </c>
    </row>
    <row r="1110" spans="1:4" x14ac:dyDescent="0.25">
      <c r="A1110" s="25">
        <v>10</v>
      </c>
      <c r="B1110" s="25" t="s">
        <v>169</v>
      </c>
      <c r="C1110" s="26" t="s">
        <v>930</v>
      </c>
      <c r="D1110" s="25" t="str">
        <f t="shared" si="17"/>
        <v>Số thửaSố thửa66</v>
      </c>
    </row>
    <row r="1111" spans="1:4" x14ac:dyDescent="0.25">
      <c r="A1111" s="25">
        <v>10</v>
      </c>
      <c r="B1111" s="25" t="s">
        <v>934</v>
      </c>
      <c r="C1111" s="26" t="s">
        <v>930</v>
      </c>
      <c r="D1111" s="25" t="str">
        <f t="shared" si="17"/>
        <v>Số thửaSố thửa67</v>
      </c>
    </row>
    <row r="1112" spans="1:4" x14ac:dyDescent="0.25">
      <c r="A1112" s="25">
        <v>10</v>
      </c>
      <c r="B1112" s="25" t="s">
        <v>935</v>
      </c>
      <c r="C1112" s="26" t="s">
        <v>930</v>
      </c>
      <c r="D1112" s="25" t="str">
        <f t="shared" si="17"/>
        <v>Số thửaSố thửa299</v>
      </c>
    </row>
    <row r="1113" spans="1:4" x14ac:dyDescent="0.25">
      <c r="A1113" s="25">
        <v>10</v>
      </c>
      <c r="B1113" s="25" t="s">
        <v>139</v>
      </c>
      <c r="C1113" s="26" t="s">
        <v>930</v>
      </c>
      <c r="D1113" s="25" t="str">
        <f t="shared" si="17"/>
        <v>Số thửaSố thửa306</v>
      </c>
    </row>
    <row r="1114" spans="1:4" x14ac:dyDescent="0.25">
      <c r="A1114" s="25">
        <v>10</v>
      </c>
      <c r="B1114" s="25" t="s">
        <v>140</v>
      </c>
      <c r="C1114" s="26" t="s">
        <v>930</v>
      </c>
      <c r="D1114" s="25" t="str">
        <f t="shared" si="17"/>
        <v>Số thửaSố thửa307</v>
      </c>
    </row>
    <row r="1115" spans="1:4" x14ac:dyDescent="0.25">
      <c r="A1115" s="25">
        <v>10</v>
      </c>
      <c r="B1115" s="25" t="s">
        <v>404</v>
      </c>
      <c r="C1115" s="26" t="s">
        <v>930</v>
      </c>
      <c r="D1115" s="25" t="str">
        <f t="shared" si="17"/>
        <v>Số thửaSố thửa310</v>
      </c>
    </row>
    <row r="1116" spans="1:4" x14ac:dyDescent="0.25">
      <c r="A1116" s="25">
        <v>10</v>
      </c>
      <c r="B1116" s="25" t="s">
        <v>142</v>
      </c>
      <c r="C1116" s="26" t="s">
        <v>930</v>
      </c>
      <c r="D1116" s="25" t="str">
        <f t="shared" si="17"/>
        <v>Số thửaSố thửa330</v>
      </c>
    </row>
    <row r="1117" spans="1:4" x14ac:dyDescent="0.25">
      <c r="A1117" s="25">
        <v>10</v>
      </c>
      <c r="B1117" s="25" t="s">
        <v>767</v>
      </c>
      <c r="C1117" s="26" t="s">
        <v>930</v>
      </c>
      <c r="D1117" s="25" t="str">
        <f t="shared" si="17"/>
        <v>Số thửaSố thửa356</v>
      </c>
    </row>
    <row r="1118" spans="1:4" x14ac:dyDescent="0.25">
      <c r="A1118" s="25">
        <v>10</v>
      </c>
      <c r="B1118" s="25" t="s">
        <v>811</v>
      </c>
      <c r="C1118" s="26" t="s">
        <v>930</v>
      </c>
      <c r="D1118" s="25" t="str">
        <f t="shared" si="17"/>
        <v>Số thửaSố thửa357</v>
      </c>
    </row>
    <row r="1119" spans="1:4" x14ac:dyDescent="0.25">
      <c r="A1119" s="25">
        <v>13</v>
      </c>
      <c r="B1119" s="25" t="s">
        <v>658</v>
      </c>
      <c r="C1119" s="26" t="s">
        <v>929</v>
      </c>
      <c r="D1119" s="25" t="str">
        <f t="shared" si="17"/>
        <v>Số thửaSố thửa65</v>
      </c>
    </row>
    <row r="1120" spans="1:4" x14ac:dyDescent="0.25">
      <c r="A1120" s="25">
        <v>13</v>
      </c>
      <c r="B1120" s="25" t="s">
        <v>376</v>
      </c>
      <c r="C1120" s="26" t="s">
        <v>929</v>
      </c>
      <c r="D1120" s="25" t="str">
        <f t="shared" si="17"/>
        <v>Số thửaSố thửa125</v>
      </c>
    </row>
    <row r="1121" spans="1:4" x14ac:dyDescent="0.25">
      <c r="A1121" s="25">
        <v>13</v>
      </c>
      <c r="B1121" s="25" t="s">
        <v>92</v>
      </c>
      <c r="C1121" s="26" t="s">
        <v>936</v>
      </c>
      <c r="D1121" s="25" t="str">
        <f t="shared" si="17"/>
        <v>Số thửaSố thửa238</v>
      </c>
    </row>
    <row r="1122" spans="1:4" x14ac:dyDescent="0.25">
      <c r="A1122" s="25">
        <v>13</v>
      </c>
      <c r="B1122" s="25" t="s">
        <v>93</v>
      </c>
      <c r="C1122" s="26" t="s">
        <v>936</v>
      </c>
      <c r="D1122" s="25" t="str">
        <f t="shared" si="17"/>
        <v>Số thửaSố thửa239</v>
      </c>
    </row>
    <row r="1123" spans="1:4" x14ac:dyDescent="0.25">
      <c r="A1123" s="25">
        <v>13</v>
      </c>
      <c r="B1123" s="25" t="s">
        <v>937</v>
      </c>
      <c r="C1123" s="26" t="s">
        <v>936</v>
      </c>
      <c r="D1123" s="25" t="str">
        <f t="shared" si="17"/>
        <v>Số thửaSố thửa248</v>
      </c>
    </row>
    <row r="1124" spans="1:4" x14ac:dyDescent="0.25">
      <c r="A1124" s="25">
        <v>13</v>
      </c>
      <c r="B1124" s="25" t="s">
        <v>938</v>
      </c>
      <c r="C1124" s="26" t="s">
        <v>936</v>
      </c>
      <c r="D1124" s="25" t="str">
        <f t="shared" si="17"/>
        <v>Số thửaSố thửa291</v>
      </c>
    </row>
    <row r="1125" spans="1:4" x14ac:dyDescent="0.25">
      <c r="A1125" s="25">
        <v>13</v>
      </c>
      <c r="B1125" s="25" t="s">
        <v>711</v>
      </c>
      <c r="C1125" s="26" t="s">
        <v>936</v>
      </c>
      <c r="D1125" s="25" t="str">
        <f t="shared" si="17"/>
        <v>Số thửaSố thửa298</v>
      </c>
    </row>
    <row r="1126" spans="1:4" x14ac:dyDescent="0.25">
      <c r="A1126" s="25">
        <v>13</v>
      </c>
      <c r="B1126" s="25" t="s">
        <v>408</v>
      </c>
      <c r="C1126" s="26" t="s">
        <v>936</v>
      </c>
      <c r="D1126" s="25" t="str">
        <f t="shared" si="17"/>
        <v>Số thửaSố thửa350</v>
      </c>
    </row>
    <row r="1127" spans="1:4" x14ac:dyDescent="0.25">
      <c r="A1127" s="25">
        <v>9</v>
      </c>
      <c r="B1127" s="25" t="s">
        <v>939</v>
      </c>
      <c r="C1127" s="26" t="s">
        <v>940</v>
      </c>
      <c r="D1127" s="25" t="str">
        <f t="shared" si="17"/>
        <v>Số thửaSố thửa685</v>
      </c>
    </row>
    <row r="1128" spans="1:4" x14ac:dyDescent="0.25">
      <c r="A1128" s="25">
        <v>9</v>
      </c>
      <c r="B1128" s="25" t="s">
        <v>939</v>
      </c>
      <c r="C1128" s="26" t="s">
        <v>940</v>
      </c>
      <c r="D1128" s="25" t="str">
        <f t="shared" si="17"/>
        <v>Số thửaSố thửa685</v>
      </c>
    </row>
    <row r="1129" spans="1:4" x14ac:dyDescent="0.25">
      <c r="A1129" s="25">
        <v>8</v>
      </c>
      <c r="B1129" s="25" t="s">
        <v>174</v>
      </c>
      <c r="C1129" s="26" t="s">
        <v>941</v>
      </c>
      <c r="D1129" s="25" t="str">
        <f t="shared" si="17"/>
        <v>Số thửaSố thửa205</v>
      </c>
    </row>
    <row r="1130" spans="1:4" x14ac:dyDescent="0.25">
      <c r="A1130" s="25">
        <v>8</v>
      </c>
      <c r="B1130" s="25" t="s">
        <v>819</v>
      </c>
      <c r="C1130" s="26" t="s">
        <v>941</v>
      </c>
      <c r="D1130" s="25" t="str">
        <f t="shared" si="17"/>
        <v>Số thửaSố thửa284</v>
      </c>
    </row>
    <row r="1131" spans="1:4" x14ac:dyDescent="0.25">
      <c r="A1131" s="25">
        <v>2</v>
      </c>
      <c r="B1131" s="25" t="s">
        <v>942</v>
      </c>
      <c r="C1131" s="26" t="s">
        <v>943</v>
      </c>
      <c r="D1131" s="25" t="str">
        <f t="shared" si="17"/>
        <v>Số thửaSố thửa176</v>
      </c>
    </row>
    <row r="1132" spans="1:4" x14ac:dyDescent="0.25">
      <c r="A1132" s="25">
        <v>2</v>
      </c>
      <c r="B1132" s="25" t="s">
        <v>214</v>
      </c>
      <c r="C1132" s="26" t="s">
        <v>944</v>
      </c>
      <c r="D1132" s="25" t="str">
        <f t="shared" si="17"/>
        <v>Số thửaSố thửa289</v>
      </c>
    </row>
    <row r="1133" spans="1:4" x14ac:dyDescent="0.25">
      <c r="A1133" s="25">
        <v>2</v>
      </c>
      <c r="B1133" s="25" t="s">
        <v>214</v>
      </c>
      <c r="C1133" s="26" t="s">
        <v>944</v>
      </c>
      <c r="D1133" s="25" t="str">
        <f t="shared" si="17"/>
        <v>Số thửaSố thửa289</v>
      </c>
    </row>
    <row r="1134" spans="1:4" x14ac:dyDescent="0.25">
      <c r="A1134" s="25">
        <v>2</v>
      </c>
      <c r="B1134" s="25" t="s">
        <v>938</v>
      </c>
      <c r="C1134" s="26" t="s">
        <v>943</v>
      </c>
      <c r="D1134" s="25" t="str">
        <f t="shared" si="17"/>
        <v>Số thửaSố thửa291</v>
      </c>
    </row>
    <row r="1135" spans="1:4" x14ac:dyDescent="0.25">
      <c r="A1135" s="25">
        <v>9</v>
      </c>
      <c r="B1135" s="25" t="s">
        <v>945</v>
      </c>
      <c r="C1135" s="26" t="s">
        <v>946</v>
      </c>
      <c r="D1135" s="25" t="str">
        <f t="shared" si="17"/>
        <v>Số thửaSố thửa563</v>
      </c>
    </row>
    <row r="1136" spans="1:4" x14ac:dyDescent="0.25">
      <c r="A1136" s="25">
        <v>9</v>
      </c>
      <c r="B1136" s="25" t="s">
        <v>947</v>
      </c>
      <c r="C1136" s="26" t="s">
        <v>946</v>
      </c>
      <c r="D1136" s="25" t="str">
        <f t="shared" si="17"/>
        <v>Số thửaSố thửa564</v>
      </c>
    </row>
    <row r="1137" spans="1:4" x14ac:dyDescent="0.25">
      <c r="A1137" s="25">
        <v>9</v>
      </c>
      <c r="B1137" s="25" t="s">
        <v>948</v>
      </c>
      <c r="C1137" s="26" t="s">
        <v>946</v>
      </c>
      <c r="D1137" s="25" t="str">
        <f t="shared" si="17"/>
        <v>Số thửaSố thửa565</v>
      </c>
    </row>
    <row r="1138" spans="1:4" x14ac:dyDescent="0.25">
      <c r="A1138" s="25">
        <v>9</v>
      </c>
      <c r="B1138" s="25" t="s">
        <v>949</v>
      </c>
      <c r="C1138" s="26" t="s">
        <v>946</v>
      </c>
      <c r="D1138" s="25" t="str">
        <f t="shared" si="17"/>
        <v>Số thửaSố thửa569</v>
      </c>
    </row>
    <row r="1139" spans="1:4" x14ac:dyDescent="0.25">
      <c r="A1139" s="25">
        <v>9</v>
      </c>
      <c r="B1139" s="25" t="s">
        <v>950</v>
      </c>
      <c r="C1139" s="26" t="s">
        <v>946</v>
      </c>
      <c r="D1139" s="25" t="str">
        <f t="shared" si="17"/>
        <v>Số thửaSố thửa570</v>
      </c>
    </row>
    <row r="1140" spans="1:4" x14ac:dyDescent="0.25">
      <c r="A1140" s="25">
        <v>9</v>
      </c>
      <c r="B1140" s="25" t="s">
        <v>517</v>
      </c>
      <c r="C1140" s="26" t="s">
        <v>946</v>
      </c>
      <c r="D1140" s="25" t="str">
        <f t="shared" si="17"/>
        <v>Số thửaSố thửa571</v>
      </c>
    </row>
    <row r="1141" spans="1:4" x14ac:dyDescent="0.25">
      <c r="A1141" s="25">
        <v>9</v>
      </c>
      <c r="B1141" s="25" t="s">
        <v>951</v>
      </c>
      <c r="C1141" s="26" t="s">
        <v>946</v>
      </c>
      <c r="D1141" s="25" t="str">
        <f t="shared" si="17"/>
        <v>Số thửaSố thửa611</v>
      </c>
    </row>
    <row r="1142" spans="1:4" x14ac:dyDescent="0.25">
      <c r="A1142" s="25">
        <v>9</v>
      </c>
      <c r="B1142" s="25" t="s">
        <v>952</v>
      </c>
      <c r="C1142" s="26" t="s">
        <v>946</v>
      </c>
      <c r="D1142" s="25" t="str">
        <f t="shared" si="17"/>
        <v>Số thửaSố thửa612</v>
      </c>
    </row>
    <row r="1143" spans="1:4" x14ac:dyDescent="0.25">
      <c r="A1143" s="25">
        <v>10</v>
      </c>
      <c r="B1143" s="25" t="s">
        <v>458</v>
      </c>
      <c r="C1143" s="26" t="s">
        <v>953</v>
      </c>
      <c r="D1143" s="25" t="str">
        <f t="shared" si="17"/>
        <v>Số thửaSố thửa40</v>
      </c>
    </row>
    <row r="1144" spans="1:4" x14ac:dyDescent="0.25">
      <c r="A1144" s="25">
        <v>10</v>
      </c>
      <c r="B1144" s="25" t="s">
        <v>258</v>
      </c>
      <c r="C1144" s="26" t="s">
        <v>954</v>
      </c>
      <c r="D1144" s="25" t="str">
        <f t="shared" si="17"/>
        <v>Số thửaSố thửa57</v>
      </c>
    </row>
    <row r="1145" spans="1:4" x14ac:dyDescent="0.25">
      <c r="A1145" s="25">
        <v>10</v>
      </c>
      <c r="B1145" s="25" t="s">
        <v>693</v>
      </c>
      <c r="C1145" s="26" t="s">
        <v>953</v>
      </c>
      <c r="D1145" s="25" t="str">
        <f t="shared" si="17"/>
        <v>Số thửaSố thửa115</v>
      </c>
    </row>
    <row r="1146" spans="1:4" x14ac:dyDescent="0.25">
      <c r="A1146" s="25">
        <v>10</v>
      </c>
      <c r="B1146" s="25" t="s">
        <v>395</v>
      </c>
      <c r="C1146" s="26" t="s">
        <v>954</v>
      </c>
      <c r="D1146" s="25" t="str">
        <f t="shared" si="17"/>
        <v>Số thửaSố thửa170</v>
      </c>
    </row>
    <row r="1147" spans="1:4" x14ac:dyDescent="0.25">
      <c r="A1147" s="25">
        <v>10</v>
      </c>
      <c r="B1147" s="25" t="s">
        <v>955</v>
      </c>
      <c r="C1147" s="26" t="s">
        <v>946</v>
      </c>
      <c r="D1147" s="25" t="str">
        <f t="shared" si="17"/>
        <v>Số thửaSố thửa212</v>
      </c>
    </row>
    <row r="1148" spans="1:4" x14ac:dyDescent="0.25">
      <c r="A1148" s="25">
        <v>10</v>
      </c>
      <c r="B1148" s="25" t="s">
        <v>85</v>
      </c>
      <c r="C1148" s="26" t="s">
        <v>946</v>
      </c>
      <c r="D1148" s="25" t="str">
        <f t="shared" si="17"/>
        <v>Số thửaSố thửa219</v>
      </c>
    </row>
    <row r="1149" spans="1:4" x14ac:dyDescent="0.25">
      <c r="A1149" s="25">
        <v>10</v>
      </c>
      <c r="B1149" s="25" t="s">
        <v>402</v>
      </c>
      <c r="C1149" s="26" t="s">
        <v>946</v>
      </c>
      <c r="D1149" s="25" t="str">
        <f t="shared" si="17"/>
        <v>Số thửaSố thửa232</v>
      </c>
    </row>
    <row r="1150" spans="1:4" x14ac:dyDescent="0.25">
      <c r="A1150" s="25">
        <v>10</v>
      </c>
      <c r="B1150" s="25" t="s">
        <v>388</v>
      </c>
      <c r="C1150" s="26" t="s">
        <v>946</v>
      </c>
      <c r="D1150" s="25" t="str">
        <f t="shared" si="17"/>
        <v>Số thửaSố thửa233</v>
      </c>
    </row>
    <row r="1151" spans="1:4" x14ac:dyDescent="0.25">
      <c r="A1151" s="25">
        <v>10</v>
      </c>
      <c r="B1151" s="25" t="s">
        <v>817</v>
      </c>
      <c r="C1151" s="26" t="s">
        <v>946</v>
      </c>
      <c r="D1151" s="25" t="str">
        <f t="shared" si="17"/>
        <v>Số thửaSố thửa244</v>
      </c>
    </row>
    <row r="1152" spans="1:4" x14ac:dyDescent="0.25">
      <c r="A1152" s="25">
        <v>10</v>
      </c>
      <c r="B1152" s="25" t="s">
        <v>956</v>
      </c>
      <c r="C1152" s="26" t="s">
        <v>946</v>
      </c>
      <c r="D1152" s="25" t="str">
        <f t="shared" si="17"/>
        <v>Số thửaSố thửa245</v>
      </c>
    </row>
    <row r="1153" spans="1:4" x14ac:dyDescent="0.25">
      <c r="A1153" s="25">
        <v>10</v>
      </c>
      <c r="B1153" s="25" t="s">
        <v>870</v>
      </c>
      <c r="C1153" s="26" t="s">
        <v>946</v>
      </c>
      <c r="D1153" s="25" t="str">
        <f t="shared" si="17"/>
        <v>Số thửaSố thửa261</v>
      </c>
    </row>
    <row r="1154" spans="1:4" x14ac:dyDescent="0.25">
      <c r="A1154" s="25">
        <v>10</v>
      </c>
      <c r="B1154" s="25" t="s">
        <v>361</v>
      </c>
      <c r="C1154" s="26" t="s">
        <v>946</v>
      </c>
      <c r="D1154" s="25" t="str">
        <f t="shared" si="17"/>
        <v>Số thửaSố thửa270</v>
      </c>
    </row>
    <row r="1155" spans="1:4" x14ac:dyDescent="0.25">
      <c r="A1155" s="25">
        <v>10</v>
      </c>
      <c r="B1155" s="25" t="s">
        <v>957</v>
      </c>
      <c r="C1155" s="26" t="s">
        <v>958</v>
      </c>
      <c r="D1155" s="25" t="str">
        <f t="shared" ref="D1155:D1218" si="18">$B$1&amp;B1155</f>
        <v>Số thửaSố thửa287</v>
      </c>
    </row>
    <row r="1156" spans="1:4" x14ac:dyDescent="0.25">
      <c r="A1156" s="25">
        <v>10</v>
      </c>
      <c r="B1156" s="25" t="s">
        <v>959</v>
      </c>
      <c r="C1156" s="26" t="s">
        <v>958</v>
      </c>
      <c r="D1156" s="25" t="str">
        <f t="shared" si="18"/>
        <v>Số thửaSố thửa288</v>
      </c>
    </row>
    <row r="1157" spans="1:4" x14ac:dyDescent="0.25">
      <c r="A1157" s="25">
        <v>10</v>
      </c>
      <c r="B1157" s="25" t="s">
        <v>449</v>
      </c>
      <c r="C1157" s="26" t="s">
        <v>958</v>
      </c>
      <c r="D1157" s="25" t="str">
        <f t="shared" si="18"/>
        <v>Số thửaSố thửa296</v>
      </c>
    </row>
    <row r="1158" spans="1:4" x14ac:dyDescent="0.25">
      <c r="A1158" s="25">
        <v>8</v>
      </c>
      <c r="B1158" s="25" t="s">
        <v>462</v>
      </c>
      <c r="C1158" s="26" t="s">
        <v>960</v>
      </c>
      <c r="D1158" s="25" t="str">
        <f t="shared" si="18"/>
        <v>Số thửaSố thửa75</v>
      </c>
    </row>
    <row r="1159" spans="1:4" x14ac:dyDescent="0.25">
      <c r="A1159" s="25">
        <v>8</v>
      </c>
      <c r="B1159" s="25" t="s">
        <v>69</v>
      </c>
      <c r="C1159" s="26" t="s">
        <v>960</v>
      </c>
      <c r="D1159" s="25" t="str">
        <f t="shared" si="18"/>
        <v>Số thửaSố thửa77</v>
      </c>
    </row>
    <row r="1160" spans="1:4" x14ac:dyDescent="0.25">
      <c r="A1160" s="25">
        <v>8</v>
      </c>
      <c r="B1160" s="25" t="s">
        <v>660</v>
      </c>
      <c r="C1160" s="26" t="s">
        <v>960</v>
      </c>
      <c r="D1160" s="25" t="str">
        <f t="shared" si="18"/>
        <v>Số thửaSố thửa78</v>
      </c>
    </row>
    <row r="1161" spans="1:4" x14ac:dyDescent="0.25">
      <c r="A1161" s="25">
        <v>8</v>
      </c>
      <c r="B1161" s="25" t="s">
        <v>469</v>
      </c>
      <c r="C1161" s="26" t="s">
        <v>960</v>
      </c>
      <c r="D1161" s="25" t="str">
        <f t="shared" si="18"/>
        <v>Số thửaSố thửa94</v>
      </c>
    </row>
    <row r="1162" spans="1:4" x14ac:dyDescent="0.25">
      <c r="A1162" s="25">
        <v>8</v>
      </c>
      <c r="B1162" s="25" t="s">
        <v>823</v>
      </c>
      <c r="C1162" s="26" t="s">
        <v>960</v>
      </c>
      <c r="D1162" s="25" t="str">
        <f t="shared" si="18"/>
        <v>Số thửaSố thửa95</v>
      </c>
    </row>
    <row r="1163" spans="1:4" x14ac:dyDescent="0.25">
      <c r="A1163" s="25">
        <v>8</v>
      </c>
      <c r="B1163" s="25" t="s">
        <v>470</v>
      </c>
      <c r="C1163" s="26" t="s">
        <v>960</v>
      </c>
      <c r="D1163" s="25" t="str">
        <f t="shared" si="18"/>
        <v>Số thửaSố thửa96</v>
      </c>
    </row>
    <row r="1164" spans="1:4" x14ac:dyDescent="0.25">
      <c r="A1164" s="25">
        <v>8</v>
      </c>
      <c r="B1164" s="25" t="s">
        <v>107</v>
      </c>
      <c r="C1164" s="26" t="s">
        <v>960</v>
      </c>
      <c r="D1164" s="25" t="str">
        <f t="shared" si="18"/>
        <v>Số thửaSố thửa118</v>
      </c>
    </row>
    <row r="1165" spans="1:4" x14ac:dyDescent="0.25">
      <c r="A1165" s="25">
        <v>10</v>
      </c>
      <c r="B1165" s="25" t="s">
        <v>961</v>
      </c>
      <c r="C1165" s="26" t="s">
        <v>962</v>
      </c>
      <c r="D1165" s="25" t="str">
        <f t="shared" si="18"/>
        <v>Số thửaSố thửa297</v>
      </c>
    </row>
    <row r="1166" spans="1:4" x14ac:dyDescent="0.25">
      <c r="A1166" s="25">
        <v>10</v>
      </c>
      <c r="B1166" s="25" t="s">
        <v>961</v>
      </c>
      <c r="C1166" s="26" t="s">
        <v>962</v>
      </c>
      <c r="D1166" s="25" t="str">
        <f t="shared" si="18"/>
        <v>Số thửaSố thửa297</v>
      </c>
    </row>
    <row r="1167" spans="1:4" x14ac:dyDescent="0.25">
      <c r="A1167" s="25">
        <v>13</v>
      </c>
      <c r="B1167" s="25" t="s">
        <v>379</v>
      </c>
      <c r="C1167" s="26" t="s">
        <v>963</v>
      </c>
      <c r="D1167" s="25" t="str">
        <f t="shared" si="18"/>
        <v>Số thửaSố thửa129</v>
      </c>
    </row>
    <row r="1168" spans="1:4" x14ac:dyDescent="0.25">
      <c r="A1168" s="25">
        <v>13</v>
      </c>
      <c r="B1168" s="25" t="s">
        <v>895</v>
      </c>
      <c r="C1168" s="26" t="s">
        <v>963</v>
      </c>
      <c r="D1168" s="25" t="str">
        <f t="shared" si="18"/>
        <v>Số thửaSố thửa179</v>
      </c>
    </row>
    <row r="1169" spans="1:4" x14ac:dyDescent="0.25">
      <c r="A1169" s="25">
        <v>13</v>
      </c>
      <c r="B1169" s="25" t="s">
        <v>312</v>
      </c>
      <c r="C1169" s="26" t="s">
        <v>963</v>
      </c>
      <c r="D1169" s="25" t="str">
        <f t="shared" si="18"/>
        <v>Số thửaSố thửa180</v>
      </c>
    </row>
    <row r="1170" spans="1:4" x14ac:dyDescent="0.25">
      <c r="A1170" s="25">
        <v>13</v>
      </c>
      <c r="B1170" s="25" t="s">
        <v>964</v>
      </c>
      <c r="C1170" s="26" t="s">
        <v>965</v>
      </c>
      <c r="D1170" s="25" t="str">
        <f t="shared" si="18"/>
        <v>Số thửaSố thửa181</v>
      </c>
    </row>
    <row r="1171" spans="1:4" x14ac:dyDescent="0.25">
      <c r="A1171" s="25">
        <v>13</v>
      </c>
      <c r="B1171" s="25" t="s">
        <v>74</v>
      </c>
      <c r="C1171" s="26" t="s">
        <v>963</v>
      </c>
      <c r="D1171" s="25" t="str">
        <f t="shared" si="18"/>
        <v>Số thửaSố thửa183</v>
      </c>
    </row>
    <row r="1172" spans="1:4" x14ac:dyDescent="0.25">
      <c r="A1172" s="25">
        <v>13</v>
      </c>
      <c r="B1172" s="25" t="s">
        <v>112</v>
      </c>
      <c r="C1172" s="26" t="s">
        <v>963</v>
      </c>
      <c r="D1172" s="25" t="str">
        <f t="shared" si="18"/>
        <v>Số thửaSố thửa185</v>
      </c>
    </row>
    <row r="1173" spans="1:4" x14ac:dyDescent="0.25">
      <c r="A1173" s="25">
        <v>13</v>
      </c>
      <c r="B1173" s="25" t="s">
        <v>966</v>
      </c>
      <c r="C1173" s="26" t="s">
        <v>963</v>
      </c>
      <c r="D1173" s="25" t="str">
        <f t="shared" si="18"/>
        <v>Số thửaSố thửa295</v>
      </c>
    </row>
    <row r="1174" spans="1:4" x14ac:dyDescent="0.25">
      <c r="A1174" s="25">
        <v>13</v>
      </c>
      <c r="B1174" s="25" t="s">
        <v>967</v>
      </c>
      <c r="C1174" s="26" t="s">
        <v>968</v>
      </c>
      <c r="D1174" s="25" t="str">
        <f t="shared" si="18"/>
        <v>Số thửaSố thửa514</v>
      </c>
    </row>
    <row r="1175" spans="1:4" x14ac:dyDescent="0.25">
      <c r="A1175" s="25">
        <v>8</v>
      </c>
      <c r="B1175" s="25" t="s">
        <v>628</v>
      </c>
      <c r="C1175" s="26" t="s">
        <v>969</v>
      </c>
      <c r="D1175" s="25" t="str">
        <f t="shared" si="18"/>
        <v>Số thửaSố thửa5</v>
      </c>
    </row>
    <row r="1176" spans="1:4" x14ac:dyDescent="0.25">
      <c r="A1176" s="25">
        <v>9</v>
      </c>
      <c r="B1176" s="25" t="s">
        <v>207</v>
      </c>
      <c r="C1176" s="26" t="s">
        <v>969</v>
      </c>
      <c r="D1176" s="25" t="str">
        <f t="shared" si="18"/>
        <v>Số thửaSố thửa595</v>
      </c>
    </row>
    <row r="1177" spans="1:4" x14ac:dyDescent="0.25">
      <c r="A1177" s="25">
        <v>9</v>
      </c>
      <c r="B1177" s="25" t="s">
        <v>224</v>
      </c>
      <c r="C1177" s="26" t="s">
        <v>970</v>
      </c>
      <c r="D1177" s="25" t="str">
        <f t="shared" si="18"/>
        <v>Số thửaSố thửa237</v>
      </c>
    </row>
    <row r="1178" spans="1:4" x14ac:dyDescent="0.25">
      <c r="A1178" s="25">
        <v>9</v>
      </c>
      <c r="B1178" s="25" t="s">
        <v>813</v>
      </c>
      <c r="C1178" s="26" t="s">
        <v>971</v>
      </c>
      <c r="D1178" s="25" t="str">
        <f t="shared" si="18"/>
        <v>Số thửaSố thửa362</v>
      </c>
    </row>
    <row r="1179" spans="1:4" x14ac:dyDescent="0.25">
      <c r="A1179" s="25">
        <v>9</v>
      </c>
      <c r="B1179" s="25" t="s">
        <v>753</v>
      </c>
      <c r="C1179" s="26" t="s">
        <v>971</v>
      </c>
      <c r="D1179" s="25" t="str">
        <f t="shared" si="18"/>
        <v>Số thửaSố thửa419</v>
      </c>
    </row>
    <row r="1180" spans="1:4" x14ac:dyDescent="0.25">
      <c r="A1180" s="25">
        <v>9</v>
      </c>
      <c r="B1180" s="25" t="s">
        <v>754</v>
      </c>
      <c r="C1180" s="26" t="s">
        <v>971</v>
      </c>
      <c r="D1180" s="25" t="str">
        <f t="shared" si="18"/>
        <v>Số thửaSố thửa420</v>
      </c>
    </row>
    <row r="1181" spans="1:4" x14ac:dyDescent="0.25">
      <c r="A1181" s="25">
        <v>9</v>
      </c>
      <c r="B1181" s="25" t="s">
        <v>755</v>
      </c>
      <c r="C1181" s="26" t="s">
        <v>971</v>
      </c>
      <c r="D1181" s="25" t="str">
        <f t="shared" si="18"/>
        <v>Số thửaSố thửa421</v>
      </c>
    </row>
    <row r="1182" spans="1:4" x14ac:dyDescent="0.25">
      <c r="A1182" s="25">
        <v>9</v>
      </c>
      <c r="B1182" s="25" t="s">
        <v>756</v>
      </c>
      <c r="C1182" s="26" t="s">
        <v>972</v>
      </c>
      <c r="D1182" s="25" t="str">
        <f t="shared" si="18"/>
        <v>Số thửaSố thửa422</v>
      </c>
    </row>
    <row r="1183" spans="1:4" x14ac:dyDescent="0.25">
      <c r="A1183" s="25">
        <v>9</v>
      </c>
      <c r="B1183" s="25" t="s">
        <v>612</v>
      </c>
      <c r="C1183" s="26" t="s">
        <v>972</v>
      </c>
      <c r="D1183" s="25" t="str">
        <f t="shared" si="18"/>
        <v>Số thửaSố thửa435</v>
      </c>
    </row>
    <row r="1184" spans="1:4" x14ac:dyDescent="0.25">
      <c r="A1184" s="25">
        <v>9</v>
      </c>
      <c r="B1184" s="25" t="s">
        <v>733</v>
      </c>
      <c r="C1184" s="26" t="s">
        <v>972</v>
      </c>
      <c r="D1184" s="25" t="str">
        <f t="shared" si="18"/>
        <v>Số thửaSố thửa503</v>
      </c>
    </row>
    <row r="1185" spans="1:4" x14ac:dyDescent="0.25">
      <c r="A1185" s="25">
        <v>9</v>
      </c>
      <c r="B1185" s="25" t="s">
        <v>880</v>
      </c>
      <c r="C1185" s="26" t="s">
        <v>972</v>
      </c>
      <c r="D1185" s="25" t="str">
        <f t="shared" si="18"/>
        <v>Số thửaSố thửa504</v>
      </c>
    </row>
    <row r="1186" spans="1:4" x14ac:dyDescent="0.25">
      <c r="A1186" s="25">
        <v>9</v>
      </c>
      <c r="B1186" s="25" t="s">
        <v>474</v>
      </c>
      <c r="C1186" s="26" t="s">
        <v>971</v>
      </c>
      <c r="D1186" s="25" t="str">
        <f t="shared" si="18"/>
        <v>Số thửaSố thửa578</v>
      </c>
    </row>
    <row r="1187" spans="1:4" x14ac:dyDescent="0.25">
      <c r="A1187" s="25">
        <v>9</v>
      </c>
      <c r="B1187" s="25" t="s">
        <v>973</v>
      </c>
      <c r="C1187" s="26" t="s">
        <v>970</v>
      </c>
      <c r="D1187" s="25" t="str">
        <f t="shared" si="18"/>
        <v>Số thửaSố thửa579</v>
      </c>
    </row>
    <row r="1188" spans="1:4" x14ac:dyDescent="0.25">
      <c r="A1188" s="25">
        <v>9</v>
      </c>
      <c r="B1188" s="25" t="s">
        <v>974</v>
      </c>
      <c r="C1188" s="26" t="s">
        <v>975</v>
      </c>
      <c r="D1188" s="25" t="str">
        <f t="shared" si="18"/>
        <v>Số thửaSố thửa613</v>
      </c>
    </row>
    <row r="1189" spans="1:4" x14ac:dyDescent="0.25">
      <c r="A1189" s="25">
        <v>9</v>
      </c>
      <c r="B1189" s="25" t="s">
        <v>974</v>
      </c>
      <c r="C1189" s="26" t="s">
        <v>975</v>
      </c>
      <c r="D1189" s="25" t="str">
        <f t="shared" si="18"/>
        <v>Số thửaSố thửa613</v>
      </c>
    </row>
    <row r="1190" spans="1:4" x14ac:dyDescent="0.25">
      <c r="A1190" s="25">
        <v>9</v>
      </c>
      <c r="B1190" s="25" t="s">
        <v>265</v>
      </c>
      <c r="C1190" s="26" t="s">
        <v>971</v>
      </c>
      <c r="D1190" s="25" t="str">
        <f t="shared" si="18"/>
        <v>Số thửaSố thửa614</v>
      </c>
    </row>
    <row r="1191" spans="1:4" x14ac:dyDescent="0.25">
      <c r="A1191" s="25">
        <v>9</v>
      </c>
      <c r="B1191" s="25" t="s">
        <v>976</v>
      </c>
      <c r="C1191" s="26" t="s">
        <v>971</v>
      </c>
      <c r="D1191" s="25" t="str">
        <f t="shared" si="18"/>
        <v>Số thửaSố thửa616</v>
      </c>
    </row>
    <row r="1192" spans="1:4" x14ac:dyDescent="0.25">
      <c r="A1192" s="25">
        <v>9</v>
      </c>
      <c r="B1192" s="25" t="s">
        <v>977</v>
      </c>
      <c r="C1192" s="26" t="s">
        <v>971</v>
      </c>
      <c r="D1192" s="25" t="str">
        <f t="shared" si="18"/>
        <v>Số thửaSố thửa617</v>
      </c>
    </row>
    <row r="1193" spans="1:4" x14ac:dyDescent="0.25">
      <c r="A1193" s="25">
        <v>9</v>
      </c>
      <c r="B1193" s="25" t="s">
        <v>978</v>
      </c>
      <c r="C1193" s="26" t="s">
        <v>972</v>
      </c>
      <c r="D1193" s="25" t="str">
        <f t="shared" si="18"/>
        <v>Số thửaSố thửa620</v>
      </c>
    </row>
    <row r="1194" spans="1:4" x14ac:dyDescent="0.25">
      <c r="A1194" s="25">
        <v>9</v>
      </c>
      <c r="B1194" s="25" t="s">
        <v>979</v>
      </c>
      <c r="C1194" s="26" t="s">
        <v>971</v>
      </c>
      <c r="D1194" s="25" t="str">
        <f t="shared" si="18"/>
        <v>Số thửaSố thửa621</v>
      </c>
    </row>
    <row r="1195" spans="1:4" x14ac:dyDescent="0.25">
      <c r="A1195" s="25">
        <v>9</v>
      </c>
      <c r="B1195" s="25" t="s">
        <v>600</v>
      </c>
      <c r="C1195" s="26" t="s">
        <v>971</v>
      </c>
      <c r="D1195" s="25" t="str">
        <f t="shared" si="18"/>
        <v>Số thửaSố thửa649</v>
      </c>
    </row>
    <row r="1196" spans="1:4" x14ac:dyDescent="0.25">
      <c r="A1196" s="25">
        <v>9</v>
      </c>
      <c r="B1196" s="25" t="s">
        <v>980</v>
      </c>
      <c r="C1196" s="26" t="s">
        <v>972</v>
      </c>
      <c r="D1196" s="25" t="str">
        <f t="shared" si="18"/>
        <v>Số thửaSố thửa655</v>
      </c>
    </row>
    <row r="1197" spans="1:4" x14ac:dyDescent="0.25">
      <c r="A1197" s="25">
        <v>9</v>
      </c>
      <c r="B1197" s="25" t="s">
        <v>981</v>
      </c>
      <c r="C1197" s="26" t="s">
        <v>971</v>
      </c>
      <c r="D1197" s="25" t="str">
        <f t="shared" si="18"/>
        <v>Số thửaSố thửa657</v>
      </c>
    </row>
    <row r="1198" spans="1:4" x14ac:dyDescent="0.25">
      <c r="A1198" s="25">
        <v>9</v>
      </c>
      <c r="B1198" s="25" t="s">
        <v>982</v>
      </c>
      <c r="C1198" s="26" t="s">
        <v>971</v>
      </c>
      <c r="D1198" s="25" t="str">
        <f t="shared" si="18"/>
        <v>Số thửaSố thửa658</v>
      </c>
    </row>
    <row r="1199" spans="1:4" x14ac:dyDescent="0.25">
      <c r="A1199" s="25">
        <v>9</v>
      </c>
      <c r="B1199" s="25" t="s">
        <v>652</v>
      </c>
      <c r="C1199" s="26" t="s">
        <v>971</v>
      </c>
      <c r="D1199" s="25" t="str">
        <f t="shared" si="18"/>
        <v>Số thửaSố thửa664</v>
      </c>
    </row>
    <row r="1200" spans="1:4" x14ac:dyDescent="0.25">
      <c r="A1200" s="25">
        <v>9</v>
      </c>
      <c r="B1200" s="25" t="s">
        <v>439</v>
      </c>
      <c r="C1200" s="26" t="s">
        <v>971</v>
      </c>
      <c r="D1200" s="25" t="str">
        <f t="shared" si="18"/>
        <v>Số thửaSố thửa665</v>
      </c>
    </row>
    <row r="1201" spans="1:4" x14ac:dyDescent="0.25">
      <c r="A1201" s="25">
        <v>9</v>
      </c>
      <c r="B1201" s="25" t="s">
        <v>440</v>
      </c>
      <c r="C1201" s="26" t="s">
        <v>971</v>
      </c>
      <c r="D1201" s="25" t="str">
        <f t="shared" si="18"/>
        <v>Số thửaSố thửa666</v>
      </c>
    </row>
    <row r="1202" spans="1:4" x14ac:dyDescent="0.25">
      <c r="A1202" s="25">
        <v>10</v>
      </c>
      <c r="B1202" s="25" t="s">
        <v>630</v>
      </c>
      <c r="C1202" s="26" t="s">
        <v>970</v>
      </c>
      <c r="D1202" s="25" t="str">
        <f t="shared" si="18"/>
        <v>Số thửaSố thửa36</v>
      </c>
    </row>
    <row r="1203" spans="1:4" x14ac:dyDescent="0.25">
      <c r="A1203" s="25">
        <v>10</v>
      </c>
      <c r="B1203" s="25" t="s">
        <v>67</v>
      </c>
      <c r="C1203" s="26" t="s">
        <v>970</v>
      </c>
      <c r="D1203" s="25" t="str">
        <f t="shared" si="18"/>
        <v>Số thửaSố thửa64</v>
      </c>
    </row>
    <row r="1204" spans="1:4" x14ac:dyDescent="0.25">
      <c r="A1204" s="25">
        <v>10</v>
      </c>
      <c r="B1204" s="25" t="s">
        <v>510</v>
      </c>
      <c r="C1204" s="26" t="s">
        <v>970</v>
      </c>
      <c r="D1204" s="25" t="str">
        <f t="shared" si="18"/>
        <v>Số thửaSố thửa149</v>
      </c>
    </row>
    <row r="1205" spans="1:4" x14ac:dyDescent="0.25">
      <c r="A1205" s="25">
        <v>10</v>
      </c>
      <c r="B1205" s="25" t="s">
        <v>983</v>
      </c>
      <c r="C1205" s="26" t="s">
        <v>970</v>
      </c>
      <c r="D1205" s="25" t="str">
        <f t="shared" si="18"/>
        <v>Số thửaSố thửa224</v>
      </c>
    </row>
    <row r="1206" spans="1:4" x14ac:dyDescent="0.25">
      <c r="A1206" s="25">
        <v>10</v>
      </c>
      <c r="B1206" s="25" t="s">
        <v>724</v>
      </c>
      <c r="C1206" s="26" t="s">
        <v>970</v>
      </c>
      <c r="D1206" s="25" t="str">
        <f t="shared" si="18"/>
        <v>Số thửaSố thửa254</v>
      </c>
    </row>
    <row r="1207" spans="1:4" x14ac:dyDescent="0.25">
      <c r="A1207" s="25">
        <v>10</v>
      </c>
      <c r="B1207" s="25" t="s">
        <v>984</v>
      </c>
      <c r="C1207" s="26" t="s">
        <v>970</v>
      </c>
      <c r="D1207" s="25" t="str">
        <f t="shared" si="18"/>
        <v>Số thửaSố thửa303</v>
      </c>
    </row>
    <row r="1208" spans="1:4" x14ac:dyDescent="0.25">
      <c r="A1208" s="25">
        <v>8</v>
      </c>
      <c r="B1208" s="25" t="s">
        <v>466</v>
      </c>
      <c r="C1208" s="26" t="s">
        <v>985</v>
      </c>
      <c r="D1208" s="25" t="str">
        <f t="shared" si="18"/>
        <v>Số thửaSố thửa79</v>
      </c>
    </row>
    <row r="1209" spans="1:4" x14ac:dyDescent="0.25">
      <c r="A1209" s="25">
        <v>8</v>
      </c>
      <c r="B1209" s="25" t="s">
        <v>986</v>
      </c>
      <c r="C1209" s="26" t="s">
        <v>987</v>
      </c>
      <c r="D1209" s="25" t="str">
        <f t="shared" si="18"/>
        <v>Số thửaSố thửa200</v>
      </c>
    </row>
    <row r="1210" spans="1:4" x14ac:dyDescent="0.25">
      <c r="A1210" s="25">
        <v>8</v>
      </c>
      <c r="B1210" s="25" t="s">
        <v>89</v>
      </c>
      <c r="C1210" s="26" t="s">
        <v>987</v>
      </c>
      <c r="D1210" s="25" t="str">
        <f t="shared" si="18"/>
        <v>Số thửaSố thửa223</v>
      </c>
    </row>
    <row r="1211" spans="1:4" x14ac:dyDescent="0.25">
      <c r="A1211" s="25">
        <v>9</v>
      </c>
      <c r="B1211" s="25" t="s">
        <v>988</v>
      </c>
      <c r="C1211" s="26" t="s">
        <v>985</v>
      </c>
      <c r="D1211" s="25" t="str">
        <f t="shared" si="18"/>
        <v>Số thửaSố thửa644</v>
      </c>
    </row>
    <row r="1212" spans="1:4" x14ac:dyDescent="0.25">
      <c r="A1212" s="25">
        <v>9</v>
      </c>
      <c r="B1212" s="25" t="s">
        <v>668</v>
      </c>
      <c r="C1212" s="26" t="s">
        <v>989</v>
      </c>
      <c r="D1212" s="25" t="str">
        <f t="shared" si="18"/>
        <v>Số thửaSố thửa153</v>
      </c>
    </row>
    <row r="1213" spans="1:4" x14ac:dyDescent="0.25">
      <c r="A1213" s="25">
        <v>9</v>
      </c>
      <c r="B1213" s="25" t="s">
        <v>990</v>
      </c>
      <c r="C1213" s="26" t="s">
        <v>991</v>
      </c>
      <c r="D1213" s="25" t="str">
        <f t="shared" si="18"/>
        <v>Số thửaSố thửa194</v>
      </c>
    </row>
    <row r="1214" spans="1:4" x14ac:dyDescent="0.25">
      <c r="A1214" s="25">
        <v>9</v>
      </c>
      <c r="B1214" s="25" t="s">
        <v>865</v>
      </c>
      <c r="C1214" s="26" t="s">
        <v>991</v>
      </c>
      <c r="D1214" s="25" t="str">
        <f t="shared" si="18"/>
        <v>Số thửaSố thửa195</v>
      </c>
    </row>
    <row r="1215" spans="1:4" x14ac:dyDescent="0.25">
      <c r="A1215" s="25">
        <v>9</v>
      </c>
      <c r="B1215" s="25" t="s">
        <v>866</v>
      </c>
      <c r="C1215" s="26" t="s">
        <v>991</v>
      </c>
      <c r="D1215" s="25" t="str">
        <f t="shared" si="18"/>
        <v>Số thửaSố thửa196</v>
      </c>
    </row>
    <row r="1216" spans="1:4" x14ac:dyDescent="0.25">
      <c r="A1216" s="25">
        <v>9</v>
      </c>
      <c r="B1216" s="25" t="s">
        <v>92</v>
      </c>
      <c r="C1216" s="26" t="s">
        <v>991</v>
      </c>
      <c r="D1216" s="25" t="str">
        <f t="shared" si="18"/>
        <v>Số thửaSố thửa238</v>
      </c>
    </row>
    <row r="1217" spans="1:4" x14ac:dyDescent="0.25">
      <c r="A1217" s="25">
        <v>9</v>
      </c>
      <c r="B1217" s="25" t="s">
        <v>93</v>
      </c>
      <c r="C1217" s="26" t="s">
        <v>991</v>
      </c>
      <c r="D1217" s="25" t="str">
        <f t="shared" si="18"/>
        <v>Số thửaSố thửa239</v>
      </c>
    </row>
    <row r="1218" spans="1:4" x14ac:dyDescent="0.25">
      <c r="A1218" s="25">
        <v>9</v>
      </c>
      <c r="B1218" s="25" t="s">
        <v>96</v>
      </c>
      <c r="C1218" s="26" t="s">
        <v>991</v>
      </c>
      <c r="D1218" s="25" t="str">
        <f t="shared" si="18"/>
        <v>Số thửaSố thửa242</v>
      </c>
    </row>
    <row r="1219" spans="1:4" x14ac:dyDescent="0.25">
      <c r="A1219" s="25">
        <v>9</v>
      </c>
      <c r="B1219" s="25" t="s">
        <v>819</v>
      </c>
      <c r="C1219" s="26" t="s">
        <v>991</v>
      </c>
      <c r="D1219" s="25" t="str">
        <f t="shared" ref="D1219:D1282" si="19">$B$1&amp;B1219</f>
        <v>Số thửaSố thửa284</v>
      </c>
    </row>
    <row r="1220" spans="1:4" x14ac:dyDescent="0.25">
      <c r="A1220" s="25">
        <v>9</v>
      </c>
      <c r="B1220" s="25" t="s">
        <v>992</v>
      </c>
      <c r="C1220" s="26" t="s">
        <v>991</v>
      </c>
      <c r="D1220" s="25" t="str">
        <f t="shared" si="19"/>
        <v>Số thửaSố thửa285</v>
      </c>
    </row>
    <row r="1221" spans="1:4" x14ac:dyDescent="0.25">
      <c r="A1221" s="25">
        <v>9</v>
      </c>
      <c r="B1221" s="25" t="s">
        <v>515</v>
      </c>
      <c r="C1221" s="26" t="s">
        <v>991</v>
      </c>
      <c r="D1221" s="25" t="str">
        <f t="shared" si="19"/>
        <v>Số thửaSố thửa293</v>
      </c>
    </row>
    <row r="1222" spans="1:4" x14ac:dyDescent="0.25">
      <c r="A1222" s="25">
        <v>9</v>
      </c>
      <c r="B1222" s="25" t="s">
        <v>603</v>
      </c>
      <c r="C1222" s="26" t="s">
        <v>991</v>
      </c>
      <c r="D1222" s="25" t="str">
        <f t="shared" si="19"/>
        <v>Số thửaSố thửa294</v>
      </c>
    </row>
    <row r="1223" spans="1:4" x14ac:dyDescent="0.25">
      <c r="A1223" s="25">
        <v>9</v>
      </c>
      <c r="B1223" s="25" t="s">
        <v>408</v>
      </c>
      <c r="C1223" s="26" t="s">
        <v>991</v>
      </c>
      <c r="D1223" s="25" t="str">
        <f t="shared" si="19"/>
        <v>Số thửaSố thửa350</v>
      </c>
    </row>
    <row r="1224" spans="1:4" x14ac:dyDescent="0.25">
      <c r="A1224" s="25">
        <v>9</v>
      </c>
      <c r="B1224" s="25" t="s">
        <v>455</v>
      </c>
      <c r="C1224" s="26" t="s">
        <v>989</v>
      </c>
      <c r="D1224" s="25" t="str">
        <f t="shared" si="19"/>
        <v>Số thửaSố thửa694</v>
      </c>
    </row>
    <row r="1225" spans="1:4" x14ac:dyDescent="0.25">
      <c r="A1225" s="25">
        <v>10</v>
      </c>
      <c r="B1225" s="25" t="s">
        <v>463</v>
      </c>
      <c r="C1225" s="26" t="s">
        <v>993</v>
      </c>
      <c r="D1225" s="25" t="str">
        <f t="shared" si="19"/>
        <v>Số thửaSố thửa76</v>
      </c>
    </row>
    <row r="1226" spans="1:4" x14ac:dyDescent="0.25">
      <c r="A1226" s="25">
        <v>10</v>
      </c>
      <c r="B1226" s="25" t="s">
        <v>69</v>
      </c>
      <c r="C1226" s="26" t="s">
        <v>993</v>
      </c>
      <c r="D1226" s="25" t="str">
        <f t="shared" si="19"/>
        <v>Số thửaSố thửa77</v>
      </c>
    </row>
    <row r="1227" spans="1:4" x14ac:dyDescent="0.25">
      <c r="A1227" s="25">
        <v>10</v>
      </c>
      <c r="B1227" s="25" t="s">
        <v>264</v>
      </c>
      <c r="C1227" s="26" t="s">
        <v>993</v>
      </c>
      <c r="D1227" s="25" t="str">
        <f t="shared" si="19"/>
        <v>Số thửaSố thửa80</v>
      </c>
    </row>
    <row r="1228" spans="1:4" x14ac:dyDescent="0.25">
      <c r="A1228" s="25">
        <v>13</v>
      </c>
      <c r="B1228" s="25" t="s">
        <v>516</v>
      </c>
      <c r="C1228" s="26" t="s">
        <v>993</v>
      </c>
      <c r="D1228" s="25" t="str">
        <f t="shared" si="19"/>
        <v>Số thửaSố thửa492</v>
      </c>
    </row>
    <row r="1229" spans="1:4" x14ac:dyDescent="0.25">
      <c r="A1229" s="25">
        <v>13</v>
      </c>
      <c r="B1229" s="25" t="s">
        <v>304</v>
      </c>
      <c r="C1229" s="26" t="s">
        <v>993</v>
      </c>
      <c r="D1229" s="25" t="str">
        <f t="shared" si="19"/>
        <v>Số thửaSố thửa528</v>
      </c>
    </row>
    <row r="1230" spans="1:4" x14ac:dyDescent="0.25">
      <c r="A1230" s="25">
        <v>13</v>
      </c>
      <c r="B1230" s="25" t="s">
        <v>994</v>
      </c>
      <c r="C1230" s="26" t="s">
        <v>993</v>
      </c>
      <c r="D1230" s="25" t="str">
        <f t="shared" si="19"/>
        <v>Số thửaSố thửa675</v>
      </c>
    </row>
    <row r="1231" spans="1:4" x14ac:dyDescent="0.25">
      <c r="A1231" s="25">
        <v>13</v>
      </c>
      <c r="B1231" s="25" t="s">
        <v>995</v>
      </c>
      <c r="C1231" s="26" t="s">
        <v>993</v>
      </c>
      <c r="D1231" s="25" t="str">
        <f t="shared" si="19"/>
        <v>Số thửaSố thửa680</v>
      </c>
    </row>
    <row r="1232" spans="1:4" x14ac:dyDescent="0.25">
      <c r="A1232" s="25">
        <v>13</v>
      </c>
      <c r="B1232" s="25" t="s">
        <v>423</v>
      </c>
      <c r="C1232" s="26" t="s">
        <v>993</v>
      </c>
      <c r="D1232" s="25" t="str">
        <f t="shared" si="19"/>
        <v>Số thửaSố thửa681</v>
      </c>
    </row>
    <row r="1233" spans="1:4" x14ac:dyDescent="0.25">
      <c r="A1233" s="25">
        <v>13</v>
      </c>
      <c r="B1233" s="25" t="s">
        <v>635</v>
      </c>
      <c r="C1233" s="26" t="s">
        <v>993</v>
      </c>
      <c r="D1233" s="25" t="str">
        <f t="shared" si="19"/>
        <v>Số thửaSố thửa709</v>
      </c>
    </row>
    <row r="1234" spans="1:4" x14ac:dyDescent="0.25">
      <c r="A1234" s="25">
        <v>13</v>
      </c>
      <c r="B1234" s="25" t="s">
        <v>996</v>
      </c>
      <c r="C1234" s="26" t="s">
        <v>993</v>
      </c>
      <c r="D1234" s="25" t="str">
        <f t="shared" si="19"/>
        <v>Số thửaSố thửa727</v>
      </c>
    </row>
    <row r="1235" spans="1:4" x14ac:dyDescent="0.25">
      <c r="A1235" s="25">
        <v>13</v>
      </c>
      <c r="B1235" s="25" t="s">
        <v>997</v>
      </c>
      <c r="C1235" s="26" t="s">
        <v>993</v>
      </c>
      <c r="D1235" s="25" t="str">
        <f t="shared" si="19"/>
        <v>Số thửaSố thửa728</v>
      </c>
    </row>
    <row r="1236" spans="1:4" x14ac:dyDescent="0.25">
      <c r="A1236" s="25">
        <v>14</v>
      </c>
      <c r="B1236" s="25" t="s">
        <v>72</v>
      </c>
      <c r="C1236" s="26" t="s">
        <v>993</v>
      </c>
      <c r="D1236" s="25" t="str">
        <f t="shared" si="19"/>
        <v>Số thửaSố thửa131</v>
      </c>
    </row>
    <row r="1237" spans="1:4" x14ac:dyDescent="0.25">
      <c r="A1237" s="25">
        <v>14</v>
      </c>
      <c r="B1237" s="25" t="s">
        <v>666</v>
      </c>
      <c r="C1237" s="26" t="s">
        <v>993</v>
      </c>
      <c r="D1237" s="25" t="str">
        <f t="shared" si="19"/>
        <v>Số thửaSố thửa142</v>
      </c>
    </row>
    <row r="1238" spans="1:4" x14ac:dyDescent="0.25">
      <c r="A1238" s="25">
        <v>16</v>
      </c>
      <c r="B1238" s="25" t="s">
        <v>61</v>
      </c>
      <c r="C1238" s="26" t="s">
        <v>998</v>
      </c>
      <c r="D1238" s="25" t="str">
        <f t="shared" si="19"/>
        <v>Số thửaSố thửa13</v>
      </c>
    </row>
    <row r="1239" spans="1:4" x14ac:dyDescent="0.25">
      <c r="A1239" s="25">
        <v>9</v>
      </c>
      <c r="B1239" s="25" t="s">
        <v>471</v>
      </c>
      <c r="C1239" s="26" t="s">
        <v>999</v>
      </c>
      <c r="D1239" s="25" t="str">
        <f t="shared" si="19"/>
        <v>Số thửaSố thửa107</v>
      </c>
    </row>
    <row r="1240" spans="1:4" x14ac:dyDescent="0.25">
      <c r="A1240" s="25">
        <v>9</v>
      </c>
      <c r="B1240" s="25" t="s">
        <v>701</v>
      </c>
      <c r="C1240" s="26" t="s">
        <v>1000</v>
      </c>
      <c r="D1240" s="25" t="str">
        <f t="shared" si="19"/>
        <v>Số thửaSố thửa108</v>
      </c>
    </row>
    <row r="1241" spans="1:4" x14ac:dyDescent="0.25">
      <c r="A1241" s="25">
        <v>9</v>
      </c>
      <c r="B1241" s="25" t="s">
        <v>372</v>
      </c>
      <c r="C1241" s="26" t="s">
        <v>1000</v>
      </c>
      <c r="D1241" s="25" t="str">
        <f t="shared" si="19"/>
        <v>Số thửaSố thửa109</v>
      </c>
    </row>
    <row r="1242" spans="1:4" x14ac:dyDescent="0.25">
      <c r="A1242" s="25">
        <v>9</v>
      </c>
      <c r="B1242" s="25" t="s">
        <v>472</v>
      </c>
      <c r="C1242" s="26" t="s">
        <v>1000</v>
      </c>
      <c r="D1242" s="25" t="str">
        <f t="shared" si="19"/>
        <v>Số thửaSố thửa110</v>
      </c>
    </row>
    <row r="1243" spans="1:4" x14ac:dyDescent="0.25">
      <c r="A1243" s="25">
        <v>9</v>
      </c>
      <c r="B1243" s="25" t="s">
        <v>704</v>
      </c>
      <c r="C1243" s="26" t="s">
        <v>1000</v>
      </c>
      <c r="D1243" s="25" t="str">
        <f t="shared" si="19"/>
        <v>Số thửaSố thửa111</v>
      </c>
    </row>
    <row r="1244" spans="1:4" x14ac:dyDescent="0.25">
      <c r="A1244" s="25">
        <v>9</v>
      </c>
      <c r="B1244" s="25" t="s">
        <v>100</v>
      </c>
      <c r="C1244" s="26" t="s">
        <v>1000</v>
      </c>
      <c r="D1244" s="25" t="str">
        <f t="shared" si="19"/>
        <v>Số thửaSố thửa112</v>
      </c>
    </row>
    <row r="1245" spans="1:4" x14ac:dyDescent="0.25">
      <c r="A1245" s="25">
        <v>9</v>
      </c>
      <c r="B1245" s="25" t="s">
        <v>190</v>
      </c>
      <c r="C1245" s="26" t="s">
        <v>1000</v>
      </c>
      <c r="D1245" s="25" t="str">
        <f t="shared" si="19"/>
        <v>Số thửaSố thửa113</v>
      </c>
    </row>
    <row r="1246" spans="1:4" x14ac:dyDescent="0.25">
      <c r="A1246" s="25">
        <v>9</v>
      </c>
      <c r="B1246" s="25" t="s">
        <v>381</v>
      </c>
      <c r="C1246" s="26" t="s">
        <v>1000</v>
      </c>
      <c r="D1246" s="25" t="str">
        <f t="shared" si="19"/>
        <v>Số thửaSố thửa145</v>
      </c>
    </row>
    <row r="1247" spans="1:4" x14ac:dyDescent="0.25">
      <c r="A1247" s="25">
        <v>9</v>
      </c>
      <c r="B1247" s="25" t="s">
        <v>382</v>
      </c>
      <c r="C1247" s="26" t="s">
        <v>1000</v>
      </c>
      <c r="D1247" s="25" t="str">
        <f t="shared" si="19"/>
        <v>Số thửaSố thửa146</v>
      </c>
    </row>
    <row r="1248" spans="1:4" x14ac:dyDescent="0.25">
      <c r="A1248" s="25">
        <v>9</v>
      </c>
      <c r="B1248" s="25" t="s">
        <v>926</v>
      </c>
      <c r="C1248" s="26" t="s">
        <v>1000</v>
      </c>
      <c r="D1248" s="25" t="str">
        <f t="shared" si="19"/>
        <v>Số thửaSố thửa147</v>
      </c>
    </row>
    <row r="1249" spans="1:4" x14ac:dyDescent="0.25">
      <c r="A1249" s="25">
        <v>9</v>
      </c>
      <c r="B1249" s="25" t="s">
        <v>383</v>
      </c>
      <c r="C1249" s="26" t="s">
        <v>1000</v>
      </c>
      <c r="D1249" s="25" t="str">
        <f t="shared" si="19"/>
        <v>Số thửaSố thửa148</v>
      </c>
    </row>
    <row r="1250" spans="1:4" x14ac:dyDescent="0.25">
      <c r="A1250" s="25">
        <v>9</v>
      </c>
      <c r="B1250" s="25" t="s">
        <v>510</v>
      </c>
      <c r="C1250" s="26" t="s">
        <v>1000</v>
      </c>
      <c r="D1250" s="25" t="str">
        <f t="shared" si="19"/>
        <v>Số thửaSố thửa149</v>
      </c>
    </row>
    <row r="1251" spans="1:4" x14ac:dyDescent="0.25">
      <c r="A1251" s="25">
        <v>9</v>
      </c>
      <c r="B1251" s="25" t="s">
        <v>511</v>
      </c>
      <c r="C1251" s="26" t="s">
        <v>1000</v>
      </c>
      <c r="D1251" s="25" t="str">
        <f t="shared" si="19"/>
        <v>Số thửaSố thửa150</v>
      </c>
    </row>
    <row r="1252" spans="1:4" x14ac:dyDescent="0.25">
      <c r="A1252" s="25">
        <v>9</v>
      </c>
      <c r="B1252" s="25" t="s">
        <v>456</v>
      </c>
      <c r="C1252" s="26" t="s">
        <v>1000</v>
      </c>
      <c r="D1252" s="25" t="str">
        <f t="shared" si="19"/>
        <v>Số thửaSố thửa151</v>
      </c>
    </row>
    <row r="1253" spans="1:4" x14ac:dyDescent="0.25">
      <c r="A1253" s="25">
        <v>9</v>
      </c>
      <c r="B1253" s="25" t="s">
        <v>667</v>
      </c>
      <c r="C1253" s="26" t="s">
        <v>999</v>
      </c>
      <c r="D1253" s="25" t="str">
        <f t="shared" si="19"/>
        <v>Số thửaSố thửa152</v>
      </c>
    </row>
    <row r="1254" spans="1:4" x14ac:dyDescent="0.25">
      <c r="A1254" s="25">
        <v>9</v>
      </c>
      <c r="B1254" s="25" t="s">
        <v>669</v>
      </c>
      <c r="C1254" s="26" t="s">
        <v>1000</v>
      </c>
      <c r="D1254" s="25" t="str">
        <f t="shared" si="19"/>
        <v>Số thửaSố thửa154</v>
      </c>
    </row>
    <row r="1255" spans="1:4" x14ac:dyDescent="0.25">
      <c r="A1255" s="25">
        <v>9</v>
      </c>
      <c r="B1255" s="25" t="s">
        <v>778</v>
      </c>
      <c r="C1255" s="26" t="s">
        <v>1000</v>
      </c>
      <c r="D1255" s="25" t="str">
        <f t="shared" si="19"/>
        <v>Số thửaSố thửa155</v>
      </c>
    </row>
    <row r="1256" spans="1:4" x14ac:dyDescent="0.25">
      <c r="A1256" s="25">
        <v>9</v>
      </c>
      <c r="B1256" s="25" t="s">
        <v>346</v>
      </c>
      <c r="C1256" s="26" t="s">
        <v>1000</v>
      </c>
      <c r="D1256" s="25" t="str">
        <f t="shared" si="19"/>
        <v>Số thửaSố thửa156</v>
      </c>
    </row>
    <row r="1257" spans="1:4" x14ac:dyDescent="0.25">
      <c r="A1257" s="25">
        <v>9</v>
      </c>
      <c r="B1257" s="25" t="s">
        <v>719</v>
      </c>
      <c r="C1257" s="26" t="s">
        <v>1001</v>
      </c>
      <c r="D1257" s="25" t="str">
        <f t="shared" si="19"/>
        <v>Số thửaSố thửa157</v>
      </c>
    </row>
    <row r="1258" spans="1:4" x14ac:dyDescent="0.25">
      <c r="A1258" s="25">
        <v>9</v>
      </c>
      <c r="B1258" s="25" t="s">
        <v>1002</v>
      </c>
      <c r="C1258" s="26" t="s">
        <v>1001</v>
      </c>
      <c r="D1258" s="25" t="str">
        <f t="shared" si="19"/>
        <v>Số thửaSố thửa158</v>
      </c>
    </row>
    <row r="1259" spans="1:4" x14ac:dyDescent="0.25">
      <c r="A1259" s="25">
        <v>9</v>
      </c>
      <c r="B1259" s="25" t="s">
        <v>1003</v>
      </c>
      <c r="C1259" s="26" t="s">
        <v>1001</v>
      </c>
      <c r="D1259" s="25" t="str">
        <f t="shared" si="19"/>
        <v>Số thửaSố thửa159</v>
      </c>
    </row>
    <row r="1260" spans="1:4" x14ac:dyDescent="0.25">
      <c r="A1260" s="25">
        <v>9</v>
      </c>
      <c r="B1260" s="25" t="s">
        <v>685</v>
      </c>
      <c r="C1260" s="26" t="s">
        <v>1001</v>
      </c>
      <c r="D1260" s="25" t="str">
        <f t="shared" si="19"/>
        <v>Số thửaSố thửa160</v>
      </c>
    </row>
    <row r="1261" spans="1:4" x14ac:dyDescent="0.25">
      <c r="A1261" s="25">
        <v>9</v>
      </c>
      <c r="B1261" s="25" t="s">
        <v>706</v>
      </c>
      <c r="C1261" s="26" t="s">
        <v>1001</v>
      </c>
      <c r="D1261" s="25" t="str">
        <f t="shared" si="19"/>
        <v>Số thửaSố thửa161</v>
      </c>
    </row>
    <row r="1262" spans="1:4" x14ac:dyDescent="0.25">
      <c r="A1262" s="25">
        <v>9</v>
      </c>
      <c r="B1262" s="25" t="s">
        <v>849</v>
      </c>
      <c r="C1262" s="26" t="s">
        <v>1001</v>
      </c>
      <c r="D1262" s="25" t="str">
        <f t="shared" si="19"/>
        <v>Số thửaSố thửa191</v>
      </c>
    </row>
    <row r="1263" spans="1:4" x14ac:dyDescent="0.25">
      <c r="A1263" s="25">
        <v>9</v>
      </c>
      <c r="B1263" s="25" t="s">
        <v>607</v>
      </c>
      <c r="C1263" s="26" t="s">
        <v>1001</v>
      </c>
      <c r="D1263" s="25" t="str">
        <f t="shared" si="19"/>
        <v>Số thửaSố thửa415</v>
      </c>
    </row>
    <row r="1264" spans="1:4" x14ac:dyDescent="0.25">
      <c r="A1264" s="25">
        <v>9</v>
      </c>
      <c r="B1264" s="25" t="s">
        <v>751</v>
      </c>
      <c r="C1264" s="26" t="s">
        <v>1001</v>
      </c>
      <c r="D1264" s="25" t="str">
        <f t="shared" si="19"/>
        <v>Số thửaSố thửa416</v>
      </c>
    </row>
    <row r="1265" spans="1:4" x14ac:dyDescent="0.25">
      <c r="A1265" s="25">
        <v>9</v>
      </c>
      <c r="B1265" s="25" t="s">
        <v>608</v>
      </c>
      <c r="C1265" s="26" t="s">
        <v>1001</v>
      </c>
      <c r="D1265" s="25" t="str">
        <f t="shared" si="19"/>
        <v>Số thửaSố thửa417</v>
      </c>
    </row>
    <row r="1266" spans="1:4" x14ac:dyDescent="0.25">
      <c r="A1266" s="25">
        <v>9</v>
      </c>
      <c r="B1266" s="25" t="s">
        <v>609</v>
      </c>
      <c r="C1266" s="26" t="s">
        <v>1001</v>
      </c>
      <c r="D1266" s="25" t="str">
        <f t="shared" si="19"/>
        <v>Số thửaSố thửa418</v>
      </c>
    </row>
    <row r="1267" spans="1:4" x14ac:dyDescent="0.25">
      <c r="A1267" s="25">
        <v>9</v>
      </c>
      <c r="B1267" s="25" t="s">
        <v>614</v>
      </c>
      <c r="C1267" s="26" t="s">
        <v>1001</v>
      </c>
      <c r="D1267" s="25" t="str">
        <f t="shared" si="19"/>
        <v>Số thửaSố thửa437</v>
      </c>
    </row>
    <row r="1268" spans="1:4" x14ac:dyDescent="0.25">
      <c r="A1268" s="25">
        <v>9</v>
      </c>
      <c r="B1268" s="25" t="s">
        <v>615</v>
      </c>
      <c r="C1268" s="26" t="s">
        <v>1001</v>
      </c>
      <c r="D1268" s="25" t="str">
        <f t="shared" si="19"/>
        <v>Số thửaSố thửa438</v>
      </c>
    </row>
    <row r="1269" spans="1:4" x14ac:dyDescent="0.25">
      <c r="A1269" s="25">
        <v>9</v>
      </c>
      <c r="B1269" s="25" t="s">
        <v>616</v>
      </c>
      <c r="C1269" s="26" t="s">
        <v>1001</v>
      </c>
      <c r="D1269" s="25" t="str">
        <f t="shared" si="19"/>
        <v>Số thửaSố thửa439</v>
      </c>
    </row>
    <row r="1270" spans="1:4" x14ac:dyDescent="0.25">
      <c r="A1270" s="25">
        <v>9</v>
      </c>
      <c r="B1270" s="25" t="s">
        <v>502</v>
      </c>
      <c r="C1270" s="26" t="s">
        <v>1001</v>
      </c>
      <c r="D1270" s="25" t="str">
        <f t="shared" si="19"/>
        <v>Số thửaSố thửa497</v>
      </c>
    </row>
    <row r="1271" spans="1:4" x14ac:dyDescent="0.25">
      <c r="A1271" s="25">
        <v>9</v>
      </c>
      <c r="B1271" s="25" t="s">
        <v>503</v>
      </c>
      <c r="C1271" s="26" t="s">
        <v>1001</v>
      </c>
      <c r="D1271" s="25" t="str">
        <f t="shared" si="19"/>
        <v>Số thửaSố thửa498</v>
      </c>
    </row>
    <row r="1272" spans="1:4" x14ac:dyDescent="0.25">
      <c r="A1272" s="25">
        <v>9</v>
      </c>
      <c r="B1272" s="25" t="s">
        <v>649</v>
      </c>
      <c r="C1272" s="26" t="s">
        <v>1001</v>
      </c>
      <c r="D1272" s="25" t="str">
        <f t="shared" si="19"/>
        <v>Số thửaSố thửa517</v>
      </c>
    </row>
    <row r="1273" spans="1:4" x14ac:dyDescent="0.25">
      <c r="A1273" s="25">
        <v>8</v>
      </c>
      <c r="B1273" s="25" t="s">
        <v>264</v>
      </c>
      <c r="C1273" s="26" t="s">
        <v>1004</v>
      </c>
      <c r="D1273" s="25" t="str">
        <f t="shared" si="19"/>
        <v>Số thửaSố thửa80</v>
      </c>
    </row>
    <row r="1274" spans="1:4" x14ac:dyDescent="0.25">
      <c r="A1274" s="25">
        <v>8</v>
      </c>
      <c r="B1274" s="25" t="s">
        <v>104</v>
      </c>
      <c r="C1274" s="26" t="s">
        <v>1004</v>
      </c>
      <c r="D1274" s="25" t="str">
        <f t="shared" si="19"/>
        <v>Số thửaSố thửa81</v>
      </c>
    </row>
    <row r="1275" spans="1:4" x14ac:dyDescent="0.25">
      <c r="A1275" s="25">
        <v>8</v>
      </c>
      <c r="B1275" s="25" t="s">
        <v>661</v>
      </c>
      <c r="C1275" s="26" t="s">
        <v>1004</v>
      </c>
      <c r="D1275" s="25" t="str">
        <f t="shared" si="19"/>
        <v>Số thửaSố thửa89</v>
      </c>
    </row>
    <row r="1276" spans="1:4" x14ac:dyDescent="0.25">
      <c r="A1276" s="25">
        <v>8</v>
      </c>
      <c r="B1276" s="25" t="s">
        <v>662</v>
      </c>
      <c r="C1276" s="26" t="s">
        <v>1004</v>
      </c>
      <c r="D1276" s="25" t="str">
        <f t="shared" si="19"/>
        <v>Số thửaSố thửa90</v>
      </c>
    </row>
    <row r="1277" spans="1:4" x14ac:dyDescent="0.25">
      <c r="A1277" s="25">
        <v>8</v>
      </c>
      <c r="B1277" s="25" t="s">
        <v>777</v>
      </c>
      <c r="C1277" s="26" t="s">
        <v>1004</v>
      </c>
      <c r="D1277" s="25" t="str">
        <f t="shared" si="19"/>
        <v>Số thửaSố thửa91</v>
      </c>
    </row>
    <row r="1278" spans="1:4" x14ac:dyDescent="0.25">
      <c r="A1278" s="25">
        <v>8</v>
      </c>
      <c r="B1278" s="25" t="s">
        <v>375</v>
      </c>
      <c r="C1278" s="26" t="s">
        <v>1004</v>
      </c>
      <c r="D1278" s="25" t="str">
        <f t="shared" si="19"/>
        <v>Số thửaSố thửa123</v>
      </c>
    </row>
    <row r="1279" spans="1:4" x14ac:dyDescent="0.25">
      <c r="A1279" s="25">
        <v>8</v>
      </c>
      <c r="B1279" s="25" t="s">
        <v>891</v>
      </c>
      <c r="C1279" s="26" t="s">
        <v>1004</v>
      </c>
      <c r="D1279" s="25" t="str">
        <f t="shared" si="19"/>
        <v>Số thửaSố thửa124</v>
      </c>
    </row>
    <row r="1280" spans="1:4" x14ac:dyDescent="0.25">
      <c r="A1280" s="25">
        <v>8</v>
      </c>
      <c r="B1280" s="25" t="s">
        <v>135</v>
      </c>
      <c r="C1280" s="26" t="s">
        <v>1004</v>
      </c>
      <c r="D1280" s="25" t="str">
        <f t="shared" si="19"/>
        <v>Số thửaSố thửa132</v>
      </c>
    </row>
    <row r="1281" spans="1:4" x14ac:dyDescent="0.25">
      <c r="A1281" s="25">
        <v>8</v>
      </c>
      <c r="B1281" s="25" t="s">
        <v>510</v>
      </c>
      <c r="C1281" s="26" t="s">
        <v>1004</v>
      </c>
      <c r="D1281" s="25" t="str">
        <f t="shared" si="19"/>
        <v>Số thửaSố thửa149</v>
      </c>
    </row>
    <row r="1282" spans="1:4" x14ac:dyDescent="0.25">
      <c r="A1282" s="25">
        <v>8</v>
      </c>
      <c r="B1282" s="25" t="s">
        <v>511</v>
      </c>
      <c r="C1282" s="26" t="s">
        <v>1004</v>
      </c>
      <c r="D1282" s="25" t="str">
        <f t="shared" si="19"/>
        <v>Số thửaSố thửa150</v>
      </c>
    </row>
    <row r="1283" spans="1:4" x14ac:dyDescent="0.25">
      <c r="A1283" s="25">
        <v>8</v>
      </c>
      <c r="B1283" s="25" t="s">
        <v>456</v>
      </c>
      <c r="C1283" s="26" t="s">
        <v>1004</v>
      </c>
      <c r="D1283" s="25" t="str">
        <f t="shared" ref="D1283:D1346" si="20">$B$1&amp;B1283</f>
        <v>Số thửaSố thửa151</v>
      </c>
    </row>
    <row r="1284" spans="1:4" x14ac:dyDescent="0.25">
      <c r="A1284" s="25">
        <v>8</v>
      </c>
      <c r="B1284" s="25" t="s">
        <v>667</v>
      </c>
      <c r="C1284" s="26" t="s">
        <v>1004</v>
      </c>
      <c r="D1284" s="25" t="str">
        <f t="shared" si="20"/>
        <v>Số thửaSố thửa152</v>
      </c>
    </row>
    <row r="1285" spans="1:4" x14ac:dyDescent="0.25">
      <c r="A1285" s="25">
        <v>8</v>
      </c>
      <c r="B1285" s="25" t="s">
        <v>668</v>
      </c>
      <c r="C1285" s="26" t="s">
        <v>1004</v>
      </c>
      <c r="D1285" s="25" t="str">
        <f t="shared" si="20"/>
        <v>Số thửaSố thửa153</v>
      </c>
    </row>
    <row r="1286" spans="1:4" x14ac:dyDescent="0.25">
      <c r="A1286" s="25">
        <v>8</v>
      </c>
      <c r="B1286" s="25" t="s">
        <v>669</v>
      </c>
      <c r="C1286" s="26" t="s">
        <v>1004</v>
      </c>
      <c r="D1286" s="25" t="str">
        <f t="shared" si="20"/>
        <v>Số thửaSố thửa154</v>
      </c>
    </row>
    <row r="1287" spans="1:4" x14ac:dyDescent="0.25">
      <c r="A1287" s="25">
        <v>8</v>
      </c>
      <c r="B1287" s="25" t="s">
        <v>778</v>
      </c>
      <c r="C1287" s="26" t="s">
        <v>1004</v>
      </c>
      <c r="D1287" s="25" t="str">
        <f t="shared" si="20"/>
        <v>Số thửaSố thửa155</v>
      </c>
    </row>
    <row r="1288" spans="1:4" x14ac:dyDescent="0.25">
      <c r="A1288" s="25">
        <v>8</v>
      </c>
      <c r="B1288" s="25" t="s">
        <v>346</v>
      </c>
      <c r="C1288" s="26" t="s">
        <v>1004</v>
      </c>
      <c r="D1288" s="25" t="str">
        <f t="shared" si="20"/>
        <v>Số thửaSố thửa156</v>
      </c>
    </row>
    <row r="1289" spans="1:4" x14ac:dyDescent="0.25">
      <c r="A1289" s="25">
        <v>8</v>
      </c>
      <c r="B1289" s="25" t="s">
        <v>829</v>
      </c>
      <c r="C1289" s="26" t="s">
        <v>1005</v>
      </c>
      <c r="D1289" s="25" t="str">
        <f t="shared" si="20"/>
        <v>Số thửaSố thửa167</v>
      </c>
    </row>
    <row r="1290" spans="1:4" x14ac:dyDescent="0.25">
      <c r="A1290" s="25">
        <v>8</v>
      </c>
      <c r="B1290" s="25" t="s">
        <v>73</v>
      </c>
      <c r="C1290" s="26" t="s">
        <v>1005</v>
      </c>
      <c r="D1290" s="25" t="str">
        <f t="shared" si="20"/>
        <v>Số thửaSố thửa168</v>
      </c>
    </row>
    <row r="1291" spans="1:4" x14ac:dyDescent="0.25">
      <c r="A1291" s="25">
        <v>8</v>
      </c>
      <c r="B1291" s="25" t="s">
        <v>357</v>
      </c>
      <c r="C1291" s="26" t="s">
        <v>1005</v>
      </c>
      <c r="D1291" s="25" t="str">
        <f t="shared" si="20"/>
        <v>Số thửaSố thửa169</v>
      </c>
    </row>
    <row r="1292" spans="1:4" x14ac:dyDescent="0.25">
      <c r="A1292" s="25">
        <v>8</v>
      </c>
      <c r="B1292" s="25" t="s">
        <v>395</v>
      </c>
      <c r="C1292" s="26" t="s">
        <v>1005</v>
      </c>
      <c r="D1292" s="25" t="str">
        <f t="shared" si="20"/>
        <v>Số thửaSố thửa170</v>
      </c>
    </row>
    <row r="1293" spans="1:4" x14ac:dyDescent="0.25">
      <c r="A1293" s="25">
        <v>8</v>
      </c>
      <c r="B1293" s="25" t="s">
        <v>399</v>
      </c>
      <c r="C1293" s="26" t="s">
        <v>1005</v>
      </c>
      <c r="D1293" s="25" t="str">
        <f t="shared" si="20"/>
        <v>Số thửaSố thửa173</v>
      </c>
    </row>
    <row r="1294" spans="1:4" x14ac:dyDescent="0.25">
      <c r="A1294" s="25">
        <v>8</v>
      </c>
      <c r="B1294" s="25" t="s">
        <v>400</v>
      </c>
      <c r="C1294" s="26" t="s">
        <v>1005</v>
      </c>
      <c r="D1294" s="25" t="str">
        <f t="shared" si="20"/>
        <v>Số thửaSố thửa174</v>
      </c>
    </row>
    <row r="1295" spans="1:4" x14ac:dyDescent="0.25">
      <c r="A1295" s="25">
        <v>8</v>
      </c>
      <c r="B1295" s="25" t="s">
        <v>401</v>
      </c>
      <c r="C1295" s="26" t="s">
        <v>1005</v>
      </c>
      <c r="D1295" s="25" t="str">
        <f t="shared" si="20"/>
        <v>Số thửaSố thửa175</v>
      </c>
    </row>
    <row r="1296" spans="1:4" x14ac:dyDescent="0.25">
      <c r="A1296" s="25">
        <v>8</v>
      </c>
      <c r="B1296" s="25" t="s">
        <v>942</v>
      </c>
      <c r="C1296" s="26" t="s">
        <v>1005</v>
      </c>
      <c r="D1296" s="25" t="str">
        <f t="shared" si="20"/>
        <v>Số thửaSố thửa176</v>
      </c>
    </row>
    <row r="1297" spans="1:4" x14ac:dyDescent="0.25">
      <c r="A1297" s="25">
        <v>8</v>
      </c>
      <c r="B1297" s="25" t="s">
        <v>653</v>
      </c>
      <c r="C1297" s="26" t="s">
        <v>1005</v>
      </c>
      <c r="D1297" s="25" t="str">
        <f t="shared" si="20"/>
        <v>Số thửaSố thửa177</v>
      </c>
    </row>
    <row r="1298" spans="1:4" x14ac:dyDescent="0.25">
      <c r="A1298" s="25">
        <v>8</v>
      </c>
      <c r="B1298" s="25" t="s">
        <v>1006</v>
      </c>
      <c r="C1298" s="26" t="s">
        <v>1005</v>
      </c>
      <c r="D1298" s="25" t="str">
        <f t="shared" si="20"/>
        <v>Số thửaSố thửa178</v>
      </c>
    </row>
    <row r="1299" spans="1:4" x14ac:dyDescent="0.25">
      <c r="A1299" s="25">
        <v>8</v>
      </c>
      <c r="B1299" s="25" t="s">
        <v>849</v>
      </c>
      <c r="C1299" s="26" t="s">
        <v>1005</v>
      </c>
      <c r="D1299" s="25" t="str">
        <f t="shared" si="20"/>
        <v>Số thửaSố thửa191</v>
      </c>
    </row>
    <row r="1300" spans="1:4" x14ac:dyDescent="0.25">
      <c r="A1300" s="25">
        <v>8</v>
      </c>
      <c r="B1300" s="25" t="s">
        <v>1007</v>
      </c>
      <c r="C1300" s="26" t="s">
        <v>1005</v>
      </c>
      <c r="D1300" s="25" t="str">
        <f t="shared" si="20"/>
        <v>Số thửaSố thửa192</v>
      </c>
    </row>
    <row r="1301" spans="1:4" x14ac:dyDescent="0.25">
      <c r="A1301" s="25">
        <v>8</v>
      </c>
      <c r="B1301" s="25" t="s">
        <v>1008</v>
      </c>
      <c r="C1301" s="26" t="s">
        <v>1005</v>
      </c>
      <c r="D1301" s="25" t="str">
        <f t="shared" si="20"/>
        <v>Số thửaSố thửa193</v>
      </c>
    </row>
    <row r="1302" spans="1:4" x14ac:dyDescent="0.25">
      <c r="A1302" s="25">
        <v>8</v>
      </c>
      <c r="B1302" s="25" t="s">
        <v>990</v>
      </c>
      <c r="C1302" s="26" t="s">
        <v>1005</v>
      </c>
      <c r="D1302" s="25" t="str">
        <f t="shared" si="20"/>
        <v>Số thửaSố thửa194</v>
      </c>
    </row>
    <row r="1303" spans="1:4" x14ac:dyDescent="0.25">
      <c r="A1303" s="25">
        <v>8</v>
      </c>
      <c r="B1303" s="25" t="s">
        <v>865</v>
      </c>
      <c r="C1303" s="26" t="s">
        <v>1005</v>
      </c>
      <c r="D1303" s="25" t="str">
        <f t="shared" si="20"/>
        <v>Số thửaSố thửa195</v>
      </c>
    </row>
    <row r="1304" spans="1:4" x14ac:dyDescent="0.25">
      <c r="A1304" s="25">
        <v>8</v>
      </c>
      <c r="B1304" s="25" t="s">
        <v>1009</v>
      </c>
      <c r="C1304" s="26" t="s">
        <v>1010</v>
      </c>
      <c r="D1304" s="25" t="str">
        <f t="shared" si="20"/>
        <v>Số thửaSố thửa201</v>
      </c>
    </row>
    <row r="1305" spans="1:4" x14ac:dyDescent="0.25">
      <c r="A1305" s="25">
        <v>8</v>
      </c>
      <c r="B1305" s="25" t="s">
        <v>983</v>
      </c>
      <c r="C1305" s="26" t="s">
        <v>1010</v>
      </c>
      <c r="D1305" s="25" t="str">
        <f t="shared" si="20"/>
        <v>Số thửaSố thửa224</v>
      </c>
    </row>
    <row r="1306" spans="1:4" x14ac:dyDescent="0.25">
      <c r="A1306" s="25">
        <v>10</v>
      </c>
      <c r="B1306" s="25" t="s">
        <v>390</v>
      </c>
      <c r="C1306" s="26" t="s">
        <v>1005</v>
      </c>
      <c r="D1306" s="25" t="str">
        <f t="shared" si="20"/>
        <v>Số thửaSố thửa235</v>
      </c>
    </row>
    <row r="1307" spans="1:4" x14ac:dyDescent="0.25">
      <c r="A1307" s="25">
        <v>10</v>
      </c>
      <c r="B1307" s="25" t="s">
        <v>1011</v>
      </c>
      <c r="C1307" s="26" t="s">
        <v>1012</v>
      </c>
      <c r="D1307" s="25" t="str">
        <f t="shared" si="20"/>
        <v>Số thửaSố thửa263</v>
      </c>
    </row>
    <row r="1308" spans="1:4" x14ac:dyDescent="0.25">
      <c r="A1308" s="25">
        <v>10</v>
      </c>
      <c r="B1308" s="25" t="s">
        <v>486</v>
      </c>
      <c r="C1308" s="26" t="s">
        <v>1012</v>
      </c>
      <c r="D1308" s="25" t="str">
        <f t="shared" si="20"/>
        <v>Số thửaSố thửa265</v>
      </c>
    </row>
    <row r="1309" spans="1:4" x14ac:dyDescent="0.25">
      <c r="A1309" s="25">
        <v>10</v>
      </c>
      <c r="B1309" s="25" t="s">
        <v>211</v>
      </c>
      <c r="C1309" s="26" t="s">
        <v>1012</v>
      </c>
      <c r="D1309" s="25" t="str">
        <f t="shared" si="20"/>
        <v>Số thửaSố thửa266</v>
      </c>
    </row>
    <row r="1310" spans="1:4" x14ac:dyDescent="0.25">
      <c r="A1310" s="25">
        <v>10</v>
      </c>
      <c r="B1310" s="25" t="s">
        <v>178</v>
      </c>
      <c r="C1310" s="26" t="s">
        <v>1012</v>
      </c>
      <c r="D1310" s="25" t="str">
        <f t="shared" si="20"/>
        <v>Số thửaSố thửa292</v>
      </c>
    </row>
    <row r="1311" spans="1:4" x14ac:dyDescent="0.25">
      <c r="A1311" s="25">
        <v>10</v>
      </c>
      <c r="B1311" s="25" t="s">
        <v>603</v>
      </c>
      <c r="C1311" s="26" t="s">
        <v>1012</v>
      </c>
      <c r="D1311" s="25" t="str">
        <f t="shared" si="20"/>
        <v>Số thửaSố thửa294</v>
      </c>
    </row>
    <row r="1312" spans="1:4" x14ac:dyDescent="0.25">
      <c r="A1312" s="25">
        <v>10</v>
      </c>
      <c r="B1312" s="25" t="s">
        <v>63</v>
      </c>
      <c r="C1312" s="26" t="s">
        <v>1013</v>
      </c>
      <c r="D1312" s="25" t="str">
        <f t="shared" si="20"/>
        <v>Số thửaSố thửa56</v>
      </c>
    </row>
    <row r="1313" spans="1:4" x14ac:dyDescent="0.25">
      <c r="A1313" s="25">
        <v>10</v>
      </c>
      <c r="B1313" s="25" t="s">
        <v>902</v>
      </c>
      <c r="C1313" s="26" t="s">
        <v>1013</v>
      </c>
      <c r="D1313" s="25" t="str">
        <f t="shared" si="20"/>
        <v>Số thửaSố thửa68</v>
      </c>
    </row>
    <row r="1314" spans="1:4" x14ac:dyDescent="0.25">
      <c r="A1314" s="25">
        <v>10</v>
      </c>
      <c r="B1314" s="25" t="s">
        <v>245</v>
      </c>
      <c r="C1314" s="26" t="s">
        <v>1013</v>
      </c>
      <c r="D1314" s="25" t="str">
        <f t="shared" si="20"/>
        <v>Số thửaSố thửa69</v>
      </c>
    </row>
    <row r="1315" spans="1:4" x14ac:dyDescent="0.25">
      <c r="A1315" s="25">
        <v>10</v>
      </c>
      <c r="B1315" s="25" t="s">
        <v>1014</v>
      </c>
      <c r="C1315" s="26" t="s">
        <v>1013</v>
      </c>
      <c r="D1315" s="25" t="str">
        <f t="shared" si="20"/>
        <v>Số thửaSố thửa70</v>
      </c>
    </row>
    <row r="1316" spans="1:4" x14ac:dyDescent="0.25">
      <c r="A1316" s="25">
        <v>10</v>
      </c>
      <c r="B1316" s="25" t="s">
        <v>68</v>
      </c>
      <c r="C1316" s="26" t="s">
        <v>1013</v>
      </c>
      <c r="D1316" s="25" t="str">
        <f t="shared" si="20"/>
        <v>Số thửaSố thửa72</v>
      </c>
    </row>
    <row r="1317" spans="1:4" x14ac:dyDescent="0.25">
      <c r="A1317" s="25">
        <v>10</v>
      </c>
      <c r="B1317" s="25" t="s">
        <v>263</v>
      </c>
      <c r="C1317" s="26" t="s">
        <v>1013</v>
      </c>
      <c r="D1317" s="25" t="str">
        <f t="shared" si="20"/>
        <v>Số thửaSố thửa73</v>
      </c>
    </row>
    <row r="1318" spans="1:4" x14ac:dyDescent="0.25">
      <c r="A1318" s="25">
        <v>10</v>
      </c>
      <c r="B1318" s="25" t="s">
        <v>654</v>
      </c>
      <c r="C1318" s="26" t="s">
        <v>1015</v>
      </c>
      <c r="D1318" s="25" t="str">
        <f t="shared" si="20"/>
        <v>Số thửaSố thửa103</v>
      </c>
    </row>
    <row r="1319" spans="1:4" x14ac:dyDescent="0.25">
      <c r="A1319" s="25">
        <v>10</v>
      </c>
      <c r="B1319" s="25" t="s">
        <v>389</v>
      </c>
      <c r="C1319" s="26" t="s">
        <v>1015</v>
      </c>
      <c r="D1319" s="25" t="str">
        <f t="shared" si="20"/>
        <v>Số thửaSố thửa234</v>
      </c>
    </row>
    <row r="1320" spans="1:4" x14ac:dyDescent="0.25">
      <c r="A1320" s="25">
        <v>10</v>
      </c>
      <c r="B1320" s="25" t="s">
        <v>97</v>
      </c>
      <c r="C1320" s="26" t="s">
        <v>1013</v>
      </c>
      <c r="D1320" s="25" t="str">
        <f t="shared" si="20"/>
        <v>Số thửaSố thửa243</v>
      </c>
    </row>
    <row r="1321" spans="1:4" x14ac:dyDescent="0.25">
      <c r="A1321" s="25">
        <v>10</v>
      </c>
      <c r="B1321" s="25" t="s">
        <v>728</v>
      </c>
      <c r="C1321" s="26" t="s">
        <v>1013</v>
      </c>
      <c r="D1321" s="25" t="str">
        <f t="shared" si="20"/>
        <v>Số thửaSố thửa262</v>
      </c>
    </row>
    <row r="1322" spans="1:4" x14ac:dyDescent="0.25">
      <c r="A1322" s="25">
        <v>10</v>
      </c>
      <c r="B1322" s="25" t="s">
        <v>359</v>
      </c>
      <c r="C1322" s="26" t="s">
        <v>1013</v>
      </c>
      <c r="D1322" s="25" t="str">
        <f t="shared" si="20"/>
        <v>Số thửaSố thửa268</v>
      </c>
    </row>
    <row r="1323" spans="1:4" x14ac:dyDescent="0.25">
      <c r="A1323" s="25">
        <v>10</v>
      </c>
      <c r="B1323" s="25" t="s">
        <v>360</v>
      </c>
      <c r="C1323" s="26" t="s">
        <v>1013</v>
      </c>
      <c r="D1323" s="25" t="str">
        <f t="shared" si="20"/>
        <v>Số thửaSố thửa269</v>
      </c>
    </row>
    <row r="1324" spans="1:4" x14ac:dyDescent="0.25">
      <c r="A1324" s="25">
        <v>10</v>
      </c>
      <c r="B1324" s="25" t="s">
        <v>214</v>
      </c>
      <c r="C1324" s="26" t="s">
        <v>1013</v>
      </c>
      <c r="D1324" s="25" t="str">
        <f t="shared" si="20"/>
        <v>Số thửaSố thửa289</v>
      </c>
    </row>
    <row r="1325" spans="1:4" x14ac:dyDescent="0.25">
      <c r="A1325" s="25">
        <v>10</v>
      </c>
      <c r="B1325" s="25" t="s">
        <v>966</v>
      </c>
      <c r="C1325" s="26" t="s">
        <v>1013</v>
      </c>
      <c r="D1325" s="25" t="str">
        <f t="shared" si="20"/>
        <v>Số thửaSố thửa295</v>
      </c>
    </row>
    <row r="1326" spans="1:4" x14ac:dyDescent="0.25">
      <c r="A1326" s="25">
        <v>10</v>
      </c>
      <c r="B1326" s="25" t="s">
        <v>406</v>
      </c>
      <c r="C1326" s="26" t="s">
        <v>1013</v>
      </c>
      <c r="D1326" s="25" t="str">
        <f t="shared" si="20"/>
        <v>Số thửaSố thửa312</v>
      </c>
    </row>
    <row r="1327" spans="1:4" x14ac:dyDescent="0.25">
      <c r="A1327" s="25">
        <v>13</v>
      </c>
      <c r="B1327" s="25" t="s">
        <v>106</v>
      </c>
      <c r="C1327" s="26" t="s">
        <v>1016</v>
      </c>
      <c r="D1327" s="25" t="str">
        <f t="shared" si="20"/>
        <v>Số thửaSố thửa116</v>
      </c>
    </row>
    <row r="1328" spans="1:4" x14ac:dyDescent="0.25">
      <c r="A1328" s="25">
        <v>13</v>
      </c>
      <c r="B1328" s="25" t="s">
        <v>1017</v>
      </c>
      <c r="C1328" s="26" t="s">
        <v>1016</v>
      </c>
      <c r="D1328" s="25" t="str">
        <f t="shared" si="20"/>
        <v>Số thửaSố thửa120</v>
      </c>
    </row>
    <row r="1329" spans="1:4" x14ac:dyDescent="0.25">
      <c r="A1329" s="25">
        <v>13</v>
      </c>
      <c r="B1329" s="25" t="s">
        <v>393</v>
      </c>
      <c r="C1329" s="26" t="s">
        <v>1016</v>
      </c>
      <c r="D1329" s="25" t="str">
        <f t="shared" si="20"/>
        <v>Số thửaSố thửa134</v>
      </c>
    </row>
    <row r="1330" spans="1:4" x14ac:dyDescent="0.25">
      <c r="A1330" s="25">
        <v>13</v>
      </c>
      <c r="B1330" s="25" t="s">
        <v>1018</v>
      </c>
      <c r="C1330" s="26" t="s">
        <v>1016</v>
      </c>
      <c r="D1330" s="25" t="str">
        <f t="shared" si="20"/>
        <v>Số thửaSố thửa384</v>
      </c>
    </row>
    <row r="1331" spans="1:4" x14ac:dyDescent="0.25">
      <c r="A1331" s="25">
        <v>13</v>
      </c>
      <c r="B1331" s="25" t="s">
        <v>284</v>
      </c>
      <c r="C1331" s="26" t="s">
        <v>1016</v>
      </c>
      <c r="D1331" s="25" t="str">
        <f t="shared" si="20"/>
        <v>Số thửaSố thửa385</v>
      </c>
    </row>
    <row r="1332" spans="1:4" x14ac:dyDescent="0.25">
      <c r="A1332" s="25">
        <v>13</v>
      </c>
      <c r="B1332" s="25" t="s">
        <v>285</v>
      </c>
      <c r="C1332" s="26" t="s">
        <v>1016</v>
      </c>
      <c r="D1332" s="25" t="str">
        <f t="shared" si="20"/>
        <v>Số thửaSố thửa386</v>
      </c>
    </row>
    <row r="1333" spans="1:4" x14ac:dyDescent="0.25">
      <c r="A1333" s="25">
        <v>13</v>
      </c>
      <c r="B1333" s="25" t="s">
        <v>148</v>
      </c>
      <c r="C1333" s="26" t="s">
        <v>1016</v>
      </c>
      <c r="D1333" s="25" t="str">
        <f t="shared" si="20"/>
        <v>Số thửaSố thửa395</v>
      </c>
    </row>
    <row r="1334" spans="1:4" x14ac:dyDescent="0.25">
      <c r="A1334" s="25">
        <v>13</v>
      </c>
      <c r="B1334" s="25" t="s">
        <v>737</v>
      </c>
      <c r="C1334" s="26" t="s">
        <v>1016</v>
      </c>
      <c r="D1334" s="25" t="str">
        <f t="shared" si="20"/>
        <v>Số thửaSố thửa396</v>
      </c>
    </row>
    <row r="1335" spans="1:4" x14ac:dyDescent="0.25">
      <c r="A1335" s="25">
        <v>14</v>
      </c>
      <c r="B1335" s="25" t="s">
        <v>661</v>
      </c>
      <c r="C1335" s="26" t="s">
        <v>1016</v>
      </c>
      <c r="D1335" s="25" t="str">
        <f t="shared" si="20"/>
        <v>Số thửaSố thửa89</v>
      </c>
    </row>
    <row r="1336" spans="1:4" x14ac:dyDescent="0.25">
      <c r="A1336" s="25">
        <v>14</v>
      </c>
      <c r="B1336" s="25" t="s">
        <v>777</v>
      </c>
      <c r="C1336" s="26" t="s">
        <v>1016</v>
      </c>
      <c r="D1336" s="25" t="str">
        <f t="shared" si="20"/>
        <v>Số thửaSố thửa91</v>
      </c>
    </row>
    <row r="1337" spans="1:4" x14ac:dyDescent="0.25">
      <c r="A1337" s="25">
        <v>14</v>
      </c>
      <c r="B1337" s="25" t="s">
        <v>494</v>
      </c>
      <c r="C1337" s="26" t="s">
        <v>1016</v>
      </c>
      <c r="D1337" s="25" t="str">
        <f t="shared" si="20"/>
        <v>Số thửaSố thửa92</v>
      </c>
    </row>
    <row r="1338" spans="1:4" x14ac:dyDescent="0.25">
      <c r="A1338" s="25">
        <v>14</v>
      </c>
      <c r="B1338" s="25" t="s">
        <v>71</v>
      </c>
      <c r="C1338" s="26" t="s">
        <v>1016</v>
      </c>
      <c r="D1338" s="25" t="str">
        <f t="shared" si="20"/>
        <v>Số thửaSố thửa99</v>
      </c>
    </row>
    <row r="1339" spans="1:4" x14ac:dyDescent="0.25">
      <c r="A1339" s="25">
        <v>14</v>
      </c>
      <c r="B1339" s="25" t="s">
        <v>194</v>
      </c>
      <c r="C1339" s="26" t="s">
        <v>1016</v>
      </c>
      <c r="D1339" s="25" t="str">
        <f t="shared" si="20"/>
        <v>Số thửaSố thửa100</v>
      </c>
    </row>
    <row r="1340" spans="1:4" x14ac:dyDescent="0.25">
      <c r="A1340" s="25">
        <v>13</v>
      </c>
      <c r="B1340" s="25" t="s">
        <v>961</v>
      </c>
      <c r="C1340" s="26" t="s">
        <v>1019</v>
      </c>
      <c r="D1340" s="25" t="str">
        <f t="shared" si="20"/>
        <v>Số thửaSố thửa297</v>
      </c>
    </row>
    <row r="1341" spans="1:4" x14ac:dyDescent="0.25">
      <c r="A1341" s="25">
        <v>13</v>
      </c>
      <c r="B1341" s="25" t="s">
        <v>145</v>
      </c>
      <c r="C1341" s="26" t="s">
        <v>1019</v>
      </c>
      <c r="D1341" s="25" t="str">
        <f t="shared" si="20"/>
        <v>Số thửaSố thửa353</v>
      </c>
    </row>
    <row r="1342" spans="1:4" x14ac:dyDescent="0.25">
      <c r="A1342" s="25">
        <v>13</v>
      </c>
      <c r="B1342" s="25" t="s">
        <v>1020</v>
      </c>
      <c r="C1342" s="26" t="s">
        <v>1019</v>
      </c>
      <c r="D1342" s="25" t="str">
        <f t="shared" si="20"/>
        <v>Số thửaSố thửa662</v>
      </c>
    </row>
    <row r="1343" spans="1:4" x14ac:dyDescent="0.25">
      <c r="A1343" s="25">
        <v>13</v>
      </c>
      <c r="B1343" s="25" t="s">
        <v>209</v>
      </c>
      <c r="C1343" s="26" t="s">
        <v>1019</v>
      </c>
      <c r="D1343" s="25" t="str">
        <f t="shared" si="20"/>
        <v>Số thửaSố thửa762</v>
      </c>
    </row>
    <row r="1344" spans="1:4" x14ac:dyDescent="0.25">
      <c r="A1344" s="25">
        <v>13</v>
      </c>
      <c r="B1344" s="25" t="s">
        <v>1021</v>
      </c>
      <c r="C1344" s="26" t="s">
        <v>1022</v>
      </c>
      <c r="D1344" s="25" t="str">
        <f t="shared" si="20"/>
        <v>Số thửaSố thửa820</v>
      </c>
    </row>
    <row r="1345" spans="1:4" x14ac:dyDescent="0.25">
      <c r="A1345" s="25">
        <v>13</v>
      </c>
      <c r="B1345" s="25" t="s">
        <v>1023</v>
      </c>
      <c r="C1345" s="26" t="s">
        <v>1022</v>
      </c>
      <c r="D1345" s="25" t="str">
        <f t="shared" si="20"/>
        <v>Số thửaSố thửa821</v>
      </c>
    </row>
    <row r="1346" spans="1:4" x14ac:dyDescent="0.25">
      <c r="A1346" s="25">
        <v>13</v>
      </c>
      <c r="B1346" s="25" t="s">
        <v>1024</v>
      </c>
      <c r="C1346" s="26" t="s">
        <v>1022</v>
      </c>
      <c r="D1346" s="25" t="str">
        <f t="shared" si="20"/>
        <v>Số thửaSố thửa822</v>
      </c>
    </row>
    <row r="1347" spans="1:4" x14ac:dyDescent="0.25">
      <c r="A1347" s="25">
        <v>13</v>
      </c>
      <c r="B1347" s="25" t="s">
        <v>1025</v>
      </c>
      <c r="C1347" s="26" t="s">
        <v>1022</v>
      </c>
      <c r="D1347" s="25" t="str">
        <f t="shared" ref="D1347:D1410" si="21">$B$1&amp;B1347</f>
        <v>Số thửaSố thửa824</v>
      </c>
    </row>
    <row r="1348" spans="1:4" x14ac:dyDescent="0.25">
      <c r="A1348" s="25">
        <v>13</v>
      </c>
      <c r="B1348" s="25" t="s">
        <v>1026</v>
      </c>
      <c r="C1348" s="26" t="s">
        <v>1022</v>
      </c>
      <c r="D1348" s="25" t="str">
        <f t="shared" si="21"/>
        <v>Số thửaSố thửa825</v>
      </c>
    </row>
    <row r="1349" spans="1:4" x14ac:dyDescent="0.25">
      <c r="A1349" s="25">
        <v>13</v>
      </c>
      <c r="B1349" s="25" t="s">
        <v>1027</v>
      </c>
      <c r="C1349" s="26" t="s">
        <v>1022</v>
      </c>
      <c r="D1349" s="25" t="str">
        <f t="shared" si="21"/>
        <v>Số thửaSố thửa833</v>
      </c>
    </row>
    <row r="1350" spans="1:4" x14ac:dyDescent="0.25">
      <c r="A1350" s="25">
        <v>13</v>
      </c>
      <c r="B1350" s="25" t="s">
        <v>577</v>
      </c>
      <c r="C1350" s="26" t="s">
        <v>1022</v>
      </c>
      <c r="D1350" s="25" t="str">
        <f t="shared" si="21"/>
        <v>Số thửaSố thửa834</v>
      </c>
    </row>
    <row r="1351" spans="1:4" x14ac:dyDescent="0.25">
      <c r="A1351" s="25">
        <v>13</v>
      </c>
      <c r="B1351" s="25" t="s">
        <v>431</v>
      </c>
      <c r="C1351" s="26" t="s">
        <v>1022</v>
      </c>
      <c r="D1351" s="25" t="str">
        <f t="shared" si="21"/>
        <v>Số thửaSố thửa835</v>
      </c>
    </row>
    <row r="1352" spans="1:4" x14ac:dyDescent="0.25">
      <c r="A1352" s="25">
        <v>13</v>
      </c>
      <c r="B1352" s="25" t="s">
        <v>578</v>
      </c>
      <c r="C1352" s="26" t="s">
        <v>1028</v>
      </c>
      <c r="D1352" s="25" t="str">
        <f t="shared" si="21"/>
        <v>Số thửaSố thửa122</v>
      </c>
    </row>
    <row r="1353" spans="1:4" x14ac:dyDescent="0.25">
      <c r="A1353" s="25">
        <v>13</v>
      </c>
      <c r="B1353" s="25" t="s">
        <v>375</v>
      </c>
      <c r="C1353" s="26" t="s">
        <v>1028</v>
      </c>
      <c r="D1353" s="25" t="str">
        <f t="shared" si="21"/>
        <v>Số thửaSố thửa123</v>
      </c>
    </row>
    <row r="1354" spans="1:4" x14ac:dyDescent="0.25">
      <c r="A1354" s="25">
        <v>13</v>
      </c>
      <c r="B1354" s="25" t="s">
        <v>72</v>
      </c>
      <c r="C1354" s="26" t="s">
        <v>1028</v>
      </c>
      <c r="D1354" s="25" t="str">
        <f t="shared" si="21"/>
        <v>Số thửaSố thửa131</v>
      </c>
    </row>
    <row r="1355" spans="1:4" x14ac:dyDescent="0.25">
      <c r="A1355" s="25">
        <v>13</v>
      </c>
      <c r="B1355" s="25" t="s">
        <v>135</v>
      </c>
      <c r="C1355" s="26" t="s">
        <v>1028</v>
      </c>
      <c r="D1355" s="25" t="str">
        <f t="shared" si="21"/>
        <v>Số thửaSố thửa132</v>
      </c>
    </row>
    <row r="1356" spans="1:4" x14ac:dyDescent="0.25">
      <c r="A1356" s="25">
        <v>13</v>
      </c>
      <c r="B1356" s="25" t="s">
        <v>1029</v>
      </c>
      <c r="C1356" s="26" t="s">
        <v>1028</v>
      </c>
      <c r="D1356" s="25" t="str">
        <f t="shared" si="21"/>
        <v>Số thửaSố thửa133</v>
      </c>
    </row>
    <row r="1357" spans="1:4" x14ac:dyDescent="0.25">
      <c r="A1357" s="25">
        <v>13</v>
      </c>
      <c r="B1357" s="25" t="s">
        <v>653</v>
      </c>
      <c r="C1357" s="26" t="s">
        <v>1028</v>
      </c>
      <c r="D1357" s="25" t="str">
        <f t="shared" si="21"/>
        <v>Số thửaSố thửa177</v>
      </c>
    </row>
    <row r="1358" spans="1:4" x14ac:dyDescent="0.25">
      <c r="A1358" s="25">
        <v>13</v>
      </c>
      <c r="B1358" s="25" t="s">
        <v>1006</v>
      </c>
      <c r="C1358" s="26" t="s">
        <v>1028</v>
      </c>
      <c r="D1358" s="25" t="str">
        <f t="shared" si="21"/>
        <v>Số thửaSố thửa178</v>
      </c>
    </row>
    <row r="1359" spans="1:4" x14ac:dyDescent="0.25">
      <c r="A1359" s="25">
        <v>13</v>
      </c>
      <c r="B1359" s="25" t="s">
        <v>641</v>
      </c>
      <c r="C1359" s="26" t="s">
        <v>1030</v>
      </c>
      <c r="D1359" s="25" t="str">
        <f t="shared" si="21"/>
        <v>Số thửaSố thửa352</v>
      </c>
    </row>
    <row r="1360" spans="1:4" x14ac:dyDescent="0.25">
      <c r="A1360" s="25">
        <v>13</v>
      </c>
      <c r="B1360" s="25" t="s">
        <v>1031</v>
      </c>
      <c r="C1360" s="26" t="s">
        <v>1030</v>
      </c>
      <c r="D1360" s="25" t="str">
        <f t="shared" si="21"/>
        <v>Số thửaSố thửa424</v>
      </c>
    </row>
    <row r="1361" spans="1:4" x14ac:dyDescent="0.25">
      <c r="A1361" s="25">
        <v>13</v>
      </c>
      <c r="B1361" s="25" t="s">
        <v>762</v>
      </c>
      <c r="C1361" s="26" t="s">
        <v>1028</v>
      </c>
      <c r="D1361" s="25" t="str">
        <f t="shared" si="21"/>
        <v>Số thửaSố thửa463</v>
      </c>
    </row>
    <row r="1362" spans="1:4" x14ac:dyDescent="0.25">
      <c r="A1362" s="25">
        <v>13</v>
      </c>
      <c r="B1362" s="25" t="s">
        <v>150</v>
      </c>
      <c r="C1362" s="26" t="s">
        <v>1028</v>
      </c>
      <c r="D1362" s="25" t="str">
        <f t="shared" si="21"/>
        <v>Số thửaSố thửa464</v>
      </c>
    </row>
    <row r="1363" spans="1:4" x14ac:dyDescent="0.25">
      <c r="A1363" s="25">
        <v>13</v>
      </c>
      <c r="B1363" s="25" t="s">
        <v>769</v>
      </c>
      <c r="C1363" s="26" t="s">
        <v>1028</v>
      </c>
      <c r="D1363" s="25" t="str">
        <f t="shared" si="21"/>
        <v>Số thửaSố thửa465</v>
      </c>
    </row>
    <row r="1364" spans="1:4" x14ac:dyDescent="0.25">
      <c r="A1364" s="25">
        <v>13</v>
      </c>
      <c r="B1364" s="25" t="s">
        <v>420</v>
      </c>
      <c r="C1364" s="26" t="s">
        <v>1028</v>
      </c>
      <c r="D1364" s="25" t="str">
        <f t="shared" si="21"/>
        <v>Số thửaSố thửa466</v>
      </c>
    </row>
    <row r="1365" spans="1:4" x14ac:dyDescent="0.25">
      <c r="A1365" s="25">
        <v>13</v>
      </c>
      <c r="B1365" s="25" t="s">
        <v>1032</v>
      </c>
      <c r="C1365" s="26" t="s">
        <v>1028</v>
      </c>
      <c r="D1365" s="25" t="str">
        <f t="shared" si="21"/>
        <v>Số thửaSố thửa467</v>
      </c>
    </row>
    <row r="1366" spans="1:4" x14ac:dyDescent="0.25">
      <c r="A1366" s="25">
        <v>13</v>
      </c>
      <c r="B1366" s="25" t="s">
        <v>1033</v>
      </c>
      <c r="C1366" s="26" t="s">
        <v>1028</v>
      </c>
      <c r="D1366" s="25" t="str">
        <f t="shared" si="21"/>
        <v>Số thửaSố thửa468</v>
      </c>
    </row>
    <row r="1367" spans="1:4" x14ac:dyDescent="0.25">
      <c r="A1367" s="25">
        <v>13</v>
      </c>
      <c r="B1367" s="25" t="s">
        <v>879</v>
      </c>
      <c r="C1367" s="26" t="s">
        <v>1028</v>
      </c>
      <c r="D1367" s="25" t="str">
        <f t="shared" si="21"/>
        <v>Số thửaSố thửa469</v>
      </c>
    </row>
    <row r="1368" spans="1:4" x14ac:dyDescent="0.25">
      <c r="A1368" s="25">
        <v>13</v>
      </c>
      <c r="B1368" s="25" t="s">
        <v>770</v>
      </c>
      <c r="C1368" s="26" t="s">
        <v>1028</v>
      </c>
      <c r="D1368" s="25" t="str">
        <f t="shared" si="21"/>
        <v>Số thửaSố thửa470</v>
      </c>
    </row>
    <row r="1369" spans="1:4" x14ac:dyDescent="0.25">
      <c r="A1369" s="25">
        <v>13</v>
      </c>
      <c r="B1369" s="25" t="s">
        <v>1034</v>
      </c>
      <c r="C1369" s="26" t="s">
        <v>1028</v>
      </c>
      <c r="D1369" s="25" t="str">
        <f t="shared" si="21"/>
        <v>Số thửaSố thửa471</v>
      </c>
    </row>
    <row r="1370" spans="1:4" x14ac:dyDescent="0.25">
      <c r="A1370" s="25">
        <v>13</v>
      </c>
      <c r="B1370" s="25" t="s">
        <v>571</v>
      </c>
      <c r="C1370" s="26" t="s">
        <v>1035</v>
      </c>
      <c r="D1370" s="25" t="str">
        <f t="shared" si="21"/>
        <v>Số thửaSố thửa488</v>
      </c>
    </row>
    <row r="1371" spans="1:4" x14ac:dyDescent="0.25">
      <c r="A1371" s="25">
        <v>13</v>
      </c>
      <c r="B1371" s="25" t="s">
        <v>500</v>
      </c>
      <c r="C1371" s="26" t="s">
        <v>1035</v>
      </c>
      <c r="D1371" s="25" t="str">
        <f t="shared" si="21"/>
        <v>Số thửaSố thửa489</v>
      </c>
    </row>
    <row r="1372" spans="1:4" x14ac:dyDescent="0.25">
      <c r="A1372" s="25">
        <v>13</v>
      </c>
      <c r="B1372" s="25" t="s">
        <v>501</v>
      </c>
      <c r="C1372" s="26" t="s">
        <v>1035</v>
      </c>
      <c r="D1372" s="25" t="str">
        <f t="shared" si="21"/>
        <v>Số thửaSố thửa490</v>
      </c>
    </row>
    <row r="1373" spans="1:4" x14ac:dyDescent="0.25">
      <c r="A1373" s="25">
        <v>13</v>
      </c>
      <c r="B1373" s="25" t="s">
        <v>572</v>
      </c>
      <c r="C1373" s="26" t="s">
        <v>1035</v>
      </c>
      <c r="D1373" s="25" t="str">
        <f t="shared" si="21"/>
        <v>Số thửaSố thửa491</v>
      </c>
    </row>
    <row r="1374" spans="1:4" x14ac:dyDescent="0.25">
      <c r="A1374" s="25">
        <v>13</v>
      </c>
      <c r="B1374" s="25" t="s">
        <v>202</v>
      </c>
      <c r="C1374" s="26" t="s">
        <v>1035</v>
      </c>
      <c r="D1374" s="25" t="str">
        <f t="shared" si="21"/>
        <v>Số thửaSố thửa493</v>
      </c>
    </row>
    <row r="1375" spans="1:4" x14ac:dyDescent="0.25">
      <c r="A1375" s="25">
        <v>13</v>
      </c>
      <c r="B1375" s="25" t="s">
        <v>744</v>
      </c>
      <c r="C1375" s="26" t="s">
        <v>1035</v>
      </c>
      <c r="D1375" s="25" t="str">
        <f t="shared" si="21"/>
        <v>Số thửaSố thửa494</v>
      </c>
    </row>
    <row r="1376" spans="1:4" x14ac:dyDescent="0.25">
      <c r="A1376" s="25">
        <v>13</v>
      </c>
      <c r="B1376" s="25" t="s">
        <v>792</v>
      </c>
      <c r="C1376" s="26" t="s">
        <v>1035</v>
      </c>
      <c r="D1376" s="25" t="str">
        <f t="shared" si="21"/>
        <v>Số thửaSố thửa495</v>
      </c>
    </row>
    <row r="1377" spans="1:4" x14ac:dyDescent="0.25">
      <c r="A1377" s="25">
        <v>13</v>
      </c>
      <c r="B1377" s="25" t="s">
        <v>586</v>
      </c>
      <c r="C1377" s="26" t="s">
        <v>1035</v>
      </c>
      <c r="D1377" s="25" t="str">
        <f t="shared" si="21"/>
        <v>Số thửaSố thửa545</v>
      </c>
    </row>
    <row r="1378" spans="1:4" x14ac:dyDescent="0.25">
      <c r="A1378" s="25">
        <v>13</v>
      </c>
      <c r="B1378" s="25" t="s">
        <v>587</v>
      </c>
      <c r="C1378" s="26" t="s">
        <v>1035</v>
      </c>
      <c r="D1378" s="25" t="str">
        <f t="shared" si="21"/>
        <v>Số thửaSố thửa546</v>
      </c>
    </row>
    <row r="1379" spans="1:4" x14ac:dyDescent="0.25">
      <c r="A1379" s="25">
        <v>13</v>
      </c>
      <c r="B1379" s="25" t="s">
        <v>1036</v>
      </c>
      <c r="C1379" s="26" t="s">
        <v>1035</v>
      </c>
      <c r="D1379" s="25" t="str">
        <f t="shared" si="21"/>
        <v>Số thửaSố thửa547</v>
      </c>
    </row>
    <row r="1380" spans="1:4" x14ac:dyDescent="0.25">
      <c r="A1380" s="25">
        <v>13</v>
      </c>
      <c r="B1380" s="25" t="s">
        <v>588</v>
      </c>
      <c r="C1380" s="26" t="s">
        <v>1035</v>
      </c>
      <c r="D1380" s="25" t="str">
        <f t="shared" si="21"/>
        <v>Số thửaSố thửa548</v>
      </c>
    </row>
    <row r="1381" spans="1:4" x14ac:dyDescent="0.25">
      <c r="A1381" s="25">
        <v>13</v>
      </c>
      <c r="B1381" s="25" t="s">
        <v>473</v>
      </c>
      <c r="C1381" s="26" t="s">
        <v>1035</v>
      </c>
      <c r="D1381" s="25" t="str">
        <f t="shared" si="21"/>
        <v>Số thửaSố thửa549</v>
      </c>
    </row>
    <row r="1382" spans="1:4" x14ac:dyDescent="0.25">
      <c r="A1382" s="25">
        <v>13</v>
      </c>
      <c r="B1382" s="25" t="s">
        <v>188</v>
      </c>
      <c r="C1382" s="26" t="s">
        <v>1035</v>
      </c>
      <c r="D1382" s="25" t="str">
        <f t="shared" si="21"/>
        <v>Số thửaSố thửa573</v>
      </c>
    </row>
    <row r="1383" spans="1:4" x14ac:dyDescent="0.25">
      <c r="A1383" s="25">
        <v>13</v>
      </c>
      <c r="B1383" s="25" t="s">
        <v>507</v>
      </c>
      <c r="C1383" s="26" t="s">
        <v>1035</v>
      </c>
      <c r="D1383" s="25" t="str">
        <f t="shared" si="21"/>
        <v>Số thửaSố thửa574</v>
      </c>
    </row>
    <row r="1384" spans="1:4" x14ac:dyDescent="0.25">
      <c r="A1384" s="25">
        <v>13</v>
      </c>
      <c r="B1384" s="25" t="s">
        <v>508</v>
      </c>
      <c r="C1384" s="26" t="s">
        <v>1035</v>
      </c>
      <c r="D1384" s="25" t="str">
        <f t="shared" si="21"/>
        <v>Số thửaSố thửa575</v>
      </c>
    </row>
    <row r="1385" spans="1:4" x14ac:dyDescent="0.25">
      <c r="A1385" s="25">
        <v>13</v>
      </c>
      <c r="B1385" s="25" t="s">
        <v>518</v>
      </c>
      <c r="C1385" s="26" t="s">
        <v>1035</v>
      </c>
      <c r="D1385" s="25" t="str">
        <f t="shared" si="21"/>
        <v>Số thửaSố thửa576</v>
      </c>
    </row>
    <row r="1386" spans="1:4" x14ac:dyDescent="0.25">
      <c r="A1386" s="25">
        <v>13</v>
      </c>
      <c r="B1386" s="25" t="s">
        <v>509</v>
      </c>
      <c r="C1386" s="26" t="s">
        <v>1037</v>
      </c>
      <c r="D1386" s="25" t="str">
        <f t="shared" si="21"/>
        <v>Số thửaSố thửa577</v>
      </c>
    </row>
    <row r="1387" spans="1:4" x14ac:dyDescent="0.25">
      <c r="A1387" s="25">
        <v>13</v>
      </c>
      <c r="B1387" s="25" t="s">
        <v>474</v>
      </c>
      <c r="C1387" s="26" t="s">
        <v>1037</v>
      </c>
      <c r="D1387" s="25" t="str">
        <f t="shared" si="21"/>
        <v>Số thửaSố thửa578</v>
      </c>
    </row>
    <row r="1388" spans="1:4" x14ac:dyDescent="0.25">
      <c r="A1388" s="25">
        <v>13</v>
      </c>
      <c r="B1388" s="25" t="s">
        <v>973</v>
      </c>
      <c r="C1388" s="26" t="s">
        <v>1037</v>
      </c>
      <c r="D1388" s="25" t="str">
        <f t="shared" si="21"/>
        <v>Số thửaSố thửa579</v>
      </c>
    </row>
    <row r="1389" spans="1:4" x14ac:dyDescent="0.25">
      <c r="A1389" s="25">
        <v>13</v>
      </c>
      <c r="B1389" s="25" t="s">
        <v>771</v>
      </c>
      <c r="C1389" s="26" t="s">
        <v>1037</v>
      </c>
      <c r="D1389" s="25" t="str">
        <f t="shared" si="21"/>
        <v>Số thửaSố thửa580</v>
      </c>
    </row>
    <row r="1390" spans="1:4" x14ac:dyDescent="0.25">
      <c r="A1390" s="25">
        <v>13</v>
      </c>
      <c r="B1390" s="25" t="s">
        <v>591</v>
      </c>
      <c r="C1390" s="26" t="s">
        <v>1037</v>
      </c>
      <c r="D1390" s="25" t="str">
        <f t="shared" si="21"/>
        <v>Số thửaSố thửa597</v>
      </c>
    </row>
    <row r="1391" spans="1:4" x14ac:dyDescent="0.25">
      <c r="A1391" s="25">
        <v>13</v>
      </c>
      <c r="B1391" s="25" t="s">
        <v>592</v>
      </c>
      <c r="C1391" s="26" t="s">
        <v>1037</v>
      </c>
      <c r="D1391" s="25" t="str">
        <f t="shared" si="21"/>
        <v>Số thửaSố thửa598</v>
      </c>
    </row>
    <row r="1392" spans="1:4" x14ac:dyDescent="0.25">
      <c r="A1392" s="25">
        <v>13</v>
      </c>
      <c r="B1392" s="25" t="s">
        <v>411</v>
      </c>
      <c r="C1392" s="26" t="s">
        <v>1037</v>
      </c>
      <c r="D1392" s="25" t="str">
        <f t="shared" si="21"/>
        <v>Số thửaSố thửa599</v>
      </c>
    </row>
    <row r="1393" spans="1:4" x14ac:dyDescent="0.25">
      <c r="A1393" s="25">
        <v>13</v>
      </c>
      <c r="B1393" s="25" t="s">
        <v>1038</v>
      </c>
      <c r="C1393" s="26" t="s">
        <v>1037</v>
      </c>
      <c r="D1393" s="25" t="str">
        <f t="shared" si="21"/>
        <v>Số thửaSố thửa600</v>
      </c>
    </row>
    <row r="1394" spans="1:4" x14ac:dyDescent="0.25">
      <c r="A1394" s="25">
        <v>13</v>
      </c>
      <c r="B1394" s="25" t="s">
        <v>594</v>
      </c>
      <c r="C1394" s="26" t="s">
        <v>1037</v>
      </c>
      <c r="D1394" s="25" t="str">
        <f t="shared" si="21"/>
        <v>Số thửaSố thửa601</v>
      </c>
    </row>
    <row r="1395" spans="1:4" x14ac:dyDescent="0.25">
      <c r="A1395" s="25">
        <v>13</v>
      </c>
      <c r="B1395" s="25" t="s">
        <v>595</v>
      </c>
      <c r="C1395" s="26" t="s">
        <v>1037</v>
      </c>
      <c r="D1395" s="25" t="str">
        <f t="shared" si="21"/>
        <v>Số thửaSố thửa602</v>
      </c>
    </row>
    <row r="1396" spans="1:4" x14ac:dyDescent="0.25">
      <c r="A1396" s="25">
        <v>13</v>
      </c>
      <c r="B1396" s="25" t="s">
        <v>596</v>
      </c>
      <c r="C1396" s="26" t="s">
        <v>1037</v>
      </c>
      <c r="D1396" s="25" t="str">
        <f t="shared" si="21"/>
        <v>Số thửaSố thửa603</v>
      </c>
    </row>
    <row r="1397" spans="1:4" x14ac:dyDescent="0.25">
      <c r="A1397" s="25">
        <v>13</v>
      </c>
      <c r="B1397" s="25" t="s">
        <v>1039</v>
      </c>
      <c r="C1397" s="26" t="s">
        <v>1037</v>
      </c>
      <c r="D1397" s="25" t="str">
        <f t="shared" si="21"/>
        <v>Số thửaSố thửa618</v>
      </c>
    </row>
    <row r="1398" spans="1:4" x14ac:dyDescent="0.25">
      <c r="A1398" s="25">
        <v>13</v>
      </c>
      <c r="B1398" s="25" t="s">
        <v>1040</v>
      </c>
      <c r="C1398" s="26" t="s">
        <v>1041</v>
      </c>
      <c r="D1398" s="25" t="str">
        <f t="shared" si="21"/>
        <v>Số thửaSố thửa619</v>
      </c>
    </row>
    <row r="1399" spans="1:4" x14ac:dyDescent="0.25">
      <c r="A1399" s="25">
        <v>13</v>
      </c>
      <c r="B1399" s="25" t="s">
        <v>978</v>
      </c>
      <c r="C1399" s="26" t="s">
        <v>1037</v>
      </c>
      <c r="D1399" s="25" t="str">
        <f t="shared" si="21"/>
        <v>Số thửaSố thửa620</v>
      </c>
    </row>
    <row r="1400" spans="1:4" x14ac:dyDescent="0.25">
      <c r="A1400" s="25">
        <v>13</v>
      </c>
      <c r="B1400" s="25" t="s">
        <v>979</v>
      </c>
      <c r="C1400" s="26" t="s">
        <v>1037</v>
      </c>
      <c r="D1400" s="25" t="str">
        <f t="shared" si="21"/>
        <v>Số thửaSố thửa621</v>
      </c>
    </row>
    <row r="1401" spans="1:4" x14ac:dyDescent="0.25">
      <c r="A1401" s="25">
        <v>13</v>
      </c>
      <c r="B1401" s="25" t="s">
        <v>1042</v>
      </c>
      <c r="C1401" s="26" t="s">
        <v>1037</v>
      </c>
      <c r="D1401" s="25" t="str">
        <f t="shared" si="21"/>
        <v>Số thửaSố thửa654</v>
      </c>
    </row>
    <row r="1402" spans="1:4" x14ac:dyDescent="0.25">
      <c r="A1402" s="25">
        <v>13</v>
      </c>
      <c r="B1402" s="25" t="s">
        <v>980</v>
      </c>
      <c r="C1402" s="26" t="s">
        <v>1037</v>
      </c>
      <c r="D1402" s="25" t="str">
        <f t="shared" si="21"/>
        <v>Số thửaSố thửa655</v>
      </c>
    </row>
    <row r="1403" spans="1:4" x14ac:dyDescent="0.25">
      <c r="A1403" s="25">
        <v>13</v>
      </c>
      <c r="B1403" s="25" t="s">
        <v>1043</v>
      </c>
      <c r="C1403" s="26" t="s">
        <v>1041</v>
      </c>
      <c r="D1403" s="25" t="str">
        <f t="shared" si="21"/>
        <v>Số thửaSố thửa674</v>
      </c>
    </row>
    <row r="1404" spans="1:4" x14ac:dyDescent="0.25">
      <c r="A1404" s="25">
        <v>13</v>
      </c>
      <c r="B1404" s="25" t="s">
        <v>1044</v>
      </c>
      <c r="C1404" s="26" t="s">
        <v>1041</v>
      </c>
      <c r="D1404" s="25" t="str">
        <f t="shared" si="21"/>
        <v>Số thửaSố thửa676</v>
      </c>
    </row>
    <row r="1405" spans="1:4" x14ac:dyDescent="0.25">
      <c r="A1405" s="25">
        <v>13</v>
      </c>
      <c r="B1405" s="25" t="s">
        <v>1045</v>
      </c>
      <c r="C1405" s="26" t="s">
        <v>1041</v>
      </c>
      <c r="D1405" s="25" t="str">
        <f t="shared" si="21"/>
        <v>Số thửaSố thửa704</v>
      </c>
    </row>
    <row r="1406" spans="1:4" x14ac:dyDescent="0.25">
      <c r="A1406" s="25">
        <v>13</v>
      </c>
      <c r="B1406" s="25" t="s">
        <v>1046</v>
      </c>
      <c r="C1406" s="26" t="s">
        <v>1041</v>
      </c>
      <c r="D1406" s="25" t="str">
        <f t="shared" si="21"/>
        <v>Số thửaSố thửa705</v>
      </c>
    </row>
    <row r="1407" spans="1:4" x14ac:dyDescent="0.25">
      <c r="A1407" s="25">
        <v>13</v>
      </c>
      <c r="B1407" s="25" t="s">
        <v>1047</v>
      </c>
      <c r="C1407" s="26" t="s">
        <v>1041</v>
      </c>
      <c r="D1407" s="25" t="str">
        <f t="shared" si="21"/>
        <v>Số thửaSố thửa710</v>
      </c>
    </row>
    <row r="1408" spans="1:4" x14ac:dyDescent="0.25">
      <c r="A1408" s="25">
        <v>13</v>
      </c>
      <c r="B1408" s="25" t="s">
        <v>167</v>
      </c>
      <c r="C1408" s="26" t="s">
        <v>1030</v>
      </c>
      <c r="D1408" s="25" t="str">
        <f t="shared" si="21"/>
        <v>Số thửaSố thửa750</v>
      </c>
    </row>
    <row r="1409" spans="1:4" x14ac:dyDescent="0.25">
      <c r="A1409" s="25">
        <v>13</v>
      </c>
      <c r="B1409" s="25" t="s">
        <v>774</v>
      </c>
      <c r="C1409" s="26" t="s">
        <v>1030</v>
      </c>
      <c r="D1409" s="25" t="str">
        <f t="shared" si="21"/>
        <v>Số thửaSố thửa789</v>
      </c>
    </row>
    <row r="1410" spans="1:4" x14ac:dyDescent="0.25">
      <c r="A1410" s="25">
        <v>14</v>
      </c>
      <c r="B1410" s="25" t="s">
        <v>704</v>
      </c>
      <c r="C1410" s="26" t="s">
        <v>1041</v>
      </c>
      <c r="D1410" s="25" t="str">
        <f t="shared" si="21"/>
        <v>Số thửaSố thửa111</v>
      </c>
    </row>
    <row r="1411" spans="1:4" x14ac:dyDescent="0.25">
      <c r="A1411" s="25">
        <v>14</v>
      </c>
      <c r="B1411" s="25" t="s">
        <v>107</v>
      </c>
      <c r="C1411" s="26" t="s">
        <v>1041</v>
      </c>
      <c r="D1411" s="25" t="str">
        <f t="shared" ref="D1411:D1474" si="22">$B$1&amp;B1411</f>
        <v>Số thửaSố thửa118</v>
      </c>
    </row>
    <row r="1412" spans="1:4" x14ac:dyDescent="0.25">
      <c r="A1412" s="25">
        <v>14</v>
      </c>
      <c r="B1412" s="25" t="s">
        <v>108</v>
      </c>
      <c r="C1412" s="26" t="s">
        <v>1041</v>
      </c>
      <c r="D1412" s="25" t="str">
        <f t="shared" si="22"/>
        <v>Số thửaSố thửa119</v>
      </c>
    </row>
    <row r="1413" spans="1:4" x14ac:dyDescent="0.25">
      <c r="A1413" s="25">
        <v>14</v>
      </c>
      <c r="B1413" s="25" t="s">
        <v>379</v>
      </c>
      <c r="C1413" s="26" t="s">
        <v>1030</v>
      </c>
      <c r="D1413" s="25" t="str">
        <f t="shared" si="22"/>
        <v>Số thửaSố thửa129</v>
      </c>
    </row>
    <row r="1414" spans="1:4" x14ac:dyDescent="0.25">
      <c r="A1414" s="25">
        <v>13</v>
      </c>
      <c r="B1414" s="25" t="s">
        <v>60</v>
      </c>
      <c r="C1414" s="26" t="s">
        <v>1048</v>
      </c>
      <c r="D1414" s="25" t="str">
        <f t="shared" si="22"/>
        <v>Số thửaSố thửa7</v>
      </c>
    </row>
    <row r="1415" spans="1:4" x14ac:dyDescent="0.25">
      <c r="A1415" s="25">
        <v>13</v>
      </c>
      <c r="B1415" s="25" t="s">
        <v>132</v>
      </c>
      <c r="C1415" s="26" t="s">
        <v>1048</v>
      </c>
      <c r="D1415" s="25" t="str">
        <f t="shared" si="22"/>
        <v>Số thửaSố thửa8</v>
      </c>
    </row>
    <row r="1416" spans="1:4" x14ac:dyDescent="0.25">
      <c r="A1416" s="25">
        <v>13</v>
      </c>
      <c r="B1416" s="25" t="s">
        <v>1049</v>
      </c>
      <c r="C1416" s="26" t="s">
        <v>1048</v>
      </c>
      <c r="D1416" s="25" t="str">
        <f t="shared" si="22"/>
        <v>Số thửaSố thửa9</v>
      </c>
    </row>
    <row r="1417" spans="1:4" x14ac:dyDescent="0.25">
      <c r="A1417" s="25">
        <v>13</v>
      </c>
      <c r="B1417" s="25" t="s">
        <v>565</v>
      </c>
      <c r="C1417" s="26" t="s">
        <v>1048</v>
      </c>
      <c r="D1417" s="25" t="str">
        <f t="shared" si="22"/>
        <v>Số thửaSố thửa30</v>
      </c>
    </row>
    <row r="1418" spans="1:4" x14ac:dyDescent="0.25">
      <c r="A1418" s="25">
        <v>13</v>
      </c>
      <c r="B1418" s="25" t="s">
        <v>522</v>
      </c>
      <c r="C1418" s="26" t="s">
        <v>1048</v>
      </c>
      <c r="D1418" s="25" t="str">
        <f t="shared" si="22"/>
        <v>Số thửaSố thửa31</v>
      </c>
    </row>
    <row r="1419" spans="1:4" x14ac:dyDescent="0.25">
      <c r="A1419" s="25">
        <v>13</v>
      </c>
      <c r="B1419" s="25" t="s">
        <v>629</v>
      </c>
      <c r="C1419" s="26" t="s">
        <v>1048</v>
      </c>
      <c r="D1419" s="25" t="str">
        <f t="shared" si="22"/>
        <v>Số thửaSố thửa32</v>
      </c>
    </row>
    <row r="1420" spans="1:4" x14ac:dyDescent="0.25">
      <c r="A1420" s="25">
        <v>4</v>
      </c>
      <c r="B1420" s="25" t="s">
        <v>385</v>
      </c>
      <c r="C1420" s="26" t="s">
        <v>1050</v>
      </c>
      <c r="D1420" s="25" t="str">
        <f t="shared" si="22"/>
        <v>Số thửaSố thửa208</v>
      </c>
    </row>
    <row r="1421" spans="1:4" x14ac:dyDescent="0.25">
      <c r="A1421" s="25">
        <v>4</v>
      </c>
      <c r="B1421" s="25" t="s">
        <v>681</v>
      </c>
      <c r="C1421" s="26" t="s">
        <v>1050</v>
      </c>
      <c r="D1421" s="25" t="str">
        <f t="shared" si="22"/>
        <v>Số thửaSố thửa209</v>
      </c>
    </row>
    <row r="1422" spans="1:4" x14ac:dyDescent="0.25">
      <c r="A1422" s="25">
        <v>4</v>
      </c>
      <c r="B1422" s="25" t="s">
        <v>224</v>
      </c>
      <c r="C1422" s="26" t="s">
        <v>1050</v>
      </c>
      <c r="D1422" s="25" t="str">
        <f t="shared" si="22"/>
        <v>Số thửaSố thửa237</v>
      </c>
    </row>
    <row r="1423" spans="1:4" x14ac:dyDescent="0.25">
      <c r="A1423" s="25">
        <v>4</v>
      </c>
      <c r="B1423" s="25" t="s">
        <v>92</v>
      </c>
      <c r="C1423" s="26" t="s">
        <v>1050</v>
      </c>
      <c r="D1423" s="25" t="str">
        <f t="shared" si="22"/>
        <v>Số thửaSố thửa238</v>
      </c>
    </row>
    <row r="1424" spans="1:4" x14ac:dyDescent="0.25">
      <c r="A1424" s="25">
        <v>4</v>
      </c>
      <c r="B1424" s="25" t="s">
        <v>95</v>
      </c>
      <c r="C1424" s="26" t="s">
        <v>1050</v>
      </c>
      <c r="D1424" s="25" t="str">
        <f t="shared" si="22"/>
        <v>Số thửaSố thửa241</v>
      </c>
    </row>
    <row r="1425" spans="1:4" x14ac:dyDescent="0.25">
      <c r="A1425" s="25">
        <v>4</v>
      </c>
      <c r="B1425" s="25" t="s">
        <v>868</v>
      </c>
      <c r="C1425" s="26" t="s">
        <v>1051</v>
      </c>
      <c r="D1425" s="25" t="str">
        <f t="shared" si="22"/>
        <v>Số thửaSố thửa258</v>
      </c>
    </row>
    <row r="1426" spans="1:4" x14ac:dyDescent="0.25">
      <c r="A1426" s="25">
        <v>4</v>
      </c>
      <c r="B1426" s="25" t="s">
        <v>870</v>
      </c>
      <c r="C1426" s="26" t="s">
        <v>1050</v>
      </c>
      <c r="D1426" s="25" t="str">
        <f t="shared" si="22"/>
        <v>Số thửaSố thửa261</v>
      </c>
    </row>
    <row r="1427" spans="1:4" x14ac:dyDescent="0.25">
      <c r="A1427" s="25">
        <v>4</v>
      </c>
      <c r="B1427" s="25" t="s">
        <v>728</v>
      </c>
      <c r="C1427" s="26" t="s">
        <v>1052</v>
      </c>
      <c r="D1427" s="25" t="str">
        <f t="shared" si="22"/>
        <v>Số thửaSố thửa262</v>
      </c>
    </row>
    <row r="1428" spans="1:4" x14ac:dyDescent="0.25">
      <c r="A1428" s="25">
        <v>4</v>
      </c>
      <c r="B1428" s="25" t="s">
        <v>957</v>
      </c>
      <c r="C1428" s="26" t="s">
        <v>1050</v>
      </c>
      <c r="D1428" s="25" t="str">
        <f t="shared" si="22"/>
        <v>Số thửaSố thửa287</v>
      </c>
    </row>
    <row r="1429" spans="1:4" x14ac:dyDescent="0.25">
      <c r="A1429" s="25">
        <v>4</v>
      </c>
      <c r="B1429" s="25" t="s">
        <v>370</v>
      </c>
      <c r="C1429" s="26" t="s">
        <v>1050</v>
      </c>
      <c r="D1429" s="25" t="str">
        <f t="shared" si="22"/>
        <v>Số thửaSố thửa392</v>
      </c>
    </row>
    <row r="1430" spans="1:4" x14ac:dyDescent="0.25">
      <c r="A1430" s="25">
        <v>4</v>
      </c>
      <c r="B1430" s="25" t="s">
        <v>607</v>
      </c>
      <c r="C1430" s="26" t="s">
        <v>1050</v>
      </c>
      <c r="D1430" s="25" t="str">
        <f t="shared" si="22"/>
        <v>Số thửaSố thửa415</v>
      </c>
    </row>
    <row r="1431" spans="1:4" x14ac:dyDescent="0.25">
      <c r="A1431" s="25">
        <v>4</v>
      </c>
      <c r="B1431" s="25" t="s">
        <v>753</v>
      </c>
      <c r="C1431" s="26" t="s">
        <v>1050</v>
      </c>
      <c r="D1431" s="25" t="str">
        <f t="shared" si="22"/>
        <v>Số thửaSố thửa419</v>
      </c>
    </row>
    <row r="1432" spans="1:4" x14ac:dyDescent="0.25">
      <c r="A1432" s="25">
        <v>4</v>
      </c>
      <c r="B1432" s="25" t="s">
        <v>754</v>
      </c>
      <c r="C1432" s="26" t="s">
        <v>1050</v>
      </c>
      <c r="D1432" s="25" t="str">
        <f t="shared" si="22"/>
        <v>Số thửaSố thửa420</v>
      </c>
    </row>
    <row r="1433" spans="1:4" x14ac:dyDescent="0.25">
      <c r="A1433" s="25">
        <v>4</v>
      </c>
      <c r="B1433" s="25" t="s">
        <v>536</v>
      </c>
      <c r="C1433" s="26" t="s">
        <v>1050</v>
      </c>
      <c r="D1433" s="25" t="str">
        <f t="shared" si="22"/>
        <v>Số thửaSố thửa443</v>
      </c>
    </row>
    <row r="1434" spans="1:4" x14ac:dyDescent="0.25">
      <c r="A1434" s="25">
        <v>7</v>
      </c>
      <c r="B1434" s="25" t="s">
        <v>270</v>
      </c>
      <c r="C1434" s="26" t="s">
        <v>1050</v>
      </c>
      <c r="D1434" s="25" t="str">
        <f t="shared" si="22"/>
        <v>Số thửaSố thửa16</v>
      </c>
    </row>
    <row r="1435" spans="1:4" x14ac:dyDescent="0.25">
      <c r="A1435" s="25">
        <v>7</v>
      </c>
      <c r="B1435" s="25" t="s">
        <v>788</v>
      </c>
      <c r="C1435" s="26" t="s">
        <v>1050</v>
      </c>
      <c r="D1435" s="25" t="str">
        <f t="shared" si="22"/>
        <v>Số thửaSố thửa18</v>
      </c>
    </row>
    <row r="1436" spans="1:4" x14ac:dyDescent="0.25">
      <c r="A1436" s="25">
        <v>7</v>
      </c>
      <c r="B1436" s="25" t="s">
        <v>272</v>
      </c>
      <c r="C1436" s="26" t="s">
        <v>1050</v>
      </c>
      <c r="D1436" s="25" t="str">
        <f t="shared" si="22"/>
        <v>Số thửaSố thửa19</v>
      </c>
    </row>
    <row r="1437" spans="1:4" x14ac:dyDescent="0.25">
      <c r="A1437" s="25">
        <v>7</v>
      </c>
      <c r="B1437" s="25" t="s">
        <v>1053</v>
      </c>
      <c r="C1437" s="26" t="s">
        <v>1054</v>
      </c>
      <c r="D1437" s="25" t="str">
        <f t="shared" si="22"/>
        <v>Số thửaSố thửa20</v>
      </c>
    </row>
    <row r="1438" spans="1:4" x14ac:dyDescent="0.25">
      <c r="A1438" s="25">
        <v>7</v>
      </c>
      <c r="B1438" s="25" t="s">
        <v>1055</v>
      </c>
      <c r="C1438" s="26" t="s">
        <v>1054</v>
      </c>
      <c r="D1438" s="25" t="str">
        <f t="shared" si="22"/>
        <v>Số thửaSố thửa21</v>
      </c>
    </row>
    <row r="1439" spans="1:4" x14ac:dyDescent="0.25">
      <c r="A1439" s="25">
        <v>7</v>
      </c>
      <c r="B1439" s="25" t="s">
        <v>258</v>
      </c>
      <c r="C1439" s="26" t="s">
        <v>1054</v>
      </c>
      <c r="D1439" s="25" t="str">
        <f t="shared" si="22"/>
        <v>Số thửaSố thửa57</v>
      </c>
    </row>
    <row r="1440" spans="1:4" x14ac:dyDescent="0.25">
      <c r="A1440" s="25">
        <v>7</v>
      </c>
      <c r="B1440" s="25" t="s">
        <v>259</v>
      </c>
      <c r="C1440" s="26" t="s">
        <v>1054</v>
      </c>
      <c r="D1440" s="25" t="str">
        <f t="shared" si="22"/>
        <v>Số thửaSố thửa58</v>
      </c>
    </row>
    <row r="1441" spans="1:4" x14ac:dyDescent="0.25">
      <c r="A1441" s="25">
        <v>7</v>
      </c>
      <c r="B1441" s="25" t="s">
        <v>261</v>
      </c>
      <c r="C1441" s="26" t="s">
        <v>1054</v>
      </c>
      <c r="D1441" s="25" t="str">
        <f t="shared" si="22"/>
        <v>Số thửaSố thửa59</v>
      </c>
    </row>
    <row r="1442" spans="1:4" x14ac:dyDescent="0.25">
      <c r="A1442" s="25">
        <v>7</v>
      </c>
      <c r="B1442" s="25" t="s">
        <v>264</v>
      </c>
      <c r="C1442" s="26" t="s">
        <v>1054</v>
      </c>
      <c r="D1442" s="25" t="str">
        <f t="shared" si="22"/>
        <v>Số thửaSố thửa80</v>
      </c>
    </row>
    <row r="1443" spans="1:4" x14ac:dyDescent="0.25">
      <c r="A1443" s="25">
        <v>7</v>
      </c>
      <c r="B1443" s="25" t="s">
        <v>344</v>
      </c>
      <c r="C1443" s="26" t="s">
        <v>1054</v>
      </c>
      <c r="D1443" s="25" t="str">
        <f t="shared" si="22"/>
        <v>Số thửaSố thửa88</v>
      </c>
    </row>
    <row r="1444" spans="1:4" x14ac:dyDescent="0.25">
      <c r="A1444" s="25">
        <v>7</v>
      </c>
      <c r="B1444" s="25" t="s">
        <v>468</v>
      </c>
      <c r="C1444" s="26" t="s">
        <v>1056</v>
      </c>
      <c r="D1444" s="25" t="str">
        <f t="shared" si="22"/>
        <v>Số thửaSố thửa93</v>
      </c>
    </row>
    <row r="1445" spans="1:4" x14ac:dyDescent="0.25">
      <c r="A1445" s="25">
        <v>7</v>
      </c>
      <c r="B1445" s="25" t="s">
        <v>885</v>
      </c>
      <c r="C1445" s="26" t="s">
        <v>1052</v>
      </c>
      <c r="D1445" s="25" t="str">
        <f t="shared" si="22"/>
        <v>Số thửaSố thửa106</v>
      </c>
    </row>
    <row r="1446" spans="1:4" x14ac:dyDescent="0.25">
      <c r="A1446" s="25">
        <v>7</v>
      </c>
      <c r="B1446" s="25" t="s">
        <v>94</v>
      </c>
      <c r="C1446" s="26" t="s">
        <v>1051</v>
      </c>
      <c r="D1446" s="25" t="str">
        <f t="shared" si="22"/>
        <v>Số thửaSố thửa240</v>
      </c>
    </row>
    <row r="1447" spans="1:4" x14ac:dyDescent="0.25">
      <c r="A1447" s="25">
        <v>7</v>
      </c>
      <c r="B1447" s="25" t="s">
        <v>507</v>
      </c>
      <c r="C1447" s="26" t="s">
        <v>1056</v>
      </c>
      <c r="D1447" s="25" t="str">
        <f t="shared" si="22"/>
        <v>Số thửaSố thửa574</v>
      </c>
    </row>
    <row r="1448" spans="1:4" x14ac:dyDescent="0.25">
      <c r="A1448" s="25">
        <v>7</v>
      </c>
      <c r="B1448" s="25" t="s">
        <v>318</v>
      </c>
      <c r="C1448" s="26" t="s">
        <v>1057</v>
      </c>
      <c r="D1448" s="25" t="str">
        <f t="shared" si="22"/>
        <v>Số thửaSố thửa786</v>
      </c>
    </row>
    <row r="1449" spans="1:4" x14ac:dyDescent="0.25">
      <c r="A1449" s="25">
        <v>7</v>
      </c>
      <c r="B1449" s="25" t="s">
        <v>318</v>
      </c>
      <c r="C1449" s="26" t="s">
        <v>1057</v>
      </c>
      <c r="D1449" s="25" t="str">
        <f t="shared" si="22"/>
        <v>Số thửaSố thửa786</v>
      </c>
    </row>
    <row r="1450" spans="1:4" x14ac:dyDescent="0.25">
      <c r="A1450" s="25">
        <v>9</v>
      </c>
      <c r="B1450" s="25" t="s">
        <v>611</v>
      </c>
      <c r="C1450" s="26" t="s">
        <v>1058</v>
      </c>
      <c r="D1450" s="25" t="str">
        <f t="shared" si="22"/>
        <v>Số thửaSố thửa434</v>
      </c>
    </row>
    <row r="1451" spans="1:4" x14ac:dyDescent="0.25">
      <c r="A1451" s="25">
        <v>9</v>
      </c>
      <c r="B1451" s="25" t="s">
        <v>881</v>
      </c>
      <c r="C1451" s="26" t="s">
        <v>1058</v>
      </c>
      <c r="D1451" s="25" t="str">
        <f t="shared" si="22"/>
        <v>Số thửaSố thửa505</v>
      </c>
    </row>
    <row r="1452" spans="1:4" x14ac:dyDescent="0.25">
      <c r="A1452" s="25">
        <v>9</v>
      </c>
      <c r="B1452" s="25" t="s">
        <v>1059</v>
      </c>
      <c r="C1452" s="26" t="s">
        <v>1058</v>
      </c>
      <c r="D1452" s="25" t="str">
        <f t="shared" si="22"/>
        <v>Số thửaSố thửa506</v>
      </c>
    </row>
    <row r="1453" spans="1:4" x14ac:dyDescent="0.25">
      <c r="A1453" s="25">
        <v>9</v>
      </c>
      <c r="B1453" s="25" t="s">
        <v>967</v>
      </c>
      <c r="C1453" s="26" t="s">
        <v>1058</v>
      </c>
      <c r="D1453" s="25" t="str">
        <f t="shared" si="22"/>
        <v>Số thửaSố thửa514</v>
      </c>
    </row>
    <row r="1454" spans="1:4" x14ac:dyDescent="0.25">
      <c r="A1454" s="25">
        <v>10</v>
      </c>
      <c r="B1454" s="25" t="s">
        <v>1060</v>
      </c>
      <c r="C1454" s="26" t="s">
        <v>1061</v>
      </c>
      <c r="D1454" s="25" t="str">
        <f t="shared" si="22"/>
        <v>Số thửaSố thửa143</v>
      </c>
    </row>
    <row r="1455" spans="1:4" x14ac:dyDescent="0.25">
      <c r="A1455" s="25">
        <v>8</v>
      </c>
      <c r="B1455" s="25" t="s">
        <v>273</v>
      </c>
      <c r="C1455" s="26" t="s">
        <v>1062</v>
      </c>
      <c r="D1455" s="25" t="str">
        <f t="shared" si="22"/>
        <v>Số thửaSố thửa22</v>
      </c>
    </row>
    <row r="1456" spans="1:4" x14ac:dyDescent="0.25">
      <c r="A1456" s="25">
        <v>9</v>
      </c>
      <c r="B1456" s="25" t="s">
        <v>255</v>
      </c>
      <c r="C1456" s="26" t="s">
        <v>1063</v>
      </c>
      <c r="D1456" s="25" t="str">
        <f t="shared" si="22"/>
        <v>Số thửaSố thửa28</v>
      </c>
    </row>
    <row r="1457" spans="1:4" x14ac:dyDescent="0.25">
      <c r="A1457" s="25">
        <v>9</v>
      </c>
      <c r="B1457" s="25" t="s">
        <v>256</v>
      </c>
      <c r="C1457" s="26" t="s">
        <v>1063</v>
      </c>
      <c r="D1457" s="25" t="str">
        <f t="shared" si="22"/>
        <v>Số thửaSố thửa47</v>
      </c>
    </row>
    <row r="1458" spans="1:4" x14ac:dyDescent="0.25">
      <c r="A1458" s="25">
        <v>9</v>
      </c>
      <c r="B1458" s="25" t="s">
        <v>257</v>
      </c>
      <c r="C1458" s="26" t="s">
        <v>1063</v>
      </c>
      <c r="D1458" s="25" t="str">
        <f t="shared" si="22"/>
        <v>Số thửaSố thửa48</v>
      </c>
    </row>
    <row r="1459" spans="1:4" x14ac:dyDescent="0.25">
      <c r="A1459" s="25">
        <v>9</v>
      </c>
      <c r="B1459" s="25" t="s">
        <v>460</v>
      </c>
      <c r="C1459" s="26" t="s">
        <v>1063</v>
      </c>
      <c r="D1459" s="25" t="str">
        <f t="shared" si="22"/>
        <v>Số thửaSố thửa49</v>
      </c>
    </row>
    <row r="1460" spans="1:4" x14ac:dyDescent="0.25">
      <c r="A1460" s="25">
        <v>9</v>
      </c>
      <c r="B1460" s="25" t="s">
        <v>196</v>
      </c>
      <c r="C1460" s="26" t="s">
        <v>1063</v>
      </c>
      <c r="D1460" s="25" t="str">
        <f t="shared" si="22"/>
        <v>Số thửaSố thửa50</v>
      </c>
    </row>
    <row r="1461" spans="1:4" x14ac:dyDescent="0.25">
      <c r="A1461" s="25">
        <v>9</v>
      </c>
      <c r="B1461" s="25" t="s">
        <v>161</v>
      </c>
      <c r="C1461" s="26" t="s">
        <v>1063</v>
      </c>
      <c r="D1461" s="25" t="str">
        <f t="shared" si="22"/>
        <v>Số thửaSố thửa51</v>
      </c>
    </row>
    <row r="1462" spans="1:4" x14ac:dyDescent="0.25">
      <c r="A1462" s="25">
        <v>9</v>
      </c>
      <c r="B1462" s="25" t="s">
        <v>198</v>
      </c>
      <c r="C1462" s="26" t="s">
        <v>1063</v>
      </c>
      <c r="D1462" s="25" t="str">
        <f t="shared" si="22"/>
        <v>Số thửaSố thửa55</v>
      </c>
    </row>
    <row r="1463" spans="1:4" x14ac:dyDescent="0.25">
      <c r="A1463" s="25">
        <v>9</v>
      </c>
      <c r="B1463" s="25" t="s">
        <v>63</v>
      </c>
      <c r="C1463" s="26" t="s">
        <v>1063</v>
      </c>
      <c r="D1463" s="25" t="str">
        <f t="shared" si="22"/>
        <v>Số thửaSố thửa56</v>
      </c>
    </row>
    <row r="1464" spans="1:4" x14ac:dyDescent="0.25">
      <c r="A1464" s="25">
        <v>9</v>
      </c>
      <c r="B1464" s="25" t="s">
        <v>258</v>
      </c>
      <c r="C1464" s="26" t="s">
        <v>1063</v>
      </c>
      <c r="D1464" s="25" t="str">
        <f t="shared" si="22"/>
        <v>Số thửaSố thửa57</v>
      </c>
    </row>
    <row r="1465" spans="1:4" x14ac:dyDescent="0.25">
      <c r="A1465" s="25">
        <v>9</v>
      </c>
      <c r="B1465" s="25" t="s">
        <v>259</v>
      </c>
      <c r="C1465" s="26" t="s">
        <v>1063</v>
      </c>
      <c r="D1465" s="25" t="str">
        <f t="shared" si="22"/>
        <v>Số thửaSố thửa58</v>
      </c>
    </row>
    <row r="1466" spans="1:4" x14ac:dyDescent="0.25">
      <c r="A1466" s="25">
        <v>9</v>
      </c>
      <c r="B1466" s="25" t="s">
        <v>245</v>
      </c>
      <c r="C1466" s="26" t="s">
        <v>1063</v>
      </c>
      <c r="D1466" s="25" t="str">
        <f t="shared" si="22"/>
        <v>Số thửaSố thửa69</v>
      </c>
    </row>
    <row r="1467" spans="1:4" x14ac:dyDescent="0.25">
      <c r="A1467" s="25">
        <v>9</v>
      </c>
      <c r="B1467" s="25" t="s">
        <v>461</v>
      </c>
      <c r="C1467" s="26" t="s">
        <v>1063</v>
      </c>
      <c r="D1467" s="25" t="str">
        <f t="shared" si="22"/>
        <v>Số thửaSố thửa71</v>
      </c>
    </row>
    <row r="1468" spans="1:4" x14ac:dyDescent="0.25">
      <c r="A1468" s="25">
        <v>9</v>
      </c>
      <c r="B1468" s="25" t="s">
        <v>68</v>
      </c>
      <c r="C1468" s="26" t="s">
        <v>1063</v>
      </c>
      <c r="D1468" s="25" t="str">
        <f t="shared" si="22"/>
        <v>Số thửaSố thửa72</v>
      </c>
    </row>
    <row r="1469" spans="1:4" x14ac:dyDescent="0.25">
      <c r="A1469" s="25">
        <v>9</v>
      </c>
      <c r="B1469" s="25" t="s">
        <v>263</v>
      </c>
      <c r="C1469" s="26" t="s">
        <v>1063</v>
      </c>
      <c r="D1469" s="25" t="str">
        <f t="shared" si="22"/>
        <v>Số thửaSố thửa73</v>
      </c>
    </row>
    <row r="1470" spans="1:4" x14ac:dyDescent="0.25">
      <c r="A1470" s="25">
        <v>9</v>
      </c>
      <c r="B1470" s="25" t="s">
        <v>1064</v>
      </c>
      <c r="C1470" s="26" t="s">
        <v>1063</v>
      </c>
      <c r="D1470" s="25" t="str">
        <f t="shared" si="22"/>
        <v>Số thửaSố thửa74</v>
      </c>
    </row>
    <row r="1471" spans="1:4" x14ac:dyDescent="0.25">
      <c r="A1471" s="25">
        <v>9</v>
      </c>
      <c r="B1471" s="25" t="s">
        <v>462</v>
      </c>
      <c r="C1471" s="26" t="s">
        <v>1063</v>
      </c>
      <c r="D1471" s="25" t="str">
        <f t="shared" si="22"/>
        <v>Số thửaSố thửa75</v>
      </c>
    </row>
    <row r="1472" spans="1:4" x14ac:dyDescent="0.25">
      <c r="A1472" s="25">
        <v>9</v>
      </c>
      <c r="B1472" s="25" t="s">
        <v>463</v>
      </c>
      <c r="C1472" s="26" t="s">
        <v>1065</v>
      </c>
      <c r="D1472" s="25" t="str">
        <f t="shared" si="22"/>
        <v>Số thửaSố thửa76</v>
      </c>
    </row>
    <row r="1473" spans="1:4" x14ac:dyDescent="0.25">
      <c r="A1473" s="25">
        <v>9</v>
      </c>
      <c r="B1473" s="25" t="s">
        <v>69</v>
      </c>
      <c r="C1473" s="26" t="s">
        <v>1065</v>
      </c>
      <c r="D1473" s="25" t="str">
        <f t="shared" si="22"/>
        <v>Số thửaSố thửa77</v>
      </c>
    </row>
    <row r="1474" spans="1:4" x14ac:dyDescent="0.25">
      <c r="A1474" s="25">
        <v>9</v>
      </c>
      <c r="B1474" s="25" t="s">
        <v>904</v>
      </c>
      <c r="C1474" s="26" t="s">
        <v>1065</v>
      </c>
      <c r="D1474" s="25" t="str">
        <f t="shared" si="22"/>
        <v>Số thửaSố thửa84</v>
      </c>
    </row>
    <row r="1475" spans="1:4" x14ac:dyDescent="0.25">
      <c r="A1475" s="25">
        <v>9</v>
      </c>
      <c r="B1475" s="25" t="s">
        <v>1066</v>
      </c>
      <c r="C1475" s="26" t="s">
        <v>1065</v>
      </c>
      <c r="D1475" s="25" t="str">
        <f t="shared" ref="D1475:D1538" si="23">$B$1&amp;B1475</f>
        <v>Số thửaSố thửa85</v>
      </c>
    </row>
    <row r="1476" spans="1:4" x14ac:dyDescent="0.25">
      <c r="A1476" s="25">
        <v>9</v>
      </c>
      <c r="B1476" s="25" t="s">
        <v>763</v>
      </c>
      <c r="C1476" s="26" t="s">
        <v>1065</v>
      </c>
      <c r="D1476" s="25" t="str">
        <f t="shared" si="23"/>
        <v>Số thửaSố thửa86</v>
      </c>
    </row>
    <row r="1477" spans="1:4" x14ac:dyDescent="0.25">
      <c r="A1477" s="25">
        <v>9</v>
      </c>
      <c r="B1477" s="25" t="s">
        <v>557</v>
      </c>
      <c r="C1477" s="26" t="s">
        <v>1065</v>
      </c>
      <c r="D1477" s="25" t="str">
        <f t="shared" si="23"/>
        <v>Số thửaSố thửa87</v>
      </c>
    </row>
    <row r="1478" spans="1:4" x14ac:dyDescent="0.25">
      <c r="A1478" s="25">
        <v>9</v>
      </c>
      <c r="B1478" s="25" t="s">
        <v>661</v>
      </c>
      <c r="C1478" s="26" t="s">
        <v>1062</v>
      </c>
      <c r="D1478" s="25" t="str">
        <f t="shared" si="23"/>
        <v>Số thửaSố thửa89</v>
      </c>
    </row>
    <row r="1479" spans="1:4" x14ac:dyDescent="0.25">
      <c r="A1479" s="25">
        <v>9</v>
      </c>
      <c r="B1479" s="25" t="s">
        <v>348</v>
      </c>
      <c r="C1479" s="26" t="s">
        <v>1065</v>
      </c>
      <c r="D1479" s="25" t="str">
        <f t="shared" si="23"/>
        <v>Số thửaSố thửa97</v>
      </c>
    </row>
    <row r="1480" spans="1:4" x14ac:dyDescent="0.25">
      <c r="A1480" s="25">
        <v>9</v>
      </c>
      <c r="B1480" s="25" t="s">
        <v>1067</v>
      </c>
      <c r="C1480" s="26" t="s">
        <v>1062</v>
      </c>
      <c r="D1480" s="25" t="str">
        <f t="shared" si="23"/>
        <v>Số thửaSố thửa636</v>
      </c>
    </row>
    <row r="1481" spans="1:4" x14ac:dyDescent="0.25">
      <c r="A1481" s="25">
        <v>9</v>
      </c>
      <c r="B1481" s="25" t="s">
        <v>1068</v>
      </c>
      <c r="C1481" s="26" t="s">
        <v>1062</v>
      </c>
      <c r="D1481" s="25" t="str">
        <f t="shared" si="23"/>
        <v>Số thửaSố thửa640</v>
      </c>
    </row>
    <row r="1482" spans="1:4" x14ac:dyDescent="0.25">
      <c r="A1482" s="25">
        <v>9</v>
      </c>
      <c r="B1482" s="25" t="s">
        <v>539</v>
      </c>
      <c r="C1482" s="26" t="s">
        <v>1065</v>
      </c>
      <c r="D1482" s="25" t="str">
        <f t="shared" si="23"/>
        <v>Số thửaSố thửa692</v>
      </c>
    </row>
    <row r="1483" spans="1:4" x14ac:dyDescent="0.25">
      <c r="A1483" s="25">
        <v>9</v>
      </c>
      <c r="B1483" s="25" t="s">
        <v>453</v>
      </c>
      <c r="C1483" s="26" t="s">
        <v>1065</v>
      </c>
      <c r="D1483" s="25" t="str">
        <f t="shared" si="23"/>
        <v>Số thửaSố thửa693</v>
      </c>
    </row>
    <row r="1484" spans="1:4" x14ac:dyDescent="0.25">
      <c r="A1484" s="25">
        <v>13</v>
      </c>
      <c r="B1484" s="25" t="s">
        <v>383</v>
      </c>
      <c r="C1484" s="26" t="s">
        <v>1069</v>
      </c>
      <c r="D1484" s="25" t="str">
        <f t="shared" si="23"/>
        <v>Số thửaSố thửa148</v>
      </c>
    </row>
    <row r="1485" spans="1:4" x14ac:dyDescent="0.25">
      <c r="A1485" s="25">
        <v>13</v>
      </c>
      <c r="B1485" s="25" t="s">
        <v>1003</v>
      </c>
      <c r="C1485" s="26" t="s">
        <v>1069</v>
      </c>
      <c r="D1485" s="25" t="str">
        <f t="shared" si="23"/>
        <v>Số thửaSố thửa159</v>
      </c>
    </row>
    <row r="1486" spans="1:4" x14ac:dyDescent="0.25">
      <c r="A1486" s="25">
        <v>13</v>
      </c>
      <c r="B1486" s="25" t="s">
        <v>224</v>
      </c>
      <c r="C1486" s="26" t="s">
        <v>1069</v>
      </c>
      <c r="D1486" s="25" t="str">
        <f t="shared" si="23"/>
        <v>Số thửaSố thửa237</v>
      </c>
    </row>
    <row r="1487" spans="1:4" x14ac:dyDescent="0.25">
      <c r="A1487" s="25">
        <v>13</v>
      </c>
      <c r="B1487" s="25" t="s">
        <v>723</v>
      </c>
      <c r="C1487" s="26" t="s">
        <v>1069</v>
      </c>
      <c r="D1487" s="25" t="str">
        <f t="shared" si="23"/>
        <v>Số thửaSố thửa253</v>
      </c>
    </row>
    <row r="1488" spans="1:4" x14ac:dyDescent="0.25">
      <c r="A1488" s="25">
        <v>13</v>
      </c>
      <c r="B1488" s="25" t="s">
        <v>724</v>
      </c>
      <c r="C1488" s="26" t="s">
        <v>1069</v>
      </c>
      <c r="D1488" s="25" t="str">
        <f t="shared" si="23"/>
        <v>Số thửaSố thửa254</v>
      </c>
    </row>
    <row r="1489" spans="1:4" x14ac:dyDescent="0.25">
      <c r="A1489" s="25">
        <v>13</v>
      </c>
      <c r="B1489" s="25" t="s">
        <v>957</v>
      </c>
      <c r="C1489" s="26" t="s">
        <v>1069</v>
      </c>
      <c r="D1489" s="25" t="str">
        <f t="shared" si="23"/>
        <v>Số thửaSố thửa287</v>
      </c>
    </row>
    <row r="1490" spans="1:4" x14ac:dyDescent="0.25">
      <c r="A1490" s="25">
        <v>13</v>
      </c>
      <c r="B1490" s="25" t="s">
        <v>959</v>
      </c>
      <c r="C1490" s="26" t="s">
        <v>1069</v>
      </c>
      <c r="D1490" s="25" t="str">
        <f t="shared" si="23"/>
        <v>Số thửaSố thửa288</v>
      </c>
    </row>
    <row r="1491" spans="1:4" x14ac:dyDescent="0.25">
      <c r="A1491" s="25">
        <v>13</v>
      </c>
      <c r="B1491" s="25" t="s">
        <v>214</v>
      </c>
      <c r="C1491" s="26" t="s">
        <v>1069</v>
      </c>
      <c r="D1491" s="25" t="str">
        <f t="shared" si="23"/>
        <v>Số thửaSố thửa289</v>
      </c>
    </row>
    <row r="1492" spans="1:4" x14ac:dyDescent="0.25">
      <c r="A1492" s="25">
        <v>13</v>
      </c>
      <c r="B1492" s="25" t="s">
        <v>215</v>
      </c>
      <c r="C1492" s="26" t="s">
        <v>1069</v>
      </c>
      <c r="D1492" s="25" t="str">
        <f t="shared" si="23"/>
        <v>Số thửaSố thửa290</v>
      </c>
    </row>
    <row r="1493" spans="1:4" x14ac:dyDescent="0.25">
      <c r="A1493" s="25">
        <v>13</v>
      </c>
      <c r="B1493" s="25" t="s">
        <v>984</v>
      </c>
      <c r="C1493" s="26" t="s">
        <v>1069</v>
      </c>
      <c r="D1493" s="25" t="str">
        <f t="shared" si="23"/>
        <v>Số thửaSố thửa303</v>
      </c>
    </row>
    <row r="1494" spans="1:4" x14ac:dyDescent="0.25">
      <c r="A1494" s="25">
        <v>13</v>
      </c>
      <c r="B1494" s="25" t="s">
        <v>137</v>
      </c>
      <c r="C1494" s="26" t="s">
        <v>1069</v>
      </c>
      <c r="D1494" s="25" t="str">
        <f t="shared" si="23"/>
        <v>Số thửaSố thửa305</v>
      </c>
    </row>
    <row r="1495" spans="1:4" x14ac:dyDescent="0.25">
      <c r="A1495" s="25">
        <v>13</v>
      </c>
      <c r="B1495" s="25" t="s">
        <v>140</v>
      </c>
      <c r="C1495" s="26" t="s">
        <v>1069</v>
      </c>
      <c r="D1495" s="25" t="str">
        <f t="shared" si="23"/>
        <v>Số thửaSố thửa307</v>
      </c>
    </row>
    <row r="1496" spans="1:4" x14ac:dyDescent="0.25">
      <c r="A1496" s="25">
        <v>13</v>
      </c>
      <c r="B1496" s="25" t="s">
        <v>715</v>
      </c>
      <c r="C1496" s="26" t="s">
        <v>1069</v>
      </c>
      <c r="D1496" s="25" t="str">
        <f t="shared" si="23"/>
        <v>Số thửaSố thửa309</v>
      </c>
    </row>
    <row r="1497" spans="1:4" x14ac:dyDescent="0.25">
      <c r="A1497" s="25">
        <v>13</v>
      </c>
      <c r="B1497" s="25" t="s">
        <v>483</v>
      </c>
      <c r="C1497" s="26" t="s">
        <v>1069</v>
      </c>
      <c r="D1497" s="25" t="str">
        <f t="shared" si="23"/>
        <v>Số thửaSố thửa775</v>
      </c>
    </row>
    <row r="1498" spans="1:4" x14ac:dyDescent="0.25">
      <c r="A1498" s="25">
        <v>13</v>
      </c>
      <c r="B1498" s="25" t="s">
        <v>418</v>
      </c>
      <c r="C1498" s="26" t="s">
        <v>1069</v>
      </c>
      <c r="D1498" s="25" t="str">
        <f t="shared" si="23"/>
        <v>Số thửaSố thửa796</v>
      </c>
    </row>
    <row r="1499" spans="1:4" x14ac:dyDescent="0.25">
      <c r="A1499" s="25">
        <v>14</v>
      </c>
      <c r="B1499" s="25" t="s">
        <v>721</v>
      </c>
      <c r="C1499" s="26" t="s">
        <v>1070</v>
      </c>
      <c r="D1499" s="25" t="str">
        <f t="shared" si="23"/>
        <v>Số thửaSố thửa231</v>
      </c>
    </row>
    <row r="1500" spans="1:4" x14ac:dyDescent="0.25">
      <c r="A1500" s="25">
        <v>11</v>
      </c>
      <c r="B1500" s="25" t="s">
        <v>1071</v>
      </c>
      <c r="C1500" s="26" t="s">
        <v>1072</v>
      </c>
      <c r="D1500" s="25" t="str">
        <f t="shared" si="23"/>
        <v>Số thửaSố thửa213</v>
      </c>
    </row>
    <row r="1501" spans="1:4" x14ac:dyDescent="0.25">
      <c r="A1501" s="25">
        <v>11</v>
      </c>
      <c r="B1501" s="25" t="s">
        <v>81</v>
      </c>
      <c r="C1501" s="26" t="s">
        <v>1072</v>
      </c>
      <c r="D1501" s="25" t="str">
        <f t="shared" si="23"/>
        <v>Số thửaSố thửa214</v>
      </c>
    </row>
    <row r="1502" spans="1:4" x14ac:dyDescent="0.25">
      <c r="A1502" s="25">
        <v>11</v>
      </c>
      <c r="B1502" s="25" t="s">
        <v>85</v>
      </c>
      <c r="C1502" s="26" t="s">
        <v>1072</v>
      </c>
      <c r="D1502" s="25" t="str">
        <f t="shared" si="23"/>
        <v>Số thửaSố thửa219</v>
      </c>
    </row>
    <row r="1503" spans="1:4" x14ac:dyDescent="0.25">
      <c r="A1503" s="25">
        <v>11</v>
      </c>
      <c r="B1503" s="25" t="s">
        <v>86</v>
      </c>
      <c r="C1503" s="26" t="s">
        <v>1072</v>
      </c>
      <c r="D1503" s="25" t="str">
        <f t="shared" si="23"/>
        <v>Số thửaSố thửa220</v>
      </c>
    </row>
    <row r="1504" spans="1:4" x14ac:dyDescent="0.25">
      <c r="A1504" s="25">
        <v>11</v>
      </c>
      <c r="B1504" s="25" t="s">
        <v>92</v>
      </c>
      <c r="C1504" s="26" t="s">
        <v>1072</v>
      </c>
      <c r="D1504" s="25" t="str">
        <f t="shared" si="23"/>
        <v>Số thửaSố thửa238</v>
      </c>
    </row>
    <row r="1505" spans="1:4" x14ac:dyDescent="0.25">
      <c r="A1505" s="25">
        <v>13</v>
      </c>
      <c r="B1505" s="25" t="s">
        <v>685</v>
      </c>
      <c r="C1505" s="26" t="s">
        <v>1072</v>
      </c>
      <c r="D1505" s="25" t="str">
        <f t="shared" si="23"/>
        <v>Số thửaSố thửa160</v>
      </c>
    </row>
    <row r="1506" spans="1:4" x14ac:dyDescent="0.25">
      <c r="A1506" s="25">
        <v>13</v>
      </c>
      <c r="B1506" s="25" t="s">
        <v>706</v>
      </c>
      <c r="C1506" s="26" t="s">
        <v>1072</v>
      </c>
      <c r="D1506" s="25" t="str">
        <f t="shared" si="23"/>
        <v>Số thửaSố thửa161</v>
      </c>
    </row>
    <row r="1507" spans="1:4" x14ac:dyDescent="0.25">
      <c r="A1507" s="25">
        <v>13</v>
      </c>
      <c r="B1507" s="25" t="s">
        <v>986</v>
      </c>
      <c r="C1507" s="26" t="s">
        <v>1072</v>
      </c>
      <c r="D1507" s="25" t="str">
        <f t="shared" si="23"/>
        <v>Số thửaSố thửa200</v>
      </c>
    </row>
    <row r="1508" spans="1:4" x14ac:dyDescent="0.25">
      <c r="A1508" s="25">
        <v>13</v>
      </c>
      <c r="B1508" s="25" t="s">
        <v>1009</v>
      </c>
      <c r="C1508" s="26" t="s">
        <v>1072</v>
      </c>
      <c r="D1508" s="25" t="str">
        <f t="shared" si="23"/>
        <v>Số thửaSố thửa201</v>
      </c>
    </row>
    <row r="1509" spans="1:4" x14ac:dyDescent="0.25">
      <c r="A1509" s="25">
        <v>13</v>
      </c>
      <c r="B1509" s="25" t="s">
        <v>1073</v>
      </c>
      <c r="C1509" s="26" t="s">
        <v>1072</v>
      </c>
      <c r="D1509" s="25" t="str">
        <f t="shared" si="23"/>
        <v>Số thửaSố thửa202</v>
      </c>
    </row>
    <row r="1510" spans="1:4" x14ac:dyDescent="0.25">
      <c r="A1510" s="25">
        <v>13</v>
      </c>
      <c r="B1510" s="25" t="s">
        <v>955</v>
      </c>
      <c r="C1510" s="26" t="s">
        <v>1072</v>
      </c>
      <c r="D1510" s="25" t="str">
        <f t="shared" si="23"/>
        <v>Số thửaSố thửa212</v>
      </c>
    </row>
    <row r="1511" spans="1:4" x14ac:dyDescent="0.25">
      <c r="A1511" s="25">
        <v>13</v>
      </c>
      <c r="B1511" s="25" t="s">
        <v>81</v>
      </c>
      <c r="C1511" s="26" t="s">
        <v>1072</v>
      </c>
      <c r="D1511" s="25" t="str">
        <f t="shared" si="23"/>
        <v>Số thửaSố thửa214</v>
      </c>
    </row>
    <row r="1512" spans="1:4" x14ac:dyDescent="0.25">
      <c r="A1512" s="25">
        <v>13</v>
      </c>
      <c r="B1512" s="25" t="s">
        <v>83</v>
      </c>
      <c r="C1512" s="26" t="s">
        <v>1072</v>
      </c>
      <c r="D1512" s="25" t="str">
        <f t="shared" si="23"/>
        <v>Số thửaSố thửa217</v>
      </c>
    </row>
    <row r="1513" spans="1:4" x14ac:dyDescent="0.25">
      <c r="A1513" s="25">
        <v>13</v>
      </c>
      <c r="B1513" s="25" t="s">
        <v>84</v>
      </c>
      <c r="C1513" s="26" t="s">
        <v>1072</v>
      </c>
      <c r="D1513" s="25" t="str">
        <f t="shared" si="23"/>
        <v>Số thửaSố thửa218</v>
      </c>
    </row>
    <row r="1514" spans="1:4" x14ac:dyDescent="0.25">
      <c r="A1514" s="25">
        <v>13</v>
      </c>
      <c r="B1514" s="25" t="s">
        <v>1074</v>
      </c>
      <c r="C1514" s="26" t="s">
        <v>1072</v>
      </c>
      <c r="D1514" s="25" t="str">
        <f t="shared" si="23"/>
        <v>Số thửaSố thửa318</v>
      </c>
    </row>
    <row r="1515" spans="1:4" x14ac:dyDescent="0.25">
      <c r="A1515" s="25">
        <v>13</v>
      </c>
      <c r="B1515" s="25" t="s">
        <v>747</v>
      </c>
      <c r="C1515" s="26" t="s">
        <v>1072</v>
      </c>
      <c r="D1515" s="25" t="str">
        <f t="shared" si="23"/>
        <v>Số thửaSố thửa319</v>
      </c>
    </row>
    <row r="1516" spans="1:4" x14ac:dyDescent="0.25">
      <c r="A1516" s="25">
        <v>13</v>
      </c>
      <c r="B1516" s="25" t="s">
        <v>806</v>
      </c>
      <c r="C1516" s="26" t="s">
        <v>1075</v>
      </c>
      <c r="D1516" s="25" t="str">
        <f t="shared" si="23"/>
        <v>Số thửaSố thửa320</v>
      </c>
    </row>
    <row r="1517" spans="1:4" x14ac:dyDescent="0.25">
      <c r="A1517" s="25">
        <v>13</v>
      </c>
      <c r="B1517" s="25" t="s">
        <v>1076</v>
      </c>
      <c r="C1517" s="26" t="s">
        <v>1077</v>
      </c>
      <c r="D1517" s="25" t="str">
        <f t="shared" si="23"/>
        <v>Số thửaSố thửa826</v>
      </c>
    </row>
    <row r="1518" spans="1:4" x14ac:dyDescent="0.25">
      <c r="A1518" s="25">
        <v>9</v>
      </c>
      <c r="B1518" s="25" t="s">
        <v>846</v>
      </c>
      <c r="C1518" s="26" t="s">
        <v>1078</v>
      </c>
      <c r="D1518" s="25" t="str">
        <f t="shared" si="23"/>
        <v>Số thửaSố thửa409</v>
      </c>
    </row>
    <row r="1519" spans="1:4" x14ac:dyDescent="0.25">
      <c r="A1519" s="25">
        <v>9</v>
      </c>
      <c r="B1519" s="25" t="s">
        <v>847</v>
      </c>
      <c r="C1519" s="26" t="s">
        <v>1078</v>
      </c>
      <c r="D1519" s="25" t="str">
        <f t="shared" si="23"/>
        <v>Số thửaSố thửa410</v>
      </c>
    </row>
    <row r="1520" spans="1:4" x14ac:dyDescent="0.25">
      <c r="A1520" s="25">
        <v>9</v>
      </c>
      <c r="B1520" s="25" t="s">
        <v>742</v>
      </c>
      <c r="C1520" s="26" t="s">
        <v>1078</v>
      </c>
      <c r="D1520" s="25" t="str">
        <f t="shared" si="23"/>
        <v>Số thửaSố thửa444</v>
      </c>
    </row>
    <row r="1521" spans="1:4" x14ac:dyDescent="0.25">
      <c r="A1521" s="25">
        <v>9</v>
      </c>
      <c r="B1521" s="25" t="s">
        <v>878</v>
      </c>
      <c r="C1521" s="26" t="s">
        <v>1078</v>
      </c>
      <c r="D1521" s="25" t="str">
        <f t="shared" si="23"/>
        <v>Số thửaSố thửa447</v>
      </c>
    </row>
    <row r="1522" spans="1:4" x14ac:dyDescent="0.25">
      <c r="A1522" s="25">
        <v>9</v>
      </c>
      <c r="B1522" s="25" t="s">
        <v>790</v>
      </c>
      <c r="C1522" s="26" t="s">
        <v>1078</v>
      </c>
      <c r="D1522" s="25" t="str">
        <f t="shared" si="23"/>
        <v>Số thửaSố thửa448</v>
      </c>
    </row>
    <row r="1523" spans="1:4" x14ac:dyDescent="0.25">
      <c r="A1523" s="25">
        <v>9</v>
      </c>
      <c r="B1523" s="25" t="s">
        <v>333</v>
      </c>
      <c r="C1523" s="26" t="s">
        <v>1078</v>
      </c>
      <c r="D1523" s="25" t="str">
        <f t="shared" si="23"/>
        <v>Số thửaSố thửa588</v>
      </c>
    </row>
    <row r="1524" spans="1:4" x14ac:dyDescent="0.25">
      <c r="A1524" s="25">
        <v>9</v>
      </c>
      <c r="B1524" s="25" t="s">
        <v>334</v>
      </c>
      <c r="C1524" s="26" t="s">
        <v>1078</v>
      </c>
      <c r="D1524" s="25" t="str">
        <f t="shared" si="23"/>
        <v>Số thửaSố thửa589</v>
      </c>
    </row>
    <row r="1525" spans="1:4" x14ac:dyDescent="0.25">
      <c r="A1525" s="25">
        <v>9</v>
      </c>
      <c r="B1525" s="25" t="s">
        <v>335</v>
      </c>
      <c r="C1525" s="26" t="s">
        <v>1078</v>
      </c>
      <c r="D1525" s="25" t="str">
        <f t="shared" si="23"/>
        <v>Số thửaSố thửa590</v>
      </c>
    </row>
    <row r="1526" spans="1:4" x14ac:dyDescent="0.25">
      <c r="A1526" s="25">
        <v>9</v>
      </c>
      <c r="B1526" s="25" t="s">
        <v>336</v>
      </c>
      <c r="C1526" s="26" t="s">
        <v>1078</v>
      </c>
      <c r="D1526" s="25" t="str">
        <f t="shared" si="23"/>
        <v>Số thửaSố thửa591</v>
      </c>
    </row>
    <row r="1527" spans="1:4" x14ac:dyDescent="0.25">
      <c r="A1527" s="25">
        <v>9</v>
      </c>
      <c r="B1527" s="25" t="s">
        <v>338</v>
      </c>
      <c r="C1527" s="26" t="s">
        <v>1078</v>
      </c>
      <c r="D1527" s="25" t="str">
        <f t="shared" si="23"/>
        <v>Số thửaSố thửa592</v>
      </c>
    </row>
    <row r="1528" spans="1:4" x14ac:dyDescent="0.25">
      <c r="A1528" s="25">
        <v>9</v>
      </c>
      <c r="B1528" s="25" t="s">
        <v>592</v>
      </c>
      <c r="C1528" s="26" t="s">
        <v>1078</v>
      </c>
      <c r="D1528" s="25" t="str">
        <f t="shared" si="23"/>
        <v>Số thửaSố thửa598</v>
      </c>
    </row>
    <row r="1529" spans="1:4" x14ac:dyDescent="0.25">
      <c r="A1529" s="25">
        <v>9</v>
      </c>
      <c r="B1529" s="25" t="s">
        <v>411</v>
      </c>
      <c r="C1529" s="26" t="s">
        <v>1079</v>
      </c>
      <c r="D1529" s="25" t="str">
        <f t="shared" si="23"/>
        <v>Số thửaSố thửa599</v>
      </c>
    </row>
    <row r="1530" spans="1:4" x14ac:dyDescent="0.25">
      <c r="A1530" s="25">
        <v>9</v>
      </c>
      <c r="B1530" s="25" t="s">
        <v>1080</v>
      </c>
      <c r="C1530" s="26" t="s">
        <v>1078</v>
      </c>
      <c r="D1530" s="25" t="str">
        <f t="shared" si="23"/>
        <v>Số thửaSố thửa628</v>
      </c>
    </row>
    <row r="1531" spans="1:4" x14ac:dyDescent="0.25">
      <c r="A1531" s="25">
        <v>9</v>
      </c>
      <c r="B1531" s="25" t="s">
        <v>437</v>
      </c>
      <c r="C1531" s="26" t="s">
        <v>1078</v>
      </c>
      <c r="D1531" s="25" t="str">
        <f t="shared" si="23"/>
        <v>Số thửaSố thửa630</v>
      </c>
    </row>
    <row r="1532" spans="1:4" x14ac:dyDescent="0.25">
      <c r="A1532" s="25">
        <v>9</v>
      </c>
      <c r="B1532" s="25" t="s">
        <v>1081</v>
      </c>
      <c r="C1532" s="26" t="s">
        <v>1078</v>
      </c>
      <c r="D1532" s="25" t="str">
        <f t="shared" si="23"/>
        <v>Số thửaSố thửa631</v>
      </c>
    </row>
    <row r="1533" spans="1:4" x14ac:dyDescent="0.25">
      <c r="A1533" s="25">
        <v>9</v>
      </c>
      <c r="B1533" s="25" t="s">
        <v>804</v>
      </c>
      <c r="C1533" s="26" t="s">
        <v>1078</v>
      </c>
      <c r="D1533" s="25" t="str">
        <f t="shared" si="23"/>
        <v>Số thửaSố thửa632</v>
      </c>
    </row>
    <row r="1534" spans="1:4" x14ac:dyDescent="0.25">
      <c r="A1534" s="25">
        <v>9</v>
      </c>
      <c r="B1534" s="25" t="s">
        <v>1082</v>
      </c>
      <c r="C1534" s="26" t="s">
        <v>1078</v>
      </c>
      <c r="D1534" s="25" t="str">
        <f t="shared" si="23"/>
        <v>Số thửaSố thửa633</v>
      </c>
    </row>
    <row r="1535" spans="1:4" x14ac:dyDescent="0.25">
      <c r="A1535" s="25">
        <v>9</v>
      </c>
      <c r="B1535" s="25" t="s">
        <v>1083</v>
      </c>
      <c r="C1535" s="26" t="s">
        <v>1084</v>
      </c>
      <c r="D1535" s="25" t="str">
        <f t="shared" si="23"/>
        <v>Số thửaSố thửa637</v>
      </c>
    </row>
    <row r="1536" spans="1:4" x14ac:dyDescent="0.25">
      <c r="A1536" s="25">
        <v>9</v>
      </c>
      <c r="B1536" s="25" t="s">
        <v>1085</v>
      </c>
      <c r="C1536" s="26" t="s">
        <v>1084</v>
      </c>
      <c r="D1536" s="25" t="str">
        <f t="shared" si="23"/>
        <v>Số thửaSố thửa641</v>
      </c>
    </row>
    <row r="1537" spans="1:4" x14ac:dyDescent="0.25">
      <c r="A1537" s="25">
        <v>9</v>
      </c>
      <c r="B1537" s="25" t="s">
        <v>1086</v>
      </c>
      <c r="C1537" s="26" t="s">
        <v>1079</v>
      </c>
      <c r="D1537" s="25" t="str">
        <f t="shared" si="23"/>
        <v>Số thửaSố thửa642</v>
      </c>
    </row>
    <row r="1538" spans="1:4" x14ac:dyDescent="0.25">
      <c r="A1538" s="25">
        <v>9</v>
      </c>
      <c r="B1538" s="25" t="s">
        <v>1044</v>
      </c>
      <c r="C1538" s="26" t="s">
        <v>1079</v>
      </c>
      <c r="D1538" s="25" t="str">
        <f t="shared" si="23"/>
        <v>Số thửaSố thửa676</v>
      </c>
    </row>
    <row r="1539" spans="1:4" x14ac:dyDescent="0.25">
      <c r="A1539" s="25">
        <v>9</v>
      </c>
      <c r="B1539" s="25" t="s">
        <v>995</v>
      </c>
      <c r="C1539" s="26" t="s">
        <v>1084</v>
      </c>
      <c r="D1539" s="25" t="str">
        <f t="shared" ref="D1539:D1602" si="24">$B$1&amp;B1539</f>
        <v>Số thửaSố thửa680</v>
      </c>
    </row>
    <row r="1540" spans="1:4" x14ac:dyDescent="0.25">
      <c r="A1540" s="25">
        <v>9</v>
      </c>
      <c r="B1540" s="25" t="s">
        <v>151</v>
      </c>
      <c r="C1540" s="26" t="s">
        <v>1079</v>
      </c>
      <c r="D1540" s="25" t="str">
        <f t="shared" si="24"/>
        <v>Số thửaSố thửa722</v>
      </c>
    </row>
    <row r="1541" spans="1:4" x14ac:dyDescent="0.25">
      <c r="A1541" s="25">
        <v>9</v>
      </c>
      <c r="B1541" s="25" t="s">
        <v>897</v>
      </c>
      <c r="C1541" s="26" t="s">
        <v>1084</v>
      </c>
      <c r="D1541" s="25" t="str">
        <f t="shared" si="24"/>
        <v>Số thửaSố thửa724</v>
      </c>
    </row>
    <row r="1542" spans="1:4" x14ac:dyDescent="0.25">
      <c r="A1542" s="25">
        <v>9</v>
      </c>
      <c r="B1542" s="25" t="s">
        <v>1087</v>
      </c>
      <c r="C1542" s="26" t="s">
        <v>1079</v>
      </c>
      <c r="D1542" s="25" t="str">
        <f t="shared" si="24"/>
        <v>Số thửaSố thửa738</v>
      </c>
    </row>
    <row r="1543" spans="1:4" x14ac:dyDescent="0.25">
      <c r="A1543" s="25">
        <v>8</v>
      </c>
      <c r="B1543" s="25" t="s">
        <v>374</v>
      </c>
      <c r="C1543" s="26" t="s">
        <v>1088</v>
      </c>
      <c r="D1543" s="25" t="str">
        <f t="shared" si="24"/>
        <v>Số thửaSố thửa117</v>
      </c>
    </row>
    <row r="1544" spans="1:4" x14ac:dyDescent="0.25">
      <c r="A1544" s="25">
        <v>8</v>
      </c>
      <c r="B1544" s="25" t="s">
        <v>1089</v>
      </c>
      <c r="C1544" s="26" t="s">
        <v>1088</v>
      </c>
      <c r="D1544" s="25" t="str">
        <f t="shared" si="24"/>
        <v>Số thửaSố thửa136</v>
      </c>
    </row>
    <row r="1545" spans="1:4" x14ac:dyDescent="0.25">
      <c r="A1545" s="25">
        <v>8</v>
      </c>
      <c r="B1545" s="25" t="s">
        <v>665</v>
      </c>
      <c r="C1545" s="26" t="s">
        <v>1088</v>
      </c>
      <c r="D1545" s="25" t="str">
        <f t="shared" si="24"/>
        <v>Số thửaSố thửa141</v>
      </c>
    </row>
    <row r="1546" spans="1:4" x14ac:dyDescent="0.25">
      <c r="A1546" s="25">
        <v>8</v>
      </c>
      <c r="B1546" s="25" t="s">
        <v>666</v>
      </c>
      <c r="C1546" s="26" t="s">
        <v>1088</v>
      </c>
      <c r="D1546" s="25" t="str">
        <f t="shared" si="24"/>
        <v>Số thửaSố thửa142</v>
      </c>
    </row>
    <row r="1547" spans="1:4" x14ac:dyDescent="0.25">
      <c r="A1547" s="25">
        <v>8</v>
      </c>
      <c r="B1547" s="25" t="s">
        <v>312</v>
      </c>
      <c r="C1547" s="26" t="s">
        <v>1088</v>
      </c>
      <c r="D1547" s="25" t="str">
        <f t="shared" si="24"/>
        <v>Số thửaSố thửa180</v>
      </c>
    </row>
    <row r="1548" spans="1:4" x14ac:dyDescent="0.25">
      <c r="A1548" s="25">
        <v>8</v>
      </c>
      <c r="B1548" s="25" t="s">
        <v>964</v>
      </c>
      <c r="C1548" s="26" t="s">
        <v>1088</v>
      </c>
      <c r="D1548" s="25" t="str">
        <f t="shared" si="24"/>
        <v>Số thửaSố thửa181</v>
      </c>
    </row>
    <row r="1549" spans="1:4" x14ac:dyDescent="0.25">
      <c r="A1549" s="25">
        <v>8</v>
      </c>
      <c r="B1549" s="25" t="s">
        <v>1073</v>
      </c>
      <c r="C1549" s="26" t="s">
        <v>1090</v>
      </c>
      <c r="D1549" s="25" t="str">
        <f t="shared" si="24"/>
        <v>Số thửaSố thửa202</v>
      </c>
    </row>
    <row r="1550" spans="1:4" x14ac:dyDescent="0.25">
      <c r="A1550" s="25">
        <v>8</v>
      </c>
      <c r="B1550" s="25" t="s">
        <v>513</v>
      </c>
      <c r="C1550" s="26" t="s">
        <v>1088</v>
      </c>
      <c r="D1550" s="25" t="str">
        <f t="shared" si="24"/>
        <v>Số thửaSố thửa203</v>
      </c>
    </row>
    <row r="1551" spans="1:4" x14ac:dyDescent="0.25">
      <c r="A1551" s="25">
        <v>8</v>
      </c>
      <c r="B1551" s="25" t="s">
        <v>173</v>
      </c>
      <c r="C1551" s="26" t="s">
        <v>1088</v>
      </c>
      <c r="D1551" s="25" t="str">
        <f t="shared" si="24"/>
        <v>Số thửaSố thửa204</v>
      </c>
    </row>
    <row r="1552" spans="1:4" x14ac:dyDescent="0.25">
      <c r="A1552" s="25">
        <v>8</v>
      </c>
      <c r="B1552" s="25" t="s">
        <v>83</v>
      </c>
      <c r="C1552" s="26" t="s">
        <v>1088</v>
      </c>
      <c r="D1552" s="25" t="str">
        <f t="shared" si="24"/>
        <v>Số thửaSố thửa217</v>
      </c>
    </row>
    <row r="1553" spans="1:4" x14ac:dyDescent="0.25">
      <c r="A1553" s="25">
        <v>8</v>
      </c>
      <c r="B1553" s="25" t="s">
        <v>84</v>
      </c>
      <c r="C1553" s="26" t="s">
        <v>1088</v>
      </c>
      <c r="D1553" s="25" t="str">
        <f t="shared" si="24"/>
        <v>Số thửaSố thửa218</v>
      </c>
    </row>
    <row r="1554" spans="1:4" x14ac:dyDescent="0.25">
      <c r="A1554" s="25">
        <v>8</v>
      </c>
      <c r="B1554" s="25" t="s">
        <v>94</v>
      </c>
      <c r="C1554" s="26" t="s">
        <v>1091</v>
      </c>
      <c r="D1554" s="25" t="str">
        <f t="shared" si="24"/>
        <v>Số thửaSố thửa240</v>
      </c>
    </row>
    <row r="1555" spans="1:4" x14ac:dyDescent="0.25">
      <c r="A1555" s="25">
        <v>8</v>
      </c>
      <c r="B1555" s="25" t="s">
        <v>94</v>
      </c>
      <c r="C1555" s="26" t="s">
        <v>1091</v>
      </c>
      <c r="D1555" s="25" t="str">
        <f t="shared" si="24"/>
        <v>Số thửaSố thửa240</v>
      </c>
    </row>
    <row r="1556" spans="1:4" x14ac:dyDescent="0.25">
      <c r="A1556" s="25">
        <v>9</v>
      </c>
      <c r="B1556" s="25" t="s">
        <v>90</v>
      </c>
      <c r="C1556" s="26" t="s">
        <v>1088</v>
      </c>
      <c r="D1556" s="25" t="str">
        <f t="shared" si="24"/>
        <v>Số thửaSố thửa225</v>
      </c>
    </row>
    <row r="1557" spans="1:4" x14ac:dyDescent="0.25">
      <c r="A1557" s="25">
        <v>9</v>
      </c>
      <c r="B1557" s="25" t="s">
        <v>868</v>
      </c>
      <c r="C1557" s="26" t="s">
        <v>1088</v>
      </c>
      <c r="D1557" s="25" t="str">
        <f t="shared" si="24"/>
        <v>Số thửaSố thửa258</v>
      </c>
    </row>
    <row r="1558" spans="1:4" x14ac:dyDescent="0.25">
      <c r="A1558" s="25">
        <v>9</v>
      </c>
      <c r="B1558" s="25" t="s">
        <v>360</v>
      </c>
      <c r="C1558" s="26" t="s">
        <v>1090</v>
      </c>
      <c r="D1558" s="25" t="str">
        <f t="shared" si="24"/>
        <v>Số thửaSố thửa269</v>
      </c>
    </row>
    <row r="1559" spans="1:4" x14ac:dyDescent="0.25">
      <c r="A1559" s="25">
        <v>9</v>
      </c>
      <c r="B1559" s="25" t="s">
        <v>361</v>
      </c>
      <c r="C1559" s="26" t="s">
        <v>1088</v>
      </c>
      <c r="D1559" s="25" t="str">
        <f t="shared" si="24"/>
        <v>Số thửaSố thửa270</v>
      </c>
    </row>
    <row r="1560" spans="1:4" x14ac:dyDescent="0.25">
      <c r="A1560" s="25">
        <v>9</v>
      </c>
      <c r="B1560" s="25" t="s">
        <v>715</v>
      </c>
      <c r="C1560" s="26" t="s">
        <v>1088</v>
      </c>
      <c r="D1560" s="25" t="str">
        <f t="shared" si="24"/>
        <v>Số thửaSố thửa309</v>
      </c>
    </row>
    <row r="1561" spans="1:4" x14ac:dyDescent="0.25">
      <c r="A1561" s="25">
        <v>9</v>
      </c>
      <c r="B1561" s="25" t="s">
        <v>404</v>
      </c>
      <c r="C1561" s="26" t="s">
        <v>1088</v>
      </c>
      <c r="D1561" s="25" t="str">
        <f t="shared" si="24"/>
        <v>Số thửaSố thửa310</v>
      </c>
    </row>
    <row r="1562" spans="1:4" x14ac:dyDescent="0.25">
      <c r="A1562" s="25">
        <v>9</v>
      </c>
      <c r="B1562" s="25" t="s">
        <v>405</v>
      </c>
      <c r="C1562" s="26" t="s">
        <v>1088</v>
      </c>
      <c r="D1562" s="25" t="str">
        <f t="shared" si="24"/>
        <v>Số thửaSố thửa311</v>
      </c>
    </row>
    <row r="1563" spans="1:4" x14ac:dyDescent="0.25">
      <c r="A1563" s="25">
        <v>9</v>
      </c>
      <c r="B1563" s="25" t="s">
        <v>406</v>
      </c>
      <c r="C1563" s="26" t="s">
        <v>1092</v>
      </c>
      <c r="D1563" s="25" t="str">
        <f t="shared" si="24"/>
        <v>Số thửaSố thửa312</v>
      </c>
    </row>
    <row r="1564" spans="1:4" x14ac:dyDescent="0.25">
      <c r="A1564" s="25">
        <v>9</v>
      </c>
      <c r="B1564" s="25" t="s">
        <v>407</v>
      </c>
      <c r="C1564" s="26" t="s">
        <v>1092</v>
      </c>
      <c r="D1564" s="25" t="str">
        <f t="shared" si="24"/>
        <v>Số thửaSố thửa327</v>
      </c>
    </row>
    <row r="1565" spans="1:4" x14ac:dyDescent="0.25">
      <c r="A1565" s="25">
        <v>9</v>
      </c>
      <c r="B1565" s="25" t="s">
        <v>638</v>
      </c>
      <c r="C1565" s="26" t="s">
        <v>1092</v>
      </c>
      <c r="D1565" s="25" t="str">
        <f t="shared" si="24"/>
        <v>Số thửaSố thửa328</v>
      </c>
    </row>
    <row r="1566" spans="1:4" x14ac:dyDescent="0.25">
      <c r="A1566" s="25">
        <v>9</v>
      </c>
      <c r="B1566" s="25" t="s">
        <v>141</v>
      </c>
      <c r="C1566" s="26" t="s">
        <v>1092</v>
      </c>
      <c r="D1566" s="25" t="str">
        <f t="shared" si="24"/>
        <v>Số thửaSố thửa329</v>
      </c>
    </row>
    <row r="1567" spans="1:4" x14ac:dyDescent="0.25">
      <c r="A1567" s="25">
        <v>9</v>
      </c>
      <c r="B1567" s="25" t="s">
        <v>142</v>
      </c>
      <c r="C1567" s="26" t="s">
        <v>1092</v>
      </c>
      <c r="D1567" s="25" t="str">
        <f t="shared" si="24"/>
        <v>Số thửaSố thửa330</v>
      </c>
    </row>
    <row r="1568" spans="1:4" x14ac:dyDescent="0.25">
      <c r="A1568" s="25">
        <v>9</v>
      </c>
      <c r="B1568" s="25" t="s">
        <v>143</v>
      </c>
      <c r="C1568" s="26" t="s">
        <v>1092</v>
      </c>
      <c r="D1568" s="25" t="str">
        <f t="shared" si="24"/>
        <v>Số thửaSố thửa331</v>
      </c>
    </row>
    <row r="1569" spans="1:4" x14ac:dyDescent="0.25">
      <c r="A1569" s="25">
        <v>9</v>
      </c>
      <c r="B1569" s="25" t="s">
        <v>144</v>
      </c>
      <c r="C1569" s="26" t="s">
        <v>1092</v>
      </c>
      <c r="D1569" s="25" t="str">
        <f t="shared" si="24"/>
        <v>Số thửaSố thửa332</v>
      </c>
    </row>
    <row r="1570" spans="1:4" x14ac:dyDescent="0.25">
      <c r="A1570" s="25">
        <v>9</v>
      </c>
      <c r="B1570" s="25" t="s">
        <v>640</v>
      </c>
      <c r="C1570" s="26" t="s">
        <v>1092</v>
      </c>
      <c r="D1570" s="25" t="str">
        <f t="shared" si="24"/>
        <v>Số thửaSố thửa333</v>
      </c>
    </row>
    <row r="1571" spans="1:4" x14ac:dyDescent="0.25">
      <c r="A1571" s="25">
        <v>9</v>
      </c>
      <c r="B1571" s="25" t="s">
        <v>808</v>
      </c>
      <c r="C1571" s="26" t="s">
        <v>1092</v>
      </c>
      <c r="D1571" s="25" t="str">
        <f t="shared" si="24"/>
        <v>Số thửaSố thửa375</v>
      </c>
    </row>
    <row r="1572" spans="1:4" x14ac:dyDescent="0.25">
      <c r="A1572" s="25">
        <v>9</v>
      </c>
      <c r="B1572" s="25" t="s">
        <v>147</v>
      </c>
      <c r="C1572" s="26" t="s">
        <v>1092</v>
      </c>
      <c r="D1572" s="25" t="str">
        <f t="shared" si="24"/>
        <v>Số thửaSố thửa376</v>
      </c>
    </row>
    <row r="1573" spans="1:4" x14ac:dyDescent="0.25">
      <c r="A1573" s="25">
        <v>9</v>
      </c>
      <c r="B1573" s="25" t="s">
        <v>490</v>
      </c>
      <c r="C1573" s="26" t="s">
        <v>1092</v>
      </c>
      <c r="D1573" s="25" t="str">
        <f t="shared" si="24"/>
        <v>Số thửaSố thửa377</v>
      </c>
    </row>
    <row r="1574" spans="1:4" x14ac:dyDescent="0.25">
      <c r="A1574" s="25">
        <v>9</v>
      </c>
      <c r="B1574" s="25" t="s">
        <v>1093</v>
      </c>
      <c r="C1574" s="26" t="s">
        <v>1092</v>
      </c>
      <c r="D1574" s="25" t="str">
        <f t="shared" si="24"/>
        <v>Số thửaSố thửa378</v>
      </c>
    </row>
    <row r="1575" spans="1:4" x14ac:dyDescent="0.25">
      <c r="A1575" s="25">
        <v>9</v>
      </c>
      <c r="B1575" s="25" t="s">
        <v>859</v>
      </c>
      <c r="C1575" s="26" t="s">
        <v>1090</v>
      </c>
      <c r="D1575" s="25" t="str">
        <f t="shared" si="24"/>
        <v>Số thửaSố thửa541</v>
      </c>
    </row>
    <row r="1576" spans="1:4" x14ac:dyDescent="0.25">
      <c r="A1576" s="25">
        <v>9</v>
      </c>
      <c r="B1576" s="25" t="s">
        <v>1094</v>
      </c>
      <c r="C1576" s="26" t="s">
        <v>1092</v>
      </c>
      <c r="D1576" s="25" t="str">
        <f t="shared" si="24"/>
        <v>Số thửaSố thửa700</v>
      </c>
    </row>
    <row r="1577" spans="1:4" x14ac:dyDescent="0.25">
      <c r="A1577" s="25">
        <v>9</v>
      </c>
      <c r="B1577" s="25" t="s">
        <v>1046</v>
      </c>
      <c r="C1577" s="26" t="s">
        <v>1090</v>
      </c>
      <c r="D1577" s="25" t="str">
        <f t="shared" si="24"/>
        <v>Số thửaSố thửa705</v>
      </c>
    </row>
    <row r="1578" spans="1:4" x14ac:dyDescent="0.25">
      <c r="A1578" s="25">
        <v>9</v>
      </c>
      <c r="B1578" s="25" t="s">
        <v>1095</v>
      </c>
      <c r="C1578" s="26" t="s">
        <v>1090</v>
      </c>
      <c r="D1578" s="25" t="str">
        <f t="shared" si="24"/>
        <v>Số thửaSố thửa706</v>
      </c>
    </row>
    <row r="1579" spans="1:4" x14ac:dyDescent="0.25">
      <c r="A1579" s="25">
        <v>8</v>
      </c>
      <c r="B1579" s="25" t="s">
        <v>933</v>
      </c>
      <c r="C1579" s="26" t="s">
        <v>1096</v>
      </c>
      <c r="D1579" s="25" t="str">
        <f t="shared" si="24"/>
        <v>Số thửaSố thửa53</v>
      </c>
    </row>
    <row r="1580" spans="1:4" x14ac:dyDescent="0.25">
      <c r="A1580" s="25">
        <v>9</v>
      </c>
      <c r="B1580" s="25" t="s">
        <v>104</v>
      </c>
      <c r="C1580" s="26" t="s">
        <v>1097</v>
      </c>
      <c r="D1580" s="25" t="str">
        <f t="shared" si="24"/>
        <v>Số thửaSố thửa81</v>
      </c>
    </row>
    <row r="1581" spans="1:4" x14ac:dyDescent="0.25">
      <c r="A1581" s="25">
        <v>9</v>
      </c>
      <c r="B1581" s="25" t="s">
        <v>70</v>
      </c>
      <c r="C1581" s="26" t="s">
        <v>1097</v>
      </c>
      <c r="D1581" s="25" t="str">
        <f t="shared" si="24"/>
        <v>Số thửaSố thửa82</v>
      </c>
    </row>
    <row r="1582" spans="1:4" x14ac:dyDescent="0.25">
      <c r="A1582" s="25">
        <v>9</v>
      </c>
      <c r="B1582" s="25" t="s">
        <v>343</v>
      </c>
      <c r="C1582" s="26" t="s">
        <v>1097</v>
      </c>
      <c r="D1582" s="25" t="str">
        <f t="shared" si="24"/>
        <v>Số thửaSố thửa83</v>
      </c>
    </row>
    <row r="1583" spans="1:4" x14ac:dyDescent="0.25">
      <c r="A1583" s="25">
        <v>9</v>
      </c>
      <c r="B1583" s="25" t="s">
        <v>314</v>
      </c>
      <c r="C1583" s="26" t="s">
        <v>1097</v>
      </c>
      <c r="D1583" s="25" t="str">
        <f t="shared" si="24"/>
        <v>Số thửaSố thửa98</v>
      </c>
    </row>
    <row r="1584" spans="1:4" x14ac:dyDescent="0.25">
      <c r="A1584" s="25">
        <v>9</v>
      </c>
      <c r="B1584" s="25" t="s">
        <v>71</v>
      </c>
      <c r="C1584" s="26" t="s">
        <v>1097</v>
      </c>
      <c r="D1584" s="25" t="str">
        <f t="shared" si="24"/>
        <v>Số thửaSố thửa99</v>
      </c>
    </row>
    <row r="1585" spans="1:4" x14ac:dyDescent="0.25">
      <c r="A1585" s="25">
        <v>9</v>
      </c>
      <c r="B1585" s="25" t="s">
        <v>194</v>
      </c>
      <c r="C1585" s="26" t="s">
        <v>1097</v>
      </c>
      <c r="D1585" s="25" t="str">
        <f t="shared" si="24"/>
        <v>Số thửaSố thửa100</v>
      </c>
    </row>
    <row r="1586" spans="1:4" x14ac:dyDescent="0.25">
      <c r="A1586" s="25">
        <v>9</v>
      </c>
      <c r="B1586" s="25" t="s">
        <v>108</v>
      </c>
      <c r="C1586" s="26" t="s">
        <v>1097</v>
      </c>
      <c r="D1586" s="25" t="str">
        <f t="shared" si="24"/>
        <v>Số thửaSố thửa119</v>
      </c>
    </row>
    <row r="1587" spans="1:4" x14ac:dyDescent="0.25">
      <c r="A1587" s="25">
        <v>9</v>
      </c>
      <c r="B1587" s="25" t="s">
        <v>1017</v>
      </c>
      <c r="C1587" s="26" t="s">
        <v>1097</v>
      </c>
      <c r="D1587" s="25" t="str">
        <f t="shared" si="24"/>
        <v>Số thửaSố thửa120</v>
      </c>
    </row>
    <row r="1588" spans="1:4" x14ac:dyDescent="0.25">
      <c r="A1588" s="25">
        <v>9</v>
      </c>
      <c r="B1588" s="25" t="s">
        <v>912</v>
      </c>
      <c r="C1588" s="26" t="s">
        <v>1097</v>
      </c>
      <c r="D1588" s="25" t="str">
        <f t="shared" si="24"/>
        <v>Số thửaSố thửa121</v>
      </c>
    </row>
    <row r="1589" spans="1:4" x14ac:dyDescent="0.25">
      <c r="A1589" s="25">
        <v>9</v>
      </c>
      <c r="B1589" s="25" t="s">
        <v>578</v>
      </c>
      <c r="C1589" s="26" t="s">
        <v>1096</v>
      </c>
      <c r="D1589" s="25" t="str">
        <f t="shared" si="24"/>
        <v>Số thửaSố thửa122</v>
      </c>
    </row>
    <row r="1590" spans="1:4" x14ac:dyDescent="0.25">
      <c r="A1590" s="25">
        <v>9</v>
      </c>
      <c r="B1590" s="25" t="s">
        <v>1029</v>
      </c>
      <c r="C1590" s="26" t="s">
        <v>1097</v>
      </c>
      <c r="D1590" s="25" t="str">
        <f t="shared" si="24"/>
        <v>Số thửaSố thửa133</v>
      </c>
    </row>
    <row r="1591" spans="1:4" x14ac:dyDescent="0.25">
      <c r="A1591" s="25">
        <v>9</v>
      </c>
      <c r="B1591" s="25" t="s">
        <v>393</v>
      </c>
      <c r="C1591" s="26" t="s">
        <v>1097</v>
      </c>
      <c r="D1591" s="25" t="str">
        <f t="shared" si="24"/>
        <v>Số thửaSố thửa134</v>
      </c>
    </row>
    <row r="1592" spans="1:4" x14ac:dyDescent="0.25">
      <c r="A1592" s="25">
        <v>9</v>
      </c>
      <c r="B1592" s="25" t="s">
        <v>705</v>
      </c>
      <c r="C1592" s="26" t="s">
        <v>1097</v>
      </c>
      <c r="D1592" s="25" t="str">
        <f t="shared" si="24"/>
        <v>Số thửaSố thửa135</v>
      </c>
    </row>
    <row r="1593" spans="1:4" x14ac:dyDescent="0.25">
      <c r="A1593" s="25">
        <v>9</v>
      </c>
      <c r="B1593" s="25" t="s">
        <v>1089</v>
      </c>
      <c r="C1593" s="26" t="s">
        <v>1097</v>
      </c>
      <c r="D1593" s="25" t="str">
        <f t="shared" si="24"/>
        <v>Số thửaSố thửa136</v>
      </c>
    </row>
    <row r="1594" spans="1:4" x14ac:dyDescent="0.25">
      <c r="A1594" s="25">
        <v>9</v>
      </c>
      <c r="B1594" s="25" t="s">
        <v>327</v>
      </c>
      <c r="C1594" s="26" t="s">
        <v>1097</v>
      </c>
      <c r="D1594" s="25" t="str">
        <f t="shared" si="24"/>
        <v>Số thửaSố thửa137</v>
      </c>
    </row>
    <row r="1595" spans="1:4" x14ac:dyDescent="0.25">
      <c r="A1595" s="25">
        <v>9</v>
      </c>
      <c r="B1595" s="25" t="s">
        <v>443</v>
      </c>
      <c r="C1595" s="26" t="s">
        <v>1097</v>
      </c>
      <c r="D1595" s="25" t="str">
        <f t="shared" si="24"/>
        <v>Số thửaSố thửa686</v>
      </c>
    </row>
    <row r="1596" spans="1:4" x14ac:dyDescent="0.25">
      <c r="A1596" s="25">
        <v>9</v>
      </c>
      <c r="B1596" s="25" t="s">
        <v>264</v>
      </c>
      <c r="C1596" s="26" t="s">
        <v>1098</v>
      </c>
      <c r="D1596" s="25" t="str">
        <f t="shared" si="24"/>
        <v>Số thửaSố thửa80</v>
      </c>
    </row>
    <row r="1597" spans="1:4" x14ac:dyDescent="0.25">
      <c r="A1597" s="25">
        <v>9</v>
      </c>
      <c r="B1597" s="25" t="s">
        <v>326</v>
      </c>
      <c r="C1597" s="26" t="s">
        <v>1099</v>
      </c>
      <c r="D1597" s="25" t="str">
        <f t="shared" si="24"/>
        <v>Số thửaSố thửa102</v>
      </c>
    </row>
    <row r="1598" spans="1:4" x14ac:dyDescent="0.25">
      <c r="A1598" s="25">
        <v>9</v>
      </c>
      <c r="B1598" s="25" t="s">
        <v>654</v>
      </c>
      <c r="C1598" s="26" t="s">
        <v>1099</v>
      </c>
      <c r="D1598" s="25" t="str">
        <f t="shared" si="24"/>
        <v>Số thửaSố thửa103</v>
      </c>
    </row>
    <row r="1599" spans="1:4" x14ac:dyDescent="0.25">
      <c r="A1599" s="25">
        <v>9</v>
      </c>
      <c r="B1599" s="25" t="s">
        <v>323</v>
      </c>
      <c r="C1599" s="26" t="s">
        <v>1099</v>
      </c>
      <c r="D1599" s="25" t="str">
        <f t="shared" si="24"/>
        <v>Số thửaSố thửa114</v>
      </c>
    </row>
    <row r="1600" spans="1:4" x14ac:dyDescent="0.25">
      <c r="A1600" s="25">
        <v>9</v>
      </c>
      <c r="B1600" s="25" t="s">
        <v>693</v>
      </c>
      <c r="C1600" s="26" t="s">
        <v>1099</v>
      </c>
      <c r="D1600" s="25" t="str">
        <f t="shared" si="24"/>
        <v>Số thửaSố thửa115</v>
      </c>
    </row>
    <row r="1601" spans="1:4" x14ac:dyDescent="0.25">
      <c r="A1601" s="25">
        <v>9</v>
      </c>
      <c r="B1601" s="25" t="s">
        <v>106</v>
      </c>
      <c r="C1601" s="26" t="s">
        <v>1099</v>
      </c>
      <c r="D1601" s="25" t="str">
        <f t="shared" si="24"/>
        <v>Số thửaSố thửa116</v>
      </c>
    </row>
    <row r="1602" spans="1:4" x14ac:dyDescent="0.25">
      <c r="A1602" s="25">
        <v>9</v>
      </c>
      <c r="B1602" s="25" t="s">
        <v>374</v>
      </c>
      <c r="C1602" s="26" t="s">
        <v>1099</v>
      </c>
      <c r="D1602" s="25" t="str">
        <f t="shared" si="24"/>
        <v>Số thửaSố thửa117</v>
      </c>
    </row>
    <row r="1603" spans="1:4" x14ac:dyDescent="0.25">
      <c r="A1603" s="25">
        <v>9</v>
      </c>
      <c r="B1603" s="25" t="s">
        <v>1100</v>
      </c>
      <c r="C1603" s="26" t="s">
        <v>1099</v>
      </c>
      <c r="D1603" s="25" t="str">
        <f t="shared" ref="D1603:D1666" si="25">$B$1&amp;B1603</f>
        <v>Số thửaSố thửa140</v>
      </c>
    </row>
    <row r="1604" spans="1:4" x14ac:dyDescent="0.25">
      <c r="A1604" s="25">
        <v>9</v>
      </c>
      <c r="B1604" s="25" t="s">
        <v>665</v>
      </c>
      <c r="C1604" s="26" t="s">
        <v>1099</v>
      </c>
      <c r="D1604" s="25" t="str">
        <f t="shared" si="25"/>
        <v>Số thửaSố thửa141</v>
      </c>
    </row>
    <row r="1605" spans="1:4" x14ac:dyDescent="0.25">
      <c r="A1605" s="25">
        <v>9</v>
      </c>
      <c r="B1605" s="25" t="s">
        <v>666</v>
      </c>
      <c r="C1605" s="26" t="s">
        <v>1099</v>
      </c>
      <c r="D1605" s="25" t="str">
        <f t="shared" si="25"/>
        <v>Số thửaSố thửa142</v>
      </c>
    </row>
    <row r="1606" spans="1:4" x14ac:dyDescent="0.25">
      <c r="A1606" s="25">
        <v>9</v>
      </c>
      <c r="B1606" s="25" t="s">
        <v>1060</v>
      </c>
      <c r="C1606" s="26" t="s">
        <v>1099</v>
      </c>
      <c r="D1606" s="25" t="str">
        <f t="shared" si="25"/>
        <v>Số thửaSố thửa143</v>
      </c>
    </row>
    <row r="1607" spans="1:4" x14ac:dyDescent="0.25">
      <c r="A1607" s="25">
        <v>9</v>
      </c>
      <c r="B1607" s="25" t="s">
        <v>1101</v>
      </c>
      <c r="C1607" s="26" t="s">
        <v>1099</v>
      </c>
      <c r="D1607" s="25" t="str">
        <f t="shared" si="25"/>
        <v>Số thửaSố thửa144</v>
      </c>
    </row>
    <row r="1608" spans="1:4" x14ac:dyDescent="0.25">
      <c r="A1608" s="25">
        <v>9</v>
      </c>
      <c r="B1608" s="25" t="s">
        <v>707</v>
      </c>
      <c r="C1608" s="26" t="s">
        <v>1099</v>
      </c>
      <c r="D1608" s="25" t="str">
        <f t="shared" si="25"/>
        <v>Số thửaSố thửa162</v>
      </c>
    </row>
    <row r="1609" spans="1:4" x14ac:dyDescent="0.25">
      <c r="A1609" s="25">
        <v>9</v>
      </c>
      <c r="B1609" s="25" t="s">
        <v>708</v>
      </c>
      <c r="C1609" s="26" t="s">
        <v>1099</v>
      </c>
      <c r="D1609" s="25" t="str">
        <f t="shared" si="25"/>
        <v>Số thửaSố thửa163</v>
      </c>
    </row>
    <row r="1610" spans="1:4" x14ac:dyDescent="0.25">
      <c r="A1610" s="25">
        <v>9</v>
      </c>
      <c r="B1610" s="25" t="s">
        <v>709</v>
      </c>
      <c r="C1610" s="26" t="s">
        <v>1099</v>
      </c>
      <c r="D1610" s="25" t="str">
        <f t="shared" si="25"/>
        <v>Số thửaSố thửa164</v>
      </c>
    </row>
    <row r="1611" spans="1:4" x14ac:dyDescent="0.25">
      <c r="A1611" s="25">
        <v>9</v>
      </c>
      <c r="B1611" s="25" t="s">
        <v>894</v>
      </c>
      <c r="C1611" s="26" t="s">
        <v>1099</v>
      </c>
      <c r="D1611" s="25" t="str">
        <f t="shared" si="25"/>
        <v>Số thửaSố thửa165</v>
      </c>
    </row>
    <row r="1612" spans="1:4" x14ac:dyDescent="0.25">
      <c r="A1612" s="25">
        <v>9</v>
      </c>
      <c r="B1612" s="25" t="s">
        <v>1102</v>
      </c>
      <c r="C1612" s="26" t="s">
        <v>1099</v>
      </c>
      <c r="D1612" s="25" t="str">
        <f t="shared" si="25"/>
        <v>Số thửaSố thửa166</v>
      </c>
    </row>
    <row r="1613" spans="1:4" x14ac:dyDescent="0.25">
      <c r="A1613" s="25">
        <v>9</v>
      </c>
      <c r="B1613" s="25" t="s">
        <v>613</v>
      </c>
      <c r="C1613" s="26" t="s">
        <v>1103</v>
      </c>
      <c r="D1613" s="25" t="str">
        <f t="shared" si="25"/>
        <v>Số thửaSố thửa436</v>
      </c>
    </row>
    <row r="1614" spans="1:4" x14ac:dyDescent="0.25">
      <c r="A1614" s="25">
        <v>9</v>
      </c>
      <c r="B1614" s="25" t="s">
        <v>504</v>
      </c>
      <c r="C1614" s="26" t="s">
        <v>1103</v>
      </c>
      <c r="D1614" s="25" t="str">
        <f t="shared" si="25"/>
        <v>Số thửaSố thửa500</v>
      </c>
    </row>
    <row r="1615" spans="1:4" x14ac:dyDescent="0.25">
      <c r="A1615" s="25">
        <v>9</v>
      </c>
      <c r="B1615" s="25" t="s">
        <v>505</v>
      </c>
      <c r="C1615" s="26" t="s">
        <v>1103</v>
      </c>
      <c r="D1615" s="25" t="str">
        <f t="shared" si="25"/>
        <v>Số thửaSố thửa501</v>
      </c>
    </row>
    <row r="1616" spans="1:4" x14ac:dyDescent="0.25">
      <c r="A1616" s="25">
        <v>9</v>
      </c>
      <c r="B1616" s="25" t="s">
        <v>506</v>
      </c>
      <c r="C1616" s="26" t="s">
        <v>1103</v>
      </c>
      <c r="D1616" s="25" t="str">
        <f t="shared" si="25"/>
        <v>Số thửaSố thửa502</v>
      </c>
    </row>
    <row r="1617" spans="1:4" x14ac:dyDescent="0.25">
      <c r="A1617" s="25">
        <v>9</v>
      </c>
      <c r="B1617" s="25" t="s">
        <v>1104</v>
      </c>
      <c r="C1617" s="26" t="s">
        <v>1098</v>
      </c>
      <c r="D1617" s="25" t="str">
        <f t="shared" si="25"/>
        <v>Số thửaSố thửa606</v>
      </c>
    </row>
    <row r="1618" spans="1:4" x14ac:dyDescent="0.25">
      <c r="A1618" s="25">
        <v>9</v>
      </c>
      <c r="B1618" s="25" t="s">
        <v>1105</v>
      </c>
      <c r="C1618" s="26" t="s">
        <v>1098</v>
      </c>
      <c r="D1618" s="25" t="str">
        <f t="shared" si="25"/>
        <v>Số thửaSố thửa716</v>
      </c>
    </row>
    <row r="1619" spans="1:4" x14ac:dyDescent="0.25">
      <c r="A1619" s="25">
        <v>8</v>
      </c>
      <c r="B1619" s="25" t="s">
        <v>112</v>
      </c>
      <c r="C1619" s="26" t="s">
        <v>1106</v>
      </c>
      <c r="D1619" s="25" t="str">
        <f t="shared" si="25"/>
        <v>Số thửaSố thửa185</v>
      </c>
    </row>
    <row r="1620" spans="1:4" x14ac:dyDescent="0.25">
      <c r="A1620" s="25">
        <v>9</v>
      </c>
      <c r="B1620" s="25" t="s">
        <v>1032</v>
      </c>
      <c r="C1620" s="26" t="s">
        <v>1106</v>
      </c>
      <c r="D1620" s="25" t="str">
        <f t="shared" si="25"/>
        <v>Số thửaSố thửa467</v>
      </c>
    </row>
    <row r="1621" spans="1:4" x14ac:dyDescent="0.25">
      <c r="A1621" s="25">
        <v>9</v>
      </c>
      <c r="B1621" s="25" t="s">
        <v>1107</v>
      </c>
      <c r="C1621" s="26" t="s">
        <v>1108</v>
      </c>
      <c r="D1621" s="25" t="str">
        <f t="shared" si="25"/>
        <v>Số thửaSố thửa499</v>
      </c>
    </row>
    <row r="1622" spans="1:4" x14ac:dyDescent="0.25">
      <c r="A1622" s="25">
        <v>9</v>
      </c>
      <c r="B1622" s="25" t="s">
        <v>1109</v>
      </c>
      <c r="C1622" s="26" t="s">
        <v>1108</v>
      </c>
      <c r="D1622" s="25" t="str">
        <f t="shared" si="25"/>
        <v>Số thửaSố thửa739</v>
      </c>
    </row>
    <row r="1623" spans="1:4" x14ac:dyDescent="0.25">
      <c r="A1623" s="25">
        <v>9</v>
      </c>
      <c r="B1623" s="25" t="s">
        <v>1110</v>
      </c>
      <c r="C1623" s="26" t="s">
        <v>1108</v>
      </c>
      <c r="D1623" s="25" t="str">
        <f t="shared" si="25"/>
        <v>Số thửaSố thửa753</v>
      </c>
    </row>
    <row r="1624" spans="1:4" x14ac:dyDescent="0.25">
      <c r="A1624" s="25">
        <v>9</v>
      </c>
      <c r="B1624" s="25" t="s">
        <v>1111</v>
      </c>
      <c r="C1624" s="26" t="s">
        <v>1108</v>
      </c>
      <c r="D1624" s="25" t="str">
        <f t="shared" si="25"/>
        <v>Số thửaSố thửa754</v>
      </c>
    </row>
    <row r="1625" spans="1:4" x14ac:dyDescent="0.25">
      <c r="A1625" s="25">
        <v>9</v>
      </c>
      <c r="B1625" s="25" t="s">
        <v>1112</v>
      </c>
      <c r="C1625" s="26" t="s">
        <v>1108</v>
      </c>
      <c r="D1625" s="25" t="str">
        <f t="shared" si="25"/>
        <v>Số thửaSố thửa758</v>
      </c>
    </row>
    <row r="1626" spans="1:4" x14ac:dyDescent="0.25">
      <c r="A1626" s="25">
        <v>13</v>
      </c>
      <c r="B1626" s="25" t="s">
        <v>1002</v>
      </c>
      <c r="C1626" s="26" t="s">
        <v>1113</v>
      </c>
      <c r="D1626" s="25" t="str">
        <f t="shared" si="25"/>
        <v>Số thửaSố thửa158</v>
      </c>
    </row>
    <row r="1627" spans="1:4" x14ac:dyDescent="0.25">
      <c r="A1627" s="25">
        <v>13</v>
      </c>
      <c r="B1627" s="25" t="s">
        <v>1114</v>
      </c>
      <c r="C1627" s="26" t="s">
        <v>1113</v>
      </c>
      <c r="D1627" s="25" t="str">
        <f t="shared" si="25"/>
        <v>Số thửaSố thửa230</v>
      </c>
    </row>
    <row r="1628" spans="1:4" x14ac:dyDescent="0.25">
      <c r="A1628" s="25">
        <v>13</v>
      </c>
      <c r="B1628" s="25" t="s">
        <v>390</v>
      </c>
      <c r="C1628" s="26" t="s">
        <v>1113</v>
      </c>
      <c r="D1628" s="25" t="str">
        <f t="shared" si="25"/>
        <v>Số thửaSố thửa235</v>
      </c>
    </row>
    <row r="1629" spans="1:4" x14ac:dyDescent="0.25">
      <c r="A1629" s="25">
        <v>13</v>
      </c>
      <c r="B1629" s="25" t="s">
        <v>1115</v>
      </c>
      <c r="C1629" s="26" t="s">
        <v>1113</v>
      </c>
      <c r="D1629" s="25" t="str">
        <f t="shared" si="25"/>
        <v>Số thửaSố thửa251</v>
      </c>
    </row>
    <row r="1630" spans="1:4" x14ac:dyDescent="0.25">
      <c r="A1630" s="25">
        <v>13</v>
      </c>
      <c r="B1630" s="25" t="s">
        <v>726</v>
      </c>
      <c r="C1630" s="26" t="s">
        <v>1113</v>
      </c>
      <c r="D1630" s="25" t="str">
        <f t="shared" si="25"/>
        <v>Số thửaSố thửa255</v>
      </c>
    </row>
    <row r="1631" spans="1:4" x14ac:dyDescent="0.25">
      <c r="A1631" s="25">
        <v>13</v>
      </c>
      <c r="B1631" s="25" t="s">
        <v>727</v>
      </c>
      <c r="C1631" s="26" t="s">
        <v>1113</v>
      </c>
      <c r="D1631" s="25" t="str">
        <f t="shared" si="25"/>
        <v>Số thửaSố thửa256</v>
      </c>
    </row>
    <row r="1632" spans="1:4" x14ac:dyDescent="0.25">
      <c r="A1632" s="25">
        <v>13</v>
      </c>
      <c r="B1632" s="25" t="s">
        <v>582</v>
      </c>
      <c r="C1632" s="26" t="s">
        <v>1113</v>
      </c>
      <c r="D1632" s="25" t="str">
        <f t="shared" si="25"/>
        <v>Số thửaSố thửa301</v>
      </c>
    </row>
    <row r="1633" spans="1:4" x14ac:dyDescent="0.25">
      <c r="A1633" s="25">
        <v>13</v>
      </c>
      <c r="B1633" s="25" t="s">
        <v>1116</v>
      </c>
      <c r="C1633" s="26" t="s">
        <v>1113</v>
      </c>
      <c r="D1633" s="25" t="str">
        <f t="shared" si="25"/>
        <v>Số thửaSố thửa302</v>
      </c>
    </row>
    <row r="1634" spans="1:4" x14ac:dyDescent="0.25">
      <c r="A1634" s="25">
        <v>13</v>
      </c>
      <c r="B1634" s="25" t="s">
        <v>731</v>
      </c>
      <c r="C1634" s="26" t="s">
        <v>1113</v>
      </c>
      <c r="D1634" s="25" t="str">
        <f t="shared" si="25"/>
        <v>Số thửaSố thửa304</v>
      </c>
    </row>
    <row r="1635" spans="1:4" x14ac:dyDescent="0.25">
      <c r="A1635" s="25">
        <v>13</v>
      </c>
      <c r="B1635" s="25" t="s">
        <v>248</v>
      </c>
      <c r="C1635" s="26" t="s">
        <v>1113</v>
      </c>
      <c r="D1635" s="25" t="str">
        <f t="shared" si="25"/>
        <v>Số thửaSố thửa346</v>
      </c>
    </row>
    <row r="1636" spans="1:4" x14ac:dyDescent="0.25">
      <c r="A1636" s="25">
        <v>13</v>
      </c>
      <c r="B1636" s="25" t="s">
        <v>783</v>
      </c>
      <c r="C1636" s="26" t="s">
        <v>1113</v>
      </c>
      <c r="D1636" s="25" t="str">
        <f t="shared" si="25"/>
        <v>Số thửaSố thửa349</v>
      </c>
    </row>
    <row r="1637" spans="1:4" x14ac:dyDescent="0.25">
      <c r="A1637" s="25">
        <v>13</v>
      </c>
      <c r="B1637" s="25" t="s">
        <v>320</v>
      </c>
      <c r="C1637" s="26" t="s">
        <v>1113</v>
      </c>
      <c r="D1637" s="25" t="str">
        <f t="shared" si="25"/>
        <v>Số thửaSố thửa798</v>
      </c>
    </row>
    <row r="1638" spans="1:4" x14ac:dyDescent="0.25">
      <c r="A1638" s="25">
        <v>16</v>
      </c>
      <c r="B1638" s="25" t="s">
        <v>416</v>
      </c>
      <c r="C1638" s="26" t="s">
        <v>1117</v>
      </c>
      <c r="D1638" s="25" t="str">
        <f t="shared" si="25"/>
        <v>Số thửaSố thửa2</v>
      </c>
    </row>
    <row r="1639" spans="1:4" x14ac:dyDescent="0.25">
      <c r="A1639" s="25">
        <v>8</v>
      </c>
      <c r="B1639" s="25" t="s">
        <v>132</v>
      </c>
      <c r="C1639" s="26" t="s">
        <v>1118</v>
      </c>
      <c r="D1639" s="25" t="str">
        <f t="shared" si="25"/>
        <v>Số thửaSố thửa8</v>
      </c>
    </row>
    <row r="1640" spans="1:4" x14ac:dyDescent="0.25">
      <c r="A1640" s="25">
        <v>8</v>
      </c>
      <c r="B1640" s="25" t="s">
        <v>1049</v>
      </c>
      <c r="C1640" s="26" t="s">
        <v>1118</v>
      </c>
      <c r="D1640" s="25" t="str">
        <f t="shared" si="25"/>
        <v>Số thửaSố thửa9</v>
      </c>
    </row>
    <row r="1641" spans="1:4" x14ac:dyDescent="0.25">
      <c r="A1641" s="25">
        <v>8</v>
      </c>
      <c r="B1641" s="25" t="s">
        <v>457</v>
      </c>
      <c r="C1641" s="26" t="s">
        <v>1118</v>
      </c>
      <c r="D1641" s="25" t="str">
        <f t="shared" si="25"/>
        <v>Số thửaSố thửa10</v>
      </c>
    </row>
    <row r="1642" spans="1:4" x14ac:dyDescent="0.25">
      <c r="A1642" s="25">
        <v>8</v>
      </c>
      <c r="B1642" s="25" t="s">
        <v>134</v>
      </c>
      <c r="C1642" s="26" t="s">
        <v>1118</v>
      </c>
      <c r="D1642" s="25" t="str">
        <f t="shared" si="25"/>
        <v>Số thửaSố thửa11</v>
      </c>
    </row>
    <row r="1643" spans="1:4" x14ac:dyDescent="0.25">
      <c r="A1643" s="25">
        <v>8</v>
      </c>
      <c r="B1643" s="25" t="s">
        <v>1119</v>
      </c>
      <c r="C1643" s="26" t="s">
        <v>1118</v>
      </c>
      <c r="D1643" s="25" t="str">
        <f t="shared" si="25"/>
        <v>Số thửaSố thửa12</v>
      </c>
    </row>
    <row r="1644" spans="1:4" x14ac:dyDescent="0.25">
      <c r="A1644" s="25">
        <v>8</v>
      </c>
      <c r="B1644" s="25" t="s">
        <v>61</v>
      </c>
      <c r="C1644" s="26" t="s">
        <v>1120</v>
      </c>
      <c r="D1644" s="25" t="str">
        <f t="shared" si="25"/>
        <v>Số thửaSố thửa13</v>
      </c>
    </row>
    <row r="1645" spans="1:4" x14ac:dyDescent="0.25">
      <c r="A1645" s="25">
        <v>8</v>
      </c>
      <c r="B1645" s="25" t="s">
        <v>417</v>
      </c>
      <c r="C1645" s="26" t="s">
        <v>1118</v>
      </c>
      <c r="D1645" s="25" t="str">
        <f t="shared" si="25"/>
        <v>Số thửaSố thửa14</v>
      </c>
    </row>
    <row r="1646" spans="1:4" x14ac:dyDescent="0.25">
      <c r="A1646" s="25">
        <v>8</v>
      </c>
      <c r="B1646" s="25" t="s">
        <v>127</v>
      </c>
      <c r="C1646" s="26" t="s">
        <v>1118</v>
      </c>
      <c r="D1646" s="25" t="str">
        <f t="shared" si="25"/>
        <v>Số thửaSố thửa15</v>
      </c>
    </row>
    <row r="1647" spans="1:4" x14ac:dyDescent="0.25">
      <c r="A1647" s="25">
        <v>8</v>
      </c>
      <c r="B1647" s="25" t="s">
        <v>270</v>
      </c>
      <c r="C1647" s="26" t="s">
        <v>1118</v>
      </c>
      <c r="D1647" s="25" t="str">
        <f t="shared" si="25"/>
        <v>Số thửaSố thửa16</v>
      </c>
    </row>
    <row r="1648" spans="1:4" x14ac:dyDescent="0.25">
      <c r="A1648" s="25">
        <v>8</v>
      </c>
      <c r="B1648" s="25" t="s">
        <v>271</v>
      </c>
      <c r="C1648" s="26" t="s">
        <v>1118</v>
      </c>
      <c r="D1648" s="25" t="str">
        <f t="shared" si="25"/>
        <v>Số thửaSố thửa17</v>
      </c>
    </row>
    <row r="1649" spans="1:4" x14ac:dyDescent="0.25">
      <c r="A1649" s="25">
        <v>8</v>
      </c>
      <c r="B1649" s="25" t="s">
        <v>788</v>
      </c>
      <c r="C1649" s="26" t="s">
        <v>1118</v>
      </c>
      <c r="D1649" s="25" t="str">
        <f t="shared" si="25"/>
        <v>Số thửaSố thửa18</v>
      </c>
    </row>
    <row r="1650" spans="1:4" x14ac:dyDescent="0.25">
      <c r="A1650" s="25">
        <v>8</v>
      </c>
      <c r="B1650" s="25" t="s">
        <v>272</v>
      </c>
      <c r="C1650" s="26" t="s">
        <v>1118</v>
      </c>
      <c r="D1650" s="25" t="str">
        <f t="shared" si="25"/>
        <v>Số thửaSố thửa19</v>
      </c>
    </row>
    <row r="1651" spans="1:4" x14ac:dyDescent="0.25">
      <c r="A1651" s="25">
        <v>8</v>
      </c>
      <c r="B1651" s="25" t="s">
        <v>277</v>
      </c>
      <c r="C1651" s="26" t="s">
        <v>1118</v>
      </c>
      <c r="D1651" s="25" t="str">
        <f t="shared" si="25"/>
        <v>Số thửaSố thửa26</v>
      </c>
    </row>
    <row r="1652" spans="1:4" x14ac:dyDescent="0.25">
      <c r="A1652" s="25">
        <v>8</v>
      </c>
      <c r="B1652" s="25" t="s">
        <v>278</v>
      </c>
      <c r="C1652" s="26" t="s">
        <v>1118</v>
      </c>
      <c r="D1652" s="25" t="str">
        <f t="shared" si="25"/>
        <v>Số thửaSố thửa27</v>
      </c>
    </row>
    <row r="1653" spans="1:4" x14ac:dyDescent="0.25">
      <c r="A1653" s="25">
        <v>8</v>
      </c>
      <c r="B1653" s="25" t="s">
        <v>255</v>
      </c>
      <c r="C1653" s="26" t="s">
        <v>1118</v>
      </c>
      <c r="D1653" s="25" t="str">
        <f t="shared" si="25"/>
        <v>Số thửaSố thửa28</v>
      </c>
    </row>
    <row r="1654" spans="1:4" x14ac:dyDescent="0.25">
      <c r="A1654" s="25">
        <v>8</v>
      </c>
      <c r="B1654" s="25" t="s">
        <v>62</v>
      </c>
      <c r="C1654" s="26" t="s">
        <v>1118</v>
      </c>
      <c r="D1654" s="25" t="str">
        <f t="shared" si="25"/>
        <v>Số thửaSố thửa29</v>
      </c>
    </row>
    <row r="1655" spans="1:4" x14ac:dyDescent="0.25">
      <c r="A1655" s="25">
        <v>8</v>
      </c>
      <c r="B1655" s="25" t="s">
        <v>565</v>
      </c>
      <c r="C1655" s="26" t="s">
        <v>1118</v>
      </c>
      <c r="D1655" s="25" t="str">
        <f t="shared" si="25"/>
        <v>Số thửaSố thửa30</v>
      </c>
    </row>
    <row r="1656" spans="1:4" x14ac:dyDescent="0.25">
      <c r="A1656" s="25">
        <v>8</v>
      </c>
      <c r="B1656" s="25" t="s">
        <v>522</v>
      </c>
      <c r="C1656" s="26" t="s">
        <v>1121</v>
      </c>
      <c r="D1656" s="25" t="str">
        <f t="shared" si="25"/>
        <v>Số thửaSố thửa31</v>
      </c>
    </row>
    <row r="1657" spans="1:4" x14ac:dyDescent="0.25">
      <c r="A1657" s="25">
        <v>8</v>
      </c>
      <c r="B1657" s="25" t="s">
        <v>629</v>
      </c>
      <c r="C1657" s="26" t="s">
        <v>1121</v>
      </c>
      <c r="D1657" s="25" t="str">
        <f t="shared" si="25"/>
        <v>Số thửaSố thửa32</v>
      </c>
    </row>
    <row r="1658" spans="1:4" x14ac:dyDescent="0.25">
      <c r="A1658" s="25">
        <v>8</v>
      </c>
      <c r="B1658" s="25" t="s">
        <v>240</v>
      </c>
      <c r="C1658" s="26" t="s">
        <v>1121</v>
      </c>
      <c r="D1658" s="25" t="str">
        <f t="shared" si="25"/>
        <v>Số thửaSố thửa33</v>
      </c>
    </row>
    <row r="1659" spans="1:4" x14ac:dyDescent="0.25">
      <c r="A1659" s="25">
        <v>8</v>
      </c>
      <c r="B1659" s="25" t="s">
        <v>241</v>
      </c>
      <c r="C1659" s="26" t="s">
        <v>1122</v>
      </c>
      <c r="D1659" s="25" t="str">
        <f t="shared" si="25"/>
        <v>Số thửaSố thửa34</v>
      </c>
    </row>
    <row r="1660" spans="1:4" x14ac:dyDescent="0.25">
      <c r="A1660" s="25">
        <v>8</v>
      </c>
      <c r="B1660" s="25" t="s">
        <v>246</v>
      </c>
      <c r="C1660" s="26" t="s">
        <v>1121</v>
      </c>
      <c r="D1660" s="25" t="str">
        <f t="shared" si="25"/>
        <v>Số thửaSố thửa39</v>
      </c>
    </row>
    <row r="1661" spans="1:4" x14ac:dyDescent="0.25">
      <c r="A1661" s="25">
        <v>8</v>
      </c>
      <c r="B1661" s="25" t="s">
        <v>458</v>
      </c>
      <c r="C1661" s="26" t="s">
        <v>1121</v>
      </c>
      <c r="D1661" s="25" t="str">
        <f t="shared" si="25"/>
        <v>Số thửaSố thửa40</v>
      </c>
    </row>
    <row r="1662" spans="1:4" x14ac:dyDescent="0.25">
      <c r="A1662" s="25">
        <v>8</v>
      </c>
      <c r="B1662" s="25" t="s">
        <v>931</v>
      </c>
      <c r="C1662" s="26" t="s">
        <v>1121</v>
      </c>
      <c r="D1662" s="25" t="str">
        <f t="shared" si="25"/>
        <v>Số thửaSố thửa41</v>
      </c>
    </row>
    <row r="1663" spans="1:4" x14ac:dyDescent="0.25">
      <c r="A1663" s="25">
        <v>8</v>
      </c>
      <c r="B1663" s="25" t="s">
        <v>102</v>
      </c>
      <c r="C1663" s="26" t="s">
        <v>1121</v>
      </c>
      <c r="D1663" s="25" t="str">
        <f t="shared" si="25"/>
        <v>Số thửaSố thửa43</v>
      </c>
    </row>
    <row r="1664" spans="1:4" x14ac:dyDescent="0.25">
      <c r="A1664" s="25">
        <v>8</v>
      </c>
      <c r="B1664" s="25" t="s">
        <v>243</v>
      </c>
      <c r="C1664" s="26" t="s">
        <v>1122</v>
      </c>
      <c r="D1664" s="25" t="str">
        <f t="shared" si="25"/>
        <v>Số thửaSố thửa44</v>
      </c>
    </row>
    <row r="1665" spans="1:4" x14ac:dyDescent="0.25">
      <c r="A1665" s="25">
        <v>8</v>
      </c>
      <c r="B1665" s="25" t="s">
        <v>165</v>
      </c>
      <c r="C1665" s="26" t="s">
        <v>1121</v>
      </c>
      <c r="D1665" s="25" t="str">
        <f t="shared" si="25"/>
        <v>Số thửaSố thửa46</v>
      </c>
    </row>
    <row r="1666" spans="1:4" x14ac:dyDescent="0.25">
      <c r="A1666" s="25">
        <v>8</v>
      </c>
      <c r="B1666" s="25" t="s">
        <v>256</v>
      </c>
      <c r="C1666" s="26" t="s">
        <v>1121</v>
      </c>
      <c r="D1666" s="25" t="str">
        <f t="shared" si="25"/>
        <v>Số thửaSố thửa47</v>
      </c>
    </row>
    <row r="1667" spans="1:4" x14ac:dyDescent="0.25">
      <c r="A1667" s="25">
        <v>8</v>
      </c>
      <c r="B1667" s="25" t="s">
        <v>257</v>
      </c>
      <c r="C1667" s="26" t="s">
        <v>1121</v>
      </c>
      <c r="D1667" s="25" t="str">
        <f t="shared" ref="D1667:D1730" si="26">$B$1&amp;B1667</f>
        <v>Số thửaSố thửa48</v>
      </c>
    </row>
    <row r="1668" spans="1:4" x14ac:dyDescent="0.25">
      <c r="A1668" s="25">
        <v>8</v>
      </c>
      <c r="B1668" s="25" t="s">
        <v>460</v>
      </c>
      <c r="C1668" s="26" t="s">
        <v>1121</v>
      </c>
      <c r="D1668" s="25" t="str">
        <f t="shared" si="26"/>
        <v>Số thửaSố thửa49</v>
      </c>
    </row>
    <row r="1669" spans="1:4" x14ac:dyDescent="0.25">
      <c r="A1669" s="25">
        <v>8</v>
      </c>
      <c r="B1669" s="25" t="s">
        <v>196</v>
      </c>
      <c r="C1669" s="26" t="s">
        <v>1121</v>
      </c>
      <c r="D1669" s="25" t="str">
        <f t="shared" si="26"/>
        <v>Số thửaSố thửa50</v>
      </c>
    </row>
    <row r="1670" spans="1:4" x14ac:dyDescent="0.25">
      <c r="A1670" s="25">
        <v>8</v>
      </c>
      <c r="B1670" s="25" t="s">
        <v>259</v>
      </c>
      <c r="C1670" s="26" t="s">
        <v>1121</v>
      </c>
      <c r="D1670" s="25" t="str">
        <f t="shared" si="26"/>
        <v>Số thửaSố thửa58</v>
      </c>
    </row>
    <row r="1671" spans="1:4" x14ac:dyDescent="0.25">
      <c r="A1671" s="25">
        <v>8</v>
      </c>
      <c r="B1671" s="25" t="s">
        <v>261</v>
      </c>
      <c r="C1671" s="26" t="s">
        <v>1121</v>
      </c>
      <c r="D1671" s="25" t="str">
        <f t="shared" si="26"/>
        <v>Số thửaSố thửa59</v>
      </c>
    </row>
    <row r="1672" spans="1:4" x14ac:dyDescent="0.25">
      <c r="A1672" s="25">
        <v>8</v>
      </c>
      <c r="B1672" s="25" t="s">
        <v>64</v>
      </c>
      <c r="C1672" s="26" t="s">
        <v>1123</v>
      </c>
      <c r="D1672" s="25" t="str">
        <f t="shared" si="26"/>
        <v>Số thửaSố thửa60</v>
      </c>
    </row>
    <row r="1673" spans="1:4" x14ac:dyDescent="0.25">
      <c r="A1673" s="25">
        <v>8</v>
      </c>
      <c r="B1673" s="25" t="s">
        <v>643</v>
      </c>
      <c r="C1673" s="26" t="s">
        <v>1123</v>
      </c>
      <c r="D1673" s="25" t="str">
        <f t="shared" si="26"/>
        <v>Số thửaSố thửa63</v>
      </c>
    </row>
    <row r="1674" spans="1:4" x14ac:dyDescent="0.25">
      <c r="A1674" s="25">
        <v>8</v>
      </c>
      <c r="B1674" s="25" t="s">
        <v>67</v>
      </c>
      <c r="C1674" s="26" t="s">
        <v>1123</v>
      </c>
      <c r="D1674" s="25" t="str">
        <f t="shared" si="26"/>
        <v>Số thửaSố thửa64</v>
      </c>
    </row>
    <row r="1675" spans="1:4" x14ac:dyDescent="0.25">
      <c r="A1675" s="25">
        <v>8</v>
      </c>
      <c r="B1675" s="25" t="s">
        <v>461</v>
      </c>
      <c r="C1675" s="26" t="s">
        <v>1122</v>
      </c>
      <c r="D1675" s="25" t="str">
        <f t="shared" si="26"/>
        <v>Số thửaSố thửa71</v>
      </c>
    </row>
    <row r="1676" spans="1:4" x14ac:dyDescent="0.25">
      <c r="A1676" s="25">
        <v>8</v>
      </c>
      <c r="B1676" s="25" t="s">
        <v>68</v>
      </c>
      <c r="C1676" s="26" t="s">
        <v>1123</v>
      </c>
      <c r="D1676" s="25" t="str">
        <f t="shared" si="26"/>
        <v>Số thửaSố thửa72</v>
      </c>
    </row>
    <row r="1677" spans="1:4" x14ac:dyDescent="0.25">
      <c r="A1677" s="25">
        <v>8</v>
      </c>
      <c r="B1677" s="25" t="s">
        <v>263</v>
      </c>
      <c r="C1677" s="26" t="s">
        <v>1122</v>
      </c>
      <c r="D1677" s="25" t="str">
        <f t="shared" si="26"/>
        <v>Số thửaSố thửa73</v>
      </c>
    </row>
    <row r="1678" spans="1:4" x14ac:dyDescent="0.25">
      <c r="A1678" s="25">
        <v>8</v>
      </c>
      <c r="B1678" s="25" t="s">
        <v>1064</v>
      </c>
      <c r="C1678" s="26" t="s">
        <v>1123</v>
      </c>
      <c r="D1678" s="25" t="str">
        <f t="shared" si="26"/>
        <v>Số thửaSố thửa74</v>
      </c>
    </row>
    <row r="1679" spans="1:4" x14ac:dyDescent="0.25">
      <c r="A1679" s="25">
        <v>8</v>
      </c>
      <c r="B1679" s="25" t="s">
        <v>348</v>
      </c>
      <c r="C1679" s="26" t="s">
        <v>1123</v>
      </c>
      <c r="D1679" s="25" t="str">
        <f t="shared" si="26"/>
        <v>Số thửaSố thửa97</v>
      </c>
    </row>
    <row r="1680" spans="1:4" x14ac:dyDescent="0.25">
      <c r="A1680" s="25">
        <v>8</v>
      </c>
      <c r="B1680" s="25" t="s">
        <v>314</v>
      </c>
      <c r="C1680" s="26" t="s">
        <v>1123</v>
      </c>
      <c r="D1680" s="25" t="str">
        <f t="shared" si="26"/>
        <v>Số thửaSố thửa98</v>
      </c>
    </row>
    <row r="1681" spans="1:4" x14ac:dyDescent="0.25">
      <c r="A1681" s="25">
        <v>8</v>
      </c>
      <c r="B1681" s="25" t="s">
        <v>71</v>
      </c>
      <c r="C1681" s="26" t="s">
        <v>1122</v>
      </c>
      <c r="D1681" s="25" t="str">
        <f t="shared" si="26"/>
        <v>Số thửaSố thửa99</v>
      </c>
    </row>
    <row r="1682" spans="1:4" x14ac:dyDescent="0.25">
      <c r="A1682" s="25">
        <v>8</v>
      </c>
      <c r="B1682" s="25" t="s">
        <v>194</v>
      </c>
      <c r="C1682" s="26" t="s">
        <v>1123</v>
      </c>
      <c r="D1682" s="25" t="str">
        <f t="shared" si="26"/>
        <v>Số thửaSố thửa100</v>
      </c>
    </row>
    <row r="1683" spans="1:4" x14ac:dyDescent="0.25">
      <c r="A1683" s="25">
        <v>8</v>
      </c>
      <c r="B1683" s="25" t="s">
        <v>325</v>
      </c>
      <c r="C1683" s="26" t="s">
        <v>1123</v>
      </c>
      <c r="D1683" s="25" t="str">
        <f t="shared" si="26"/>
        <v>Số thửaSố thửa101</v>
      </c>
    </row>
    <row r="1684" spans="1:4" x14ac:dyDescent="0.25">
      <c r="A1684" s="25">
        <v>8</v>
      </c>
      <c r="B1684" s="25" t="s">
        <v>567</v>
      </c>
      <c r="C1684" s="26" t="s">
        <v>1124</v>
      </c>
      <c r="D1684" s="25" t="str">
        <f t="shared" si="26"/>
        <v>Số thửaSố thửa184</v>
      </c>
    </row>
    <row r="1685" spans="1:4" x14ac:dyDescent="0.25">
      <c r="A1685" s="25">
        <v>8</v>
      </c>
      <c r="B1685" s="25" t="s">
        <v>567</v>
      </c>
      <c r="C1685" s="26" t="s">
        <v>1124</v>
      </c>
      <c r="D1685" s="25" t="str">
        <f t="shared" si="26"/>
        <v>Số thửaSố thửa184</v>
      </c>
    </row>
    <row r="1686" spans="1:4" x14ac:dyDescent="0.25">
      <c r="A1686" s="25">
        <v>8</v>
      </c>
      <c r="B1686" s="25" t="s">
        <v>875</v>
      </c>
      <c r="C1686" s="26" t="s">
        <v>1120</v>
      </c>
      <c r="D1686" s="25" t="str">
        <f t="shared" si="26"/>
        <v>Số thửaSố thửa188</v>
      </c>
    </row>
    <row r="1687" spans="1:4" x14ac:dyDescent="0.25">
      <c r="A1687" s="25">
        <v>8</v>
      </c>
      <c r="B1687" s="25" t="s">
        <v>870</v>
      </c>
      <c r="C1687" s="26" t="s">
        <v>1122</v>
      </c>
      <c r="D1687" s="25" t="str">
        <f t="shared" si="26"/>
        <v>Số thửaSố thửa261</v>
      </c>
    </row>
    <row r="1688" spans="1:4" x14ac:dyDescent="0.25">
      <c r="A1688" s="25">
        <v>8</v>
      </c>
      <c r="B1688" s="25" t="s">
        <v>486</v>
      </c>
      <c r="C1688" s="26" t="s">
        <v>1122</v>
      </c>
      <c r="D1688" s="25" t="str">
        <f t="shared" si="26"/>
        <v>Số thửaSố thửa265</v>
      </c>
    </row>
    <row r="1689" spans="1:4" x14ac:dyDescent="0.25">
      <c r="A1689" s="25">
        <v>8</v>
      </c>
      <c r="B1689" s="25" t="s">
        <v>403</v>
      </c>
      <c r="C1689" s="26" t="s">
        <v>1121</v>
      </c>
      <c r="D1689" s="25" t="str">
        <f t="shared" si="26"/>
        <v>Số thửaSố thửa282</v>
      </c>
    </row>
    <row r="1690" spans="1:4" x14ac:dyDescent="0.25">
      <c r="A1690" s="25">
        <v>8</v>
      </c>
      <c r="B1690" s="25" t="s">
        <v>133</v>
      </c>
      <c r="C1690" s="26" t="s">
        <v>1122</v>
      </c>
      <c r="D1690" s="25" t="str">
        <f t="shared" si="26"/>
        <v>Số thửaSố thửa283</v>
      </c>
    </row>
    <row r="1691" spans="1:4" x14ac:dyDescent="0.25">
      <c r="A1691" s="25">
        <v>8</v>
      </c>
      <c r="B1691" s="25" t="s">
        <v>1125</v>
      </c>
      <c r="C1691" s="26" t="s">
        <v>1122</v>
      </c>
      <c r="D1691" s="25" t="str">
        <f t="shared" si="26"/>
        <v>Số thửaSố thửa286</v>
      </c>
    </row>
    <row r="1692" spans="1:4" x14ac:dyDescent="0.25">
      <c r="A1692" s="25">
        <v>9</v>
      </c>
      <c r="B1692" s="25" t="s">
        <v>209</v>
      </c>
      <c r="C1692" s="26" t="s">
        <v>1120</v>
      </c>
      <c r="D1692" s="25" t="str">
        <f t="shared" si="26"/>
        <v>Số thửaSố thửa762</v>
      </c>
    </row>
    <row r="1693" spans="1:4" x14ac:dyDescent="0.25">
      <c r="A1693" s="25">
        <v>9</v>
      </c>
      <c r="B1693" s="25" t="s">
        <v>1126</v>
      </c>
      <c r="C1693" s="26" t="s">
        <v>1121</v>
      </c>
      <c r="D1693" s="25" t="str">
        <f t="shared" si="26"/>
        <v>Số thửaSố thửa849</v>
      </c>
    </row>
    <row r="1694" spans="1:4" x14ac:dyDescent="0.25">
      <c r="A1694" s="25">
        <v>9</v>
      </c>
      <c r="B1694" s="25" t="s">
        <v>159</v>
      </c>
      <c r="C1694" s="26" t="s">
        <v>1120</v>
      </c>
      <c r="D1694" s="25" t="str">
        <f t="shared" si="26"/>
        <v>Số thửaSố thửa864</v>
      </c>
    </row>
    <row r="1695" spans="1:4" x14ac:dyDescent="0.25">
      <c r="A1695" s="25">
        <v>8</v>
      </c>
      <c r="B1695" s="25" t="s">
        <v>276</v>
      </c>
      <c r="C1695" s="26" t="s">
        <v>1127</v>
      </c>
      <c r="D1695" s="25" t="str">
        <f t="shared" si="26"/>
        <v>Số thửaSố thửa25</v>
      </c>
    </row>
    <row r="1696" spans="1:4" x14ac:dyDescent="0.25">
      <c r="A1696" s="25">
        <v>8</v>
      </c>
      <c r="B1696" s="25" t="s">
        <v>1128</v>
      </c>
      <c r="C1696" s="26" t="s">
        <v>1127</v>
      </c>
      <c r="D1696" s="25" t="str">
        <f t="shared" si="26"/>
        <v>Số thửaSố thửa210</v>
      </c>
    </row>
    <row r="1697" spans="1:4" x14ac:dyDescent="0.25">
      <c r="A1697" s="25">
        <v>8</v>
      </c>
      <c r="B1697" s="25" t="s">
        <v>955</v>
      </c>
      <c r="C1697" s="26" t="s">
        <v>1127</v>
      </c>
      <c r="D1697" s="25" t="str">
        <f t="shared" si="26"/>
        <v>Số thửaSố thửa212</v>
      </c>
    </row>
    <row r="1698" spans="1:4" x14ac:dyDescent="0.25">
      <c r="A1698" s="25">
        <v>9</v>
      </c>
      <c r="B1698" s="25" t="s">
        <v>363</v>
      </c>
      <c r="C1698" s="26" t="s">
        <v>1129</v>
      </c>
      <c r="D1698" s="25" t="str">
        <f t="shared" si="26"/>
        <v>Số thửaSố thửa275</v>
      </c>
    </row>
    <row r="1699" spans="1:4" x14ac:dyDescent="0.25">
      <c r="A1699" s="25">
        <v>9</v>
      </c>
      <c r="B1699" s="25" t="s">
        <v>137</v>
      </c>
      <c r="C1699" s="26" t="s">
        <v>1129</v>
      </c>
      <c r="D1699" s="25" t="str">
        <f t="shared" si="26"/>
        <v>Số thửaSố thửa305</v>
      </c>
    </row>
    <row r="1700" spans="1:4" x14ac:dyDescent="0.25">
      <c r="A1700" s="25">
        <v>9</v>
      </c>
      <c r="B1700" s="25" t="s">
        <v>139</v>
      </c>
      <c r="C1700" s="26" t="s">
        <v>1129</v>
      </c>
      <c r="D1700" s="25" t="str">
        <f t="shared" si="26"/>
        <v>Số thửaSố thửa306</v>
      </c>
    </row>
    <row r="1701" spans="1:4" x14ac:dyDescent="0.25">
      <c r="A1701" s="25">
        <v>9</v>
      </c>
      <c r="B1701" s="25" t="s">
        <v>140</v>
      </c>
      <c r="C1701" s="26" t="s">
        <v>1129</v>
      </c>
      <c r="D1701" s="25" t="str">
        <f t="shared" si="26"/>
        <v>Số thửaSố thửa307</v>
      </c>
    </row>
    <row r="1702" spans="1:4" x14ac:dyDescent="0.25">
      <c r="A1702" s="25">
        <v>9</v>
      </c>
      <c r="B1702" s="25" t="s">
        <v>713</v>
      </c>
      <c r="C1702" s="26" t="s">
        <v>1129</v>
      </c>
      <c r="D1702" s="25" t="str">
        <f t="shared" si="26"/>
        <v>Số thửaSố thửa308</v>
      </c>
    </row>
    <row r="1703" spans="1:4" x14ac:dyDescent="0.25">
      <c r="A1703" s="25">
        <v>9</v>
      </c>
      <c r="B1703" s="25" t="s">
        <v>487</v>
      </c>
      <c r="C1703" s="26" t="s">
        <v>1129</v>
      </c>
      <c r="D1703" s="25" t="str">
        <f t="shared" si="26"/>
        <v>Số thửaSố thửa334</v>
      </c>
    </row>
    <row r="1704" spans="1:4" x14ac:dyDescent="0.25">
      <c r="A1704" s="25">
        <v>9</v>
      </c>
      <c r="B1704" s="25" t="s">
        <v>369</v>
      </c>
      <c r="C1704" s="26" t="s">
        <v>1129</v>
      </c>
      <c r="D1704" s="25" t="str">
        <f t="shared" si="26"/>
        <v>Số thửaSố thửa335</v>
      </c>
    </row>
    <row r="1705" spans="1:4" x14ac:dyDescent="0.25">
      <c r="A1705" s="25">
        <v>9</v>
      </c>
      <c r="B1705" s="25" t="s">
        <v>216</v>
      </c>
      <c r="C1705" s="26" t="s">
        <v>1129</v>
      </c>
      <c r="D1705" s="25" t="str">
        <f t="shared" si="26"/>
        <v>Số thửaSố thửa336</v>
      </c>
    </row>
    <row r="1706" spans="1:4" x14ac:dyDescent="0.25">
      <c r="A1706" s="25">
        <v>9</v>
      </c>
      <c r="B1706" s="25" t="s">
        <v>114</v>
      </c>
      <c r="C1706" s="26" t="s">
        <v>1129</v>
      </c>
      <c r="D1706" s="25" t="str">
        <f t="shared" si="26"/>
        <v>Số thửaSố thửa337</v>
      </c>
    </row>
    <row r="1707" spans="1:4" x14ac:dyDescent="0.25">
      <c r="A1707" s="25">
        <v>9</v>
      </c>
      <c r="B1707" s="25" t="s">
        <v>735</v>
      </c>
      <c r="C1707" s="26" t="s">
        <v>1129</v>
      </c>
      <c r="D1707" s="25" t="str">
        <f t="shared" si="26"/>
        <v>Số thửaSố thửa338</v>
      </c>
    </row>
    <row r="1708" spans="1:4" x14ac:dyDescent="0.25">
      <c r="A1708" s="25">
        <v>9</v>
      </c>
      <c r="B1708" s="25" t="s">
        <v>183</v>
      </c>
      <c r="C1708" s="26" t="s">
        <v>1129</v>
      </c>
      <c r="D1708" s="25" t="str">
        <f t="shared" si="26"/>
        <v>Số thửaSố thửa372</v>
      </c>
    </row>
    <row r="1709" spans="1:4" x14ac:dyDescent="0.25">
      <c r="A1709" s="25">
        <v>9</v>
      </c>
      <c r="B1709" s="25" t="s">
        <v>749</v>
      </c>
      <c r="C1709" s="26" t="s">
        <v>1129</v>
      </c>
      <c r="D1709" s="25" t="str">
        <f t="shared" si="26"/>
        <v>Số thửaSố thửa373</v>
      </c>
    </row>
    <row r="1710" spans="1:4" x14ac:dyDescent="0.25">
      <c r="A1710" s="25">
        <v>9</v>
      </c>
      <c r="B1710" s="25" t="s">
        <v>807</v>
      </c>
      <c r="C1710" s="26" t="s">
        <v>1129</v>
      </c>
      <c r="D1710" s="25" t="str">
        <f t="shared" si="26"/>
        <v>Số thửaSố thửa374</v>
      </c>
    </row>
    <row r="1711" spans="1:4" x14ac:dyDescent="0.25">
      <c r="A1711" s="25">
        <v>9</v>
      </c>
      <c r="B1711" s="25" t="s">
        <v>873</v>
      </c>
      <c r="C1711" s="26" t="s">
        <v>1129</v>
      </c>
      <c r="D1711" s="25" t="str">
        <f t="shared" si="26"/>
        <v>Số thửaSố thửa408</v>
      </c>
    </row>
    <row r="1712" spans="1:4" x14ac:dyDescent="0.25">
      <c r="A1712" s="25">
        <v>8</v>
      </c>
      <c r="B1712" s="25" t="s">
        <v>213</v>
      </c>
      <c r="C1712" s="26" t="s">
        <v>1130</v>
      </c>
      <c r="D1712" s="25" t="str">
        <f t="shared" si="26"/>
        <v>Số thửaSố thửa267</v>
      </c>
    </row>
    <row r="1713" spans="1:4" x14ac:dyDescent="0.25">
      <c r="A1713" s="25">
        <v>8</v>
      </c>
      <c r="B1713" s="25" t="s">
        <v>359</v>
      </c>
      <c r="C1713" s="26" t="s">
        <v>1130</v>
      </c>
      <c r="D1713" s="25" t="str">
        <f t="shared" si="26"/>
        <v>Số thửaSố thửa268</v>
      </c>
    </row>
    <row r="1714" spans="1:4" x14ac:dyDescent="0.25">
      <c r="A1714" s="25">
        <v>8</v>
      </c>
      <c r="B1714" s="25" t="s">
        <v>360</v>
      </c>
      <c r="C1714" s="26" t="s">
        <v>1130</v>
      </c>
      <c r="D1714" s="25" t="str">
        <f t="shared" si="26"/>
        <v>Số thửaSố thửa269</v>
      </c>
    </row>
    <row r="1715" spans="1:4" x14ac:dyDescent="0.25">
      <c r="A1715" s="25">
        <v>8</v>
      </c>
      <c r="B1715" s="25" t="s">
        <v>361</v>
      </c>
      <c r="C1715" s="26" t="s">
        <v>1130</v>
      </c>
      <c r="D1715" s="25" t="str">
        <f t="shared" si="26"/>
        <v>Số thửaSố thửa270</v>
      </c>
    </row>
    <row r="1716" spans="1:4" x14ac:dyDescent="0.25">
      <c r="A1716" s="25">
        <v>8</v>
      </c>
      <c r="B1716" s="25" t="s">
        <v>435</v>
      </c>
      <c r="C1716" s="26" t="s">
        <v>1130</v>
      </c>
      <c r="D1716" s="25" t="str">
        <f t="shared" si="26"/>
        <v>Số thửaSố thửa272</v>
      </c>
    </row>
    <row r="1717" spans="1:4" x14ac:dyDescent="0.25">
      <c r="A1717" s="25">
        <v>8</v>
      </c>
      <c r="B1717" s="25" t="s">
        <v>362</v>
      </c>
      <c r="C1717" s="26" t="s">
        <v>1130</v>
      </c>
      <c r="D1717" s="25" t="str">
        <f t="shared" si="26"/>
        <v>Số thửaSố thửa274</v>
      </c>
    </row>
    <row r="1718" spans="1:4" x14ac:dyDescent="0.25">
      <c r="A1718" s="25">
        <v>8</v>
      </c>
      <c r="B1718" s="25" t="s">
        <v>363</v>
      </c>
      <c r="C1718" s="26" t="s">
        <v>1130</v>
      </c>
      <c r="D1718" s="25" t="str">
        <f t="shared" si="26"/>
        <v>Số thửaSố thửa275</v>
      </c>
    </row>
    <row r="1719" spans="1:4" x14ac:dyDescent="0.25">
      <c r="A1719" s="25">
        <v>8</v>
      </c>
      <c r="B1719" s="25" t="s">
        <v>364</v>
      </c>
      <c r="C1719" s="26" t="s">
        <v>1130</v>
      </c>
      <c r="D1719" s="25" t="str">
        <f t="shared" si="26"/>
        <v>Số thửaSố thửa276</v>
      </c>
    </row>
    <row r="1720" spans="1:4" x14ac:dyDescent="0.25">
      <c r="A1720" s="25">
        <v>8</v>
      </c>
      <c r="B1720" s="25" t="s">
        <v>365</v>
      </c>
      <c r="C1720" s="26" t="s">
        <v>1130</v>
      </c>
      <c r="D1720" s="25" t="str">
        <f t="shared" si="26"/>
        <v>Số thửaSố thửa277</v>
      </c>
    </row>
    <row r="1721" spans="1:4" x14ac:dyDescent="0.25">
      <c r="A1721" s="25">
        <v>8</v>
      </c>
      <c r="B1721" s="25" t="s">
        <v>729</v>
      </c>
      <c r="C1721" s="26" t="s">
        <v>1130</v>
      </c>
      <c r="D1721" s="25" t="str">
        <f t="shared" si="26"/>
        <v>Số thửaSố thửa278</v>
      </c>
    </row>
    <row r="1722" spans="1:4" x14ac:dyDescent="0.25">
      <c r="A1722" s="25">
        <v>8</v>
      </c>
      <c r="B1722" s="25" t="s">
        <v>730</v>
      </c>
      <c r="C1722" s="26" t="s">
        <v>1130</v>
      </c>
      <c r="D1722" s="25" t="str">
        <f t="shared" si="26"/>
        <v>Số thửaSố thửa279</v>
      </c>
    </row>
    <row r="1723" spans="1:4" x14ac:dyDescent="0.25">
      <c r="A1723" s="25">
        <v>8</v>
      </c>
      <c r="B1723" s="25" t="s">
        <v>366</v>
      </c>
      <c r="C1723" s="26" t="s">
        <v>1130</v>
      </c>
      <c r="D1723" s="25" t="str">
        <f t="shared" si="26"/>
        <v>Số thửaSố thửa280</v>
      </c>
    </row>
    <row r="1724" spans="1:4" x14ac:dyDescent="0.25">
      <c r="A1724" s="25">
        <v>8</v>
      </c>
      <c r="B1724" s="25" t="s">
        <v>436</v>
      </c>
      <c r="C1724" s="26" t="s">
        <v>1130</v>
      </c>
      <c r="D1724" s="25" t="str">
        <f t="shared" si="26"/>
        <v>Số thửaSố thửa281</v>
      </c>
    </row>
    <row r="1725" spans="1:4" x14ac:dyDescent="0.25">
      <c r="A1725" s="25">
        <v>8</v>
      </c>
      <c r="B1725" s="25" t="s">
        <v>992</v>
      </c>
      <c r="C1725" s="26" t="s">
        <v>1130</v>
      </c>
      <c r="D1725" s="25" t="str">
        <f t="shared" si="26"/>
        <v>Số thửaSố thửa285</v>
      </c>
    </row>
    <row r="1726" spans="1:4" x14ac:dyDescent="0.25">
      <c r="A1726" s="25">
        <v>8</v>
      </c>
      <c r="B1726" s="25" t="s">
        <v>959</v>
      </c>
      <c r="C1726" s="26" t="s">
        <v>1130</v>
      </c>
      <c r="D1726" s="25" t="str">
        <f t="shared" si="26"/>
        <v>Số thửaSố thửa288</v>
      </c>
    </row>
    <row r="1727" spans="1:4" x14ac:dyDescent="0.25">
      <c r="A1727" s="25">
        <v>8</v>
      </c>
      <c r="B1727" s="25" t="s">
        <v>214</v>
      </c>
      <c r="C1727" s="26" t="s">
        <v>1130</v>
      </c>
      <c r="D1727" s="25" t="str">
        <f t="shared" si="26"/>
        <v>Số thửaSố thửa289</v>
      </c>
    </row>
    <row r="1728" spans="1:4" x14ac:dyDescent="0.25">
      <c r="A1728" s="25">
        <v>9</v>
      </c>
      <c r="B1728" s="25" t="s">
        <v>1131</v>
      </c>
      <c r="C1728" s="26" t="s">
        <v>1132</v>
      </c>
      <c r="D1728" s="25" t="str">
        <f t="shared" si="26"/>
        <v>Số thửaSố thửa542</v>
      </c>
    </row>
    <row r="1729" spans="1:4" x14ac:dyDescent="0.25">
      <c r="A1729" s="25">
        <v>9</v>
      </c>
      <c r="B1729" s="25" t="s">
        <v>1133</v>
      </c>
      <c r="C1729" s="26" t="s">
        <v>1134</v>
      </c>
      <c r="D1729" s="25" t="str">
        <f t="shared" si="26"/>
        <v>Số thửaSố thửa765</v>
      </c>
    </row>
    <row r="1730" spans="1:4" x14ac:dyDescent="0.25">
      <c r="A1730" s="25">
        <v>9</v>
      </c>
      <c r="B1730" s="25" t="s">
        <v>1133</v>
      </c>
      <c r="C1730" s="26" t="s">
        <v>1134</v>
      </c>
      <c r="D1730" s="25" t="str">
        <f t="shared" si="26"/>
        <v>Số thửaSố thửa765</v>
      </c>
    </row>
    <row r="1731" spans="1:4" x14ac:dyDescent="0.25">
      <c r="A1731" s="25">
        <v>9</v>
      </c>
      <c r="B1731" s="25" t="s">
        <v>747</v>
      </c>
      <c r="C1731" s="26" t="s">
        <v>1135</v>
      </c>
      <c r="D1731" s="25" t="str">
        <f t="shared" ref="D1731:D1794" si="27">$B$1&amp;B1731</f>
        <v>Số thửaSố thửa319</v>
      </c>
    </row>
    <row r="1732" spans="1:4" x14ac:dyDescent="0.25">
      <c r="A1732" s="25">
        <v>9</v>
      </c>
      <c r="B1732" s="25" t="s">
        <v>367</v>
      </c>
      <c r="C1732" s="26" t="s">
        <v>1135</v>
      </c>
      <c r="D1732" s="25" t="str">
        <f t="shared" si="27"/>
        <v>Số thửaSố thửa321</v>
      </c>
    </row>
    <row r="1733" spans="1:4" x14ac:dyDescent="0.25">
      <c r="A1733" s="25">
        <v>9</v>
      </c>
      <c r="B1733" s="25" t="s">
        <v>1136</v>
      </c>
      <c r="C1733" s="26" t="s">
        <v>1135</v>
      </c>
      <c r="D1733" s="25" t="str">
        <f t="shared" si="27"/>
        <v>Số thửaSố thửa730</v>
      </c>
    </row>
    <row r="1734" spans="1:4" x14ac:dyDescent="0.25">
      <c r="A1734" s="25">
        <v>6</v>
      </c>
      <c r="B1734" s="25" t="s">
        <v>613</v>
      </c>
      <c r="C1734" s="26" t="s">
        <v>1137</v>
      </c>
      <c r="D1734" s="25" t="str">
        <f t="shared" si="27"/>
        <v>Số thửaSố thửa436</v>
      </c>
    </row>
    <row r="1735" spans="1:4" x14ac:dyDescent="0.25">
      <c r="A1735" s="25">
        <v>6</v>
      </c>
      <c r="B1735" s="25" t="s">
        <v>615</v>
      </c>
      <c r="C1735" s="26" t="s">
        <v>1137</v>
      </c>
      <c r="D1735" s="25" t="str">
        <f t="shared" si="27"/>
        <v>Số thửaSố thửa438</v>
      </c>
    </row>
    <row r="1736" spans="1:4" x14ac:dyDescent="0.25">
      <c r="A1736" s="25">
        <v>6</v>
      </c>
      <c r="B1736" s="25" t="s">
        <v>619</v>
      </c>
      <c r="C1736" s="26" t="s">
        <v>1137</v>
      </c>
      <c r="D1736" s="25" t="str">
        <f t="shared" si="27"/>
        <v>Số thửaSố thửa449</v>
      </c>
    </row>
    <row r="1737" spans="1:4" x14ac:dyDescent="0.25">
      <c r="A1737" s="25">
        <v>6</v>
      </c>
      <c r="B1737" s="25" t="s">
        <v>620</v>
      </c>
      <c r="C1737" s="26" t="s">
        <v>1137</v>
      </c>
      <c r="D1737" s="25" t="str">
        <f t="shared" si="27"/>
        <v>Số thửaSố thửa450</v>
      </c>
    </row>
    <row r="1738" spans="1:4" x14ac:dyDescent="0.25">
      <c r="A1738" s="25">
        <v>6</v>
      </c>
      <c r="B1738" s="25" t="s">
        <v>288</v>
      </c>
      <c r="C1738" s="26" t="s">
        <v>1137</v>
      </c>
      <c r="D1738" s="25" t="str">
        <f t="shared" si="27"/>
        <v>Số thửaSố thửa452</v>
      </c>
    </row>
    <row r="1739" spans="1:4" x14ac:dyDescent="0.25">
      <c r="A1739" s="25">
        <v>6</v>
      </c>
      <c r="B1739" s="25" t="s">
        <v>289</v>
      </c>
      <c r="C1739" s="26" t="s">
        <v>1137</v>
      </c>
      <c r="D1739" s="25" t="str">
        <f t="shared" si="27"/>
        <v>Số thửaSố thửa453</v>
      </c>
    </row>
    <row r="1740" spans="1:4" x14ac:dyDescent="0.25">
      <c r="A1740" s="25">
        <v>6</v>
      </c>
      <c r="B1740" s="25" t="s">
        <v>290</v>
      </c>
      <c r="C1740" s="26" t="s">
        <v>1137</v>
      </c>
      <c r="D1740" s="25" t="str">
        <f t="shared" si="27"/>
        <v>Số thửaSố thửa454</v>
      </c>
    </row>
    <row r="1741" spans="1:4" x14ac:dyDescent="0.25">
      <c r="A1741" s="25">
        <v>6</v>
      </c>
      <c r="B1741" s="25" t="s">
        <v>291</v>
      </c>
      <c r="C1741" s="26" t="s">
        <v>1137</v>
      </c>
      <c r="D1741" s="25" t="str">
        <f t="shared" si="27"/>
        <v>Số thửaSố thửa455</v>
      </c>
    </row>
    <row r="1742" spans="1:4" x14ac:dyDescent="0.25">
      <c r="A1742" s="25">
        <v>6</v>
      </c>
      <c r="B1742" s="25" t="s">
        <v>297</v>
      </c>
      <c r="C1742" s="26" t="s">
        <v>1137</v>
      </c>
      <c r="D1742" s="25" t="str">
        <f t="shared" si="27"/>
        <v>Số thửaSố thửa483</v>
      </c>
    </row>
    <row r="1743" spans="1:4" x14ac:dyDescent="0.25">
      <c r="A1743" s="25">
        <v>6</v>
      </c>
      <c r="B1743" s="25" t="s">
        <v>569</v>
      </c>
      <c r="C1743" s="26" t="s">
        <v>1137</v>
      </c>
      <c r="D1743" s="25" t="str">
        <f t="shared" si="27"/>
        <v>Số thửaSố thửa486</v>
      </c>
    </row>
    <row r="1744" spans="1:4" x14ac:dyDescent="0.25">
      <c r="A1744" s="25">
        <v>6</v>
      </c>
      <c r="B1744" s="25" t="s">
        <v>570</v>
      </c>
      <c r="C1744" s="26" t="s">
        <v>1137</v>
      </c>
      <c r="D1744" s="25" t="str">
        <f t="shared" si="27"/>
        <v>Số thửaSố thửa487</v>
      </c>
    </row>
    <row r="1745" spans="1:4" x14ac:dyDescent="0.25">
      <c r="A1745" s="25">
        <v>6</v>
      </c>
      <c r="B1745" s="25" t="s">
        <v>880</v>
      </c>
      <c r="C1745" s="26" t="s">
        <v>1137</v>
      </c>
      <c r="D1745" s="25" t="str">
        <f t="shared" si="27"/>
        <v>Số thửaSố thửa504</v>
      </c>
    </row>
    <row r="1746" spans="1:4" x14ac:dyDescent="0.25">
      <c r="A1746" s="25">
        <v>6</v>
      </c>
      <c r="B1746" s="25" t="s">
        <v>881</v>
      </c>
      <c r="C1746" s="26" t="s">
        <v>1137</v>
      </c>
      <c r="D1746" s="25" t="str">
        <f t="shared" si="27"/>
        <v>Số thửaSố thửa505</v>
      </c>
    </row>
    <row r="1747" spans="1:4" x14ac:dyDescent="0.25">
      <c r="A1747" s="25">
        <v>6</v>
      </c>
      <c r="B1747" s="25" t="s">
        <v>1138</v>
      </c>
      <c r="C1747" s="26" t="s">
        <v>1137</v>
      </c>
      <c r="D1747" s="25" t="str">
        <f t="shared" si="27"/>
        <v>Số thửaSố thửa507</v>
      </c>
    </row>
    <row r="1748" spans="1:4" x14ac:dyDescent="0.25">
      <c r="A1748" s="25">
        <v>6</v>
      </c>
      <c r="B1748" s="25" t="s">
        <v>857</v>
      </c>
      <c r="C1748" s="26" t="s">
        <v>1137</v>
      </c>
      <c r="D1748" s="25" t="str">
        <f t="shared" si="27"/>
        <v>Số thửaSố thửa534</v>
      </c>
    </row>
    <row r="1749" spans="1:4" x14ac:dyDescent="0.25">
      <c r="A1749" s="25">
        <v>6</v>
      </c>
      <c r="B1749" s="25" t="s">
        <v>574</v>
      </c>
      <c r="C1749" s="26" t="s">
        <v>1137</v>
      </c>
      <c r="D1749" s="25" t="str">
        <f t="shared" si="27"/>
        <v>Số thửaSố thửa535</v>
      </c>
    </row>
    <row r="1750" spans="1:4" x14ac:dyDescent="0.25">
      <c r="A1750" s="25">
        <v>6</v>
      </c>
      <c r="B1750" s="25" t="s">
        <v>335</v>
      </c>
      <c r="C1750" s="26" t="s">
        <v>1139</v>
      </c>
      <c r="D1750" s="25" t="str">
        <f t="shared" si="27"/>
        <v>Số thửaSố thửa590</v>
      </c>
    </row>
    <row r="1751" spans="1:4" x14ac:dyDescent="0.25">
      <c r="A1751" s="25">
        <v>7</v>
      </c>
      <c r="B1751" s="25" t="s">
        <v>1027</v>
      </c>
      <c r="C1751" s="26" t="s">
        <v>1140</v>
      </c>
      <c r="D1751" s="25" t="str">
        <f t="shared" si="27"/>
        <v>Số thửaSố thửa833</v>
      </c>
    </row>
    <row r="1752" spans="1:4" x14ac:dyDescent="0.25">
      <c r="A1752" s="25">
        <v>2</v>
      </c>
      <c r="B1752" s="25" t="s">
        <v>398</v>
      </c>
      <c r="C1752" s="26" t="s">
        <v>1141</v>
      </c>
      <c r="D1752" s="25" t="str">
        <f t="shared" si="27"/>
        <v>Số thửaSố thửa172</v>
      </c>
    </row>
    <row r="1753" spans="1:4" x14ac:dyDescent="0.25">
      <c r="A1753" s="25">
        <v>2</v>
      </c>
      <c r="B1753" s="25" t="s">
        <v>1003</v>
      </c>
      <c r="C1753" s="26" t="s">
        <v>1142</v>
      </c>
      <c r="D1753" s="25" t="str">
        <f t="shared" si="27"/>
        <v>Số thửaSố thửa159</v>
      </c>
    </row>
    <row r="1754" spans="1:4" x14ac:dyDescent="0.25">
      <c r="A1754" s="25">
        <v>2</v>
      </c>
      <c r="B1754" s="25" t="s">
        <v>685</v>
      </c>
      <c r="C1754" s="26" t="s">
        <v>1141</v>
      </c>
      <c r="D1754" s="25" t="str">
        <f t="shared" si="27"/>
        <v>Số thửaSố thửa160</v>
      </c>
    </row>
    <row r="1755" spans="1:4" x14ac:dyDescent="0.25">
      <c r="A1755" s="25">
        <v>2</v>
      </c>
      <c r="B1755" s="25" t="s">
        <v>706</v>
      </c>
      <c r="C1755" s="26" t="s">
        <v>1141</v>
      </c>
      <c r="D1755" s="25" t="str">
        <f t="shared" si="27"/>
        <v>Số thửaSố thửa161</v>
      </c>
    </row>
    <row r="1756" spans="1:4" x14ac:dyDescent="0.25">
      <c r="A1756" s="25">
        <v>2</v>
      </c>
      <c r="B1756" s="25" t="s">
        <v>707</v>
      </c>
      <c r="C1756" s="26" t="s">
        <v>1141</v>
      </c>
      <c r="D1756" s="25" t="str">
        <f t="shared" si="27"/>
        <v>Số thửaSố thửa162</v>
      </c>
    </row>
    <row r="1757" spans="1:4" x14ac:dyDescent="0.25">
      <c r="A1757" s="25">
        <v>2</v>
      </c>
      <c r="B1757" s="25" t="s">
        <v>894</v>
      </c>
      <c r="C1757" s="26" t="s">
        <v>1141</v>
      </c>
      <c r="D1757" s="25" t="str">
        <f t="shared" si="27"/>
        <v>Số thửaSố thửa165</v>
      </c>
    </row>
    <row r="1758" spans="1:4" x14ac:dyDescent="0.25">
      <c r="A1758" s="25">
        <v>2</v>
      </c>
      <c r="B1758" s="25" t="s">
        <v>399</v>
      </c>
      <c r="C1758" s="26" t="s">
        <v>1141</v>
      </c>
      <c r="D1758" s="25" t="str">
        <f t="shared" si="27"/>
        <v>Số thửaSố thửa173</v>
      </c>
    </row>
    <row r="1759" spans="1:4" x14ac:dyDescent="0.25">
      <c r="A1759" s="25">
        <v>2</v>
      </c>
      <c r="B1759" s="25" t="s">
        <v>401</v>
      </c>
      <c r="C1759" s="26" t="s">
        <v>1141</v>
      </c>
      <c r="D1759" s="25" t="str">
        <f t="shared" si="27"/>
        <v>Số thửaSố thửa175</v>
      </c>
    </row>
    <row r="1760" spans="1:4" x14ac:dyDescent="0.25">
      <c r="A1760" s="25">
        <v>3</v>
      </c>
      <c r="B1760" s="25" t="s">
        <v>86</v>
      </c>
      <c r="C1760" s="26" t="s">
        <v>1141</v>
      </c>
      <c r="D1760" s="25" t="str">
        <f t="shared" si="27"/>
        <v>Số thửaSố thửa220</v>
      </c>
    </row>
    <row r="1761" spans="1:4" x14ac:dyDescent="0.25">
      <c r="A1761" s="25">
        <v>3</v>
      </c>
      <c r="B1761" s="25" t="s">
        <v>87</v>
      </c>
      <c r="C1761" s="26" t="s">
        <v>1141</v>
      </c>
      <c r="D1761" s="25" t="str">
        <f t="shared" si="27"/>
        <v>Số thửaSố thửa221</v>
      </c>
    </row>
    <row r="1762" spans="1:4" x14ac:dyDescent="0.25">
      <c r="A1762" s="25">
        <v>3</v>
      </c>
      <c r="B1762" s="25" t="s">
        <v>88</v>
      </c>
      <c r="C1762" s="26" t="s">
        <v>1141</v>
      </c>
      <c r="D1762" s="25" t="str">
        <f t="shared" si="27"/>
        <v>Số thửaSố thửa222</v>
      </c>
    </row>
    <row r="1763" spans="1:4" x14ac:dyDescent="0.25">
      <c r="A1763" s="25">
        <v>3</v>
      </c>
      <c r="B1763" s="25" t="s">
        <v>89</v>
      </c>
      <c r="C1763" s="26" t="s">
        <v>1141</v>
      </c>
      <c r="D1763" s="25" t="str">
        <f t="shared" si="27"/>
        <v>Số thửaSố thửa223</v>
      </c>
    </row>
    <row r="1764" spans="1:4" x14ac:dyDescent="0.25">
      <c r="A1764" s="25">
        <v>3</v>
      </c>
      <c r="B1764" s="25" t="s">
        <v>359</v>
      </c>
      <c r="C1764" s="26" t="s">
        <v>1141</v>
      </c>
      <c r="D1764" s="25" t="str">
        <f t="shared" si="27"/>
        <v>Số thửaSố thửa268</v>
      </c>
    </row>
    <row r="1765" spans="1:4" x14ac:dyDescent="0.25">
      <c r="A1765" s="25">
        <v>3</v>
      </c>
      <c r="B1765" s="25" t="s">
        <v>361</v>
      </c>
      <c r="C1765" s="26" t="s">
        <v>1141</v>
      </c>
      <c r="D1765" s="25" t="str">
        <f t="shared" si="27"/>
        <v>Số thửaSố thửa270</v>
      </c>
    </row>
    <row r="1766" spans="1:4" x14ac:dyDescent="0.25">
      <c r="A1766" s="25">
        <v>3</v>
      </c>
      <c r="B1766" s="25" t="s">
        <v>1125</v>
      </c>
      <c r="C1766" s="26" t="s">
        <v>1141</v>
      </c>
      <c r="D1766" s="25" t="str">
        <f t="shared" si="27"/>
        <v>Số thửaSố thửa286</v>
      </c>
    </row>
    <row r="1767" spans="1:4" x14ac:dyDescent="0.25">
      <c r="A1767" s="25">
        <v>3</v>
      </c>
      <c r="B1767" s="25" t="s">
        <v>959</v>
      </c>
      <c r="C1767" s="26" t="s">
        <v>1141</v>
      </c>
      <c r="D1767" s="25" t="str">
        <f t="shared" si="27"/>
        <v>Số thửaSố thửa288</v>
      </c>
    </row>
    <row r="1768" spans="1:4" x14ac:dyDescent="0.25">
      <c r="A1768" s="25">
        <v>6</v>
      </c>
      <c r="B1768" s="25" t="s">
        <v>1143</v>
      </c>
      <c r="C1768" s="26" t="s">
        <v>1144</v>
      </c>
      <c r="D1768" s="25" t="str">
        <f t="shared" si="27"/>
        <v>Số thửaSố thửa477</v>
      </c>
    </row>
    <row r="1769" spans="1:4" x14ac:dyDescent="0.25">
      <c r="A1769" s="25">
        <v>6</v>
      </c>
      <c r="B1769" s="25" t="s">
        <v>1143</v>
      </c>
      <c r="C1769" s="26" t="s">
        <v>1144</v>
      </c>
      <c r="D1769" s="25" t="str">
        <f t="shared" si="27"/>
        <v>Số thửaSố thửa477</v>
      </c>
    </row>
    <row r="1770" spans="1:4" x14ac:dyDescent="0.25">
      <c r="A1770" s="25">
        <v>6</v>
      </c>
      <c r="B1770" s="25" t="s">
        <v>1145</v>
      </c>
      <c r="C1770" s="26" t="s">
        <v>1142</v>
      </c>
      <c r="D1770" s="25" t="str">
        <f t="shared" si="27"/>
        <v>Số thửaSố thửa924</v>
      </c>
    </row>
    <row r="1771" spans="1:4" x14ac:dyDescent="0.25">
      <c r="A1771" s="25">
        <v>11</v>
      </c>
      <c r="B1771" s="25" t="s">
        <v>61</v>
      </c>
      <c r="C1771" s="26" t="s">
        <v>1142</v>
      </c>
      <c r="D1771" s="25" t="str">
        <f t="shared" si="27"/>
        <v>Số thửaSố thửa13</v>
      </c>
    </row>
    <row r="1772" spans="1:4" x14ac:dyDescent="0.25">
      <c r="A1772" s="25">
        <v>2</v>
      </c>
      <c r="B1772" s="25" t="s">
        <v>94</v>
      </c>
      <c r="C1772" s="26" t="s">
        <v>1146</v>
      </c>
      <c r="D1772" s="25" t="str">
        <f t="shared" si="27"/>
        <v>Số thửaSố thửa240</v>
      </c>
    </row>
    <row r="1773" spans="1:4" x14ac:dyDescent="0.25">
      <c r="A1773" s="25">
        <v>2</v>
      </c>
      <c r="B1773" s="25" t="s">
        <v>1007</v>
      </c>
      <c r="C1773" s="26" t="s">
        <v>1146</v>
      </c>
      <c r="D1773" s="25" t="str">
        <f t="shared" si="27"/>
        <v>Số thửaSố thửa192</v>
      </c>
    </row>
    <row r="1774" spans="1:4" x14ac:dyDescent="0.25">
      <c r="A1774" s="25">
        <v>2</v>
      </c>
      <c r="B1774" s="25" t="s">
        <v>1008</v>
      </c>
      <c r="C1774" s="26" t="s">
        <v>1146</v>
      </c>
      <c r="D1774" s="25" t="str">
        <f t="shared" si="27"/>
        <v>Số thửaSố thửa193</v>
      </c>
    </row>
    <row r="1775" spans="1:4" x14ac:dyDescent="0.25">
      <c r="A1775" s="25">
        <v>2</v>
      </c>
      <c r="B1775" s="25" t="s">
        <v>990</v>
      </c>
      <c r="C1775" s="26" t="s">
        <v>1146</v>
      </c>
      <c r="D1775" s="25" t="str">
        <f t="shared" si="27"/>
        <v>Số thửaSố thửa194</v>
      </c>
    </row>
    <row r="1776" spans="1:4" x14ac:dyDescent="0.25">
      <c r="A1776" s="25">
        <v>2</v>
      </c>
      <c r="B1776" s="25" t="s">
        <v>865</v>
      </c>
      <c r="C1776" s="26" t="s">
        <v>1146</v>
      </c>
      <c r="D1776" s="25" t="str">
        <f t="shared" si="27"/>
        <v>Số thửaSố thửa195</v>
      </c>
    </row>
    <row r="1777" spans="1:4" x14ac:dyDescent="0.25">
      <c r="A1777" s="25">
        <v>2</v>
      </c>
      <c r="B1777" s="25" t="s">
        <v>866</v>
      </c>
      <c r="C1777" s="26" t="s">
        <v>1146</v>
      </c>
      <c r="D1777" s="25" t="str">
        <f t="shared" si="27"/>
        <v>Số thửaSố thửa196</v>
      </c>
    </row>
    <row r="1778" spans="1:4" x14ac:dyDescent="0.25">
      <c r="A1778" s="25">
        <v>2</v>
      </c>
      <c r="B1778" s="25" t="s">
        <v>867</v>
      </c>
      <c r="C1778" s="26" t="s">
        <v>1146</v>
      </c>
      <c r="D1778" s="25" t="str">
        <f t="shared" si="27"/>
        <v>Số thửaSố thửa197</v>
      </c>
    </row>
    <row r="1779" spans="1:4" x14ac:dyDescent="0.25">
      <c r="A1779" s="25">
        <v>2</v>
      </c>
      <c r="B1779" s="25" t="s">
        <v>710</v>
      </c>
      <c r="C1779" s="26" t="s">
        <v>1146</v>
      </c>
      <c r="D1779" s="25" t="str">
        <f t="shared" si="27"/>
        <v>Số thửaSố thửa198</v>
      </c>
    </row>
    <row r="1780" spans="1:4" x14ac:dyDescent="0.25">
      <c r="A1780" s="25">
        <v>2</v>
      </c>
      <c r="B1780" s="25" t="s">
        <v>402</v>
      </c>
      <c r="C1780" s="26" t="s">
        <v>1146</v>
      </c>
      <c r="D1780" s="25" t="str">
        <f t="shared" si="27"/>
        <v>Số thửaSố thửa232</v>
      </c>
    </row>
    <row r="1781" spans="1:4" x14ac:dyDescent="0.25">
      <c r="A1781" s="25">
        <v>2</v>
      </c>
      <c r="B1781" s="25" t="s">
        <v>390</v>
      </c>
      <c r="C1781" s="26" t="s">
        <v>1146</v>
      </c>
      <c r="D1781" s="25" t="str">
        <f t="shared" si="27"/>
        <v>Số thửaSố thửa235</v>
      </c>
    </row>
    <row r="1782" spans="1:4" x14ac:dyDescent="0.25">
      <c r="A1782" s="25">
        <v>2</v>
      </c>
      <c r="B1782" s="25" t="s">
        <v>91</v>
      </c>
      <c r="C1782" s="26" t="s">
        <v>1146</v>
      </c>
      <c r="D1782" s="25" t="str">
        <f t="shared" si="27"/>
        <v>Số thửaSố thửa236</v>
      </c>
    </row>
    <row r="1783" spans="1:4" x14ac:dyDescent="0.25">
      <c r="A1783" s="25">
        <v>2</v>
      </c>
      <c r="B1783" s="25" t="s">
        <v>92</v>
      </c>
      <c r="C1783" s="26" t="s">
        <v>1146</v>
      </c>
      <c r="D1783" s="25" t="str">
        <f t="shared" si="27"/>
        <v>Số thửaSố thửa238</v>
      </c>
    </row>
    <row r="1784" spans="1:4" x14ac:dyDescent="0.25">
      <c r="A1784" s="25">
        <v>2</v>
      </c>
      <c r="B1784" s="25" t="s">
        <v>93</v>
      </c>
      <c r="C1784" s="26" t="s">
        <v>1146</v>
      </c>
      <c r="D1784" s="25" t="str">
        <f t="shared" si="27"/>
        <v>Số thửaSố thửa239</v>
      </c>
    </row>
    <row r="1785" spans="1:4" x14ac:dyDescent="0.25">
      <c r="A1785" s="25">
        <v>2</v>
      </c>
      <c r="B1785" s="25" t="s">
        <v>95</v>
      </c>
      <c r="C1785" s="26" t="s">
        <v>1146</v>
      </c>
      <c r="D1785" s="25" t="str">
        <f t="shared" si="27"/>
        <v>Số thửaSố thửa241</v>
      </c>
    </row>
    <row r="1786" spans="1:4" x14ac:dyDescent="0.25">
      <c r="A1786" s="25">
        <v>2</v>
      </c>
      <c r="B1786" s="25" t="s">
        <v>96</v>
      </c>
      <c r="C1786" s="26" t="s">
        <v>1146</v>
      </c>
      <c r="D1786" s="25" t="str">
        <f t="shared" si="27"/>
        <v>Số thửaSố thửa242</v>
      </c>
    </row>
    <row r="1787" spans="1:4" x14ac:dyDescent="0.25">
      <c r="A1787" s="25">
        <v>2</v>
      </c>
      <c r="B1787" s="25" t="s">
        <v>97</v>
      </c>
      <c r="C1787" s="26" t="s">
        <v>1146</v>
      </c>
      <c r="D1787" s="25" t="str">
        <f t="shared" si="27"/>
        <v>Số thửaSố thửa243</v>
      </c>
    </row>
    <row r="1788" spans="1:4" x14ac:dyDescent="0.25">
      <c r="A1788" s="25">
        <v>2</v>
      </c>
      <c r="B1788" s="25" t="s">
        <v>956</v>
      </c>
      <c r="C1788" s="26" t="s">
        <v>1147</v>
      </c>
      <c r="D1788" s="25" t="str">
        <f t="shared" si="27"/>
        <v>Số thửaSố thửa245</v>
      </c>
    </row>
    <row r="1789" spans="1:4" x14ac:dyDescent="0.25">
      <c r="A1789" s="25">
        <v>2</v>
      </c>
      <c r="B1789" s="25" t="s">
        <v>797</v>
      </c>
      <c r="C1789" s="26" t="s">
        <v>1147</v>
      </c>
      <c r="D1789" s="25" t="str">
        <f t="shared" si="27"/>
        <v>Số thửaSố thửa246</v>
      </c>
    </row>
    <row r="1790" spans="1:4" x14ac:dyDescent="0.25">
      <c r="A1790" s="25">
        <v>2</v>
      </c>
      <c r="B1790" s="25" t="s">
        <v>432</v>
      </c>
      <c r="C1790" s="26" t="s">
        <v>1147</v>
      </c>
      <c r="D1790" s="25" t="str">
        <f t="shared" si="27"/>
        <v>Số thửaSố thửa252</v>
      </c>
    </row>
    <row r="1791" spans="1:4" x14ac:dyDescent="0.25">
      <c r="A1791" s="25">
        <v>2</v>
      </c>
      <c r="B1791" s="25" t="s">
        <v>723</v>
      </c>
      <c r="C1791" s="26" t="s">
        <v>1147</v>
      </c>
      <c r="D1791" s="25" t="str">
        <f t="shared" si="27"/>
        <v>Số thửaSố thửa253</v>
      </c>
    </row>
    <row r="1792" spans="1:4" x14ac:dyDescent="0.25">
      <c r="A1792" s="25">
        <v>2</v>
      </c>
      <c r="B1792" s="25" t="s">
        <v>640</v>
      </c>
      <c r="C1792" s="26" t="s">
        <v>1147</v>
      </c>
      <c r="D1792" s="25" t="str">
        <f t="shared" si="27"/>
        <v>Số thửaSố thửa333</v>
      </c>
    </row>
    <row r="1793" spans="1:4" x14ac:dyDescent="0.25">
      <c r="A1793" s="25">
        <v>2</v>
      </c>
      <c r="B1793" s="25" t="s">
        <v>735</v>
      </c>
      <c r="C1793" s="26" t="s">
        <v>1147</v>
      </c>
      <c r="D1793" s="25" t="str">
        <f t="shared" si="27"/>
        <v>Số thửaSố thửa338</v>
      </c>
    </row>
    <row r="1794" spans="1:4" x14ac:dyDescent="0.25">
      <c r="A1794" s="25">
        <v>2</v>
      </c>
      <c r="B1794" s="25" t="s">
        <v>887</v>
      </c>
      <c r="C1794" s="26" t="s">
        <v>1147</v>
      </c>
      <c r="D1794" s="25" t="str">
        <f t="shared" si="27"/>
        <v>Số thửaSố thửa339</v>
      </c>
    </row>
    <row r="1795" spans="1:4" x14ac:dyDescent="0.25">
      <c r="A1795" s="25">
        <v>2</v>
      </c>
      <c r="B1795" s="25" t="s">
        <v>408</v>
      </c>
      <c r="C1795" s="26" t="s">
        <v>1147</v>
      </c>
      <c r="D1795" s="25" t="str">
        <f t="shared" ref="D1795:D1858" si="28">$B$1&amp;B1795</f>
        <v>Số thửaSố thửa350</v>
      </c>
    </row>
    <row r="1796" spans="1:4" x14ac:dyDescent="0.25">
      <c r="A1796" s="25">
        <v>2</v>
      </c>
      <c r="B1796" s="25" t="s">
        <v>524</v>
      </c>
      <c r="C1796" s="26" t="s">
        <v>1148</v>
      </c>
      <c r="D1796" s="25" t="str">
        <f t="shared" si="28"/>
        <v>Số thửaSố thửa351</v>
      </c>
    </row>
    <row r="1797" spans="1:4" x14ac:dyDescent="0.25">
      <c r="A1797" s="25">
        <v>6</v>
      </c>
      <c r="B1797" s="25" t="s">
        <v>305</v>
      </c>
      <c r="C1797" s="26" t="s">
        <v>1149</v>
      </c>
      <c r="D1797" s="25" t="str">
        <f t="shared" si="28"/>
        <v>Số thửaSố thửa558</v>
      </c>
    </row>
    <row r="1798" spans="1:4" x14ac:dyDescent="0.25">
      <c r="A1798" s="25">
        <v>6</v>
      </c>
      <c r="B1798" s="25" t="s">
        <v>305</v>
      </c>
      <c r="C1798" s="26" t="s">
        <v>1149</v>
      </c>
      <c r="D1798" s="25" t="str">
        <f t="shared" si="28"/>
        <v>Số thửaSố thửa558</v>
      </c>
    </row>
    <row r="1799" spans="1:4" x14ac:dyDescent="0.25">
      <c r="A1799" s="25">
        <v>6</v>
      </c>
      <c r="B1799" s="25" t="s">
        <v>973</v>
      </c>
      <c r="C1799" s="26" t="s">
        <v>1148</v>
      </c>
      <c r="D1799" s="25" t="str">
        <f t="shared" si="28"/>
        <v>Số thửaSố thửa579</v>
      </c>
    </row>
    <row r="1800" spans="1:4" x14ac:dyDescent="0.25">
      <c r="A1800" s="25">
        <v>9</v>
      </c>
      <c r="B1800" s="25" t="s">
        <v>375</v>
      </c>
      <c r="C1800" s="26" t="s">
        <v>1150</v>
      </c>
      <c r="D1800" s="25" t="str">
        <f t="shared" si="28"/>
        <v>Số thửaSố thửa123</v>
      </c>
    </row>
    <row r="1801" spans="1:4" x14ac:dyDescent="0.25">
      <c r="A1801" s="25">
        <v>9</v>
      </c>
      <c r="B1801" s="25" t="s">
        <v>891</v>
      </c>
      <c r="C1801" s="26" t="s">
        <v>1150</v>
      </c>
      <c r="D1801" s="25" t="str">
        <f t="shared" si="28"/>
        <v>Số thửaSố thửa124</v>
      </c>
    </row>
    <row r="1802" spans="1:4" x14ac:dyDescent="0.25">
      <c r="A1802" s="25">
        <v>9</v>
      </c>
      <c r="B1802" s="25" t="s">
        <v>192</v>
      </c>
      <c r="C1802" s="26" t="s">
        <v>1150</v>
      </c>
      <c r="D1802" s="25" t="str">
        <f t="shared" si="28"/>
        <v>Số thửaSố thửa127</v>
      </c>
    </row>
    <row r="1803" spans="1:4" x14ac:dyDescent="0.25">
      <c r="A1803" s="25">
        <v>9</v>
      </c>
      <c r="B1803" s="25" t="s">
        <v>664</v>
      </c>
      <c r="C1803" s="26" t="s">
        <v>1150</v>
      </c>
      <c r="D1803" s="25" t="str">
        <f t="shared" si="28"/>
        <v>Số thửaSố thửa128</v>
      </c>
    </row>
    <row r="1804" spans="1:4" x14ac:dyDescent="0.25">
      <c r="A1804" s="25">
        <v>9</v>
      </c>
      <c r="B1804" s="25" t="s">
        <v>379</v>
      </c>
      <c r="C1804" s="26" t="s">
        <v>1150</v>
      </c>
      <c r="D1804" s="25" t="str">
        <f t="shared" si="28"/>
        <v>Số thửaSố thửa129</v>
      </c>
    </row>
    <row r="1805" spans="1:4" x14ac:dyDescent="0.25">
      <c r="A1805" s="25">
        <v>9</v>
      </c>
      <c r="B1805" s="25" t="s">
        <v>380</v>
      </c>
      <c r="C1805" s="26" t="s">
        <v>1150</v>
      </c>
      <c r="D1805" s="25" t="str">
        <f t="shared" si="28"/>
        <v>Số thửaSố thửa130</v>
      </c>
    </row>
    <row r="1806" spans="1:4" x14ac:dyDescent="0.25">
      <c r="A1806" s="25">
        <v>9</v>
      </c>
      <c r="B1806" s="25" t="s">
        <v>397</v>
      </c>
      <c r="C1806" s="26" t="s">
        <v>1150</v>
      </c>
      <c r="D1806" s="25" t="str">
        <f t="shared" si="28"/>
        <v>Số thửaSố thửa171</v>
      </c>
    </row>
    <row r="1807" spans="1:4" x14ac:dyDescent="0.25">
      <c r="A1807" s="25">
        <v>9</v>
      </c>
      <c r="B1807" s="25" t="s">
        <v>398</v>
      </c>
      <c r="C1807" s="26" t="s">
        <v>1150</v>
      </c>
      <c r="D1807" s="25" t="str">
        <f t="shared" si="28"/>
        <v>Số thửaSố thửa172</v>
      </c>
    </row>
    <row r="1808" spans="1:4" x14ac:dyDescent="0.25">
      <c r="A1808" s="25">
        <v>9</v>
      </c>
      <c r="B1808" s="25" t="s">
        <v>399</v>
      </c>
      <c r="C1808" s="26" t="s">
        <v>1150</v>
      </c>
      <c r="D1808" s="25" t="str">
        <f t="shared" si="28"/>
        <v>Số thửaSố thửa173</v>
      </c>
    </row>
    <row r="1809" spans="1:4" x14ac:dyDescent="0.25">
      <c r="A1809" s="25">
        <v>9</v>
      </c>
      <c r="B1809" s="25" t="s">
        <v>400</v>
      </c>
      <c r="C1809" s="26" t="s">
        <v>1150</v>
      </c>
      <c r="D1809" s="25" t="str">
        <f t="shared" si="28"/>
        <v>Số thửaSố thửa174</v>
      </c>
    </row>
    <row r="1810" spans="1:4" x14ac:dyDescent="0.25">
      <c r="A1810" s="25">
        <v>9</v>
      </c>
      <c r="B1810" s="25" t="s">
        <v>401</v>
      </c>
      <c r="C1810" s="26" t="s">
        <v>1150</v>
      </c>
      <c r="D1810" s="25" t="str">
        <f t="shared" si="28"/>
        <v>Số thửaSố thửa175</v>
      </c>
    </row>
    <row r="1811" spans="1:4" x14ac:dyDescent="0.25">
      <c r="A1811" s="25">
        <v>9</v>
      </c>
      <c r="B1811" s="25" t="s">
        <v>942</v>
      </c>
      <c r="C1811" s="26" t="s">
        <v>1150</v>
      </c>
      <c r="D1811" s="25" t="str">
        <f t="shared" si="28"/>
        <v>Số thửaSố thửa176</v>
      </c>
    </row>
    <row r="1812" spans="1:4" x14ac:dyDescent="0.25">
      <c r="A1812" s="25">
        <v>9</v>
      </c>
      <c r="B1812" s="25" t="s">
        <v>312</v>
      </c>
      <c r="C1812" s="26" t="s">
        <v>1150</v>
      </c>
      <c r="D1812" s="25" t="str">
        <f t="shared" si="28"/>
        <v>Số thửaSố thửa180</v>
      </c>
    </row>
    <row r="1813" spans="1:4" x14ac:dyDescent="0.25">
      <c r="A1813" s="25">
        <v>9</v>
      </c>
      <c r="B1813" s="25" t="s">
        <v>82</v>
      </c>
      <c r="C1813" s="26" t="s">
        <v>1150</v>
      </c>
      <c r="D1813" s="25" t="str">
        <f t="shared" si="28"/>
        <v>Số thửaSố thửa215</v>
      </c>
    </row>
    <row r="1814" spans="1:4" x14ac:dyDescent="0.25">
      <c r="A1814" s="25">
        <v>9</v>
      </c>
      <c r="B1814" s="25" t="s">
        <v>84</v>
      </c>
      <c r="C1814" s="26" t="s">
        <v>1150</v>
      </c>
      <c r="D1814" s="25" t="str">
        <f t="shared" si="28"/>
        <v>Số thửaSố thửa218</v>
      </c>
    </row>
    <row r="1815" spans="1:4" x14ac:dyDescent="0.25">
      <c r="A1815" s="25">
        <v>8</v>
      </c>
      <c r="B1815" s="25" t="s">
        <v>59</v>
      </c>
      <c r="C1815" s="26" t="s">
        <v>1151</v>
      </c>
      <c r="D1815" s="25" t="str">
        <f t="shared" si="28"/>
        <v>Số thửaSố thửa4</v>
      </c>
    </row>
    <row r="1816" spans="1:4" x14ac:dyDescent="0.25">
      <c r="A1816" s="25">
        <v>8</v>
      </c>
      <c r="B1816" s="25" t="s">
        <v>60</v>
      </c>
      <c r="C1816" s="26" t="s">
        <v>1151</v>
      </c>
      <c r="D1816" s="25" t="str">
        <f t="shared" si="28"/>
        <v>Số thửaSố thửa7</v>
      </c>
    </row>
    <row r="1817" spans="1:4" x14ac:dyDescent="0.25">
      <c r="A1817" s="25">
        <v>8</v>
      </c>
      <c r="B1817" s="25" t="s">
        <v>937</v>
      </c>
      <c r="C1817" s="26" t="s">
        <v>1151</v>
      </c>
      <c r="D1817" s="25" t="str">
        <f t="shared" si="28"/>
        <v>Số thửaSố thửa248</v>
      </c>
    </row>
    <row r="1818" spans="1:4" x14ac:dyDescent="0.25">
      <c r="A1818" s="25">
        <v>8</v>
      </c>
      <c r="B1818" s="25" t="s">
        <v>1115</v>
      </c>
      <c r="C1818" s="26" t="s">
        <v>1152</v>
      </c>
      <c r="D1818" s="25" t="str">
        <f t="shared" si="28"/>
        <v>Số thửaSố thửa251</v>
      </c>
    </row>
    <row r="1819" spans="1:4" x14ac:dyDescent="0.25">
      <c r="A1819" s="25">
        <v>8</v>
      </c>
      <c r="B1819" s="25" t="s">
        <v>177</v>
      </c>
      <c r="C1819" s="26" t="s">
        <v>1152</v>
      </c>
      <c r="D1819" s="25" t="str">
        <f t="shared" si="28"/>
        <v>Số thửaSố thửa260</v>
      </c>
    </row>
    <row r="1820" spans="1:4" x14ac:dyDescent="0.25">
      <c r="A1820" s="25">
        <v>8</v>
      </c>
      <c r="B1820" s="25" t="s">
        <v>211</v>
      </c>
      <c r="C1820" s="26" t="s">
        <v>1152</v>
      </c>
      <c r="D1820" s="25" t="str">
        <f t="shared" si="28"/>
        <v>Số thửaSố thửa266</v>
      </c>
    </row>
    <row r="1821" spans="1:4" x14ac:dyDescent="0.25">
      <c r="A1821" s="25">
        <v>9</v>
      </c>
      <c r="B1821" s="25" t="s">
        <v>1153</v>
      </c>
      <c r="C1821" s="26" t="s">
        <v>1151</v>
      </c>
      <c r="D1821" s="25" t="str">
        <f t="shared" si="28"/>
        <v>Số thửaSố thửa763</v>
      </c>
    </row>
    <row r="1822" spans="1:4" x14ac:dyDescent="0.25">
      <c r="A1822" s="25">
        <v>13</v>
      </c>
      <c r="B1822" s="25" t="s">
        <v>299</v>
      </c>
      <c r="C1822" s="26" t="s">
        <v>1154</v>
      </c>
      <c r="D1822" s="25" t="str">
        <f t="shared" si="28"/>
        <v>Số thửaSố thửa522</v>
      </c>
    </row>
    <row r="1823" spans="1:4" x14ac:dyDescent="0.25">
      <c r="A1823" s="25">
        <v>13</v>
      </c>
      <c r="B1823" s="25" t="s">
        <v>1155</v>
      </c>
      <c r="C1823" s="26" t="s">
        <v>1154</v>
      </c>
      <c r="D1823" s="25" t="str">
        <f t="shared" si="28"/>
        <v>Số thửaSố thửa554</v>
      </c>
    </row>
    <row r="1824" spans="1:4" x14ac:dyDescent="0.25">
      <c r="A1824" s="25">
        <v>13</v>
      </c>
      <c r="B1824" s="25" t="s">
        <v>493</v>
      </c>
      <c r="C1824" s="26" t="s">
        <v>1154</v>
      </c>
      <c r="D1824" s="25" t="str">
        <f t="shared" si="28"/>
        <v>Số thửaSố thửa555</v>
      </c>
    </row>
    <row r="1825" spans="1:4" x14ac:dyDescent="0.25">
      <c r="A1825" s="25">
        <v>13</v>
      </c>
      <c r="B1825" s="25" t="s">
        <v>949</v>
      </c>
      <c r="C1825" s="26" t="s">
        <v>1154</v>
      </c>
      <c r="D1825" s="25" t="str">
        <f t="shared" si="28"/>
        <v>Số thửaSố thửa569</v>
      </c>
    </row>
    <row r="1826" spans="1:4" x14ac:dyDescent="0.25">
      <c r="A1826" s="25">
        <v>13</v>
      </c>
      <c r="B1826" s="25" t="s">
        <v>950</v>
      </c>
      <c r="C1826" s="26" t="s">
        <v>1154</v>
      </c>
      <c r="D1826" s="25" t="str">
        <f t="shared" si="28"/>
        <v>Số thửaSố thửa570</v>
      </c>
    </row>
    <row r="1827" spans="1:4" x14ac:dyDescent="0.25">
      <c r="A1827" s="25">
        <v>13</v>
      </c>
      <c r="B1827" s="25" t="s">
        <v>517</v>
      </c>
      <c r="C1827" s="26" t="s">
        <v>1154</v>
      </c>
      <c r="D1827" s="25" t="str">
        <f t="shared" si="28"/>
        <v>Số thửaSố thửa571</v>
      </c>
    </row>
    <row r="1828" spans="1:4" x14ac:dyDescent="0.25">
      <c r="A1828" s="25">
        <v>13</v>
      </c>
      <c r="B1828" s="25" t="s">
        <v>1156</v>
      </c>
      <c r="C1828" s="26" t="s">
        <v>1154</v>
      </c>
      <c r="D1828" s="25" t="str">
        <f t="shared" si="28"/>
        <v>Số thửaSố thửa572</v>
      </c>
    </row>
    <row r="1829" spans="1:4" x14ac:dyDescent="0.25">
      <c r="A1829" s="25">
        <v>13</v>
      </c>
      <c r="B1829" s="25" t="s">
        <v>1157</v>
      </c>
      <c r="C1829" s="26" t="s">
        <v>1158</v>
      </c>
      <c r="D1829" s="25" t="str">
        <f t="shared" si="28"/>
        <v>Số thửaSố thửa751</v>
      </c>
    </row>
    <row r="1830" spans="1:4" x14ac:dyDescent="0.25">
      <c r="A1830" s="25">
        <v>13</v>
      </c>
      <c r="B1830" s="25" t="s">
        <v>228</v>
      </c>
      <c r="C1830" s="26" t="s">
        <v>1158</v>
      </c>
      <c r="D1830" s="25" t="str">
        <f t="shared" si="28"/>
        <v>Số thửaSố thửa828</v>
      </c>
    </row>
    <row r="1831" spans="1:4" x14ac:dyDescent="0.25">
      <c r="A1831" s="25">
        <v>1</v>
      </c>
      <c r="B1831" s="25" t="s">
        <v>344</v>
      </c>
      <c r="C1831" s="26" t="s">
        <v>1159</v>
      </c>
      <c r="D1831" s="25" t="str">
        <f t="shared" si="28"/>
        <v>Số thửaSố thửa88</v>
      </c>
    </row>
    <row r="1832" spans="1:4" x14ac:dyDescent="0.25">
      <c r="A1832" s="25">
        <v>9</v>
      </c>
      <c r="B1832" s="25" t="s">
        <v>1006</v>
      </c>
      <c r="C1832" s="26" t="s">
        <v>1160</v>
      </c>
      <c r="D1832" s="25" t="str">
        <f t="shared" si="28"/>
        <v>Số thửaSố thửa178</v>
      </c>
    </row>
    <row r="1833" spans="1:4" x14ac:dyDescent="0.25">
      <c r="A1833" s="25">
        <v>9</v>
      </c>
      <c r="B1833" s="25" t="s">
        <v>253</v>
      </c>
      <c r="C1833" s="26" t="s">
        <v>1160</v>
      </c>
      <c r="D1833" s="25" t="str">
        <f t="shared" si="28"/>
        <v>Số thửaSố thửa360</v>
      </c>
    </row>
    <row r="1834" spans="1:4" x14ac:dyDescent="0.25">
      <c r="A1834" s="25">
        <v>9</v>
      </c>
      <c r="B1834" s="25" t="s">
        <v>507</v>
      </c>
      <c r="C1834" s="26" t="s">
        <v>1161</v>
      </c>
      <c r="D1834" s="25" t="str">
        <f t="shared" si="28"/>
        <v>Số thửaSố thửa574</v>
      </c>
    </row>
    <row r="1835" spans="1:4" x14ac:dyDescent="0.25">
      <c r="A1835" s="25">
        <v>9</v>
      </c>
      <c r="B1835" s="25" t="s">
        <v>508</v>
      </c>
      <c r="C1835" s="26" t="s">
        <v>1161</v>
      </c>
      <c r="D1835" s="25" t="str">
        <f t="shared" si="28"/>
        <v>Số thửaSố thửa575</v>
      </c>
    </row>
    <row r="1836" spans="1:4" x14ac:dyDescent="0.25">
      <c r="A1836" s="25">
        <v>9</v>
      </c>
      <c r="B1836" s="25" t="s">
        <v>518</v>
      </c>
      <c r="C1836" s="26" t="s">
        <v>1160</v>
      </c>
      <c r="D1836" s="25" t="str">
        <f t="shared" si="28"/>
        <v>Số thửaSố thửa576</v>
      </c>
    </row>
    <row r="1837" spans="1:4" x14ac:dyDescent="0.25">
      <c r="A1837" s="25">
        <v>9</v>
      </c>
      <c r="B1837" s="25" t="s">
        <v>1162</v>
      </c>
      <c r="C1837" s="26" t="s">
        <v>1160</v>
      </c>
      <c r="D1837" s="25" t="str">
        <f t="shared" si="28"/>
        <v>Số thửaSố thửa608</v>
      </c>
    </row>
    <row r="1838" spans="1:4" x14ac:dyDescent="0.25">
      <c r="A1838" s="25">
        <v>11</v>
      </c>
      <c r="B1838" s="25" t="s">
        <v>632</v>
      </c>
      <c r="C1838" s="26" t="s">
        <v>1163</v>
      </c>
      <c r="D1838" s="25" t="str">
        <f t="shared" si="28"/>
        <v>Số thửaSố thửa54</v>
      </c>
    </row>
    <row r="1839" spans="1:4" x14ac:dyDescent="0.25">
      <c r="A1839" s="25">
        <v>11</v>
      </c>
      <c r="B1839" s="25" t="s">
        <v>198</v>
      </c>
      <c r="C1839" s="26" t="s">
        <v>1163</v>
      </c>
      <c r="D1839" s="25" t="str">
        <f t="shared" si="28"/>
        <v>Số thửaSố thửa55</v>
      </c>
    </row>
    <row r="1840" spans="1:4" x14ac:dyDescent="0.25">
      <c r="A1840" s="25">
        <v>11</v>
      </c>
      <c r="B1840" s="25" t="s">
        <v>63</v>
      </c>
      <c r="C1840" s="26" t="s">
        <v>1163</v>
      </c>
      <c r="D1840" s="25" t="str">
        <f t="shared" si="28"/>
        <v>Số thửaSố thửa56</v>
      </c>
    </row>
    <row r="1841" spans="1:4" x14ac:dyDescent="0.25">
      <c r="A1841" s="25">
        <v>11</v>
      </c>
      <c r="B1841" s="25" t="s">
        <v>65</v>
      </c>
      <c r="C1841" s="26" t="s">
        <v>1163</v>
      </c>
      <c r="D1841" s="25" t="str">
        <f t="shared" si="28"/>
        <v>Số thửaSố thửa61</v>
      </c>
    </row>
    <row r="1842" spans="1:4" x14ac:dyDescent="0.25">
      <c r="A1842" s="25">
        <v>11</v>
      </c>
      <c r="B1842" s="25" t="s">
        <v>66</v>
      </c>
      <c r="C1842" s="26" t="s">
        <v>1163</v>
      </c>
      <c r="D1842" s="25" t="str">
        <f t="shared" si="28"/>
        <v>Số thửaSố thửa62</v>
      </c>
    </row>
    <row r="1843" spans="1:4" x14ac:dyDescent="0.25">
      <c r="A1843" s="25">
        <v>11</v>
      </c>
      <c r="B1843" s="25" t="s">
        <v>67</v>
      </c>
      <c r="C1843" s="26" t="s">
        <v>1163</v>
      </c>
      <c r="D1843" s="25" t="str">
        <f t="shared" si="28"/>
        <v>Số thửaSố thửa64</v>
      </c>
    </row>
    <row r="1844" spans="1:4" x14ac:dyDescent="0.25">
      <c r="A1844" s="25">
        <v>11</v>
      </c>
      <c r="B1844" s="25" t="s">
        <v>461</v>
      </c>
      <c r="C1844" s="26" t="s">
        <v>1163</v>
      </c>
      <c r="D1844" s="25" t="str">
        <f t="shared" si="28"/>
        <v>Số thửaSố thửa71</v>
      </c>
    </row>
    <row r="1845" spans="1:4" x14ac:dyDescent="0.25">
      <c r="A1845" s="25">
        <v>11</v>
      </c>
      <c r="B1845" s="25" t="s">
        <v>68</v>
      </c>
      <c r="C1845" s="26" t="s">
        <v>1163</v>
      </c>
      <c r="D1845" s="25" t="str">
        <f t="shared" si="28"/>
        <v>Số thửaSố thửa72</v>
      </c>
    </row>
    <row r="1846" spans="1:4" x14ac:dyDescent="0.25">
      <c r="A1846" s="25">
        <v>11</v>
      </c>
      <c r="B1846" s="25" t="s">
        <v>1064</v>
      </c>
      <c r="C1846" s="26" t="s">
        <v>1163</v>
      </c>
      <c r="D1846" s="25" t="str">
        <f t="shared" si="28"/>
        <v>Số thửaSố thửa74</v>
      </c>
    </row>
    <row r="1847" spans="1:4" x14ac:dyDescent="0.25">
      <c r="A1847" s="25">
        <v>11</v>
      </c>
      <c r="B1847" s="25" t="s">
        <v>660</v>
      </c>
      <c r="C1847" s="26" t="s">
        <v>1163</v>
      </c>
      <c r="D1847" s="25" t="str">
        <f t="shared" si="28"/>
        <v>Số thửaSố thửa78</v>
      </c>
    </row>
    <row r="1848" spans="1:4" x14ac:dyDescent="0.25">
      <c r="A1848" s="25">
        <v>11</v>
      </c>
      <c r="B1848" s="25" t="s">
        <v>264</v>
      </c>
      <c r="C1848" s="26" t="s">
        <v>1163</v>
      </c>
      <c r="D1848" s="25" t="str">
        <f t="shared" si="28"/>
        <v>Số thửaSố thửa80</v>
      </c>
    </row>
    <row r="1849" spans="1:4" x14ac:dyDescent="0.25">
      <c r="A1849" s="25">
        <v>11</v>
      </c>
      <c r="B1849" s="25" t="s">
        <v>104</v>
      </c>
      <c r="C1849" s="26" t="s">
        <v>1163</v>
      </c>
      <c r="D1849" s="25" t="str">
        <f t="shared" si="28"/>
        <v>Số thửaSố thửa81</v>
      </c>
    </row>
    <row r="1850" spans="1:4" x14ac:dyDescent="0.25">
      <c r="A1850" s="25">
        <v>11</v>
      </c>
      <c r="B1850" s="25" t="s">
        <v>70</v>
      </c>
      <c r="C1850" s="26" t="s">
        <v>1163</v>
      </c>
      <c r="D1850" s="25" t="str">
        <f t="shared" si="28"/>
        <v>Số thửaSố thửa82</v>
      </c>
    </row>
    <row r="1851" spans="1:4" x14ac:dyDescent="0.25">
      <c r="A1851" s="25">
        <v>11</v>
      </c>
      <c r="B1851" s="25" t="s">
        <v>557</v>
      </c>
      <c r="C1851" s="26" t="s">
        <v>1163</v>
      </c>
      <c r="D1851" s="25" t="str">
        <f t="shared" si="28"/>
        <v>Số thửaSố thửa87</v>
      </c>
    </row>
    <row r="1852" spans="1:4" x14ac:dyDescent="0.25">
      <c r="A1852" s="25">
        <v>13</v>
      </c>
      <c r="B1852" s="25" t="s">
        <v>1164</v>
      </c>
      <c r="C1852" s="26" t="s">
        <v>1165</v>
      </c>
      <c r="D1852" s="25" t="str">
        <f t="shared" si="28"/>
        <v>Số thửaSố thửa827</v>
      </c>
    </row>
    <row r="1853" spans="1:4" x14ac:dyDescent="0.25">
      <c r="A1853" s="25">
        <v>13</v>
      </c>
      <c r="B1853" s="25" t="s">
        <v>233</v>
      </c>
      <c r="C1853" s="26" t="s">
        <v>1165</v>
      </c>
      <c r="D1853" s="25" t="str">
        <f t="shared" si="28"/>
        <v>Số thửaSố thửa840</v>
      </c>
    </row>
    <row r="1854" spans="1:4" x14ac:dyDescent="0.25">
      <c r="A1854" s="25">
        <v>16</v>
      </c>
      <c r="B1854" s="25" t="s">
        <v>1119</v>
      </c>
      <c r="C1854" s="26" t="s">
        <v>1165</v>
      </c>
      <c r="D1854" s="25" t="str">
        <f t="shared" si="28"/>
        <v>Số thửaSố thửa12</v>
      </c>
    </row>
    <row r="1855" spans="1:4" x14ac:dyDescent="0.25">
      <c r="A1855" s="25">
        <v>13</v>
      </c>
      <c r="B1855" s="25" t="s">
        <v>139</v>
      </c>
      <c r="C1855" s="26" t="s">
        <v>1166</v>
      </c>
      <c r="D1855" s="25" t="str">
        <f t="shared" si="28"/>
        <v>Số thửaSố thửa306</v>
      </c>
    </row>
    <row r="1856" spans="1:4" x14ac:dyDescent="0.25">
      <c r="A1856" s="25">
        <v>13</v>
      </c>
      <c r="B1856" s="25" t="s">
        <v>1167</v>
      </c>
      <c r="C1856" s="26" t="s">
        <v>1168</v>
      </c>
      <c r="D1856" s="25" t="str">
        <f t="shared" si="28"/>
        <v>Số thửaSố thửa342</v>
      </c>
    </row>
    <row r="1857" spans="1:4" x14ac:dyDescent="0.25">
      <c r="A1857" s="25">
        <v>13</v>
      </c>
      <c r="B1857" s="25" t="s">
        <v>872</v>
      </c>
      <c r="C1857" s="26" t="s">
        <v>1168</v>
      </c>
      <c r="D1857" s="25" t="str">
        <f t="shared" si="28"/>
        <v>Số thửaSố thửa343</v>
      </c>
    </row>
    <row r="1858" spans="1:4" x14ac:dyDescent="0.25">
      <c r="A1858" s="25">
        <v>13</v>
      </c>
      <c r="B1858" s="25" t="s">
        <v>180</v>
      </c>
      <c r="C1858" s="26" t="s">
        <v>1168</v>
      </c>
      <c r="D1858" s="25" t="str">
        <f t="shared" si="28"/>
        <v>Số thửaSố thửa344</v>
      </c>
    </row>
    <row r="1859" spans="1:4" x14ac:dyDescent="0.25">
      <c r="A1859" s="25">
        <v>13</v>
      </c>
      <c r="B1859" s="25" t="s">
        <v>815</v>
      </c>
      <c r="C1859" s="26" t="s">
        <v>1168</v>
      </c>
      <c r="D1859" s="25" t="str">
        <f t="shared" ref="D1859:D1922" si="29">$B$1&amp;B1859</f>
        <v>Số thửaSố thửa364</v>
      </c>
    </row>
    <row r="1860" spans="1:4" x14ac:dyDescent="0.25">
      <c r="A1860" s="25">
        <v>13</v>
      </c>
      <c r="B1860" s="25" t="s">
        <v>844</v>
      </c>
      <c r="C1860" s="26" t="s">
        <v>1168</v>
      </c>
      <c r="D1860" s="25" t="str">
        <f t="shared" si="29"/>
        <v>Số thửaSố thửa365</v>
      </c>
    </row>
    <row r="1861" spans="1:4" x14ac:dyDescent="0.25">
      <c r="A1861" s="25">
        <v>13</v>
      </c>
      <c r="B1861" s="25" t="s">
        <v>845</v>
      </c>
      <c r="C1861" s="26" t="s">
        <v>1166</v>
      </c>
      <c r="D1861" s="25" t="str">
        <f t="shared" si="29"/>
        <v>Số thửaSố thửa366</v>
      </c>
    </row>
    <row r="1862" spans="1:4" x14ac:dyDescent="0.25">
      <c r="A1862" s="25">
        <v>13</v>
      </c>
      <c r="B1862" s="25" t="s">
        <v>528</v>
      </c>
      <c r="C1862" s="26" t="s">
        <v>1168</v>
      </c>
      <c r="D1862" s="25" t="str">
        <f t="shared" si="29"/>
        <v>Số thửaSố thửa381</v>
      </c>
    </row>
    <row r="1863" spans="1:4" x14ac:dyDescent="0.25">
      <c r="A1863" s="25">
        <v>13</v>
      </c>
      <c r="B1863" s="25" t="s">
        <v>529</v>
      </c>
      <c r="C1863" s="26" t="s">
        <v>1168</v>
      </c>
      <c r="D1863" s="25" t="str">
        <f t="shared" si="29"/>
        <v>Số thửaSố thửa382</v>
      </c>
    </row>
    <row r="1864" spans="1:4" x14ac:dyDescent="0.25">
      <c r="A1864" s="25">
        <v>13</v>
      </c>
      <c r="B1864" s="25" t="s">
        <v>1169</v>
      </c>
      <c r="C1864" s="26" t="s">
        <v>1168</v>
      </c>
      <c r="D1864" s="25" t="str">
        <f t="shared" si="29"/>
        <v>Số thửaSố thửa383</v>
      </c>
    </row>
    <row r="1865" spans="1:4" x14ac:dyDescent="0.25">
      <c r="A1865" s="25">
        <v>13</v>
      </c>
      <c r="B1865" s="25" t="s">
        <v>738</v>
      </c>
      <c r="C1865" s="26" t="s">
        <v>1168</v>
      </c>
      <c r="D1865" s="25" t="str">
        <f t="shared" si="29"/>
        <v>Số thửaSố thửa397</v>
      </c>
    </row>
    <row r="1866" spans="1:4" x14ac:dyDescent="0.25">
      <c r="A1866" s="25">
        <v>13</v>
      </c>
      <c r="B1866" s="25" t="s">
        <v>739</v>
      </c>
      <c r="C1866" s="26" t="s">
        <v>1166</v>
      </c>
      <c r="D1866" s="25" t="str">
        <f t="shared" si="29"/>
        <v>Số thửaSố thửa398</v>
      </c>
    </row>
    <row r="1867" spans="1:4" x14ac:dyDescent="0.25">
      <c r="A1867" s="25">
        <v>13</v>
      </c>
      <c r="B1867" s="25" t="s">
        <v>1170</v>
      </c>
      <c r="C1867" s="26" t="s">
        <v>1166</v>
      </c>
      <c r="D1867" s="25" t="str">
        <f t="shared" si="29"/>
        <v>Số thửaSố thửa399</v>
      </c>
    </row>
    <row r="1868" spans="1:4" x14ac:dyDescent="0.25">
      <c r="A1868" s="25">
        <v>13</v>
      </c>
      <c r="B1868" s="25" t="s">
        <v>740</v>
      </c>
      <c r="C1868" s="26" t="s">
        <v>1166</v>
      </c>
      <c r="D1868" s="25" t="str">
        <f t="shared" si="29"/>
        <v>Số thửaSố thửa400</v>
      </c>
    </row>
    <row r="1869" spans="1:4" x14ac:dyDescent="0.25">
      <c r="A1869" s="25">
        <v>13</v>
      </c>
      <c r="B1869" s="25" t="s">
        <v>554</v>
      </c>
      <c r="C1869" s="26" t="s">
        <v>1166</v>
      </c>
      <c r="D1869" s="25" t="str">
        <f t="shared" si="29"/>
        <v>Số thửaSố thửa403</v>
      </c>
    </row>
    <row r="1870" spans="1:4" x14ac:dyDescent="0.25">
      <c r="A1870" s="25">
        <v>13</v>
      </c>
      <c r="B1870" s="25" t="s">
        <v>750</v>
      </c>
      <c r="C1870" s="26" t="s">
        <v>1166</v>
      </c>
      <c r="D1870" s="25" t="str">
        <f t="shared" si="29"/>
        <v>Số thửaSố thửa404</v>
      </c>
    </row>
    <row r="1871" spans="1:4" x14ac:dyDescent="0.25">
      <c r="A1871" s="25">
        <v>13</v>
      </c>
      <c r="B1871" s="25" t="s">
        <v>555</v>
      </c>
      <c r="C1871" s="26" t="s">
        <v>1171</v>
      </c>
      <c r="D1871" s="25" t="str">
        <f t="shared" si="29"/>
        <v>Số thửaSố thửa405</v>
      </c>
    </row>
    <row r="1872" spans="1:4" x14ac:dyDescent="0.25">
      <c r="A1872" s="25">
        <v>13</v>
      </c>
      <c r="B1872" s="25" t="s">
        <v>847</v>
      </c>
      <c r="C1872" s="26" t="s">
        <v>1171</v>
      </c>
      <c r="D1872" s="25" t="str">
        <f t="shared" si="29"/>
        <v>Số thửaSố thửa410</v>
      </c>
    </row>
    <row r="1873" spans="1:4" x14ac:dyDescent="0.25">
      <c r="A1873" s="25">
        <v>13</v>
      </c>
      <c r="B1873" s="25" t="s">
        <v>1172</v>
      </c>
      <c r="C1873" s="26" t="s">
        <v>1171</v>
      </c>
      <c r="D1873" s="25" t="str">
        <f t="shared" si="29"/>
        <v>Số thửaSố thửa411</v>
      </c>
    </row>
    <row r="1874" spans="1:4" x14ac:dyDescent="0.25">
      <c r="A1874" s="25">
        <v>13</v>
      </c>
      <c r="B1874" s="25" t="s">
        <v>848</v>
      </c>
      <c r="C1874" s="26" t="s">
        <v>1171</v>
      </c>
      <c r="D1874" s="25" t="str">
        <f t="shared" si="29"/>
        <v>Số thửaSố thửa412</v>
      </c>
    </row>
    <row r="1875" spans="1:4" x14ac:dyDescent="0.25">
      <c r="A1875" s="25">
        <v>13</v>
      </c>
      <c r="B1875" s="25" t="s">
        <v>205</v>
      </c>
      <c r="C1875" s="26" t="s">
        <v>1171</v>
      </c>
      <c r="D1875" s="25" t="str">
        <f t="shared" si="29"/>
        <v>Số thửaSố thửa413</v>
      </c>
    </row>
    <row r="1876" spans="1:4" x14ac:dyDescent="0.25">
      <c r="A1876" s="25">
        <v>13</v>
      </c>
      <c r="B1876" s="25" t="s">
        <v>206</v>
      </c>
      <c r="C1876" s="26" t="s">
        <v>1171</v>
      </c>
      <c r="D1876" s="25" t="str">
        <f t="shared" si="29"/>
        <v>Số thửaSố thửa414</v>
      </c>
    </row>
    <row r="1877" spans="1:4" x14ac:dyDescent="0.25">
      <c r="A1877" s="25">
        <v>13</v>
      </c>
      <c r="B1877" s="25" t="s">
        <v>751</v>
      </c>
      <c r="C1877" s="26" t="s">
        <v>1171</v>
      </c>
      <c r="D1877" s="25" t="str">
        <f t="shared" si="29"/>
        <v>Số thửaSố thửa416</v>
      </c>
    </row>
    <row r="1878" spans="1:4" x14ac:dyDescent="0.25">
      <c r="A1878" s="25">
        <v>13</v>
      </c>
      <c r="B1878" s="25" t="s">
        <v>186</v>
      </c>
      <c r="C1878" s="26" t="s">
        <v>1173</v>
      </c>
      <c r="D1878" s="25" t="str">
        <f t="shared" si="29"/>
        <v>Số thửaSố thửa427</v>
      </c>
    </row>
    <row r="1879" spans="1:4" x14ac:dyDescent="0.25">
      <c r="A1879" s="25">
        <v>13</v>
      </c>
      <c r="B1879" s="25" t="s">
        <v>535</v>
      </c>
      <c r="C1879" s="26" t="s">
        <v>1171</v>
      </c>
      <c r="D1879" s="25" t="str">
        <f t="shared" si="29"/>
        <v>Số thửaSố thửa442</v>
      </c>
    </row>
    <row r="1880" spans="1:4" x14ac:dyDescent="0.25">
      <c r="A1880" s="25">
        <v>13</v>
      </c>
      <c r="B1880" s="25" t="s">
        <v>536</v>
      </c>
      <c r="C1880" s="26" t="s">
        <v>1171</v>
      </c>
      <c r="D1880" s="25" t="str">
        <f t="shared" si="29"/>
        <v>Số thửaSố thửa443</v>
      </c>
    </row>
    <row r="1881" spans="1:4" x14ac:dyDescent="0.25">
      <c r="A1881" s="25">
        <v>13</v>
      </c>
      <c r="B1881" s="25" t="s">
        <v>200</v>
      </c>
      <c r="C1881" s="26" t="s">
        <v>1171</v>
      </c>
      <c r="D1881" s="25" t="str">
        <f t="shared" si="29"/>
        <v>Số thửaSố thửa445</v>
      </c>
    </row>
    <row r="1882" spans="1:4" x14ac:dyDescent="0.25">
      <c r="A1882" s="25">
        <v>13</v>
      </c>
      <c r="B1882" s="25" t="s">
        <v>743</v>
      </c>
      <c r="C1882" s="26" t="s">
        <v>1171</v>
      </c>
      <c r="D1882" s="25" t="str">
        <f t="shared" si="29"/>
        <v>Số thửaSố thửa446</v>
      </c>
    </row>
    <row r="1883" spans="1:4" x14ac:dyDescent="0.25">
      <c r="A1883" s="25">
        <v>13</v>
      </c>
      <c r="B1883" s="25" t="s">
        <v>878</v>
      </c>
      <c r="C1883" s="26" t="s">
        <v>1171</v>
      </c>
      <c r="D1883" s="25" t="str">
        <f t="shared" si="29"/>
        <v>Số thửaSố thửa447</v>
      </c>
    </row>
    <row r="1884" spans="1:4" x14ac:dyDescent="0.25">
      <c r="A1884" s="25">
        <v>13</v>
      </c>
      <c r="B1884" s="25" t="s">
        <v>292</v>
      </c>
      <c r="C1884" s="26" t="s">
        <v>1171</v>
      </c>
      <c r="D1884" s="25" t="str">
        <f t="shared" si="29"/>
        <v>Số thửaSố thửa457</v>
      </c>
    </row>
    <row r="1885" spans="1:4" x14ac:dyDescent="0.25">
      <c r="A1885" s="25">
        <v>13</v>
      </c>
      <c r="B1885" s="25" t="s">
        <v>293</v>
      </c>
      <c r="C1885" s="26" t="s">
        <v>1171</v>
      </c>
      <c r="D1885" s="25" t="str">
        <f t="shared" si="29"/>
        <v>Số thửaSố thửa458</v>
      </c>
    </row>
    <row r="1886" spans="1:4" x14ac:dyDescent="0.25">
      <c r="A1886" s="25">
        <v>13</v>
      </c>
      <c r="B1886" s="25" t="s">
        <v>881</v>
      </c>
      <c r="C1886" s="26" t="s">
        <v>1171</v>
      </c>
      <c r="D1886" s="25" t="str">
        <f t="shared" si="29"/>
        <v>Số thửaSố thửa505</v>
      </c>
    </row>
    <row r="1887" spans="1:4" x14ac:dyDescent="0.25">
      <c r="A1887" s="25">
        <v>13</v>
      </c>
      <c r="B1887" s="25" t="s">
        <v>1059</v>
      </c>
      <c r="C1887" s="26" t="s">
        <v>1171</v>
      </c>
      <c r="D1887" s="25" t="str">
        <f t="shared" si="29"/>
        <v>Số thửaSố thửa506</v>
      </c>
    </row>
    <row r="1888" spans="1:4" x14ac:dyDescent="0.25">
      <c r="A1888" s="25">
        <v>13</v>
      </c>
      <c r="B1888" s="25" t="s">
        <v>1138</v>
      </c>
      <c r="C1888" s="26" t="s">
        <v>1174</v>
      </c>
      <c r="D1888" s="25" t="str">
        <f t="shared" si="29"/>
        <v>Số thửaSố thửa507</v>
      </c>
    </row>
    <row r="1889" spans="1:4" x14ac:dyDescent="0.25">
      <c r="A1889" s="25">
        <v>13</v>
      </c>
      <c r="B1889" s="25" t="s">
        <v>1175</v>
      </c>
      <c r="C1889" s="26" t="s">
        <v>1174</v>
      </c>
      <c r="D1889" s="25" t="str">
        <f t="shared" si="29"/>
        <v>Số thửaSố thửa529</v>
      </c>
    </row>
    <row r="1890" spans="1:4" x14ac:dyDescent="0.25">
      <c r="A1890" s="25">
        <v>13</v>
      </c>
      <c r="B1890" s="25" t="s">
        <v>853</v>
      </c>
      <c r="C1890" s="26" t="s">
        <v>1174</v>
      </c>
      <c r="D1890" s="25" t="str">
        <f t="shared" si="29"/>
        <v>Số thửaSố thửa530</v>
      </c>
    </row>
    <row r="1891" spans="1:4" x14ac:dyDescent="0.25">
      <c r="A1891" s="25">
        <v>13</v>
      </c>
      <c r="B1891" s="25" t="s">
        <v>1176</v>
      </c>
      <c r="C1891" s="26" t="s">
        <v>1174</v>
      </c>
      <c r="D1891" s="25" t="str">
        <f t="shared" si="29"/>
        <v>Số thửaSố thửa531</v>
      </c>
    </row>
    <row r="1892" spans="1:4" x14ac:dyDescent="0.25">
      <c r="A1892" s="25">
        <v>13</v>
      </c>
      <c r="B1892" s="25" t="s">
        <v>854</v>
      </c>
      <c r="C1892" s="26" t="s">
        <v>1174</v>
      </c>
      <c r="D1892" s="25" t="str">
        <f t="shared" si="29"/>
        <v>Số thửaSố thửa532</v>
      </c>
    </row>
    <row r="1893" spans="1:4" x14ac:dyDescent="0.25">
      <c r="A1893" s="25">
        <v>13</v>
      </c>
      <c r="B1893" s="25" t="s">
        <v>1177</v>
      </c>
      <c r="C1893" s="26" t="s">
        <v>1173</v>
      </c>
      <c r="D1893" s="25" t="str">
        <f t="shared" si="29"/>
        <v>Số thửaSố thửa761</v>
      </c>
    </row>
    <row r="1894" spans="1:4" x14ac:dyDescent="0.25">
      <c r="A1894" s="25">
        <v>13</v>
      </c>
      <c r="B1894" s="25" t="s">
        <v>545</v>
      </c>
      <c r="C1894" s="26" t="s">
        <v>1178</v>
      </c>
      <c r="D1894" s="25" t="str">
        <f t="shared" si="29"/>
        <v>Số thửaSố thửa764</v>
      </c>
    </row>
    <row r="1895" spans="1:4" x14ac:dyDescent="0.25">
      <c r="A1895" s="25">
        <v>15</v>
      </c>
      <c r="B1895" s="25" t="s">
        <v>628</v>
      </c>
      <c r="C1895" s="26" t="s">
        <v>1178</v>
      </c>
      <c r="D1895" s="25" t="str">
        <f t="shared" si="29"/>
        <v>Số thửaSố thửa5</v>
      </c>
    </row>
    <row r="1896" spans="1:4" x14ac:dyDescent="0.25">
      <c r="A1896" s="25">
        <v>15</v>
      </c>
      <c r="B1896" s="25" t="s">
        <v>134</v>
      </c>
      <c r="C1896" s="26" t="s">
        <v>1173</v>
      </c>
      <c r="D1896" s="25" t="str">
        <f t="shared" si="29"/>
        <v>Số thửaSố thửa11</v>
      </c>
    </row>
    <row r="1897" spans="1:4" x14ac:dyDescent="0.25">
      <c r="A1897" s="25">
        <v>15</v>
      </c>
      <c r="B1897" s="25" t="s">
        <v>565</v>
      </c>
      <c r="C1897" s="26" t="s">
        <v>1173</v>
      </c>
      <c r="D1897" s="25" t="str">
        <f t="shared" si="29"/>
        <v>Số thửaSố thửa30</v>
      </c>
    </row>
    <row r="1898" spans="1:4" x14ac:dyDescent="0.25">
      <c r="A1898" s="25">
        <v>15</v>
      </c>
      <c r="B1898" s="25" t="s">
        <v>63</v>
      </c>
      <c r="C1898" s="26" t="s">
        <v>1174</v>
      </c>
      <c r="D1898" s="25" t="str">
        <f t="shared" si="29"/>
        <v>Số thửaSố thửa56</v>
      </c>
    </row>
    <row r="1899" spans="1:4" x14ac:dyDescent="0.25">
      <c r="A1899" s="25">
        <v>15</v>
      </c>
      <c r="B1899" s="25" t="s">
        <v>258</v>
      </c>
      <c r="C1899" s="26" t="s">
        <v>1174</v>
      </c>
      <c r="D1899" s="25" t="str">
        <f t="shared" si="29"/>
        <v>Số thửaSố thửa57</v>
      </c>
    </row>
    <row r="1900" spans="1:4" x14ac:dyDescent="0.25">
      <c r="A1900" s="25">
        <v>15</v>
      </c>
      <c r="B1900" s="25" t="s">
        <v>169</v>
      </c>
      <c r="C1900" s="26" t="s">
        <v>1174</v>
      </c>
      <c r="D1900" s="25" t="str">
        <f t="shared" si="29"/>
        <v>Số thửaSố thửa66</v>
      </c>
    </row>
    <row r="1901" spans="1:4" x14ac:dyDescent="0.25">
      <c r="A1901" s="25">
        <v>15</v>
      </c>
      <c r="B1901" s="25" t="s">
        <v>934</v>
      </c>
      <c r="C1901" s="26" t="s">
        <v>1174</v>
      </c>
      <c r="D1901" s="25" t="str">
        <f t="shared" si="29"/>
        <v>Số thửaSố thửa67</v>
      </c>
    </row>
    <row r="1902" spans="1:4" x14ac:dyDescent="0.25">
      <c r="A1902" s="25">
        <v>15</v>
      </c>
      <c r="B1902" s="25" t="s">
        <v>902</v>
      </c>
      <c r="C1902" s="26" t="s">
        <v>1174</v>
      </c>
      <c r="D1902" s="25" t="str">
        <f t="shared" si="29"/>
        <v>Số thửaSố thửa68</v>
      </c>
    </row>
    <row r="1903" spans="1:4" x14ac:dyDescent="0.25">
      <c r="A1903" s="25">
        <v>16</v>
      </c>
      <c r="B1903" s="25" t="s">
        <v>1053</v>
      </c>
      <c r="C1903" s="26" t="s">
        <v>1173</v>
      </c>
      <c r="D1903" s="25" t="str">
        <f t="shared" si="29"/>
        <v>Số thửaSố thửa20</v>
      </c>
    </row>
    <row r="1904" spans="1:4" x14ac:dyDescent="0.25">
      <c r="A1904" s="25">
        <v>13</v>
      </c>
      <c r="B1904" s="25" t="s">
        <v>632</v>
      </c>
      <c r="C1904" s="26" t="s">
        <v>1179</v>
      </c>
      <c r="D1904" s="25" t="str">
        <f t="shared" si="29"/>
        <v>Số thửaSố thửa54</v>
      </c>
    </row>
    <row r="1905" spans="1:4" x14ac:dyDescent="0.25">
      <c r="A1905" s="25">
        <v>13</v>
      </c>
      <c r="B1905" s="25" t="s">
        <v>1064</v>
      </c>
      <c r="C1905" s="26" t="s">
        <v>1179</v>
      </c>
      <c r="D1905" s="25" t="str">
        <f t="shared" si="29"/>
        <v>Số thửaSố thửa74</v>
      </c>
    </row>
    <row r="1906" spans="1:4" x14ac:dyDescent="0.25">
      <c r="A1906" s="25">
        <v>13</v>
      </c>
      <c r="B1906" s="25" t="s">
        <v>462</v>
      </c>
      <c r="C1906" s="26" t="s">
        <v>1179</v>
      </c>
      <c r="D1906" s="25" t="str">
        <f t="shared" si="29"/>
        <v>Số thửaSố thửa75</v>
      </c>
    </row>
    <row r="1907" spans="1:4" x14ac:dyDescent="0.25">
      <c r="A1907" s="25">
        <v>13</v>
      </c>
      <c r="B1907" s="25" t="s">
        <v>763</v>
      </c>
      <c r="C1907" s="26" t="s">
        <v>1179</v>
      </c>
      <c r="D1907" s="25" t="str">
        <f t="shared" si="29"/>
        <v>Số thửaSố thửa86</v>
      </c>
    </row>
    <row r="1908" spans="1:4" x14ac:dyDescent="0.25">
      <c r="A1908" s="25">
        <v>13</v>
      </c>
      <c r="B1908" s="25" t="s">
        <v>557</v>
      </c>
      <c r="C1908" s="26" t="s">
        <v>1179</v>
      </c>
      <c r="D1908" s="25" t="str">
        <f t="shared" si="29"/>
        <v>Số thửaSố thửa87</v>
      </c>
    </row>
    <row r="1909" spans="1:4" x14ac:dyDescent="0.25">
      <c r="A1909" s="25">
        <v>13</v>
      </c>
      <c r="B1909" s="25" t="s">
        <v>344</v>
      </c>
      <c r="C1909" s="26" t="s">
        <v>1179</v>
      </c>
      <c r="D1909" s="25" t="str">
        <f t="shared" si="29"/>
        <v>Số thửaSố thửa88</v>
      </c>
    </row>
    <row r="1910" spans="1:4" x14ac:dyDescent="0.25">
      <c r="A1910" s="25">
        <v>13</v>
      </c>
      <c r="B1910" s="25" t="s">
        <v>494</v>
      </c>
      <c r="C1910" s="26" t="s">
        <v>1179</v>
      </c>
      <c r="D1910" s="25" t="str">
        <f t="shared" si="29"/>
        <v>Số thửaSố thửa92</v>
      </c>
    </row>
    <row r="1911" spans="1:4" x14ac:dyDescent="0.25">
      <c r="A1911" s="25">
        <v>13</v>
      </c>
      <c r="B1911" s="25" t="s">
        <v>468</v>
      </c>
      <c r="C1911" s="26" t="s">
        <v>1179</v>
      </c>
      <c r="D1911" s="25" t="str">
        <f t="shared" si="29"/>
        <v>Số thửaSố thửa93</v>
      </c>
    </row>
    <row r="1912" spans="1:4" x14ac:dyDescent="0.25">
      <c r="A1912" s="25">
        <v>13</v>
      </c>
      <c r="B1912" s="25" t="s">
        <v>469</v>
      </c>
      <c r="C1912" s="26" t="s">
        <v>1179</v>
      </c>
      <c r="D1912" s="25" t="str">
        <f t="shared" si="29"/>
        <v>Số thửaSố thửa94</v>
      </c>
    </row>
    <row r="1913" spans="1:4" x14ac:dyDescent="0.25">
      <c r="A1913" s="25">
        <v>13</v>
      </c>
      <c r="B1913" s="25" t="s">
        <v>325</v>
      </c>
      <c r="C1913" s="26" t="s">
        <v>1180</v>
      </c>
      <c r="D1913" s="25" t="str">
        <f t="shared" si="29"/>
        <v>Số thửaSố thửa101</v>
      </c>
    </row>
    <row r="1914" spans="1:4" x14ac:dyDescent="0.25">
      <c r="A1914" s="25">
        <v>13</v>
      </c>
      <c r="B1914" s="25" t="s">
        <v>654</v>
      </c>
      <c r="C1914" s="26" t="s">
        <v>1180</v>
      </c>
      <c r="D1914" s="25" t="str">
        <f t="shared" si="29"/>
        <v>Số thửaSố thửa103</v>
      </c>
    </row>
    <row r="1915" spans="1:4" x14ac:dyDescent="0.25">
      <c r="A1915" s="25">
        <v>13</v>
      </c>
      <c r="B1915" s="25" t="s">
        <v>1181</v>
      </c>
      <c r="C1915" s="26" t="s">
        <v>1180</v>
      </c>
      <c r="D1915" s="25" t="str">
        <f t="shared" si="29"/>
        <v>Số thửaSố thửa104</v>
      </c>
    </row>
    <row r="1916" spans="1:4" x14ac:dyDescent="0.25">
      <c r="A1916" s="25">
        <v>13</v>
      </c>
      <c r="B1916" s="25" t="s">
        <v>121</v>
      </c>
      <c r="C1916" s="26" t="s">
        <v>1180</v>
      </c>
      <c r="D1916" s="25" t="str">
        <f t="shared" si="29"/>
        <v>Số thửaSố thửa105</v>
      </c>
    </row>
    <row r="1917" spans="1:4" x14ac:dyDescent="0.25">
      <c r="A1917" s="25">
        <v>13</v>
      </c>
      <c r="B1917" s="25" t="s">
        <v>885</v>
      </c>
      <c r="C1917" s="26" t="s">
        <v>1179</v>
      </c>
      <c r="D1917" s="25" t="str">
        <f t="shared" si="29"/>
        <v>Số thửaSố thửa106</v>
      </c>
    </row>
    <row r="1918" spans="1:4" x14ac:dyDescent="0.25">
      <c r="A1918" s="25">
        <v>13</v>
      </c>
      <c r="B1918" s="25" t="s">
        <v>381</v>
      </c>
      <c r="C1918" s="26" t="s">
        <v>1180</v>
      </c>
      <c r="D1918" s="25" t="str">
        <f t="shared" si="29"/>
        <v>Số thửaSố thửa145</v>
      </c>
    </row>
    <row r="1919" spans="1:4" x14ac:dyDescent="0.25">
      <c r="A1919" s="25">
        <v>13</v>
      </c>
      <c r="B1919" s="25" t="s">
        <v>1102</v>
      </c>
      <c r="C1919" s="26" t="s">
        <v>1179</v>
      </c>
      <c r="D1919" s="25" t="str">
        <f t="shared" si="29"/>
        <v>Số thửaSố thửa166</v>
      </c>
    </row>
    <row r="1920" spans="1:4" x14ac:dyDescent="0.25">
      <c r="A1920" s="25">
        <v>13</v>
      </c>
      <c r="B1920" s="25" t="s">
        <v>829</v>
      </c>
      <c r="C1920" s="26" t="s">
        <v>1179</v>
      </c>
      <c r="D1920" s="25" t="str">
        <f t="shared" si="29"/>
        <v>Số thửaSố thửa167</v>
      </c>
    </row>
    <row r="1921" spans="1:4" x14ac:dyDescent="0.25">
      <c r="A1921" s="25">
        <v>13</v>
      </c>
      <c r="B1921" s="25" t="s">
        <v>73</v>
      </c>
      <c r="C1921" s="26" t="s">
        <v>1180</v>
      </c>
      <c r="D1921" s="25" t="str">
        <f t="shared" si="29"/>
        <v>Số thửaSố thửa168</v>
      </c>
    </row>
    <row r="1922" spans="1:4" x14ac:dyDescent="0.25">
      <c r="A1922" s="25">
        <v>13</v>
      </c>
      <c r="B1922" s="25" t="s">
        <v>866</v>
      </c>
      <c r="C1922" s="26" t="s">
        <v>1180</v>
      </c>
      <c r="D1922" s="25" t="str">
        <f t="shared" si="29"/>
        <v>Số thửaSố thửa196</v>
      </c>
    </row>
    <row r="1923" spans="1:4" x14ac:dyDescent="0.25">
      <c r="A1923" s="25">
        <v>13</v>
      </c>
      <c r="B1923" s="25" t="s">
        <v>867</v>
      </c>
      <c r="C1923" s="26" t="s">
        <v>1180</v>
      </c>
      <c r="D1923" s="25" t="str">
        <f t="shared" ref="D1923:D1986" si="30">$B$1&amp;B1923</f>
        <v>Số thửaSố thửa197</v>
      </c>
    </row>
    <row r="1924" spans="1:4" x14ac:dyDescent="0.25">
      <c r="A1924" s="25">
        <v>13</v>
      </c>
      <c r="B1924" s="25" t="s">
        <v>1182</v>
      </c>
      <c r="C1924" s="26" t="s">
        <v>1180</v>
      </c>
      <c r="D1924" s="25" t="str">
        <f t="shared" si="30"/>
        <v>Số thửaSố thửa199</v>
      </c>
    </row>
    <row r="1925" spans="1:4" x14ac:dyDescent="0.25">
      <c r="A1925" s="25">
        <v>13</v>
      </c>
      <c r="B1925" s="25" t="s">
        <v>95</v>
      </c>
      <c r="C1925" s="26" t="s">
        <v>1180</v>
      </c>
      <c r="D1925" s="25" t="str">
        <f t="shared" si="30"/>
        <v>Số thửaSố thửa241</v>
      </c>
    </row>
    <row r="1926" spans="1:4" x14ac:dyDescent="0.25">
      <c r="A1926" s="25">
        <v>13</v>
      </c>
      <c r="B1926" s="25" t="s">
        <v>1080</v>
      </c>
      <c r="C1926" s="26" t="s">
        <v>1183</v>
      </c>
      <c r="D1926" s="25" t="str">
        <f t="shared" si="30"/>
        <v>Số thửaSố thửa628</v>
      </c>
    </row>
    <row r="1927" spans="1:4" x14ac:dyDescent="0.25">
      <c r="A1927" s="25">
        <v>13</v>
      </c>
      <c r="B1927" s="25" t="s">
        <v>1080</v>
      </c>
      <c r="C1927" s="26" t="s">
        <v>1183</v>
      </c>
      <c r="D1927" s="25" t="str">
        <f t="shared" si="30"/>
        <v>Số thửaSố thửa628</v>
      </c>
    </row>
    <row r="1928" spans="1:4" x14ac:dyDescent="0.25">
      <c r="A1928" s="25">
        <v>13</v>
      </c>
      <c r="B1928" s="25" t="s">
        <v>1184</v>
      </c>
      <c r="C1928" s="26" t="s">
        <v>1185</v>
      </c>
      <c r="D1928" s="25" t="str">
        <f t="shared" si="30"/>
        <v>Số thửaSố thửa673</v>
      </c>
    </row>
    <row r="1929" spans="1:4" x14ac:dyDescent="0.25">
      <c r="A1929" s="25">
        <v>13</v>
      </c>
      <c r="B1929" s="25" t="s">
        <v>542</v>
      </c>
      <c r="C1929" s="26" t="s">
        <v>1185</v>
      </c>
      <c r="D1929" s="25" t="str">
        <f t="shared" si="30"/>
        <v>Số thửaSố thửa736</v>
      </c>
    </row>
    <row r="1930" spans="1:4" x14ac:dyDescent="0.25">
      <c r="A1930" s="25">
        <v>14</v>
      </c>
      <c r="B1930" s="25" t="s">
        <v>95</v>
      </c>
      <c r="C1930" s="26" t="s">
        <v>1185</v>
      </c>
      <c r="D1930" s="25" t="str">
        <f t="shared" si="30"/>
        <v>Số thửaSố thửa241</v>
      </c>
    </row>
    <row r="1931" spans="1:4" x14ac:dyDescent="0.25">
      <c r="A1931" s="25">
        <v>4</v>
      </c>
      <c r="B1931" s="25" t="s">
        <v>896</v>
      </c>
      <c r="C1931" s="26" t="s">
        <v>1186</v>
      </c>
      <c r="D1931" s="25" t="str">
        <f t="shared" si="30"/>
        <v>Số thửaSố thửa257</v>
      </c>
    </row>
    <row r="1932" spans="1:4" x14ac:dyDescent="0.25">
      <c r="A1932" s="25">
        <v>4</v>
      </c>
      <c r="B1932" s="25" t="s">
        <v>959</v>
      </c>
      <c r="C1932" s="26" t="s">
        <v>1187</v>
      </c>
      <c r="D1932" s="25" t="str">
        <f t="shared" si="30"/>
        <v>Số thửaSố thửa288</v>
      </c>
    </row>
    <row r="1933" spans="1:4" x14ac:dyDescent="0.25">
      <c r="A1933" s="25">
        <v>4</v>
      </c>
      <c r="B1933" s="25" t="s">
        <v>214</v>
      </c>
      <c r="C1933" s="26" t="s">
        <v>1187</v>
      </c>
      <c r="D1933" s="25" t="str">
        <f t="shared" si="30"/>
        <v>Số thửaSố thửa289</v>
      </c>
    </row>
    <row r="1934" spans="1:4" x14ac:dyDescent="0.25">
      <c r="A1934" s="25">
        <v>4</v>
      </c>
      <c r="B1934" s="25" t="s">
        <v>215</v>
      </c>
      <c r="C1934" s="26" t="s">
        <v>1187</v>
      </c>
      <c r="D1934" s="25" t="str">
        <f t="shared" si="30"/>
        <v>Số thửaSố thửa290</v>
      </c>
    </row>
    <row r="1935" spans="1:4" x14ac:dyDescent="0.25">
      <c r="A1935" s="25">
        <v>4</v>
      </c>
      <c r="B1935" s="25" t="s">
        <v>938</v>
      </c>
      <c r="C1935" s="26" t="s">
        <v>1187</v>
      </c>
      <c r="D1935" s="25" t="str">
        <f t="shared" si="30"/>
        <v>Số thửaSố thửa291</v>
      </c>
    </row>
    <row r="1936" spans="1:4" x14ac:dyDescent="0.25">
      <c r="A1936" s="25">
        <v>4</v>
      </c>
      <c r="B1936" s="25" t="s">
        <v>1116</v>
      </c>
      <c r="C1936" s="26" t="s">
        <v>1187</v>
      </c>
      <c r="D1936" s="25" t="str">
        <f t="shared" si="30"/>
        <v>Số thửaSố thửa302</v>
      </c>
    </row>
    <row r="1937" spans="1:4" x14ac:dyDescent="0.25">
      <c r="A1937" s="25">
        <v>4</v>
      </c>
      <c r="B1937" s="25" t="s">
        <v>984</v>
      </c>
      <c r="C1937" s="26" t="s">
        <v>1187</v>
      </c>
      <c r="D1937" s="25" t="str">
        <f t="shared" si="30"/>
        <v>Số thửaSố thửa303</v>
      </c>
    </row>
    <row r="1938" spans="1:4" x14ac:dyDescent="0.25">
      <c r="A1938" s="25">
        <v>4</v>
      </c>
      <c r="B1938" s="25" t="s">
        <v>731</v>
      </c>
      <c r="C1938" s="26" t="s">
        <v>1187</v>
      </c>
      <c r="D1938" s="25" t="str">
        <f t="shared" si="30"/>
        <v>Số thửaSố thửa304</v>
      </c>
    </row>
    <row r="1939" spans="1:4" x14ac:dyDescent="0.25">
      <c r="A1939" s="25">
        <v>4</v>
      </c>
      <c r="B1939" s="25" t="s">
        <v>137</v>
      </c>
      <c r="C1939" s="26" t="s">
        <v>1187</v>
      </c>
      <c r="D1939" s="25" t="str">
        <f t="shared" si="30"/>
        <v>Số thửaSố thửa305</v>
      </c>
    </row>
    <row r="1940" spans="1:4" x14ac:dyDescent="0.25">
      <c r="A1940" s="25">
        <v>4</v>
      </c>
      <c r="B1940" s="25" t="s">
        <v>139</v>
      </c>
      <c r="C1940" s="26" t="s">
        <v>1187</v>
      </c>
      <c r="D1940" s="25" t="str">
        <f t="shared" si="30"/>
        <v>Số thửaSố thửa306</v>
      </c>
    </row>
    <row r="1941" spans="1:4" x14ac:dyDescent="0.25">
      <c r="A1941" s="25">
        <v>4</v>
      </c>
      <c r="B1941" s="25" t="s">
        <v>140</v>
      </c>
      <c r="C1941" s="26" t="s">
        <v>1187</v>
      </c>
      <c r="D1941" s="25" t="str">
        <f t="shared" si="30"/>
        <v>Số thửaSố thửa307</v>
      </c>
    </row>
    <row r="1942" spans="1:4" x14ac:dyDescent="0.25">
      <c r="A1942" s="25">
        <v>4</v>
      </c>
      <c r="B1942" s="25" t="s">
        <v>713</v>
      </c>
      <c r="C1942" s="26" t="s">
        <v>1187</v>
      </c>
      <c r="D1942" s="25" t="str">
        <f t="shared" si="30"/>
        <v>Số thửaSố thửa308</v>
      </c>
    </row>
    <row r="1943" spans="1:4" x14ac:dyDescent="0.25">
      <c r="A1943" s="25">
        <v>4</v>
      </c>
      <c r="B1943" s="25" t="s">
        <v>141</v>
      </c>
      <c r="C1943" s="26" t="s">
        <v>1187</v>
      </c>
      <c r="D1943" s="25" t="str">
        <f t="shared" si="30"/>
        <v>Số thửaSố thửa329</v>
      </c>
    </row>
    <row r="1944" spans="1:4" x14ac:dyDescent="0.25">
      <c r="A1944" s="25">
        <v>4</v>
      </c>
      <c r="B1944" s="25" t="s">
        <v>142</v>
      </c>
      <c r="C1944" s="26" t="s">
        <v>1187</v>
      </c>
      <c r="D1944" s="25" t="str">
        <f t="shared" si="30"/>
        <v>Số thửaSố thửa330</v>
      </c>
    </row>
    <row r="1945" spans="1:4" x14ac:dyDescent="0.25">
      <c r="A1945" s="25">
        <v>4</v>
      </c>
      <c r="B1945" s="25" t="s">
        <v>673</v>
      </c>
      <c r="C1945" s="26" t="s">
        <v>1188</v>
      </c>
      <c r="D1945" s="25" t="str">
        <f t="shared" si="30"/>
        <v>Số thửaSố thửa341</v>
      </c>
    </row>
    <row r="1946" spans="1:4" x14ac:dyDescent="0.25">
      <c r="A1946" s="25">
        <v>4</v>
      </c>
      <c r="B1946" s="25" t="s">
        <v>1167</v>
      </c>
      <c r="C1946" s="26" t="s">
        <v>1187</v>
      </c>
      <c r="D1946" s="25" t="str">
        <f t="shared" si="30"/>
        <v>Số thửaSố thửa342</v>
      </c>
    </row>
    <row r="1947" spans="1:4" x14ac:dyDescent="0.25">
      <c r="A1947" s="25">
        <v>4</v>
      </c>
      <c r="B1947" s="25" t="s">
        <v>872</v>
      </c>
      <c r="C1947" s="26" t="s">
        <v>1187</v>
      </c>
      <c r="D1947" s="25" t="str">
        <f t="shared" si="30"/>
        <v>Số thửaSố thửa343</v>
      </c>
    </row>
    <row r="1948" spans="1:4" x14ac:dyDescent="0.25">
      <c r="A1948" s="25">
        <v>4</v>
      </c>
      <c r="B1948" s="25" t="s">
        <v>1189</v>
      </c>
      <c r="C1948" s="26" t="s">
        <v>1187</v>
      </c>
      <c r="D1948" s="25" t="str">
        <f t="shared" si="30"/>
        <v>Số thửaSố thửa345</v>
      </c>
    </row>
    <row r="1949" spans="1:4" x14ac:dyDescent="0.25">
      <c r="A1949" s="25">
        <v>4</v>
      </c>
      <c r="B1949" s="25" t="s">
        <v>749</v>
      </c>
      <c r="C1949" s="26" t="s">
        <v>1188</v>
      </c>
      <c r="D1949" s="25" t="str">
        <f t="shared" si="30"/>
        <v>Số thửaSố thửa373</v>
      </c>
    </row>
    <row r="1950" spans="1:4" x14ac:dyDescent="0.25">
      <c r="A1950" s="25">
        <v>4</v>
      </c>
      <c r="B1950" s="25" t="s">
        <v>807</v>
      </c>
      <c r="C1950" s="26" t="s">
        <v>1188</v>
      </c>
      <c r="D1950" s="25" t="str">
        <f t="shared" si="30"/>
        <v>Số thửaSố thửa374</v>
      </c>
    </row>
    <row r="1951" spans="1:4" x14ac:dyDescent="0.25">
      <c r="A1951" s="25">
        <v>4</v>
      </c>
      <c r="B1951" s="25" t="s">
        <v>808</v>
      </c>
      <c r="C1951" s="26" t="s">
        <v>1190</v>
      </c>
      <c r="D1951" s="25" t="str">
        <f t="shared" si="30"/>
        <v>Số thửaSố thửa375</v>
      </c>
    </row>
    <row r="1952" spans="1:4" x14ac:dyDescent="0.25">
      <c r="A1952" s="25">
        <v>4</v>
      </c>
      <c r="B1952" s="25" t="s">
        <v>808</v>
      </c>
      <c r="C1952" s="26" t="s">
        <v>1190</v>
      </c>
      <c r="D1952" s="25" t="str">
        <f t="shared" si="30"/>
        <v>Số thửaSố thửa375</v>
      </c>
    </row>
    <row r="1953" spans="1:4" x14ac:dyDescent="0.25">
      <c r="A1953" s="25">
        <v>4</v>
      </c>
      <c r="B1953" s="25" t="s">
        <v>1191</v>
      </c>
      <c r="C1953" s="26" t="s">
        <v>1188</v>
      </c>
      <c r="D1953" s="25" t="str">
        <f t="shared" si="30"/>
        <v>Số thửaSố thửa389</v>
      </c>
    </row>
    <row r="1954" spans="1:4" x14ac:dyDescent="0.25">
      <c r="A1954" s="25">
        <v>4</v>
      </c>
      <c r="B1954" s="25" t="s">
        <v>451</v>
      </c>
      <c r="C1954" s="26" t="s">
        <v>1188</v>
      </c>
      <c r="D1954" s="25" t="str">
        <f t="shared" si="30"/>
        <v>Số thửaSố thửa390</v>
      </c>
    </row>
    <row r="1955" spans="1:4" x14ac:dyDescent="0.25">
      <c r="A1955" s="25">
        <v>4</v>
      </c>
      <c r="B1955" s="25" t="s">
        <v>452</v>
      </c>
      <c r="C1955" s="26" t="s">
        <v>1188</v>
      </c>
      <c r="D1955" s="25" t="str">
        <f t="shared" si="30"/>
        <v>Số thửaSố thửa391</v>
      </c>
    </row>
    <row r="1956" spans="1:4" x14ac:dyDescent="0.25">
      <c r="A1956" s="25">
        <v>4</v>
      </c>
      <c r="B1956" s="25" t="s">
        <v>755</v>
      </c>
      <c r="C1956" s="26" t="s">
        <v>1188</v>
      </c>
      <c r="D1956" s="25" t="str">
        <f t="shared" si="30"/>
        <v>Số thửaSố thửa421</v>
      </c>
    </row>
    <row r="1957" spans="1:4" x14ac:dyDescent="0.25">
      <c r="A1957" s="25">
        <v>4</v>
      </c>
      <c r="B1957" s="25" t="s">
        <v>756</v>
      </c>
      <c r="C1957" s="26" t="s">
        <v>1188</v>
      </c>
      <c r="D1957" s="25" t="str">
        <f t="shared" si="30"/>
        <v>Số thửaSố thửa422</v>
      </c>
    </row>
    <row r="1958" spans="1:4" x14ac:dyDescent="0.25">
      <c r="A1958" s="25">
        <v>4</v>
      </c>
      <c r="B1958" s="25" t="s">
        <v>1192</v>
      </c>
      <c r="C1958" s="26" t="s">
        <v>1188</v>
      </c>
      <c r="D1958" s="25" t="str">
        <f t="shared" si="30"/>
        <v>Số thửaSố thửa423</v>
      </c>
    </row>
    <row r="1959" spans="1:4" x14ac:dyDescent="0.25">
      <c r="A1959" s="25">
        <v>4</v>
      </c>
      <c r="B1959" s="25" t="s">
        <v>1031</v>
      </c>
      <c r="C1959" s="26" t="s">
        <v>1188</v>
      </c>
      <c r="D1959" s="25" t="str">
        <f t="shared" si="30"/>
        <v>Số thửaSố thửa424</v>
      </c>
    </row>
    <row r="1960" spans="1:4" x14ac:dyDescent="0.25">
      <c r="A1960" s="25">
        <v>7</v>
      </c>
      <c r="B1960" s="25" t="s">
        <v>986</v>
      </c>
      <c r="C1960" s="26" t="s">
        <v>1193</v>
      </c>
      <c r="D1960" s="25" t="str">
        <f t="shared" si="30"/>
        <v>Số thửaSố thửa200</v>
      </c>
    </row>
    <row r="1961" spans="1:4" x14ac:dyDescent="0.25">
      <c r="A1961" s="25">
        <v>7</v>
      </c>
      <c r="B1961" s="25" t="s">
        <v>1176</v>
      </c>
      <c r="C1961" s="26" t="s">
        <v>1186</v>
      </c>
      <c r="D1961" s="25" t="str">
        <f t="shared" si="30"/>
        <v>Số thửaSố thửa531</v>
      </c>
    </row>
    <row r="1962" spans="1:4" x14ac:dyDescent="0.25">
      <c r="A1962" s="25">
        <v>8</v>
      </c>
      <c r="B1962" s="25" t="s">
        <v>327</v>
      </c>
      <c r="C1962" s="26" t="s">
        <v>1194</v>
      </c>
      <c r="D1962" s="25" t="str">
        <f t="shared" si="30"/>
        <v>Số thửaSố thửa137</v>
      </c>
    </row>
    <row r="1963" spans="1:4" x14ac:dyDescent="0.25">
      <c r="A1963" s="25">
        <v>9</v>
      </c>
      <c r="B1963" s="25" t="s">
        <v>1195</v>
      </c>
      <c r="C1963" s="26" t="s">
        <v>1194</v>
      </c>
      <c r="D1963" s="25" t="str">
        <f t="shared" si="30"/>
        <v>Số thửaSố thửa741</v>
      </c>
    </row>
    <row r="1964" spans="1:4" x14ac:dyDescent="0.25">
      <c r="A1964" s="25">
        <v>9</v>
      </c>
      <c r="B1964" s="25" t="s">
        <v>1157</v>
      </c>
      <c r="C1964" s="26" t="s">
        <v>1196</v>
      </c>
      <c r="D1964" s="25" t="str">
        <f t="shared" si="30"/>
        <v>Số thửaSố thửa751</v>
      </c>
    </row>
    <row r="1965" spans="1:4" x14ac:dyDescent="0.25">
      <c r="A1965" s="25">
        <v>9</v>
      </c>
      <c r="B1965" s="25" t="s">
        <v>1197</v>
      </c>
      <c r="C1965" s="26" t="s">
        <v>1196</v>
      </c>
      <c r="D1965" s="25" t="str">
        <f t="shared" si="30"/>
        <v>Số thửaSố thửa771</v>
      </c>
    </row>
    <row r="1966" spans="1:4" x14ac:dyDescent="0.25">
      <c r="A1966" s="25">
        <v>9</v>
      </c>
      <c r="B1966" s="25" t="s">
        <v>700</v>
      </c>
      <c r="C1966" s="26" t="s">
        <v>1196</v>
      </c>
      <c r="D1966" s="25" t="str">
        <f t="shared" si="30"/>
        <v>Số thửaSố thửa777</v>
      </c>
    </row>
    <row r="1967" spans="1:4" x14ac:dyDescent="0.25">
      <c r="A1967" s="25">
        <v>9</v>
      </c>
      <c r="B1967" s="25" t="s">
        <v>218</v>
      </c>
      <c r="C1967" s="26" t="s">
        <v>1196</v>
      </c>
      <c r="D1967" s="25" t="str">
        <f t="shared" si="30"/>
        <v>Số thửaSố thửa779</v>
      </c>
    </row>
    <row r="1968" spans="1:4" x14ac:dyDescent="0.25">
      <c r="A1968" s="25">
        <v>9</v>
      </c>
      <c r="B1968" s="25" t="s">
        <v>774</v>
      </c>
      <c r="C1968" s="26" t="s">
        <v>1196</v>
      </c>
      <c r="D1968" s="25" t="str">
        <f t="shared" si="30"/>
        <v>Số thửaSố thửa789</v>
      </c>
    </row>
    <row r="1969" spans="1:4" x14ac:dyDescent="0.25">
      <c r="A1969" s="25">
        <v>9</v>
      </c>
      <c r="B1969" s="25" t="s">
        <v>1198</v>
      </c>
      <c r="C1969" s="26" t="s">
        <v>1196</v>
      </c>
      <c r="D1969" s="25" t="str">
        <f t="shared" si="30"/>
        <v>Số thửaSố thửa856</v>
      </c>
    </row>
    <row r="1970" spans="1:4" x14ac:dyDescent="0.25">
      <c r="A1970" s="25">
        <v>9</v>
      </c>
      <c r="B1970" s="25" t="s">
        <v>1199</v>
      </c>
      <c r="C1970" s="26" t="s">
        <v>1196</v>
      </c>
      <c r="D1970" s="25" t="str">
        <f t="shared" si="30"/>
        <v>Số thửaSố thửa857</v>
      </c>
    </row>
    <row r="1971" spans="1:4" x14ac:dyDescent="0.25">
      <c r="A1971" s="25">
        <v>9</v>
      </c>
      <c r="B1971" s="25" t="s">
        <v>822</v>
      </c>
      <c r="C1971" s="26" t="s">
        <v>1196</v>
      </c>
      <c r="D1971" s="25" t="str">
        <f t="shared" si="30"/>
        <v>Số thửaSố thửa858</v>
      </c>
    </row>
    <row r="1972" spans="1:4" x14ac:dyDescent="0.25">
      <c r="A1972" s="25">
        <v>9</v>
      </c>
      <c r="B1972" s="25" t="s">
        <v>832</v>
      </c>
      <c r="C1972" s="26" t="s">
        <v>1196</v>
      </c>
      <c r="D1972" s="25" t="str">
        <f t="shared" si="30"/>
        <v>Số thửaSố thửa859</v>
      </c>
    </row>
    <row r="1973" spans="1:4" x14ac:dyDescent="0.25">
      <c r="A1973" s="25">
        <v>9</v>
      </c>
      <c r="B1973" s="25" t="s">
        <v>1200</v>
      </c>
      <c r="C1973" s="26" t="s">
        <v>1196</v>
      </c>
      <c r="D1973" s="25" t="str">
        <f t="shared" si="30"/>
        <v>Số thửaSố thửa860</v>
      </c>
    </row>
    <row r="1974" spans="1:4" x14ac:dyDescent="0.25">
      <c r="A1974" s="25">
        <v>9</v>
      </c>
      <c r="B1974" s="25" t="s">
        <v>833</v>
      </c>
      <c r="C1974" s="26" t="s">
        <v>1196</v>
      </c>
      <c r="D1974" s="25" t="str">
        <f t="shared" si="30"/>
        <v>Số thửaSố thửa861</v>
      </c>
    </row>
    <row r="1975" spans="1:4" x14ac:dyDescent="0.25">
      <c r="A1975" s="25">
        <v>9</v>
      </c>
      <c r="B1975" s="25" t="s">
        <v>158</v>
      </c>
      <c r="C1975" s="26" t="s">
        <v>1196</v>
      </c>
      <c r="D1975" s="25" t="str">
        <f t="shared" si="30"/>
        <v>Số thửaSố thửa862</v>
      </c>
    </row>
    <row r="1976" spans="1:4" x14ac:dyDescent="0.25">
      <c r="A1976" s="25">
        <v>9</v>
      </c>
      <c r="B1976" s="25" t="s">
        <v>867</v>
      </c>
      <c r="C1976" s="26" t="s">
        <v>1201</v>
      </c>
      <c r="D1976" s="25" t="str">
        <f t="shared" si="30"/>
        <v>Số thửaSố thửa197</v>
      </c>
    </row>
    <row r="1977" spans="1:4" x14ac:dyDescent="0.25">
      <c r="A1977" s="25">
        <v>9</v>
      </c>
      <c r="B1977" s="25" t="s">
        <v>1202</v>
      </c>
      <c r="C1977" s="26" t="s">
        <v>1201</v>
      </c>
      <c r="D1977" s="25" t="str">
        <f t="shared" si="30"/>
        <v>Số thửaSố thửa216</v>
      </c>
    </row>
    <row r="1978" spans="1:4" x14ac:dyDescent="0.25">
      <c r="A1978" s="25">
        <v>9</v>
      </c>
      <c r="B1978" s="25" t="s">
        <v>83</v>
      </c>
      <c r="C1978" s="26" t="s">
        <v>1203</v>
      </c>
      <c r="D1978" s="25" t="str">
        <f t="shared" si="30"/>
        <v>Số thửaSố thửa217</v>
      </c>
    </row>
    <row r="1979" spans="1:4" x14ac:dyDescent="0.25">
      <c r="A1979" s="25">
        <v>9</v>
      </c>
      <c r="B1979" s="25" t="s">
        <v>83</v>
      </c>
      <c r="C1979" s="26" t="s">
        <v>1203</v>
      </c>
      <c r="D1979" s="25" t="str">
        <f t="shared" si="30"/>
        <v>Số thửaSố thửa217</v>
      </c>
    </row>
    <row r="1980" spans="1:4" x14ac:dyDescent="0.25">
      <c r="A1980" s="25">
        <v>9</v>
      </c>
      <c r="B1980" s="25" t="s">
        <v>86</v>
      </c>
      <c r="C1980" s="26" t="s">
        <v>1204</v>
      </c>
      <c r="D1980" s="25" t="str">
        <f t="shared" si="30"/>
        <v>Số thửaSố thửa220</v>
      </c>
    </row>
    <row r="1981" spans="1:4" x14ac:dyDescent="0.25">
      <c r="A1981" s="25">
        <v>9</v>
      </c>
      <c r="B1981" s="25" t="s">
        <v>87</v>
      </c>
      <c r="C1981" s="26" t="s">
        <v>1205</v>
      </c>
      <c r="D1981" s="25" t="str">
        <f t="shared" si="30"/>
        <v>Số thửaSố thửa221</v>
      </c>
    </row>
    <row r="1982" spans="1:4" x14ac:dyDescent="0.25">
      <c r="A1982" s="25">
        <v>9</v>
      </c>
      <c r="B1982" s="25" t="s">
        <v>177</v>
      </c>
      <c r="C1982" s="26" t="s">
        <v>1204</v>
      </c>
      <c r="D1982" s="25" t="str">
        <f t="shared" si="30"/>
        <v>Số thửaSố thửa260</v>
      </c>
    </row>
    <row r="1983" spans="1:4" x14ac:dyDescent="0.25">
      <c r="A1983" s="25">
        <v>9</v>
      </c>
      <c r="B1983" s="25" t="s">
        <v>870</v>
      </c>
      <c r="C1983" s="26" t="s">
        <v>1204</v>
      </c>
      <c r="D1983" s="25" t="str">
        <f t="shared" si="30"/>
        <v>Số thửaSố thửa261</v>
      </c>
    </row>
    <row r="1984" spans="1:4" x14ac:dyDescent="0.25">
      <c r="A1984" s="25">
        <v>9</v>
      </c>
      <c r="B1984" s="25" t="s">
        <v>486</v>
      </c>
      <c r="C1984" s="26" t="s">
        <v>1205</v>
      </c>
      <c r="D1984" s="25" t="str">
        <f t="shared" si="30"/>
        <v>Số thửaSố thửa265</v>
      </c>
    </row>
    <row r="1985" spans="1:4" x14ac:dyDescent="0.25">
      <c r="A1985" s="25">
        <v>9</v>
      </c>
      <c r="B1985" s="25" t="s">
        <v>211</v>
      </c>
      <c r="C1985" s="26" t="s">
        <v>1204</v>
      </c>
      <c r="D1985" s="25" t="str">
        <f t="shared" si="30"/>
        <v>Số thửaSố thửa266</v>
      </c>
    </row>
    <row r="1986" spans="1:4" x14ac:dyDescent="0.25">
      <c r="A1986" s="25">
        <v>9</v>
      </c>
      <c r="B1986" s="25" t="s">
        <v>213</v>
      </c>
      <c r="C1986" s="26" t="s">
        <v>1204</v>
      </c>
      <c r="D1986" s="25" t="str">
        <f t="shared" si="30"/>
        <v>Số thửaSố thửa267</v>
      </c>
    </row>
    <row r="1987" spans="1:4" x14ac:dyDescent="0.25">
      <c r="A1987" s="25">
        <v>9</v>
      </c>
      <c r="B1987" s="25" t="s">
        <v>359</v>
      </c>
      <c r="C1987" s="26" t="s">
        <v>1204</v>
      </c>
      <c r="D1987" s="25" t="str">
        <f t="shared" ref="D1987:D2050" si="31">$B$1&amp;B1987</f>
        <v>Số thửaSố thửa268</v>
      </c>
    </row>
    <row r="1988" spans="1:4" x14ac:dyDescent="0.25">
      <c r="A1988" s="25">
        <v>9</v>
      </c>
      <c r="B1988" s="25" t="s">
        <v>924</v>
      </c>
      <c r="C1988" s="26" t="s">
        <v>1205</v>
      </c>
      <c r="D1988" s="25" t="str">
        <f t="shared" si="31"/>
        <v>Số thửaSố thửa316</v>
      </c>
    </row>
    <row r="1989" spans="1:4" x14ac:dyDescent="0.25">
      <c r="A1989" s="25">
        <v>9</v>
      </c>
      <c r="B1989" s="25" t="s">
        <v>1206</v>
      </c>
      <c r="C1989" s="26" t="s">
        <v>1207</v>
      </c>
      <c r="D1989" s="25" t="str">
        <f t="shared" si="31"/>
        <v>Số thửaSố thửa317</v>
      </c>
    </row>
    <row r="1990" spans="1:4" x14ac:dyDescent="0.25">
      <c r="A1990" s="25">
        <v>9</v>
      </c>
      <c r="B1990" s="25" t="s">
        <v>1074</v>
      </c>
      <c r="C1990" s="26" t="s">
        <v>1205</v>
      </c>
      <c r="D1990" s="25" t="str">
        <f t="shared" si="31"/>
        <v>Số thửaSố thửa318</v>
      </c>
    </row>
    <row r="1991" spans="1:4" x14ac:dyDescent="0.25">
      <c r="A1991" s="25">
        <v>9</v>
      </c>
      <c r="B1991" s="25" t="s">
        <v>368</v>
      </c>
      <c r="C1991" s="26" t="s">
        <v>1205</v>
      </c>
      <c r="D1991" s="25" t="str">
        <f t="shared" si="31"/>
        <v>Số thửaSố thửa322</v>
      </c>
    </row>
    <row r="1992" spans="1:4" x14ac:dyDescent="0.25">
      <c r="A1992" s="25">
        <v>9</v>
      </c>
      <c r="B1992" s="25" t="s">
        <v>698</v>
      </c>
      <c r="C1992" s="26" t="s">
        <v>1205</v>
      </c>
      <c r="D1992" s="25" t="str">
        <f t="shared" si="31"/>
        <v>Số thửaSố thửa323</v>
      </c>
    </row>
    <row r="1993" spans="1:4" x14ac:dyDescent="0.25">
      <c r="A1993" s="25">
        <v>9</v>
      </c>
      <c r="B1993" s="25" t="s">
        <v>554</v>
      </c>
      <c r="C1993" s="26" t="s">
        <v>1205</v>
      </c>
      <c r="D1993" s="25" t="str">
        <f t="shared" si="31"/>
        <v>Số thửaSố thửa403</v>
      </c>
    </row>
    <row r="1994" spans="1:4" x14ac:dyDescent="0.25">
      <c r="A1994" s="25">
        <v>9</v>
      </c>
      <c r="B1994" s="25" t="s">
        <v>750</v>
      </c>
      <c r="C1994" s="26" t="s">
        <v>1204</v>
      </c>
      <c r="D1994" s="25" t="str">
        <f t="shared" si="31"/>
        <v>Số thửaSố thửa404</v>
      </c>
    </row>
    <row r="1995" spans="1:4" x14ac:dyDescent="0.25">
      <c r="A1995" s="25">
        <v>9</v>
      </c>
      <c r="B1995" s="25" t="s">
        <v>555</v>
      </c>
      <c r="C1995" s="26" t="s">
        <v>1204</v>
      </c>
      <c r="D1995" s="25" t="str">
        <f t="shared" si="31"/>
        <v>Số thửaSố thửa405</v>
      </c>
    </row>
    <row r="1996" spans="1:4" x14ac:dyDescent="0.25">
      <c r="A1996" s="25">
        <v>9</v>
      </c>
      <c r="B1996" s="25" t="s">
        <v>1208</v>
      </c>
      <c r="C1996" s="26" t="s">
        <v>1204</v>
      </c>
      <c r="D1996" s="25" t="str">
        <f t="shared" si="31"/>
        <v>Số thửaSố thửa406</v>
      </c>
    </row>
    <row r="1997" spans="1:4" x14ac:dyDescent="0.25">
      <c r="A1997" s="25">
        <v>9</v>
      </c>
      <c r="B1997" s="25" t="s">
        <v>809</v>
      </c>
      <c r="C1997" s="26" t="s">
        <v>1204</v>
      </c>
      <c r="D1997" s="25" t="str">
        <f t="shared" si="31"/>
        <v>Số thửaSố thửa407</v>
      </c>
    </row>
    <row r="1998" spans="1:4" x14ac:dyDescent="0.25">
      <c r="A1998" s="25">
        <v>13</v>
      </c>
      <c r="B1998" s="25" t="s">
        <v>1191</v>
      </c>
      <c r="C1998" s="26" t="s">
        <v>1209</v>
      </c>
      <c r="D1998" s="25" t="str">
        <f t="shared" si="31"/>
        <v>Số thửaSố thửa389</v>
      </c>
    </row>
    <row r="1999" spans="1:4" x14ac:dyDescent="0.25">
      <c r="A1999" s="25">
        <v>13</v>
      </c>
      <c r="B1999" s="25" t="s">
        <v>754</v>
      </c>
      <c r="C1999" s="26" t="s">
        <v>1210</v>
      </c>
      <c r="D1999" s="25" t="str">
        <f t="shared" si="31"/>
        <v>Số thửaSố thửa420</v>
      </c>
    </row>
    <row r="2000" spans="1:4" x14ac:dyDescent="0.25">
      <c r="A2000" s="25">
        <v>13</v>
      </c>
      <c r="B2000" s="25" t="s">
        <v>534</v>
      </c>
      <c r="C2000" s="26" t="s">
        <v>1210</v>
      </c>
      <c r="D2000" s="25" t="str">
        <f t="shared" si="31"/>
        <v>Số thửaSố thửa432</v>
      </c>
    </row>
    <row r="2001" spans="1:4" x14ac:dyDescent="0.25">
      <c r="A2001" s="25">
        <v>13</v>
      </c>
      <c r="B2001" s="25" t="s">
        <v>1211</v>
      </c>
      <c r="C2001" s="26" t="s">
        <v>1210</v>
      </c>
      <c r="D2001" s="25" t="str">
        <f t="shared" si="31"/>
        <v>Số thửaSố thửa690</v>
      </c>
    </row>
    <row r="2002" spans="1:4" x14ac:dyDescent="0.25">
      <c r="A2002" s="25">
        <v>13</v>
      </c>
      <c r="B2002" s="25" t="s">
        <v>153</v>
      </c>
      <c r="C2002" s="26" t="s">
        <v>1210</v>
      </c>
      <c r="D2002" s="25" t="str">
        <f t="shared" si="31"/>
        <v>Số thửaSố thửa757</v>
      </c>
    </row>
    <row r="2003" spans="1:4" x14ac:dyDescent="0.25">
      <c r="A2003" s="25">
        <v>14</v>
      </c>
      <c r="B2003" s="25" t="s">
        <v>668</v>
      </c>
      <c r="C2003" s="26" t="s">
        <v>1209</v>
      </c>
      <c r="D2003" s="25" t="str">
        <f t="shared" si="31"/>
        <v>Số thửaSố thửa153</v>
      </c>
    </row>
    <row r="2004" spans="1:4" x14ac:dyDescent="0.25">
      <c r="A2004" s="25">
        <v>14</v>
      </c>
      <c r="B2004" s="25" t="s">
        <v>397</v>
      </c>
      <c r="C2004" s="26" t="s">
        <v>1210</v>
      </c>
      <c r="D2004" s="25" t="str">
        <f t="shared" si="31"/>
        <v>Số thửaSố thửa171</v>
      </c>
    </row>
    <row r="2005" spans="1:4" x14ac:dyDescent="0.25">
      <c r="A2005" s="25">
        <v>14</v>
      </c>
      <c r="B2005" s="25" t="s">
        <v>1009</v>
      </c>
      <c r="C2005" s="26" t="s">
        <v>1210</v>
      </c>
      <c r="D2005" s="25" t="str">
        <f t="shared" si="31"/>
        <v>Số thửaSố thửa201</v>
      </c>
    </row>
    <row r="2006" spans="1:4" x14ac:dyDescent="0.25">
      <c r="A2006" s="25">
        <v>14</v>
      </c>
      <c r="B2006" s="25" t="s">
        <v>1073</v>
      </c>
      <c r="C2006" s="26" t="s">
        <v>1210</v>
      </c>
      <c r="D2006" s="25" t="str">
        <f t="shared" si="31"/>
        <v>Số thửaSố thửa202</v>
      </c>
    </row>
    <row r="2007" spans="1:4" x14ac:dyDescent="0.25">
      <c r="A2007" s="25">
        <v>14</v>
      </c>
      <c r="B2007" s="25" t="s">
        <v>681</v>
      </c>
      <c r="C2007" s="26" t="s">
        <v>1210</v>
      </c>
      <c r="D2007" s="25" t="str">
        <f t="shared" si="31"/>
        <v>Số thửaSố thửa209</v>
      </c>
    </row>
    <row r="2008" spans="1:4" x14ac:dyDescent="0.25">
      <c r="A2008" s="25">
        <v>14</v>
      </c>
      <c r="B2008" s="25" t="s">
        <v>81</v>
      </c>
      <c r="C2008" s="26" t="s">
        <v>1209</v>
      </c>
      <c r="D2008" s="25" t="str">
        <f t="shared" si="31"/>
        <v>Số thửaSố thửa214</v>
      </c>
    </row>
    <row r="2009" spans="1:4" x14ac:dyDescent="0.25">
      <c r="A2009" s="25">
        <v>14</v>
      </c>
      <c r="B2009" s="25" t="s">
        <v>89</v>
      </c>
      <c r="C2009" s="26" t="s">
        <v>1209</v>
      </c>
      <c r="D2009" s="25" t="str">
        <f t="shared" si="31"/>
        <v>Số thửaSố thửa223</v>
      </c>
    </row>
    <row r="2010" spans="1:4" x14ac:dyDescent="0.25">
      <c r="A2010" s="25">
        <v>14</v>
      </c>
      <c r="B2010" s="25" t="s">
        <v>391</v>
      </c>
      <c r="C2010" s="26" t="s">
        <v>1210</v>
      </c>
      <c r="D2010" s="25" t="str">
        <f t="shared" si="31"/>
        <v>Số thửaSố thửa638</v>
      </c>
    </row>
    <row r="2011" spans="1:4" x14ac:dyDescent="0.25">
      <c r="A2011" s="25">
        <v>16</v>
      </c>
      <c r="B2011" s="25" t="s">
        <v>458</v>
      </c>
      <c r="C2011" s="26" t="s">
        <v>1210</v>
      </c>
      <c r="D2011" s="25" t="str">
        <f t="shared" si="31"/>
        <v>Số thửaSố thửa40</v>
      </c>
    </row>
    <row r="2012" spans="1:4" x14ac:dyDescent="0.25">
      <c r="A2012" s="25">
        <v>16</v>
      </c>
      <c r="B2012" s="25" t="s">
        <v>931</v>
      </c>
      <c r="C2012" s="26" t="s">
        <v>1210</v>
      </c>
      <c r="D2012" s="25" t="str">
        <f t="shared" si="31"/>
        <v>Số thửaSố thửa41</v>
      </c>
    </row>
    <row r="2013" spans="1:4" x14ac:dyDescent="0.25">
      <c r="A2013" s="25">
        <v>16</v>
      </c>
      <c r="B2013" s="25" t="s">
        <v>932</v>
      </c>
      <c r="C2013" s="26" t="s">
        <v>1210</v>
      </c>
      <c r="D2013" s="25" t="str">
        <f t="shared" si="31"/>
        <v>Số thửaSố thửa42</v>
      </c>
    </row>
    <row r="2014" spans="1:4" x14ac:dyDescent="0.25">
      <c r="A2014" s="25">
        <v>16</v>
      </c>
      <c r="B2014" s="25" t="s">
        <v>102</v>
      </c>
      <c r="C2014" s="26" t="s">
        <v>1210</v>
      </c>
      <c r="D2014" s="25" t="str">
        <f t="shared" si="31"/>
        <v>Số thửaSố thửa43</v>
      </c>
    </row>
    <row r="2015" spans="1:4" x14ac:dyDescent="0.25">
      <c r="A2015" s="25">
        <v>8</v>
      </c>
      <c r="B2015" s="25" t="s">
        <v>416</v>
      </c>
      <c r="C2015" s="26" t="s">
        <v>1212</v>
      </c>
      <c r="D2015" s="25" t="str">
        <f t="shared" si="31"/>
        <v>Số thửaSố thửa2</v>
      </c>
    </row>
    <row r="2016" spans="1:4" x14ac:dyDescent="0.25">
      <c r="A2016" s="25">
        <v>8</v>
      </c>
      <c r="B2016" s="25" t="s">
        <v>344</v>
      </c>
      <c r="C2016" s="26" t="s">
        <v>1213</v>
      </c>
      <c r="D2016" s="25" t="str">
        <f t="shared" si="31"/>
        <v>Số thửaSố thửa88</v>
      </c>
    </row>
    <row r="2017" spans="1:4" x14ac:dyDescent="0.25">
      <c r="A2017" s="25">
        <v>8</v>
      </c>
      <c r="B2017" s="25" t="s">
        <v>494</v>
      </c>
      <c r="C2017" s="26" t="s">
        <v>1213</v>
      </c>
      <c r="D2017" s="25" t="str">
        <f t="shared" si="31"/>
        <v>Số thửaSố thửa92</v>
      </c>
    </row>
    <row r="2018" spans="1:4" x14ac:dyDescent="0.25">
      <c r="A2018" s="25">
        <v>8</v>
      </c>
      <c r="B2018" s="25" t="s">
        <v>912</v>
      </c>
      <c r="C2018" s="26" t="s">
        <v>1213</v>
      </c>
      <c r="D2018" s="25" t="str">
        <f t="shared" si="31"/>
        <v>Số thửaSố thửa121</v>
      </c>
    </row>
    <row r="2019" spans="1:4" x14ac:dyDescent="0.25">
      <c r="A2019" s="25">
        <v>8</v>
      </c>
      <c r="B2019" s="25" t="s">
        <v>578</v>
      </c>
      <c r="C2019" s="26" t="s">
        <v>1213</v>
      </c>
      <c r="D2019" s="25" t="str">
        <f t="shared" si="31"/>
        <v>Số thửaSố thửa122</v>
      </c>
    </row>
    <row r="2020" spans="1:4" x14ac:dyDescent="0.25">
      <c r="A2020" s="25">
        <v>8</v>
      </c>
      <c r="B2020" s="25" t="s">
        <v>1029</v>
      </c>
      <c r="C2020" s="26" t="s">
        <v>1213</v>
      </c>
      <c r="D2020" s="25" t="str">
        <f t="shared" si="31"/>
        <v>Số thửaSố thửa133</v>
      </c>
    </row>
    <row r="2021" spans="1:4" x14ac:dyDescent="0.25">
      <c r="A2021" s="25">
        <v>8</v>
      </c>
      <c r="B2021" s="25" t="s">
        <v>393</v>
      </c>
      <c r="C2021" s="26" t="s">
        <v>1213</v>
      </c>
      <c r="D2021" s="25" t="str">
        <f t="shared" si="31"/>
        <v>Số thửaSố thửa134</v>
      </c>
    </row>
    <row r="2022" spans="1:4" x14ac:dyDescent="0.25">
      <c r="A2022" s="25">
        <v>8</v>
      </c>
      <c r="B2022" s="25" t="s">
        <v>1101</v>
      </c>
      <c r="C2022" s="26" t="s">
        <v>1213</v>
      </c>
      <c r="D2022" s="25" t="str">
        <f t="shared" si="31"/>
        <v>Số thửaSố thửa144</v>
      </c>
    </row>
    <row r="2023" spans="1:4" x14ac:dyDescent="0.25">
      <c r="A2023" s="25">
        <v>8</v>
      </c>
      <c r="B2023" s="25" t="s">
        <v>681</v>
      </c>
      <c r="C2023" s="26" t="s">
        <v>1212</v>
      </c>
      <c r="D2023" s="25" t="str">
        <f t="shared" si="31"/>
        <v>Số thửaSố thửa209</v>
      </c>
    </row>
    <row r="2024" spans="1:4" x14ac:dyDescent="0.25">
      <c r="A2024" s="25">
        <v>9</v>
      </c>
      <c r="B2024" s="25" t="s">
        <v>1164</v>
      </c>
      <c r="C2024" s="26" t="s">
        <v>1213</v>
      </c>
      <c r="D2024" s="25" t="str">
        <f t="shared" si="31"/>
        <v>Số thửaSố thửa827</v>
      </c>
    </row>
    <row r="2025" spans="1:4" x14ac:dyDescent="0.25">
      <c r="A2025" s="25">
        <v>9</v>
      </c>
      <c r="B2025" s="25" t="s">
        <v>1214</v>
      </c>
      <c r="C2025" s="26" t="s">
        <v>1213</v>
      </c>
      <c r="D2025" s="25" t="str">
        <f t="shared" si="31"/>
        <v>Số thửaSố thửa846</v>
      </c>
    </row>
    <row r="2026" spans="1:4" x14ac:dyDescent="0.25">
      <c r="A2026" s="25">
        <v>9</v>
      </c>
      <c r="B2026" s="25" t="s">
        <v>1215</v>
      </c>
      <c r="C2026" s="26" t="s">
        <v>1213</v>
      </c>
      <c r="D2026" s="25" t="str">
        <f t="shared" si="31"/>
        <v>Số thửaSố thửa847</v>
      </c>
    </row>
    <row r="2027" spans="1:4" x14ac:dyDescent="0.25">
      <c r="A2027" s="25">
        <v>9</v>
      </c>
      <c r="B2027" s="25" t="s">
        <v>1216</v>
      </c>
      <c r="C2027" s="26" t="s">
        <v>1213</v>
      </c>
      <c r="D2027" s="25" t="str">
        <f t="shared" si="31"/>
        <v>Số thửaSố thửa848</v>
      </c>
    </row>
    <row r="2028" spans="1:4" x14ac:dyDescent="0.25">
      <c r="A2028" s="25">
        <v>9</v>
      </c>
      <c r="B2028" s="25" t="s">
        <v>901</v>
      </c>
      <c r="C2028" s="26" t="s">
        <v>1213</v>
      </c>
      <c r="D2028" s="25" t="str">
        <f t="shared" si="31"/>
        <v>Số thửaSố thửa851</v>
      </c>
    </row>
    <row r="2029" spans="1:4" x14ac:dyDescent="0.25">
      <c r="A2029" s="25">
        <v>9</v>
      </c>
      <c r="B2029" s="25" t="s">
        <v>1217</v>
      </c>
      <c r="C2029" s="26" t="s">
        <v>1213</v>
      </c>
      <c r="D2029" s="25" t="str">
        <f t="shared" si="31"/>
        <v>Số thửaSố thửa852</v>
      </c>
    </row>
    <row r="2030" spans="1:4" x14ac:dyDescent="0.25">
      <c r="A2030" s="25">
        <v>9</v>
      </c>
      <c r="B2030" s="25" t="s">
        <v>1218</v>
      </c>
      <c r="C2030" s="26" t="s">
        <v>1213</v>
      </c>
      <c r="D2030" s="25" t="str">
        <f t="shared" si="31"/>
        <v>Số thửaSố thửa853</v>
      </c>
    </row>
    <row r="2031" spans="1:4" x14ac:dyDescent="0.25">
      <c r="A2031" s="25">
        <v>9</v>
      </c>
      <c r="B2031" s="25" t="s">
        <v>1219</v>
      </c>
      <c r="C2031" s="26" t="s">
        <v>1213</v>
      </c>
      <c r="D2031" s="25" t="str">
        <f t="shared" si="31"/>
        <v>Số thửaSố thửa854</v>
      </c>
    </row>
    <row r="2032" spans="1:4" x14ac:dyDescent="0.25">
      <c r="A2032" s="25">
        <v>9</v>
      </c>
      <c r="B2032" s="25" t="s">
        <v>834</v>
      </c>
      <c r="C2032" s="26" t="s">
        <v>1213</v>
      </c>
      <c r="D2032" s="25" t="str">
        <f t="shared" si="31"/>
        <v>Số thửaSố thửa863</v>
      </c>
    </row>
    <row r="2033" spans="1:4" x14ac:dyDescent="0.25">
      <c r="A2033" s="25">
        <v>8</v>
      </c>
      <c r="B2033" s="25" t="s">
        <v>1066</v>
      </c>
      <c r="C2033" s="26" t="s">
        <v>1220</v>
      </c>
      <c r="D2033" s="25" t="str">
        <f t="shared" si="31"/>
        <v>Số thửaSố thửa85</v>
      </c>
    </row>
    <row r="2034" spans="1:4" x14ac:dyDescent="0.25">
      <c r="A2034" s="25">
        <v>8</v>
      </c>
      <c r="B2034" s="25" t="s">
        <v>763</v>
      </c>
      <c r="C2034" s="26" t="s">
        <v>1220</v>
      </c>
      <c r="D2034" s="25" t="str">
        <f t="shared" si="31"/>
        <v>Số thửaSố thửa86</v>
      </c>
    </row>
    <row r="2035" spans="1:4" x14ac:dyDescent="0.25">
      <c r="A2035" s="25">
        <v>8</v>
      </c>
      <c r="B2035" s="25" t="s">
        <v>121</v>
      </c>
      <c r="C2035" s="26" t="s">
        <v>1220</v>
      </c>
      <c r="D2035" s="25" t="str">
        <f t="shared" si="31"/>
        <v>Số thửaSố thửa105</v>
      </c>
    </row>
    <row r="2036" spans="1:4" x14ac:dyDescent="0.25">
      <c r="A2036" s="25">
        <v>8</v>
      </c>
      <c r="B2036" s="25" t="s">
        <v>471</v>
      </c>
      <c r="C2036" s="26" t="s">
        <v>1220</v>
      </c>
      <c r="D2036" s="25" t="str">
        <f t="shared" si="31"/>
        <v>Số thửaSố thửa107</v>
      </c>
    </row>
    <row r="2037" spans="1:4" x14ac:dyDescent="0.25">
      <c r="A2037" s="25">
        <v>8</v>
      </c>
      <c r="B2037" s="25" t="s">
        <v>701</v>
      </c>
      <c r="C2037" s="26" t="s">
        <v>1220</v>
      </c>
      <c r="D2037" s="25" t="str">
        <f t="shared" si="31"/>
        <v>Số thửaSố thửa108</v>
      </c>
    </row>
    <row r="2038" spans="1:4" x14ac:dyDescent="0.25">
      <c r="A2038" s="25">
        <v>8</v>
      </c>
      <c r="B2038" s="25" t="s">
        <v>372</v>
      </c>
      <c r="C2038" s="26" t="s">
        <v>1220</v>
      </c>
      <c r="D2038" s="25" t="str">
        <f t="shared" si="31"/>
        <v>Số thửaSố thửa109</v>
      </c>
    </row>
    <row r="2039" spans="1:4" x14ac:dyDescent="0.25">
      <c r="A2039" s="25">
        <v>8</v>
      </c>
      <c r="B2039" s="25" t="s">
        <v>472</v>
      </c>
      <c r="C2039" s="26" t="s">
        <v>1220</v>
      </c>
      <c r="D2039" s="25" t="str">
        <f t="shared" si="31"/>
        <v>Số thửaSố thửa110</v>
      </c>
    </row>
    <row r="2040" spans="1:4" x14ac:dyDescent="0.25">
      <c r="A2040" s="25">
        <v>8</v>
      </c>
      <c r="B2040" s="25" t="s">
        <v>192</v>
      </c>
      <c r="C2040" s="26" t="s">
        <v>1220</v>
      </c>
      <c r="D2040" s="25" t="str">
        <f t="shared" si="31"/>
        <v>Số thửaSố thửa127</v>
      </c>
    </row>
    <row r="2041" spans="1:4" x14ac:dyDescent="0.25">
      <c r="A2041" s="25">
        <v>8</v>
      </c>
      <c r="B2041" s="25" t="s">
        <v>203</v>
      </c>
      <c r="C2041" s="26" t="s">
        <v>1221</v>
      </c>
      <c r="D2041" s="25" t="str">
        <f t="shared" si="31"/>
        <v>Số thửaSố thửa190</v>
      </c>
    </row>
    <row r="2042" spans="1:4" x14ac:dyDescent="0.25">
      <c r="A2042" s="25">
        <v>8</v>
      </c>
      <c r="B2042" s="25" t="s">
        <v>203</v>
      </c>
      <c r="C2042" s="26" t="s">
        <v>1221</v>
      </c>
      <c r="D2042" s="25" t="str">
        <f t="shared" si="31"/>
        <v>Số thửaSố thửa190</v>
      </c>
    </row>
    <row r="2043" spans="1:4" x14ac:dyDescent="0.25">
      <c r="A2043" s="25">
        <v>8</v>
      </c>
      <c r="B2043" s="25" t="s">
        <v>85</v>
      </c>
      <c r="C2043" s="26" t="s">
        <v>1222</v>
      </c>
      <c r="D2043" s="25" t="str">
        <f t="shared" si="31"/>
        <v>Số thửaSố thửa219</v>
      </c>
    </row>
    <row r="2044" spans="1:4" x14ac:dyDescent="0.25">
      <c r="A2044" s="25">
        <v>8</v>
      </c>
      <c r="B2044" s="25" t="s">
        <v>86</v>
      </c>
      <c r="C2044" s="26" t="s">
        <v>1222</v>
      </c>
      <c r="D2044" s="25" t="str">
        <f t="shared" si="31"/>
        <v>Số thửaSố thửa220</v>
      </c>
    </row>
    <row r="2045" spans="1:4" x14ac:dyDescent="0.25">
      <c r="A2045" s="25">
        <v>8</v>
      </c>
      <c r="B2045" s="25" t="s">
        <v>721</v>
      </c>
      <c r="C2045" s="26" t="s">
        <v>1222</v>
      </c>
      <c r="D2045" s="25" t="str">
        <f t="shared" si="31"/>
        <v>Số thửaSố thửa231</v>
      </c>
    </row>
    <row r="2046" spans="1:4" x14ac:dyDescent="0.25">
      <c r="A2046" s="25">
        <v>8</v>
      </c>
      <c r="B2046" s="25" t="s">
        <v>402</v>
      </c>
      <c r="C2046" s="26" t="s">
        <v>1222</v>
      </c>
      <c r="D2046" s="25" t="str">
        <f t="shared" si="31"/>
        <v>Số thửaSố thửa232</v>
      </c>
    </row>
    <row r="2047" spans="1:4" x14ac:dyDescent="0.25">
      <c r="A2047" s="25">
        <v>9</v>
      </c>
      <c r="B2047" s="25" t="s">
        <v>94</v>
      </c>
      <c r="C2047" s="26" t="s">
        <v>1223</v>
      </c>
      <c r="D2047" s="25" t="str">
        <f t="shared" si="31"/>
        <v>Số thửaSố thửa240</v>
      </c>
    </row>
    <row r="2048" spans="1:4" x14ac:dyDescent="0.25">
      <c r="A2048" s="25">
        <v>13</v>
      </c>
      <c r="B2048" s="25" t="s">
        <v>58</v>
      </c>
      <c r="C2048" s="26" t="s">
        <v>1224</v>
      </c>
      <c r="D2048" s="25" t="str">
        <f t="shared" si="31"/>
        <v>Số thửaSố thửa3</v>
      </c>
    </row>
    <row r="2049" spans="1:4" x14ac:dyDescent="0.25">
      <c r="A2049" s="25">
        <v>13</v>
      </c>
      <c r="B2049" s="25" t="s">
        <v>279</v>
      </c>
      <c r="C2049" s="26" t="s">
        <v>1224</v>
      </c>
      <c r="D2049" s="25" t="str">
        <f t="shared" si="31"/>
        <v>Số thửaSố thửa37</v>
      </c>
    </row>
    <row r="2050" spans="1:4" x14ac:dyDescent="0.25">
      <c r="A2050" s="25">
        <v>13</v>
      </c>
      <c r="B2050" s="25" t="s">
        <v>67</v>
      </c>
      <c r="C2050" s="26" t="s">
        <v>1223</v>
      </c>
      <c r="D2050" s="25" t="str">
        <f t="shared" si="31"/>
        <v>Số thửaSố thửa64</v>
      </c>
    </row>
    <row r="2051" spans="1:4" x14ac:dyDescent="0.25">
      <c r="A2051" s="25">
        <v>1</v>
      </c>
      <c r="B2051" s="25" t="s">
        <v>885</v>
      </c>
      <c r="C2051" s="26" t="s">
        <v>1225</v>
      </c>
      <c r="D2051" s="25" t="str">
        <f t="shared" ref="D2051:D2114" si="32">$B$1&amp;B2051</f>
        <v>Số thửaSố thửa106</v>
      </c>
    </row>
    <row r="2052" spans="1:4" x14ac:dyDescent="0.25">
      <c r="A2052" s="25">
        <v>10</v>
      </c>
      <c r="B2052" s="25" t="s">
        <v>134</v>
      </c>
      <c r="C2052" s="26" t="s">
        <v>1226</v>
      </c>
      <c r="D2052" s="25" t="str">
        <f t="shared" si="32"/>
        <v>Số thửaSố thửa11</v>
      </c>
    </row>
    <row r="2053" spans="1:4" x14ac:dyDescent="0.25">
      <c r="A2053" s="25">
        <v>10</v>
      </c>
      <c r="B2053" s="25" t="s">
        <v>61</v>
      </c>
      <c r="C2053" s="26" t="s">
        <v>1226</v>
      </c>
      <c r="D2053" s="25" t="str">
        <f t="shared" si="32"/>
        <v>Số thửaSố thửa13</v>
      </c>
    </row>
    <row r="2054" spans="1:4" x14ac:dyDescent="0.25">
      <c r="A2054" s="25">
        <v>10</v>
      </c>
      <c r="B2054" s="25" t="s">
        <v>270</v>
      </c>
      <c r="C2054" s="26" t="s">
        <v>1226</v>
      </c>
      <c r="D2054" s="25" t="str">
        <f t="shared" si="32"/>
        <v>Số thửaSố thửa16</v>
      </c>
    </row>
    <row r="2055" spans="1:4" x14ac:dyDescent="0.25">
      <c r="A2055" s="25">
        <v>10</v>
      </c>
      <c r="B2055" s="25" t="s">
        <v>522</v>
      </c>
      <c r="C2055" s="26" t="s">
        <v>1227</v>
      </c>
      <c r="D2055" s="25" t="str">
        <f t="shared" si="32"/>
        <v>Số thửaSố thửa31</v>
      </c>
    </row>
    <row r="2056" spans="1:4" x14ac:dyDescent="0.25">
      <c r="A2056" s="25">
        <v>10</v>
      </c>
      <c r="B2056" s="25" t="s">
        <v>198</v>
      </c>
      <c r="C2056" s="26" t="s">
        <v>1227</v>
      </c>
      <c r="D2056" s="25" t="str">
        <f t="shared" si="32"/>
        <v>Số thửaSố thửa55</v>
      </c>
    </row>
    <row r="2057" spans="1:4" x14ac:dyDescent="0.25">
      <c r="A2057" s="25">
        <v>10</v>
      </c>
      <c r="B2057" s="25" t="s">
        <v>1064</v>
      </c>
      <c r="C2057" s="26" t="s">
        <v>1227</v>
      </c>
      <c r="D2057" s="25" t="str">
        <f t="shared" si="32"/>
        <v>Số thửaSố thửa74</v>
      </c>
    </row>
    <row r="2058" spans="1:4" x14ac:dyDescent="0.25">
      <c r="A2058" s="25">
        <v>10</v>
      </c>
      <c r="B2058" s="25" t="s">
        <v>70</v>
      </c>
      <c r="C2058" s="26" t="s">
        <v>1226</v>
      </c>
      <c r="D2058" s="25" t="str">
        <f t="shared" si="32"/>
        <v>Số thửaSố thửa82</v>
      </c>
    </row>
    <row r="2059" spans="1:4" x14ac:dyDescent="0.25">
      <c r="A2059" s="25">
        <v>10</v>
      </c>
      <c r="B2059" s="25" t="s">
        <v>343</v>
      </c>
      <c r="C2059" s="26" t="s">
        <v>1226</v>
      </c>
      <c r="D2059" s="25" t="str">
        <f t="shared" si="32"/>
        <v>Số thửaSố thửa83</v>
      </c>
    </row>
    <row r="2060" spans="1:4" x14ac:dyDescent="0.25">
      <c r="A2060" s="25">
        <v>10</v>
      </c>
      <c r="B2060" s="25" t="s">
        <v>904</v>
      </c>
      <c r="C2060" s="26" t="s">
        <v>1226</v>
      </c>
      <c r="D2060" s="25" t="str">
        <f t="shared" si="32"/>
        <v>Số thửaSố thửa84</v>
      </c>
    </row>
    <row r="2061" spans="1:4" x14ac:dyDescent="0.25">
      <c r="A2061" s="25">
        <v>10</v>
      </c>
      <c r="B2061" s="25" t="s">
        <v>1181</v>
      </c>
      <c r="C2061" s="26" t="s">
        <v>1226</v>
      </c>
      <c r="D2061" s="25" t="str">
        <f t="shared" si="32"/>
        <v>Số thửaSố thửa104</v>
      </c>
    </row>
    <row r="2062" spans="1:4" x14ac:dyDescent="0.25">
      <c r="A2062" s="25">
        <v>10</v>
      </c>
      <c r="B2062" s="25" t="s">
        <v>885</v>
      </c>
      <c r="C2062" s="26" t="s">
        <v>1226</v>
      </c>
      <c r="D2062" s="25" t="str">
        <f t="shared" si="32"/>
        <v>Số thửaSố thửa106</v>
      </c>
    </row>
    <row r="2063" spans="1:4" x14ac:dyDescent="0.25">
      <c r="A2063" s="25">
        <v>10</v>
      </c>
      <c r="B2063" s="25" t="s">
        <v>471</v>
      </c>
      <c r="C2063" s="26" t="s">
        <v>1226</v>
      </c>
      <c r="D2063" s="25" t="str">
        <f t="shared" si="32"/>
        <v>Số thửaSố thửa107</v>
      </c>
    </row>
    <row r="2064" spans="1:4" x14ac:dyDescent="0.25">
      <c r="A2064" s="25">
        <v>10</v>
      </c>
      <c r="B2064" s="25" t="s">
        <v>701</v>
      </c>
      <c r="C2064" s="26" t="s">
        <v>1226</v>
      </c>
      <c r="D2064" s="25" t="str">
        <f t="shared" si="32"/>
        <v>Số thửaSố thửa108</v>
      </c>
    </row>
    <row r="2065" spans="1:4" x14ac:dyDescent="0.25">
      <c r="A2065" s="25">
        <v>10</v>
      </c>
      <c r="B2065" s="25" t="s">
        <v>549</v>
      </c>
      <c r="C2065" s="26" t="s">
        <v>1227</v>
      </c>
      <c r="D2065" s="25" t="str">
        <f t="shared" si="32"/>
        <v>Số thửaSố thửa187</v>
      </c>
    </row>
    <row r="2066" spans="1:4" x14ac:dyDescent="0.25">
      <c r="A2066" s="25">
        <v>10</v>
      </c>
      <c r="B2066" s="25" t="s">
        <v>224</v>
      </c>
      <c r="C2066" s="26" t="s">
        <v>1226</v>
      </c>
      <c r="D2066" s="25" t="str">
        <f t="shared" si="32"/>
        <v>Số thửaSố thửa237</v>
      </c>
    </row>
    <row r="2067" spans="1:4" x14ac:dyDescent="0.25">
      <c r="A2067" s="25">
        <v>13</v>
      </c>
      <c r="B2067" s="25" t="s">
        <v>207</v>
      </c>
      <c r="C2067" s="26" t="s">
        <v>1228</v>
      </c>
      <c r="D2067" s="25" t="str">
        <f t="shared" si="32"/>
        <v>Số thửaSố thửa595</v>
      </c>
    </row>
    <row r="2068" spans="1:4" x14ac:dyDescent="0.25">
      <c r="A2068" s="25">
        <v>13</v>
      </c>
      <c r="B2068" s="25" t="s">
        <v>590</v>
      </c>
      <c r="C2068" s="26" t="s">
        <v>1229</v>
      </c>
      <c r="D2068" s="25" t="str">
        <f t="shared" si="32"/>
        <v>Số thửaSố thửa596</v>
      </c>
    </row>
    <row r="2069" spans="1:4" x14ac:dyDescent="0.25">
      <c r="A2069" s="25">
        <v>13</v>
      </c>
      <c r="B2069" s="25" t="s">
        <v>700</v>
      </c>
      <c r="C2069" s="26" t="s">
        <v>1228</v>
      </c>
      <c r="D2069" s="25" t="str">
        <f t="shared" si="32"/>
        <v>Số thửaSố thửa777</v>
      </c>
    </row>
    <row r="2070" spans="1:4" x14ac:dyDescent="0.25">
      <c r="A2070" s="25">
        <v>14</v>
      </c>
      <c r="B2070" s="25" t="s">
        <v>654</v>
      </c>
      <c r="C2070" s="26" t="s">
        <v>1229</v>
      </c>
      <c r="D2070" s="25" t="str">
        <f t="shared" si="32"/>
        <v>Số thửaSố thửa103</v>
      </c>
    </row>
    <row r="2071" spans="1:4" x14ac:dyDescent="0.25">
      <c r="A2071" s="25">
        <v>14</v>
      </c>
      <c r="B2071" s="25" t="s">
        <v>1181</v>
      </c>
      <c r="C2071" s="26" t="s">
        <v>1229</v>
      </c>
      <c r="D2071" s="25" t="str">
        <f t="shared" si="32"/>
        <v>Số thửaSố thửa104</v>
      </c>
    </row>
    <row r="2072" spans="1:4" x14ac:dyDescent="0.25">
      <c r="A2072" s="25">
        <v>14</v>
      </c>
      <c r="B2072" s="25" t="s">
        <v>471</v>
      </c>
      <c r="C2072" s="26" t="s">
        <v>1229</v>
      </c>
      <c r="D2072" s="25" t="str">
        <f t="shared" si="32"/>
        <v>Số thửaSố thửa107</v>
      </c>
    </row>
    <row r="2073" spans="1:4" x14ac:dyDescent="0.25">
      <c r="A2073" s="25">
        <v>14</v>
      </c>
      <c r="B2073" s="25" t="s">
        <v>701</v>
      </c>
      <c r="C2073" s="26" t="s">
        <v>1229</v>
      </c>
      <c r="D2073" s="25" t="str">
        <f t="shared" si="32"/>
        <v>Số thửaSố thửa108</v>
      </c>
    </row>
    <row r="2074" spans="1:4" x14ac:dyDescent="0.25">
      <c r="A2074" s="25">
        <v>14</v>
      </c>
      <c r="B2074" s="25" t="s">
        <v>472</v>
      </c>
      <c r="C2074" s="26" t="s">
        <v>1229</v>
      </c>
      <c r="D2074" s="25" t="str">
        <f t="shared" si="32"/>
        <v>Số thửaSố thửa110</v>
      </c>
    </row>
    <row r="2075" spans="1:4" x14ac:dyDescent="0.25">
      <c r="A2075" s="25">
        <v>14</v>
      </c>
      <c r="B2075" s="25" t="s">
        <v>1017</v>
      </c>
      <c r="C2075" s="26" t="s">
        <v>1229</v>
      </c>
      <c r="D2075" s="25" t="str">
        <f t="shared" si="32"/>
        <v>Số thửaSố thửa120</v>
      </c>
    </row>
    <row r="2076" spans="1:4" x14ac:dyDescent="0.25">
      <c r="A2076" s="25">
        <v>14</v>
      </c>
      <c r="B2076" s="25" t="s">
        <v>912</v>
      </c>
      <c r="C2076" s="26" t="s">
        <v>1229</v>
      </c>
      <c r="D2076" s="25" t="str">
        <f t="shared" si="32"/>
        <v>Số thửaSố thửa121</v>
      </c>
    </row>
    <row r="2077" spans="1:4" x14ac:dyDescent="0.25">
      <c r="A2077" s="25">
        <v>14</v>
      </c>
      <c r="B2077" s="25" t="s">
        <v>578</v>
      </c>
      <c r="C2077" s="26" t="s">
        <v>1229</v>
      </c>
      <c r="D2077" s="25" t="str">
        <f t="shared" si="32"/>
        <v>Số thửaSố thửa122</v>
      </c>
    </row>
    <row r="2078" spans="1:4" x14ac:dyDescent="0.25">
      <c r="A2078" s="25">
        <v>16</v>
      </c>
      <c r="B2078" s="25" t="s">
        <v>127</v>
      </c>
      <c r="C2078" s="26" t="s">
        <v>1228</v>
      </c>
      <c r="D2078" s="25" t="str">
        <f t="shared" si="32"/>
        <v>Số thửaSố thửa15</v>
      </c>
    </row>
    <row r="2079" spans="1:4" x14ac:dyDescent="0.25">
      <c r="A2079" s="25">
        <v>8</v>
      </c>
      <c r="B2079" s="25" t="s">
        <v>706</v>
      </c>
      <c r="C2079" s="26" t="s">
        <v>1230</v>
      </c>
      <c r="D2079" s="25" t="str">
        <f t="shared" si="32"/>
        <v>Số thửaSố thửa161</v>
      </c>
    </row>
    <row r="2080" spans="1:4" x14ac:dyDescent="0.25">
      <c r="A2080" s="25">
        <v>9</v>
      </c>
      <c r="B2080" s="25" t="s">
        <v>823</v>
      </c>
      <c r="C2080" s="26" t="s">
        <v>1230</v>
      </c>
      <c r="D2080" s="25" t="str">
        <f t="shared" si="32"/>
        <v>Số thửaSố thửa95</v>
      </c>
    </row>
    <row r="2081" spans="1:4" x14ac:dyDescent="0.25">
      <c r="A2081" s="25">
        <v>9</v>
      </c>
      <c r="B2081" s="25" t="s">
        <v>583</v>
      </c>
      <c r="C2081" s="26" t="s">
        <v>1231</v>
      </c>
      <c r="D2081" s="25" t="str">
        <f t="shared" si="32"/>
        <v>Số thửaSố thửa496</v>
      </c>
    </row>
    <row r="2082" spans="1:4" x14ac:dyDescent="0.25">
      <c r="A2082" s="25">
        <v>9</v>
      </c>
      <c r="B2082" s="25" t="s">
        <v>1232</v>
      </c>
      <c r="C2082" s="26" t="s">
        <v>1231</v>
      </c>
      <c r="D2082" s="25" t="str">
        <f t="shared" si="32"/>
        <v>Số thửaSố thửa562</v>
      </c>
    </row>
    <row r="2083" spans="1:4" x14ac:dyDescent="0.25">
      <c r="A2083" s="25">
        <v>10</v>
      </c>
      <c r="B2083" s="25" t="s">
        <v>434</v>
      </c>
      <c r="C2083" s="26" t="s">
        <v>1233</v>
      </c>
      <c r="D2083" s="25" t="str">
        <f t="shared" si="32"/>
        <v>Số thửaSố thửa271</v>
      </c>
    </row>
    <row r="2084" spans="1:4" x14ac:dyDescent="0.25">
      <c r="A2084" s="25">
        <v>13</v>
      </c>
      <c r="B2084" s="25" t="s">
        <v>96</v>
      </c>
      <c r="C2084" s="26" t="s">
        <v>1233</v>
      </c>
      <c r="D2084" s="25" t="str">
        <f t="shared" si="32"/>
        <v>Số thửaSố thửa242</v>
      </c>
    </row>
    <row r="2085" spans="1:4" x14ac:dyDescent="0.25">
      <c r="A2085" s="25">
        <v>9</v>
      </c>
      <c r="B2085" s="25" t="s">
        <v>997</v>
      </c>
      <c r="C2085" s="26" t="s">
        <v>1234</v>
      </c>
      <c r="D2085" s="25" t="str">
        <f t="shared" si="32"/>
        <v>Số thửaSố thửa728</v>
      </c>
    </row>
    <row r="2086" spans="1:4" x14ac:dyDescent="0.25">
      <c r="A2086" s="25">
        <v>9</v>
      </c>
      <c r="B2086" s="25" t="s">
        <v>1235</v>
      </c>
      <c r="C2086" s="26" t="s">
        <v>1234</v>
      </c>
      <c r="D2086" s="25" t="str">
        <f t="shared" si="32"/>
        <v>Số thửaSố thửa795</v>
      </c>
    </row>
    <row r="2087" spans="1:4" x14ac:dyDescent="0.25">
      <c r="A2087" s="25">
        <v>14</v>
      </c>
      <c r="B2087" s="25" t="s">
        <v>401</v>
      </c>
      <c r="C2087" s="26" t="s">
        <v>1236</v>
      </c>
      <c r="D2087" s="25" t="str">
        <f t="shared" si="32"/>
        <v>Số thửaSố thửa175</v>
      </c>
    </row>
    <row r="2088" spans="1:4" x14ac:dyDescent="0.25">
      <c r="A2088" s="25">
        <v>1</v>
      </c>
      <c r="B2088" s="25" t="s">
        <v>245</v>
      </c>
      <c r="C2088" s="26" t="s">
        <v>1237</v>
      </c>
      <c r="D2088" s="25" t="str">
        <f t="shared" si="32"/>
        <v>Số thửaSố thửa69</v>
      </c>
    </row>
    <row r="2089" spans="1:4" x14ac:dyDescent="0.25">
      <c r="A2089" s="25">
        <v>13</v>
      </c>
      <c r="B2089" s="25" t="s">
        <v>533</v>
      </c>
      <c r="C2089" s="26" t="s">
        <v>1238</v>
      </c>
      <c r="D2089" s="25" t="str">
        <f t="shared" si="32"/>
        <v>Số thửaSố thửa431</v>
      </c>
    </row>
    <row r="2090" spans="1:4" x14ac:dyDescent="0.25">
      <c r="A2090" s="25">
        <v>13</v>
      </c>
      <c r="B2090" s="25" t="s">
        <v>1232</v>
      </c>
      <c r="C2090" s="26" t="s">
        <v>1238</v>
      </c>
      <c r="D2090" s="25" t="str">
        <f t="shared" si="32"/>
        <v>Số thửaSố thửa562</v>
      </c>
    </row>
    <row r="2091" spans="1:4" x14ac:dyDescent="0.25">
      <c r="A2091" s="25">
        <v>13</v>
      </c>
      <c r="B2091" s="25" t="s">
        <v>1067</v>
      </c>
      <c r="C2091" s="26" t="s">
        <v>1239</v>
      </c>
      <c r="D2091" s="25" t="str">
        <f t="shared" si="32"/>
        <v>Số thửaSố thửa636</v>
      </c>
    </row>
    <row r="2092" spans="1:4" x14ac:dyDescent="0.25">
      <c r="A2092" s="25">
        <v>13</v>
      </c>
      <c r="B2092" s="25" t="s">
        <v>1067</v>
      </c>
      <c r="C2092" s="26" t="s">
        <v>1239</v>
      </c>
      <c r="D2092" s="25" t="str">
        <f t="shared" si="32"/>
        <v>Số thửaSố thửa636</v>
      </c>
    </row>
    <row r="2093" spans="1:4" x14ac:dyDescent="0.25">
      <c r="A2093" s="25">
        <v>13</v>
      </c>
      <c r="B2093" s="25" t="s">
        <v>597</v>
      </c>
      <c r="C2093" s="26" t="s">
        <v>1240</v>
      </c>
      <c r="D2093" s="25" t="str">
        <f t="shared" si="32"/>
        <v>Số thửaSố thửa646</v>
      </c>
    </row>
    <row r="2094" spans="1:4" x14ac:dyDescent="0.25">
      <c r="A2094" s="25">
        <v>13</v>
      </c>
      <c r="B2094" s="25" t="s">
        <v>599</v>
      </c>
      <c r="C2094" s="26" t="s">
        <v>1240</v>
      </c>
      <c r="D2094" s="25" t="str">
        <f t="shared" si="32"/>
        <v>Số thửaSố thửa648</v>
      </c>
    </row>
    <row r="2095" spans="1:4" x14ac:dyDescent="0.25">
      <c r="A2095" s="25">
        <v>13</v>
      </c>
      <c r="B2095" s="25" t="s">
        <v>600</v>
      </c>
      <c r="C2095" s="26" t="s">
        <v>1240</v>
      </c>
      <c r="D2095" s="25" t="str">
        <f t="shared" si="32"/>
        <v>Số thửaSố thửa649</v>
      </c>
    </row>
    <row r="2096" spans="1:4" x14ac:dyDescent="0.25">
      <c r="A2096" s="25">
        <v>13</v>
      </c>
      <c r="B2096" s="25" t="s">
        <v>1241</v>
      </c>
      <c r="C2096" s="26" t="s">
        <v>1240</v>
      </c>
      <c r="D2096" s="25" t="str">
        <f t="shared" si="32"/>
        <v>Số thửaSố thửa650</v>
      </c>
    </row>
    <row r="2097" spans="1:4" x14ac:dyDescent="0.25">
      <c r="A2097" s="25">
        <v>13</v>
      </c>
      <c r="B2097" s="25" t="s">
        <v>1242</v>
      </c>
      <c r="C2097" s="26" t="s">
        <v>1240</v>
      </c>
      <c r="D2097" s="25" t="str">
        <f t="shared" si="32"/>
        <v>Số thửaSố thửa651</v>
      </c>
    </row>
    <row r="2098" spans="1:4" x14ac:dyDescent="0.25">
      <c r="A2098" s="25">
        <v>13</v>
      </c>
      <c r="B2098" s="25" t="s">
        <v>1243</v>
      </c>
      <c r="C2098" s="26" t="s">
        <v>1240</v>
      </c>
      <c r="D2098" s="25" t="str">
        <f t="shared" si="32"/>
        <v>Số thửaSố thửa652</v>
      </c>
    </row>
    <row r="2099" spans="1:4" x14ac:dyDescent="0.25">
      <c r="A2099" s="25">
        <v>13</v>
      </c>
      <c r="B2099" s="25" t="s">
        <v>1244</v>
      </c>
      <c r="C2099" s="26" t="s">
        <v>1240</v>
      </c>
      <c r="D2099" s="25" t="str">
        <f t="shared" si="32"/>
        <v>Số thửaSố thửa653</v>
      </c>
    </row>
    <row r="2100" spans="1:4" x14ac:dyDescent="0.25">
      <c r="A2100" s="25">
        <v>13</v>
      </c>
      <c r="B2100" s="25" t="s">
        <v>1245</v>
      </c>
      <c r="C2100" s="26" t="s">
        <v>1240</v>
      </c>
      <c r="D2100" s="25" t="str">
        <f t="shared" si="32"/>
        <v>Số thửaSố thửa677</v>
      </c>
    </row>
    <row r="2101" spans="1:4" x14ac:dyDescent="0.25">
      <c r="A2101" s="25">
        <v>13</v>
      </c>
      <c r="B2101" s="25" t="s">
        <v>773</v>
      </c>
      <c r="C2101" s="26" t="s">
        <v>1240</v>
      </c>
      <c r="D2101" s="25" t="str">
        <f t="shared" si="32"/>
        <v>Số thửaSố thửa678</v>
      </c>
    </row>
    <row r="2102" spans="1:4" x14ac:dyDescent="0.25">
      <c r="A2102" s="25">
        <v>13</v>
      </c>
      <c r="B2102" s="25" t="s">
        <v>311</v>
      </c>
      <c r="C2102" s="26" t="s">
        <v>1238</v>
      </c>
      <c r="D2102" s="25" t="str">
        <f t="shared" si="32"/>
        <v>Số thửaSố thửa745</v>
      </c>
    </row>
    <row r="2103" spans="1:4" x14ac:dyDescent="0.25">
      <c r="A2103" s="25">
        <v>14</v>
      </c>
      <c r="B2103" s="25" t="s">
        <v>665</v>
      </c>
      <c r="C2103" s="26" t="s">
        <v>1246</v>
      </c>
      <c r="D2103" s="25" t="str">
        <f t="shared" si="32"/>
        <v>Số thửaSố thửa141</v>
      </c>
    </row>
    <row r="2104" spans="1:4" x14ac:dyDescent="0.25">
      <c r="A2104" s="25">
        <v>14</v>
      </c>
      <c r="B2104" s="25" t="s">
        <v>1101</v>
      </c>
      <c r="C2104" s="26" t="s">
        <v>1246</v>
      </c>
      <c r="D2104" s="25" t="str">
        <f t="shared" si="32"/>
        <v>Số thửaSố thửa144</v>
      </c>
    </row>
    <row r="2105" spans="1:4" x14ac:dyDescent="0.25">
      <c r="A2105" s="25">
        <v>14</v>
      </c>
      <c r="B2105" s="25" t="s">
        <v>381</v>
      </c>
      <c r="C2105" s="26" t="s">
        <v>1240</v>
      </c>
      <c r="D2105" s="25" t="str">
        <f t="shared" si="32"/>
        <v>Số thửaSố thửa145</v>
      </c>
    </row>
    <row r="2106" spans="1:4" x14ac:dyDescent="0.25">
      <c r="A2106" s="25">
        <v>14</v>
      </c>
      <c r="B2106" s="25" t="s">
        <v>383</v>
      </c>
      <c r="C2106" s="26" t="s">
        <v>1236</v>
      </c>
      <c r="D2106" s="25" t="str">
        <f t="shared" si="32"/>
        <v>Số thửaSố thửa148</v>
      </c>
    </row>
    <row r="2107" spans="1:4" x14ac:dyDescent="0.25">
      <c r="A2107" s="25">
        <v>14</v>
      </c>
      <c r="B2107" s="25" t="s">
        <v>510</v>
      </c>
      <c r="C2107" s="26" t="s">
        <v>1236</v>
      </c>
      <c r="D2107" s="25" t="str">
        <f t="shared" si="32"/>
        <v>Số thửaSố thửa149</v>
      </c>
    </row>
    <row r="2108" spans="1:4" x14ac:dyDescent="0.25">
      <c r="A2108" s="25">
        <v>14</v>
      </c>
      <c r="B2108" s="25" t="s">
        <v>511</v>
      </c>
      <c r="C2108" s="26" t="s">
        <v>1236</v>
      </c>
      <c r="D2108" s="25" t="str">
        <f t="shared" si="32"/>
        <v>Số thửaSố thửa150</v>
      </c>
    </row>
    <row r="2109" spans="1:4" x14ac:dyDescent="0.25">
      <c r="A2109" s="25">
        <v>14</v>
      </c>
      <c r="B2109" s="25" t="s">
        <v>707</v>
      </c>
      <c r="C2109" s="26" t="s">
        <v>1236</v>
      </c>
      <c r="D2109" s="25" t="str">
        <f t="shared" si="32"/>
        <v>Số thửaSố thửa162</v>
      </c>
    </row>
    <row r="2110" spans="1:4" x14ac:dyDescent="0.25">
      <c r="A2110" s="25">
        <v>14</v>
      </c>
      <c r="B2110" s="25" t="s">
        <v>709</v>
      </c>
      <c r="C2110" s="26" t="s">
        <v>1236</v>
      </c>
      <c r="D2110" s="25" t="str">
        <f t="shared" si="32"/>
        <v>Số thửaSố thửa164</v>
      </c>
    </row>
    <row r="2111" spans="1:4" x14ac:dyDescent="0.25">
      <c r="A2111" s="25">
        <v>14</v>
      </c>
      <c r="B2111" s="25" t="s">
        <v>1102</v>
      </c>
      <c r="C2111" s="26" t="s">
        <v>1236</v>
      </c>
      <c r="D2111" s="25" t="str">
        <f t="shared" si="32"/>
        <v>Số thửaSố thửa166</v>
      </c>
    </row>
    <row r="2112" spans="1:4" x14ac:dyDescent="0.25">
      <c r="A2112" s="25">
        <v>14</v>
      </c>
      <c r="B2112" s="25" t="s">
        <v>399</v>
      </c>
      <c r="C2112" s="26" t="s">
        <v>1236</v>
      </c>
      <c r="D2112" s="25" t="str">
        <f t="shared" si="32"/>
        <v>Số thửaSố thửa173</v>
      </c>
    </row>
    <row r="2113" spans="1:4" x14ac:dyDescent="0.25">
      <c r="A2113" s="25">
        <v>14</v>
      </c>
      <c r="B2113" s="25" t="s">
        <v>400</v>
      </c>
      <c r="C2113" s="26" t="s">
        <v>1236</v>
      </c>
      <c r="D2113" s="25" t="str">
        <f t="shared" si="32"/>
        <v>Số thửaSố thửa174</v>
      </c>
    </row>
    <row r="2114" spans="1:4" x14ac:dyDescent="0.25">
      <c r="A2114" s="25">
        <v>14</v>
      </c>
      <c r="B2114" s="25" t="s">
        <v>964</v>
      </c>
      <c r="C2114" s="26" t="s">
        <v>1236</v>
      </c>
      <c r="D2114" s="25" t="str">
        <f t="shared" si="32"/>
        <v>Số thửaSố thửa181</v>
      </c>
    </row>
    <row r="2115" spans="1:4" x14ac:dyDescent="0.25">
      <c r="A2115" s="25">
        <v>14</v>
      </c>
      <c r="B2115" s="25" t="s">
        <v>112</v>
      </c>
      <c r="C2115" s="26" t="s">
        <v>1236</v>
      </c>
      <c r="D2115" s="25" t="str">
        <f t="shared" ref="D2115:D2178" si="33">$B$1&amp;B2115</f>
        <v>Số thửaSố thửa185</v>
      </c>
    </row>
    <row r="2116" spans="1:4" x14ac:dyDescent="0.25">
      <c r="A2116" s="25">
        <v>14</v>
      </c>
      <c r="B2116" s="25" t="s">
        <v>990</v>
      </c>
      <c r="C2116" s="26" t="s">
        <v>1236</v>
      </c>
      <c r="D2116" s="25" t="str">
        <f t="shared" si="33"/>
        <v>Số thửaSố thửa194</v>
      </c>
    </row>
    <row r="2117" spans="1:4" x14ac:dyDescent="0.25">
      <c r="A2117" s="25">
        <v>14</v>
      </c>
      <c r="B2117" s="25" t="s">
        <v>1114</v>
      </c>
      <c r="C2117" s="26" t="s">
        <v>1238</v>
      </c>
      <c r="D2117" s="25" t="str">
        <f t="shared" si="33"/>
        <v>Số thửaSố thửa230</v>
      </c>
    </row>
    <row r="2118" spans="1:4" x14ac:dyDescent="0.25">
      <c r="A2118" s="25">
        <v>15</v>
      </c>
      <c r="B2118" s="25" t="s">
        <v>243</v>
      </c>
      <c r="C2118" s="26" t="s">
        <v>1236</v>
      </c>
      <c r="D2118" s="25" t="str">
        <f t="shared" si="33"/>
        <v>Số thửaSố thửa44</v>
      </c>
    </row>
    <row r="2119" spans="1:4" x14ac:dyDescent="0.25">
      <c r="A2119" s="25">
        <v>2</v>
      </c>
      <c r="B2119" s="25" t="s">
        <v>719</v>
      </c>
      <c r="C2119" s="26" t="s">
        <v>1247</v>
      </c>
      <c r="D2119" s="25" t="str">
        <f t="shared" si="33"/>
        <v>Số thửaSố thửa157</v>
      </c>
    </row>
    <row r="2120" spans="1:4" x14ac:dyDescent="0.25">
      <c r="A2120" s="25">
        <v>2</v>
      </c>
      <c r="B2120" s="25" t="s">
        <v>1002</v>
      </c>
      <c r="C2120" s="26" t="s">
        <v>1247</v>
      </c>
      <c r="D2120" s="25" t="str">
        <f t="shared" si="33"/>
        <v>Số thửaSố thửa158</v>
      </c>
    </row>
    <row r="2121" spans="1:4" x14ac:dyDescent="0.25">
      <c r="A2121" s="25">
        <v>6</v>
      </c>
      <c r="B2121" s="25" t="s">
        <v>381</v>
      </c>
      <c r="C2121" s="26" t="s">
        <v>1248</v>
      </c>
      <c r="D2121" s="25" t="str">
        <f t="shared" si="33"/>
        <v>Số thửaSố thửa145</v>
      </c>
    </row>
    <row r="2122" spans="1:4" x14ac:dyDescent="0.25">
      <c r="A2122" s="25">
        <v>6</v>
      </c>
      <c r="B2122" s="25" t="s">
        <v>926</v>
      </c>
      <c r="C2122" s="26" t="s">
        <v>1248</v>
      </c>
      <c r="D2122" s="25" t="str">
        <f t="shared" si="33"/>
        <v>Số thửaSố thửa147</v>
      </c>
    </row>
    <row r="2123" spans="1:4" x14ac:dyDescent="0.25">
      <c r="A2123" s="25">
        <v>6</v>
      </c>
      <c r="B2123" s="25" t="s">
        <v>1003</v>
      </c>
      <c r="C2123" s="26" t="s">
        <v>1248</v>
      </c>
      <c r="D2123" s="25" t="str">
        <f t="shared" si="33"/>
        <v>Số thửaSố thửa159</v>
      </c>
    </row>
    <row r="2124" spans="1:4" x14ac:dyDescent="0.25">
      <c r="A2124" s="25">
        <v>6</v>
      </c>
      <c r="B2124" s="25" t="s">
        <v>685</v>
      </c>
      <c r="C2124" s="26" t="s">
        <v>1248</v>
      </c>
      <c r="D2124" s="25" t="str">
        <f t="shared" si="33"/>
        <v>Số thửaSố thửa160</v>
      </c>
    </row>
    <row r="2125" spans="1:4" x14ac:dyDescent="0.25">
      <c r="A2125" s="25">
        <v>6</v>
      </c>
      <c r="B2125" s="25" t="s">
        <v>648</v>
      </c>
      <c r="C2125" s="26" t="s">
        <v>1249</v>
      </c>
      <c r="D2125" s="25" t="str">
        <f t="shared" si="33"/>
        <v>Số thửaSố thửa516</v>
      </c>
    </row>
    <row r="2126" spans="1:4" x14ac:dyDescent="0.25">
      <c r="A2126" s="25">
        <v>8</v>
      </c>
      <c r="B2126" s="25" t="s">
        <v>215</v>
      </c>
      <c r="C2126" s="26" t="s">
        <v>1250</v>
      </c>
      <c r="D2126" s="25" t="str">
        <f t="shared" si="33"/>
        <v>Số thửaSố thửa290</v>
      </c>
    </row>
    <row r="2127" spans="1:4" x14ac:dyDescent="0.25">
      <c r="A2127" s="25">
        <v>9</v>
      </c>
      <c r="B2127" s="25" t="s">
        <v>964</v>
      </c>
      <c r="C2127" s="26" t="s">
        <v>1250</v>
      </c>
      <c r="D2127" s="25" t="str">
        <f t="shared" si="33"/>
        <v>Số thửaSố thửa181</v>
      </c>
    </row>
    <row r="2128" spans="1:4" x14ac:dyDescent="0.25">
      <c r="A2128" s="25">
        <v>9</v>
      </c>
      <c r="B2128" s="25" t="s">
        <v>1128</v>
      </c>
      <c r="C2128" s="26" t="s">
        <v>1250</v>
      </c>
      <c r="D2128" s="25" t="str">
        <f t="shared" si="33"/>
        <v>Số thửaSố thửa210</v>
      </c>
    </row>
    <row r="2129" spans="1:4" x14ac:dyDescent="0.25">
      <c r="A2129" s="25">
        <v>9</v>
      </c>
      <c r="B2129" s="25" t="s">
        <v>1251</v>
      </c>
      <c r="C2129" s="26" t="s">
        <v>1250</v>
      </c>
      <c r="D2129" s="25" t="str">
        <f t="shared" si="33"/>
        <v>Số thửaSố thửa211</v>
      </c>
    </row>
    <row r="2130" spans="1:4" x14ac:dyDescent="0.25">
      <c r="A2130" s="25">
        <v>9</v>
      </c>
      <c r="B2130" s="25" t="s">
        <v>955</v>
      </c>
      <c r="C2130" s="26" t="s">
        <v>1250</v>
      </c>
      <c r="D2130" s="25" t="str">
        <f t="shared" si="33"/>
        <v>Số thửaSố thửa212</v>
      </c>
    </row>
    <row r="2131" spans="1:4" x14ac:dyDescent="0.25">
      <c r="A2131" s="25">
        <v>9</v>
      </c>
      <c r="B2131" s="25" t="s">
        <v>1071</v>
      </c>
      <c r="C2131" s="26" t="s">
        <v>1250</v>
      </c>
      <c r="D2131" s="25" t="str">
        <f t="shared" si="33"/>
        <v>Số thửaSố thửa213</v>
      </c>
    </row>
    <row r="2132" spans="1:4" x14ac:dyDescent="0.25">
      <c r="A2132" s="25">
        <v>9</v>
      </c>
      <c r="B2132" s="25" t="s">
        <v>81</v>
      </c>
      <c r="C2132" s="26" t="s">
        <v>1250</v>
      </c>
      <c r="D2132" s="25" t="str">
        <f t="shared" si="33"/>
        <v>Số thửaSố thửa214</v>
      </c>
    </row>
    <row r="2133" spans="1:4" x14ac:dyDescent="0.25">
      <c r="A2133" s="25">
        <v>9</v>
      </c>
      <c r="B2133" s="25" t="s">
        <v>88</v>
      </c>
      <c r="C2133" s="26" t="s">
        <v>1250</v>
      </c>
      <c r="D2133" s="25" t="str">
        <f t="shared" si="33"/>
        <v>Số thửaSố thửa222</v>
      </c>
    </row>
    <row r="2134" spans="1:4" x14ac:dyDescent="0.25">
      <c r="A2134" s="25">
        <v>9</v>
      </c>
      <c r="B2134" s="25" t="s">
        <v>89</v>
      </c>
      <c r="C2134" s="26" t="s">
        <v>1250</v>
      </c>
      <c r="D2134" s="25" t="str">
        <f t="shared" si="33"/>
        <v>Số thửaSố thửa223</v>
      </c>
    </row>
    <row r="2135" spans="1:4" x14ac:dyDescent="0.25">
      <c r="A2135" s="25">
        <v>9</v>
      </c>
      <c r="B2135" s="25" t="s">
        <v>983</v>
      </c>
      <c r="C2135" s="26" t="s">
        <v>1250</v>
      </c>
      <c r="D2135" s="25" t="str">
        <f t="shared" si="33"/>
        <v>Số thửaSố thửa224</v>
      </c>
    </row>
    <row r="2136" spans="1:4" x14ac:dyDescent="0.25">
      <c r="A2136" s="25">
        <v>9</v>
      </c>
      <c r="B2136" s="25" t="s">
        <v>176</v>
      </c>
      <c r="C2136" s="26" t="s">
        <v>1250</v>
      </c>
      <c r="D2136" s="25" t="str">
        <f t="shared" si="33"/>
        <v>Số thửaSố thửa259</v>
      </c>
    </row>
    <row r="2137" spans="1:4" x14ac:dyDescent="0.25">
      <c r="A2137" s="25">
        <v>9</v>
      </c>
      <c r="B2137" s="25" t="s">
        <v>644</v>
      </c>
      <c r="C2137" s="26" t="s">
        <v>1250</v>
      </c>
      <c r="D2137" s="25" t="str">
        <f t="shared" si="33"/>
        <v>Số thửaSố thửa622</v>
      </c>
    </row>
    <row r="2138" spans="1:4" x14ac:dyDescent="0.25">
      <c r="A2138" s="25">
        <v>9</v>
      </c>
      <c r="B2138" s="25" t="s">
        <v>1252</v>
      </c>
      <c r="C2138" s="26" t="s">
        <v>1250</v>
      </c>
      <c r="D2138" s="25" t="str">
        <f t="shared" si="33"/>
        <v>Số thửaSố thửa623</v>
      </c>
    </row>
    <row r="2139" spans="1:4" x14ac:dyDescent="0.25">
      <c r="A2139" s="25">
        <v>9</v>
      </c>
      <c r="B2139" s="25" t="s">
        <v>1253</v>
      </c>
      <c r="C2139" s="26" t="s">
        <v>1254</v>
      </c>
      <c r="D2139" s="25" t="str">
        <f t="shared" si="33"/>
        <v>Số thửaSố thửa624</v>
      </c>
    </row>
    <row r="2140" spans="1:4" x14ac:dyDescent="0.25">
      <c r="A2140" s="25">
        <v>9</v>
      </c>
      <c r="B2140" s="25" t="s">
        <v>598</v>
      </c>
      <c r="C2140" s="26" t="s">
        <v>1250</v>
      </c>
      <c r="D2140" s="25" t="str">
        <f t="shared" si="33"/>
        <v>Số thửaSố thửa647</v>
      </c>
    </row>
    <row r="2141" spans="1:4" x14ac:dyDescent="0.25">
      <c r="A2141" s="25">
        <v>9</v>
      </c>
      <c r="B2141" s="25" t="s">
        <v>1020</v>
      </c>
      <c r="C2141" s="26" t="s">
        <v>1254</v>
      </c>
      <c r="D2141" s="25" t="str">
        <f t="shared" si="33"/>
        <v>Số thửaSố thửa662</v>
      </c>
    </row>
    <row r="2142" spans="1:4" x14ac:dyDescent="0.25">
      <c r="A2142" s="25">
        <v>9</v>
      </c>
      <c r="B2142" s="25" t="s">
        <v>1255</v>
      </c>
      <c r="C2142" s="26" t="s">
        <v>1250</v>
      </c>
      <c r="D2142" s="25" t="str">
        <f t="shared" si="33"/>
        <v>Số thửaSố thửa663</v>
      </c>
    </row>
    <row r="2143" spans="1:4" x14ac:dyDescent="0.25">
      <c r="A2143" s="25">
        <v>9</v>
      </c>
      <c r="B2143" s="25" t="s">
        <v>1256</v>
      </c>
      <c r="C2143" s="26" t="s">
        <v>1250</v>
      </c>
      <c r="D2143" s="25" t="str">
        <f t="shared" si="33"/>
        <v>Số thửaSố thửa698</v>
      </c>
    </row>
    <row r="2144" spans="1:4" x14ac:dyDescent="0.25">
      <c r="A2144" s="25">
        <v>9</v>
      </c>
      <c r="B2144" s="25" t="s">
        <v>1257</v>
      </c>
      <c r="C2144" s="26" t="s">
        <v>1258</v>
      </c>
      <c r="D2144" s="25" t="str">
        <f t="shared" si="33"/>
        <v>Số thửaSố thửa699</v>
      </c>
    </row>
    <row r="2145" spans="1:4" x14ac:dyDescent="0.25">
      <c r="A2145" s="25">
        <v>9</v>
      </c>
      <c r="B2145" s="25" t="s">
        <v>1259</v>
      </c>
      <c r="C2145" s="26" t="s">
        <v>1254</v>
      </c>
      <c r="D2145" s="25" t="str">
        <f t="shared" si="33"/>
        <v>Số thửaSố thửa726</v>
      </c>
    </row>
    <row r="2146" spans="1:4" x14ac:dyDescent="0.25">
      <c r="A2146" s="25">
        <v>9</v>
      </c>
      <c r="B2146" s="25" t="s">
        <v>917</v>
      </c>
      <c r="C2146" s="26" t="s">
        <v>1260</v>
      </c>
      <c r="D2146" s="25" t="str">
        <f t="shared" si="33"/>
        <v>Số thửaSố thửa784</v>
      </c>
    </row>
    <row r="2147" spans="1:4" x14ac:dyDescent="0.25">
      <c r="A2147" s="25">
        <v>9</v>
      </c>
      <c r="B2147" s="25" t="s">
        <v>917</v>
      </c>
      <c r="C2147" s="26" t="s">
        <v>1260</v>
      </c>
      <c r="D2147" s="25" t="str">
        <f t="shared" si="33"/>
        <v>Số thửaSố thửa784</v>
      </c>
    </row>
    <row r="2148" spans="1:4" x14ac:dyDescent="0.25">
      <c r="A2148" s="25">
        <v>9</v>
      </c>
      <c r="B2148" s="25" t="s">
        <v>160</v>
      </c>
      <c r="C2148" s="26" t="s">
        <v>1258</v>
      </c>
      <c r="D2148" s="25" t="str">
        <f t="shared" si="33"/>
        <v>Số thửaSố thửa865</v>
      </c>
    </row>
    <row r="2149" spans="1:4" x14ac:dyDescent="0.25">
      <c r="A2149" s="25">
        <v>13</v>
      </c>
      <c r="B2149" s="25" t="s">
        <v>531</v>
      </c>
      <c r="C2149" s="26" t="s">
        <v>1261</v>
      </c>
      <c r="D2149" s="25" t="str">
        <f t="shared" si="33"/>
        <v>Số thửaSố thửa429</v>
      </c>
    </row>
    <row r="2150" spans="1:4" x14ac:dyDescent="0.25">
      <c r="A2150" s="25">
        <v>13</v>
      </c>
      <c r="B2150" s="25" t="s">
        <v>1262</v>
      </c>
      <c r="C2150" s="26" t="s">
        <v>1263</v>
      </c>
      <c r="D2150" s="25" t="str">
        <f t="shared" si="33"/>
        <v>Số thửaSố thửa605</v>
      </c>
    </row>
    <row r="2151" spans="1:4" x14ac:dyDescent="0.25">
      <c r="A2151" s="25">
        <v>13</v>
      </c>
      <c r="B2151" s="25" t="s">
        <v>1104</v>
      </c>
      <c r="C2151" s="26" t="s">
        <v>1263</v>
      </c>
      <c r="D2151" s="25" t="str">
        <f t="shared" si="33"/>
        <v>Số thửaSố thửa606</v>
      </c>
    </row>
    <row r="2152" spans="1:4" x14ac:dyDescent="0.25">
      <c r="A2152" s="25">
        <v>13</v>
      </c>
      <c r="B2152" s="25" t="s">
        <v>1264</v>
      </c>
      <c r="C2152" s="26" t="s">
        <v>1263</v>
      </c>
      <c r="D2152" s="25" t="str">
        <f t="shared" si="33"/>
        <v>Số thửaSố thửa607</v>
      </c>
    </row>
    <row r="2153" spans="1:4" x14ac:dyDescent="0.25">
      <c r="A2153" s="25">
        <v>13</v>
      </c>
      <c r="B2153" s="25" t="s">
        <v>1162</v>
      </c>
      <c r="C2153" s="26" t="s">
        <v>1263</v>
      </c>
      <c r="D2153" s="25" t="str">
        <f t="shared" si="33"/>
        <v>Số thửaSố thửa608</v>
      </c>
    </row>
    <row r="2154" spans="1:4" x14ac:dyDescent="0.25">
      <c r="A2154" s="25">
        <v>13</v>
      </c>
      <c r="B2154" s="25" t="s">
        <v>1265</v>
      </c>
      <c r="C2154" s="26" t="s">
        <v>1263</v>
      </c>
      <c r="D2154" s="25" t="str">
        <f t="shared" si="33"/>
        <v>Số thửaSố thửa609</v>
      </c>
    </row>
    <row r="2155" spans="1:4" x14ac:dyDescent="0.25">
      <c r="A2155" s="25">
        <v>13</v>
      </c>
      <c r="B2155" s="25" t="s">
        <v>1266</v>
      </c>
      <c r="C2155" s="26" t="s">
        <v>1261</v>
      </c>
      <c r="D2155" s="25" t="str">
        <f t="shared" si="33"/>
        <v>Số thửaSố thửa610</v>
      </c>
    </row>
    <row r="2156" spans="1:4" x14ac:dyDescent="0.25">
      <c r="A2156" s="25">
        <v>13</v>
      </c>
      <c r="B2156" s="25" t="s">
        <v>977</v>
      </c>
      <c r="C2156" s="26" t="s">
        <v>1263</v>
      </c>
      <c r="D2156" s="25" t="str">
        <f t="shared" si="33"/>
        <v>Số thửaSố thửa617</v>
      </c>
    </row>
    <row r="2157" spans="1:4" x14ac:dyDescent="0.25">
      <c r="A2157" s="25">
        <v>13</v>
      </c>
      <c r="B2157" s="25" t="s">
        <v>1267</v>
      </c>
      <c r="C2157" s="26" t="s">
        <v>1263</v>
      </c>
      <c r="D2157" s="25" t="str">
        <f t="shared" si="33"/>
        <v>Số thửaSố thửa626</v>
      </c>
    </row>
    <row r="2158" spans="1:4" x14ac:dyDescent="0.25">
      <c r="A2158" s="25">
        <v>13</v>
      </c>
      <c r="B2158" s="25" t="s">
        <v>576</v>
      </c>
      <c r="C2158" s="26" t="s">
        <v>1261</v>
      </c>
      <c r="D2158" s="25" t="str">
        <f t="shared" si="33"/>
        <v>Số thửaSố thửa634</v>
      </c>
    </row>
    <row r="2159" spans="1:4" x14ac:dyDescent="0.25">
      <c r="A2159" s="25">
        <v>13</v>
      </c>
      <c r="B2159" s="25" t="s">
        <v>1268</v>
      </c>
      <c r="C2159" s="26" t="s">
        <v>1261</v>
      </c>
      <c r="D2159" s="25" t="str">
        <f t="shared" si="33"/>
        <v>Số thửaSố thửa635</v>
      </c>
    </row>
    <row r="2160" spans="1:4" x14ac:dyDescent="0.25">
      <c r="A2160" s="25">
        <v>13</v>
      </c>
      <c r="B2160" s="25" t="s">
        <v>391</v>
      </c>
      <c r="C2160" s="26" t="s">
        <v>1261</v>
      </c>
      <c r="D2160" s="25" t="str">
        <f t="shared" si="33"/>
        <v>Số thửaSố thửa638</v>
      </c>
    </row>
    <row r="2161" spans="1:4" x14ac:dyDescent="0.25">
      <c r="A2161" s="25">
        <v>13</v>
      </c>
      <c r="B2161" s="25" t="s">
        <v>1269</v>
      </c>
      <c r="C2161" s="26" t="s">
        <v>1261</v>
      </c>
      <c r="D2161" s="25" t="str">
        <f t="shared" si="33"/>
        <v>Số thửaSố thửa659</v>
      </c>
    </row>
    <row r="2162" spans="1:4" x14ac:dyDescent="0.25">
      <c r="A2162" s="25">
        <v>14</v>
      </c>
      <c r="B2162" s="25" t="s">
        <v>823</v>
      </c>
      <c r="C2162" s="26" t="s">
        <v>1261</v>
      </c>
      <c r="D2162" s="25" t="str">
        <f t="shared" si="33"/>
        <v>Số thửaSố thửa95</v>
      </c>
    </row>
    <row r="2163" spans="1:4" x14ac:dyDescent="0.25">
      <c r="A2163" s="25">
        <v>14</v>
      </c>
      <c r="B2163" s="25" t="s">
        <v>325</v>
      </c>
      <c r="C2163" s="26" t="s">
        <v>1261</v>
      </c>
      <c r="D2163" s="25" t="str">
        <f t="shared" si="33"/>
        <v>Số thửaSố thửa101</v>
      </c>
    </row>
    <row r="2164" spans="1:4" x14ac:dyDescent="0.25">
      <c r="A2164" s="25">
        <v>15</v>
      </c>
      <c r="B2164" s="25" t="s">
        <v>263</v>
      </c>
      <c r="C2164" s="26" t="s">
        <v>1263</v>
      </c>
      <c r="D2164" s="25" t="str">
        <f t="shared" si="33"/>
        <v>Số thửaSố thửa73</v>
      </c>
    </row>
    <row r="2165" spans="1:4" x14ac:dyDescent="0.25">
      <c r="A2165" s="25">
        <v>15</v>
      </c>
      <c r="B2165" s="25" t="s">
        <v>1064</v>
      </c>
      <c r="C2165" s="26" t="s">
        <v>1263</v>
      </c>
      <c r="D2165" s="25" t="str">
        <f t="shared" si="33"/>
        <v>Số thửaSố thửa74</v>
      </c>
    </row>
    <row r="2166" spans="1:4" x14ac:dyDescent="0.25">
      <c r="A2166" s="25">
        <v>15</v>
      </c>
      <c r="B2166" s="25" t="s">
        <v>69</v>
      </c>
      <c r="C2166" s="26" t="s">
        <v>1263</v>
      </c>
      <c r="D2166" s="25" t="str">
        <f t="shared" si="33"/>
        <v>Số thửaSố thửa77</v>
      </c>
    </row>
    <row r="2167" spans="1:4" x14ac:dyDescent="0.25">
      <c r="A2167" s="25">
        <v>15</v>
      </c>
      <c r="B2167" s="25" t="s">
        <v>660</v>
      </c>
      <c r="C2167" s="26" t="s">
        <v>1263</v>
      </c>
      <c r="D2167" s="25" t="str">
        <f t="shared" si="33"/>
        <v>Số thửaSố thửa78</v>
      </c>
    </row>
    <row r="2168" spans="1:4" x14ac:dyDescent="0.25">
      <c r="A2168" s="25">
        <v>15</v>
      </c>
      <c r="B2168" s="25" t="s">
        <v>466</v>
      </c>
      <c r="C2168" s="26" t="s">
        <v>1263</v>
      </c>
      <c r="D2168" s="25" t="str">
        <f t="shared" si="33"/>
        <v>Số thửaSố thửa79</v>
      </c>
    </row>
    <row r="2169" spans="1:4" x14ac:dyDescent="0.25">
      <c r="A2169" s="25">
        <v>15</v>
      </c>
      <c r="B2169" s="25" t="s">
        <v>264</v>
      </c>
      <c r="C2169" s="26" t="s">
        <v>1263</v>
      </c>
      <c r="D2169" s="25" t="str">
        <f t="shared" si="33"/>
        <v>Số thửaSố thửa80</v>
      </c>
    </row>
    <row r="2170" spans="1:4" x14ac:dyDescent="0.25">
      <c r="A2170" s="25">
        <v>16</v>
      </c>
      <c r="B2170" s="25" t="s">
        <v>58</v>
      </c>
      <c r="C2170" s="26" t="s">
        <v>1261</v>
      </c>
      <c r="D2170" s="25" t="str">
        <f t="shared" si="33"/>
        <v>Số thửaSố thửa3</v>
      </c>
    </row>
    <row r="2171" spans="1:4" x14ac:dyDescent="0.25">
      <c r="A2171" s="25">
        <v>9</v>
      </c>
      <c r="B2171" s="25" t="s">
        <v>597</v>
      </c>
      <c r="C2171" s="26" t="s">
        <v>1270</v>
      </c>
      <c r="D2171" s="25" t="str">
        <f t="shared" si="33"/>
        <v>Số thửaSố thửa646</v>
      </c>
    </row>
    <row r="2172" spans="1:4" x14ac:dyDescent="0.25">
      <c r="A2172" s="25">
        <v>9</v>
      </c>
      <c r="B2172" s="25" t="s">
        <v>1184</v>
      </c>
      <c r="C2172" s="26" t="s">
        <v>1270</v>
      </c>
      <c r="D2172" s="25" t="str">
        <f t="shared" si="33"/>
        <v>Số thửaSố thửa673</v>
      </c>
    </row>
    <row r="2173" spans="1:4" x14ac:dyDescent="0.25">
      <c r="A2173" s="25">
        <v>9</v>
      </c>
      <c r="B2173" s="25" t="s">
        <v>1043</v>
      </c>
      <c r="C2173" s="26" t="s">
        <v>1270</v>
      </c>
      <c r="D2173" s="25" t="str">
        <f t="shared" si="33"/>
        <v>Số thửaSố thửa674</v>
      </c>
    </row>
    <row r="2174" spans="1:4" x14ac:dyDescent="0.25">
      <c r="A2174" s="25">
        <v>9</v>
      </c>
      <c r="B2174" s="25" t="s">
        <v>1271</v>
      </c>
      <c r="C2174" s="26" t="s">
        <v>1272</v>
      </c>
      <c r="D2174" s="25" t="str">
        <f t="shared" si="33"/>
        <v>Số thửaSố thửa713</v>
      </c>
    </row>
    <row r="2175" spans="1:4" x14ac:dyDescent="0.25">
      <c r="A2175" s="25">
        <v>9</v>
      </c>
      <c r="B2175" s="25" t="s">
        <v>1273</v>
      </c>
      <c r="C2175" s="26" t="s">
        <v>1272</v>
      </c>
      <c r="D2175" s="25" t="str">
        <f t="shared" si="33"/>
        <v>Số thửaSố thửa732</v>
      </c>
    </row>
    <row r="2176" spans="1:4" x14ac:dyDescent="0.25">
      <c r="A2176" s="25">
        <v>9</v>
      </c>
      <c r="B2176" s="25" t="s">
        <v>167</v>
      </c>
      <c r="C2176" s="26" t="s">
        <v>1272</v>
      </c>
      <c r="D2176" s="25" t="str">
        <f t="shared" si="33"/>
        <v>Số thửaSố thửa750</v>
      </c>
    </row>
    <row r="2177" spans="1:4" x14ac:dyDescent="0.25">
      <c r="A2177" s="25">
        <v>9</v>
      </c>
      <c r="B2177" s="25" t="s">
        <v>1274</v>
      </c>
      <c r="C2177" s="26" t="s">
        <v>1270</v>
      </c>
      <c r="D2177" s="25" t="str">
        <f t="shared" si="33"/>
        <v>Số thửaSố thửa759</v>
      </c>
    </row>
    <row r="2178" spans="1:4" x14ac:dyDescent="0.25">
      <c r="A2178" s="25">
        <v>9</v>
      </c>
      <c r="B2178" s="25" t="s">
        <v>1275</v>
      </c>
      <c r="C2178" s="26" t="s">
        <v>1270</v>
      </c>
      <c r="D2178" s="25" t="str">
        <f t="shared" si="33"/>
        <v>Số thửaSố thửa760</v>
      </c>
    </row>
    <row r="2179" spans="1:4" x14ac:dyDescent="0.25">
      <c r="A2179" s="25">
        <v>9</v>
      </c>
      <c r="B2179" s="25" t="s">
        <v>1276</v>
      </c>
      <c r="C2179" s="26" t="s">
        <v>1270</v>
      </c>
      <c r="D2179" s="25" t="str">
        <f t="shared" ref="D2179:D2242" si="34">$B$1&amp;B2179</f>
        <v>Số thửaSố thửa770</v>
      </c>
    </row>
    <row r="2180" spans="1:4" x14ac:dyDescent="0.25">
      <c r="A2180" s="25">
        <v>9</v>
      </c>
      <c r="B2180" s="25" t="s">
        <v>1277</v>
      </c>
      <c r="C2180" s="26" t="s">
        <v>1272</v>
      </c>
      <c r="D2180" s="25" t="str">
        <f t="shared" si="34"/>
        <v>Số thửaSố thửa788</v>
      </c>
    </row>
    <row r="2181" spans="1:4" x14ac:dyDescent="0.25">
      <c r="A2181" s="25">
        <v>10</v>
      </c>
      <c r="B2181" s="25" t="s">
        <v>1169</v>
      </c>
      <c r="C2181" s="26" t="s">
        <v>1270</v>
      </c>
      <c r="D2181" s="25" t="str">
        <f t="shared" si="34"/>
        <v>Số thửaSố thửa383</v>
      </c>
    </row>
    <row r="2182" spans="1:4" x14ac:dyDescent="0.25">
      <c r="A2182" s="25">
        <v>6</v>
      </c>
      <c r="B2182" s="25" t="s">
        <v>303</v>
      </c>
      <c r="C2182" s="26" t="s">
        <v>1278</v>
      </c>
      <c r="D2182" s="25" t="str">
        <f t="shared" si="34"/>
        <v>Số thửaSố thửa527</v>
      </c>
    </row>
    <row r="2183" spans="1:4" x14ac:dyDescent="0.25">
      <c r="A2183" s="25">
        <v>6</v>
      </c>
      <c r="B2183" s="25" t="s">
        <v>303</v>
      </c>
      <c r="C2183" s="26" t="s">
        <v>1278</v>
      </c>
      <c r="D2183" s="25" t="str">
        <f t="shared" si="34"/>
        <v>Số thửaSố thửa527</v>
      </c>
    </row>
    <row r="2184" spans="1:4" x14ac:dyDescent="0.25">
      <c r="A2184" s="25">
        <v>11</v>
      </c>
      <c r="B2184" s="25" t="s">
        <v>797</v>
      </c>
      <c r="C2184" s="26" t="s">
        <v>1279</v>
      </c>
      <c r="D2184" s="25" t="str">
        <f t="shared" si="34"/>
        <v>Số thửaSố thửa246</v>
      </c>
    </row>
    <row r="2185" spans="1:4" x14ac:dyDescent="0.25">
      <c r="A2185" s="25">
        <v>11</v>
      </c>
      <c r="B2185" s="25" t="s">
        <v>1280</v>
      </c>
      <c r="C2185" s="26" t="s">
        <v>1279</v>
      </c>
      <c r="D2185" s="25" t="str">
        <f t="shared" si="34"/>
        <v>Số thửaSố thửa247</v>
      </c>
    </row>
    <row r="2186" spans="1:4" x14ac:dyDescent="0.25">
      <c r="A2186" s="25">
        <v>11</v>
      </c>
      <c r="B2186" s="25" t="s">
        <v>937</v>
      </c>
      <c r="C2186" s="26" t="s">
        <v>1279</v>
      </c>
      <c r="D2186" s="25" t="str">
        <f t="shared" si="34"/>
        <v>Số thửaSố thửa248</v>
      </c>
    </row>
    <row r="2187" spans="1:4" x14ac:dyDescent="0.25">
      <c r="A2187" s="25">
        <v>11</v>
      </c>
      <c r="B2187" s="25" t="s">
        <v>1281</v>
      </c>
      <c r="C2187" s="26" t="s">
        <v>1279</v>
      </c>
      <c r="D2187" s="25" t="str">
        <f t="shared" si="34"/>
        <v>Số thửaSố thửa249</v>
      </c>
    </row>
    <row r="2188" spans="1:4" x14ac:dyDescent="0.25">
      <c r="A2188" s="25">
        <v>11</v>
      </c>
      <c r="B2188" s="25" t="s">
        <v>1115</v>
      </c>
      <c r="C2188" s="26" t="s">
        <v>1279</v>
      </c>
      <c r="D2188" s="25" t="str">
        <f t="shared" si="34"/>
        <v>Số thửaSố thửa251</v>
      </c>
    </row>
    <row r="2189" spans="1:4" x14ac:dyDescent="0.25">
      <c r="A2189" s="25">
        <v>13</v>
      </c>
      <c r="B2189" s="25" t="s">
        <v>477</v>
      </c>
      <c r="C2189" s="26" t="s">
        <v>1279</v>
      </c>
      <c r="D2189" s="25" t="str">
        <f t="shared" si="34"/>
        <v>Số thửaSố thửa718</v>
      </c>
    </row>
    <row r="2190" spans="1:4" x14ac:dyDescent="0.25">
      <c r="A2190" s="25">
        <v>15</v>
      </c>
      <c r="B2190" s="25" t="s">
        <v>60</v>
      </c>
      <c r="C2190" s="26" t="s">
        <v>1279</v>
      </c>
      <c r="D2190" s="25" t="str">
        <f t="shared" si="34"/>
        <v>Số thửaSố thửa7</v>
      </c>
    </row>
    <row r="2191" spans="1:4" x14ac:dyDescent="0.25">
      <c r="A2191" s="25">
        <v>15</v>
      </c>
      <c r="B2191" s="25" t="s">
        <v>61</v>
      </c>
      <c r="C2191" s="26" t="s">
        <v>1282</v>
      </c>
      <c r="D2191" s="25" t="str">
        <f t="shared" si="34"/>
        <v>Số thửaSố thửa13</v>
      </c>
    </row>
    <row r="2192" spans="1:4" x14ac:dyDescent="0.25">
      <c r="A2192" s="25">
        <v>15</v>
      </c>
      <c r="B2192" s="25" t="s">
        <v>270</v>
      </c>
      <c r="C2192" s="26" t="s">
        <v>1279</v>
      </c>
      <c r="D2192" s="25" t="str">
        <f t="shared" si="34"/>
        <v>Số thửaSố thửa16</v>
      </c>
    </row>
    <row r="2193" spans="1:4" x14ac:dyDescent="0.25">
      <c r="A2193" s="25">
        <v>15</v>
      </c>
      <c r="B2193" s="25" t="s">
        <v>271</v>
      </c>
      <c r="C2193" s="26" t="s">
        <v>1279</v>
      </c>
      <c r="D2193" s="25" t="str">
        <f t="shared" si="34"/>
        <v>Số thửaSố thửa17</v>
      </c>
    </row>
    <row r="2194" spans="1:4" x14ac:dyDescent="0.25">
      <c r="A2194" s="25">
        <v>15</v>
      </c>
      <c r="B2194" s="25" t="s">
        <v>788</v>
      </c>
      <c r="C2194" s="26" t="s">
        <v>1279</v>
      </c>
      <c r="D2194" s="25" t="str">
        <f t="shared" si="34"/>
        <v>Số thửaSố thửa18</v>
      </c>
    </row>
    <row r="2195" spans="1:4" x14ac:dyDescent="0.25">
      <c r="A2195" s="25">
        <v>15</v>
      </c>
      <c r="B2195" s="25" t="s">
        <v>257</v>
      </c>
      <c r="C2195" s="26" t="s">
        <v>1283</v>
      </c>
      <c r="D2195" s="25" t="str">
        <f t="shared" si="34"/>
        <v>Số thửaSố thửa48</v>
      </c>
    </row>
    <row r="2196" spans="1:4" x14ac:dyDescent="0.25">
      <c r="A2196" s="25">
        <v>15</v>
      </c>
      <c r="B2196" s="25" t="s">
        <v>460</v>
      </c>
      <c r="C2196" s="26" t="s">
        <v>1283</v>
      </c>
      <c r="D2196" s="25" t="str">
        <f t="shared" si="34"/>
        <v>Số thửaSố thửa49</v>
      </c>
    </row>
    <row r="2197" spans="1:4" x14ac:dyDescent="0.25">
      <c r="A2197" s="25">
        <v>15</v>
      </c>
      <c r="B2197" s="25" t="s">
        <v>196</v>
      </c>
      <c r="C2197" s="26" t="s">
        <v>1283</v>
      </c>
      <c r="D2197" s="25" t="str">
        <f t="shared" si="34"/>
        <v>Số thửaSố thửa50</v>
      </c>
    </row>
    <row r="2198" spans="1:4" x14ac:dyDescent="0.25">
      <c r="A2198" s="25">
        <v>15</v>
      </c>
      <c r="B2198" s="25" t="s">
        <v>161</v>
      </c>
      <c r="C2198" s="26" t="s">
        <v>1283</v>
      </c>
      <c r="D2198" s="25" t="str">
        <f t="shared" si="34"/>
        <v>Số thửaSố thửa51</v>
      </c>
    </row>
    <row r="2199" spans="1:4" x14ac:dyDescent="0.25">
      <c r="A2199" s="25">
        <v>15</v>
      </c>
      <c r="B2199" s="25" t="s">
        <v>259</v>
      </c>
      <c r="C2199" s="26" t="s">
        <v>1279</v>
      </c>
      <c r="D2199" s="25" t="str">
        <f t="shared" si="34"/>
        <v>Số thửaSố thửa58</v>
      </c>
    </row>
    <row r="2200" spans="1:4" x14ac:dyDescent="0.25">
      <c r="A2200" s="25">
        <v>15</v>
      </c>
      <c r="B2200" s="25" t="s">
        <v>261</v>
      </c>
      <c r="C2200" s="26" t="s">
        <v>1279</v>
      </c>
      <c r="D2200" s="25" t="str">
        <f t="shared" si="34"/>
        <v>Số thửaSố thửa59</v>
      </c>
    </row>
    <row r="2201" spans="1:4" x14ac:dyDescent="0.25">
      <c r="A2201" s="25">
        <v>15</v>
      </c>
      <c r="B2201" s="25" t="s">
        <v>64</v>
      </c>
      <c r="C2201" s="26" t="s">
        <v>1279</v>
      </c>
      <c r="D2201" s="25" t="str">
        <f t="shared" si="34"/>
        <v>Số thửaSố thửa60</v>
      </c>
    </row>
    <row r="2202" spans="1:4" x14ac:dyDescent="0.25">
      <c r="A2202" s="25">
        <v>15</v>
      </c>
      <c r="B2202" s="25" t="s">
        <v>65</v>
      </c>
      <c r="C2202" s="26" t="s">
        <v>1279</v>
      </c>
      <c r="D2202" s="25" t="str">
        <f t="shared" si="34"/>
        <v>Số thửaSố thửa61</v>
      </c>
    </row>
    <row r="2203" spans="1:4" x14ac:dyDescent="0.25">
      <c r="A2203" s="25">
        <v>15</v>
      </c>
      <c r="B2203" s="25" t="s">
        <v>66</v>
      </c>
      <c r="C2203" s="26" t="s">
        <v>1279</v>
      </c>
      <c r="D2203" s="25" t="str">
        <f t="shared" si="34"/>
        <v>Số thửaSố thửa62</v>
      </c>
    </row>
    <row r="2204" spans="1:4" x14ac:dyDescent="0.25">
      <c r="A2204" s="25">
        <v>15</v>
      </c>
      <c r="B2204" s="25" t="s">
        <v>643</v>
      </c>
      <c r="C2204" s="26" t="s">
        <v>1279</v>
      </c>
      <c r="D2204" s="25" t="str">
        <f t="shared" si="34"/>
        <v>Số thửaSố thửa63</v>
      </c>
    </row>
    <row r="2205" spans="1:4" x14ac:dyDescent="0.25">
      <c r="A2205" s="25">
        <v>8</v>
      </c>
      <c r="B2205" s="25" t="s">
        <v>1071</v>
      </c>
      <c r="C2205" s="26" t="s">
        <v>1284</v>
      </c>
      <c r="D2205" s="25" t="str">
        <f t="shared" si="34"/>
        <v>Số thửaSố thửa213</v>
      </c>
    </row>
    <row r="2206" spans="1:4" x14ac:dyDescent="0.25">
      <c r="A2206" s="25">
        <v>8</v>
      </c>
      <c r="B2206" s="25" t="s">
        <v>91</v>
      </c>
      <c r="C2206" s="26" t="s">
        <v>1285</v>
      </c>
      <c r="D2206" s="25" t="str">
        <f t="shared" si="34"/>
        <v>Số thửaSố thửa236</v>
      </c>
    </row>
    <row r="2207" spans="1:4" x14ac:dyDescent="0.25">
      <c r="A2207" s="25">
        <v>8</v>
      </c>
      <c r="B2207" s="25" t="s">
        <v>1280</v>
      </c>
      <c r="C2207" s="26" t="s">
        <v>1286</v>
      </c>
      <c r="D2207" s="25" t="str">
        <f t="shared" si="34"/>
        <v>Số thửaSố thửa247</v>
      </c>
    </row>
    <row r="2208" spans="1:4" x14ac:dyDescent="0.25">
      <c r="A2208" s="25">
        <v>8</v>
      </c>
      <c r="B2208" s="25" t="s">
        <v>723</v>
      </c>
      <c r="C2208" s="26" t="s">
        <v>1286</v>
      </c>
      <c r="D2208" s="25" t="str">
        <f t="shared" si="34"/>
        <v>Số thửaSố thửa253</v>
      </c>
    </row>
    <row r="2209" spans="1:4" x14ac:dyDescent="0.25">
      <c r="A2209" s="25">
        <v>8</v>
      </c>
      <c r="B2209" s="25" t="s">
        <v>896</v>
      </c>
      <c r="C2209" s="26" t="s">
        <v>1286</v>
      </c>
      <c r="D2209" s="25" t="str">
        <f t="shared" si="34"/>
        <v>Số thửaSố thửa257</v>
      </c>
    </row>
    <row r="2210" spans="1:4" x14ac:dyDescent="0.25">
      <c r="A2210" s="25">
        <v>8</v>
      </c>
      <c r="B2210" s="25" t="s">
        <v>868</v>
      </c>
      <c r="C2210" s="26" t="s">
        <v>1286</v>
      </c>
      <c r="D2210" s="25" t="str">
        <f t="shared" si="34"/>
        <v>Số thửaSố thửa258</v>
      </c>
    </row>
    <row r="2211" spans="1:4" x14ac:dyDescent="0.25">
      <c r="A2211" s="25">
        <v>10</v>
      </c>
      <c r="B2211" s="25" t="s">
        <v>1287</v>
      </c>
      <c r="C2211" s="26" t="s">
        <v>1288</v>
      </c>
      <c r="D2211" s="25" t="str">
        <f t="shared" si="34"/>
        <v>Số thửaSố thửa138</v>
      </c>
    </row>
    <row r="2212" spans="1:4" x14ac:dyDescent="0.25">
      <c r="A2212" s="25">
        <v>10</v>
      </c>
      <c r="B2212" s="25" t="s">
        <v>719</v>
      </c>
      <c r="C2212" s="26" t="s">
        <v>1288</v>
      </c>
      <c r="D2212" s="25" t="str">
        <f t="shared" si="34"/>
        <v>Số thửaSố thửa157</v>
      </c>
    </row>
    <row r="2213" spans="1:4" x14ac:dyDescent="0.25">
      <c r="A2213" s="25">
        <v>10</v>
      </c>
      <c r="B2213" s="25" t="s">
        <v>1002</v>
      </c>
      <c r="C2213" s="26" t="s">
        <v>1288</v>
      </c>
      <c r="D2213" s="25" t="str">
        <f t="shared" si="34"/>
        <v>Số thửaSố thửa158</v>
      </c>
    </row>
    <row r="2214" spans="1:4" x14ac:dyDescent="0.25">
      <c r="A2214" s="25">
        <v>10</v>
      </c>
      <c r="B2214" s="25" t="s">
        <v>1003</v>
      </c>
      <c r="C2214" s="26" t="s">
        <v>1288</v>
      </c>
      <c r="D2214" s="25" t="str">
        <f t="shared" si="34"/>
        <v>Số thửaSố thửa159</v>
      </c>
    </row>
    <row r="2215" spans="1:4" x14ac:dyDescent="0.25">
      <c r="A2215" s="25">
        <v>10</v>
      </c>
      <c r="B2215" s="25" t="s">
        <v>685</v>
      </c>
      <c r="C2215" s="26" t="s">
        <v>1288</v>
      </c>
      <c r="D2215" s="25" t="str">
        <f t="shared" si="34"/>
        <v>Số thửaSố thửa160</v>
      </c>
    </row>
    <row r="2216" spans="1:4" x14ac:dyDescent="0.25">
      <c r="A2216" s="25">
        <v>10</v>
      </c>
      <c r="B2216" s="25" t="s">
        <v>894</v>
      </c>
      <c r="C2216" s="26" t="s">
        <v>1288</v>
      </c>
      <c r="D2216" s="25" t="str">
        <f t="shared" si="34"/>
        <v>Số thửaSố thửa165</v>
      </c>
    </row>
    <row r="2217" spans="1:4" x14ac:dyDescent="0.25">
      <c r="A2217" s="25">
        <v>10</v>
      </c>
      <c r="B2217" s="25" t="s">
        <v>1102</v>
      </c>
      <c r="C2217" s="26" t="s">
        <v>1289</v>
      </c>
      <c r="D2217" s="25" t="str">
        <f t="shared" si="34"/>
        <v>Số thửaSố thửa166</v>
      </c>
    </row>
    <row r="2218" spans="1:4" x14ac:dyDescent="0.25">
      <c r="A2218" s="25">
        <v>10</v>
      </c>
      <c r="B2218" s="25" t="s">
        <v>829</v>
      </c>
      <c r="C2218" s="26" t="s">
        <v>1289</v>
      </c>
      <c r="D2218" s="25" t="str">
        <f t="shared" si="34"/>
        <v>Số thửaSố thửa167</v>
      </c>
    </row>
    <row r="2219" spans="1:4" x14ac:dyDescent="0.25">
      <c r="A2219" s="25">
        <v>10</v>
      </c>
      <c r="B2219" s="25" t="s">
        <v>112</v>
      </c>
      <c r="C2219" s="26" t="s">
        <v>1289</v>
      </c>
      <c r="D2219" s="25" t="str">
        <f t="shared" si="34"/>
        <v>Số thửaSố thửa185</v>
      </c>
    </row>
    <row r="2220" spans="1:4" x14ac:dyDescent="0.25">
      <c r="A2220" s="25">
        <v>10</v>
      </c>
      <c r="B2220" s="25" t="s">
        <v>568</v>
      </c>
      <c r="C2220" s="26" t="s">
        <v>1289</v>
      </c>
      <c r="D2220" s="25" t="str">
        <f t="shared" si="34"/>
        <v>Số thửaSố thửa186</v>
      </c>
    </row>
    <row r="2221" spans="1:4" x14ac:dyDescent="0.25">
      <c r="A2221" s="25">
        <v>13</v>
      </c>
      <c r="B2221" s="25" t="s">
        <v>767</v>
      </c>
      <c r="C2221" s="26" t="s">
        <v>1288</v>
      </c>
      <c r="D2221" s="25" t="str">
        <f t="shared" si="34"/>
        <v>Số thửaSố thửa356</v>
      </c>
    </row>
    <row r="2222" spans="1:4" x14ac:dyDescent="0.25">
      <c r="A2222" s="25">
        <v>13</v>
      </c>
      <c r="B2222" s="25" t="s">
        <v>811</v>
      </c>
      <c r="C2222" s="26" t="s">
        <v>1288</v>
      </c>
      <c r="D2222" s="25" t="str">
        <f t="shared" si="34"/>
        <v>Số thửaSố thửa357</v>
      </c>
    </row>
    <row r="2223" spans="1:4" x14ac:dyDescent="0.25">
      <c r="A2223" s="25">
        <v>13</v>
      </c>
      <c r="B2223" s="25" t="s">
        <v>748</v>
      </c>
      <c r="C2223" s="26" t="s">
        <v>1288</v>
      </c>
      <c r="D2223" s="25" t="str">
        <f t="shared" si="34"/>
        <v>Số thửaSố thửa358</v>
      </c>
    </row>
    <row r="2224" spans="1:4" x14ac:dyDescent="0.25">
      <c r="A2224" s="25">
        <v>13</v>
      </c>
      <c r="B2224" s="25" t="s">
        <v>252</v>
      </c>
      <c r="C2224" s="26" t="s">
        <v>1288</v>
      </c>
      <c r="D2224" s="25" t="str">
        <f t="shared" si="34"/>
        <v>Số thửaSố thửa359</v>
      </c>
    </row>
    <row r="2225" spans="1:4" x14ac:dyDescent="0.25">
      <c r="A2225" s="25">
        <v>13</v>
      </c>
      <c r="B2225" s="25" t="s">
        <v>1290</v>
      </c>
      <c r="C2225" s="26" t="s">
        <v>1288</v>
      </c>
      <c r="D2225" s="25" t="str">
        <f t="shared" si="34"/>
        <v>Số thửaSố thửa387</v>
      </c>
    </row>
    <row r="2226" spans="1:4" x14ac:dyDescent="0.25">
      <c r="A2226" s="25">
        <v>13</v>
      </c>
      <c r="B2226" s="25" t="s">
        <v>300</v>
      </c>
      <c r="C2226" s="26" t="s">
        <v>1288</v>
      </c>
      <c r="D2226" s="25" t="str">
        <f t="shared" si="34"/>
        <v>Số thửaSố thửa523</v>
      </c>
    </row>
    <row r="2227" spans="1:4" x14ac:dyDescent="0.25">
      <c r="A2227" s="25">
        <v>13</v>
      </c>
      <c r="B2227" s="25" t="s">
        <v>1259</v>
      </c>
      <c r="C2227" s="26" t="s">
        <v>1291</v>
      </c>
      <c r="D2227" s="25" t="str">
        <f t="shared" si="34"/>
        <v>Số thửaSố thửa726</v>
      </c>
    </row>
    <row r="2228" spans="1:4" x14ac:dyDescent="0.25">
      <c r="A2228" s="25">
        <v>13</v>
      </c>
      <c r="B2228" s="25" t="s">
        <v>1112</v>
      </c>
      <c r="C2228" s="26" t="s">
        <v>1292</v>
      </c>
      <c r="D2228" s="25" t="str">
        <f t="shared" si="34"/>
        <v>Số thửaSố thửa758</v>
      </c>
    </row>
    <row r="2229" spans="1:4" x14ac:dyDescent="0.25">
      <c r="A2229" s="25">
        <v>13</v>
      </c>
      <c r="B2229" s="25" t="s">
        <v>419</v>
      </c>
      <c r="C2229" s="26" t="s">
        <v>1292</v>
      </c>
      <c r="D2229" s="25" t="str">
        <f t="shared" si="34"/>
        <v>Số thửaSố thửa813</v>
      </c>
    </row>
    <row r="2230" spans="1:4" x14ac:dyDescent="0.25">
      <c r="A2230" s="25">
        <v>13</v>
      </c>
      <c r="B2230" s="25" t="s">
        <v>1293</v>
      </c>
      <c r="C2230" s="26" t="s">
        <v>1289</v>
      </c>
      <c r="D2230" s="25" t="str">
        <f t="shared" si="34"/>
        <v>Số thửaSố thửa909</v>
      </c>
    </row>
    <row r="2231" spans="1:4" x14ac:dyDescent="0.25">
      <c r="A2231" s="25">
        <v>13</v>
      </c>
      <c r="B2231" s="25" t="s">
        <v>1294</v>
      </c>
      <c r="C2231" s="26" t="s">
        <v>1291</v>
      </c>
      <c r="D2231" s="25" t="str">
        <f t="shared" si="34"/>
        <v>Số thửaSố thửa912</v>
      </c>
    </row>
    <row r="2232" spans="1:4" x14ac:dyDescent="0.25">
      <c r="A2232" s="25">
        <v>13</v>
      </c>
      <c r="B2232" s="25" t="s">
        <v>1014</v>
      </c>
      <c r="C2232" s="26" t="s">
        <v>1295</v>
      </c>
      <c r="D2232" s="25" t="str">
        <f t="shared" si="34"/>
        <v>Số thửaSố thửa70</v>
      </c>
    </row>
    <row r="2233" spans="1:4" x14ac:dyDescent="0.25">
      <c r="A2233" s="25">
        <v>13</v>
      </c>
      <c r="B2233" s="25" t="s">
        <v>461</v>
      </c>
      <c r="C2233" s="26" t="s">
        <v>1295</v>
      </c>
      <c r="D2233" s="25" t="str">
        <f t="shared" si="34"/>
        <v>Số thửaSố thửa71</v>
      </c>
    </row>
    <row r="2234" spans="1:4" x14ac:dyDescent="0.25">
      <c r="A2234" s="25">
        <v>13</v>
      </c>
      <c r="B2234" s="25" t="s">
        <v>372</v>
      </c>
      <c r="C2234" s="26" t="s">
        <v>1295</v>
      </c>
      <c r="D2234" s="25" t="str">
        <f t="shared" si="34"/>
        <v>Số thửaSố thửa109</v>
      </c>
    </row>
    <row r="2235" spans="1:4" x14ac:dyDescent="0.25">
      <c r="A2235" s="25">
        <v>13</v>
      </c>
      <c r="B2235" s="25" t="s">
        <v>472</v>
      </c>
      <c r="C2235" s="26" t="s">
        <v>1295</v>
      </c>
      <c r="D2235" s="25" t="str">
        <f t="shared" si="34"/>
        <v>Số thửaSố thửa110</v>
      </c>
    </row>
    <row r="2236" spans="1:4" x14ac:dyDescent="0.25">
      <c r="A2236" s="25">
        <v>13</v>
      </c>
      <c r="B2236" s="25" t="s">
        <v>704</v>
      </c>
      <c r="C2236" s="26" t="s">
        <v>1295</v>
      </c>
      <c r="D2236" s="25" t="str">
        <f t="shared" si="34"/>
        <v>Số thửaSố thửa111</v>
      </c>
    </row>
    <row r="2237" spans="1:4" x14ac:dyDescent="0.25">
      <c r="A2237" s="25">
        <v>13</v>
      </c>
      <c r="B2237" s="25" t="s">
        <v>327</v>
      </c>
      <c r="C2237" s="26" t="s">
        <v>1295</v>
      </c>
      <c r="D2237" s="25" t="str">
        <f t="shared" si="34"/>
        <v>Số thửaSố thửa137</v>
      </c>
    </row>
    <row r="2238" spans="1:4" x14ac:dyDescent="0.25">
      <c r="A2238" s="25">
        <v>13</v>
      </c>
      <c r="B2238" s="25" t="s">
        <v>1287</v>
      </c>
      <c r="C2238" s="26" t="s">
        <v>1295</v>
      </c>
      <c r="D2238" s="25" t="str">
        <f t="shared" si="34"/>
        <v>Số thửaSố thửa138</v>
      </c>
    </row>
    <row r="2239" spans="1:4" x14ac:dyDescent="0.25">
      <c r="A2239" s="25">
        <v>13</v>
      </c>
      <c r="B2239" s="25" t="s">
        <v>109</v>
      </c>
      <c r="C2239" s="26" t="s">
        <v>1295</v>
      </c>
      <c r="D2239" s="25" t="str">
        <f t="shared" si="34"/>
        <v>Số thửaSố thửa139</v>
      </c>
    </row>
    <row r="2240" spans="1:4" x14ac:dyDescent="0.25">
      <c r="A2240" s="25">
        <v>13</v>
      </c>
      <c r="B2240" s="25" t="s">
        <v>1100</v>
      </c>
      <c r="C2240" s="26" t="s">
        <v>1295</v>
      </c>
      <c r="D2240" s="25" t="str">
        <f t="shared" si="34"/>
        <v>Số thửaSố thửa140</v>
      </c>
    </row>
    <row r="2241" spans="1:4" x14ac:dyDescent="0.25">
      <c r="A2241" s="25">
        <v>13</v>
      </c>
      <c r="B2241" s="25" t="s">
        <v>666</v>
      </c>
      <c r="C2241" s="26" t="s">
        <v>1295</v>
      </c>
      <c r="D2241" s="25" t="str">
        <f t="shared" si="34"/>
        <v>Số thửaSố thửa142</v>
      </c>
    </row>
    <row r="2242" spans="1:4" x14ac:dyDescent="0.25">
      <c r="A2242" s="25">
        <v>13</v>
      </c>
      <c r="B2242" s="25" t="s">
        <v>395</v>
      </c>
      <c r="C2242" s="26" t="s">
        <v>1295</v>
      </c>
      <c r="D2242" s="25" t="str">
        <f t="shared" si="34"/>
        <v>Số thửaSố thửa170</v>
      </c>
    </row>
    <row r="2243" spans="1:4" x14ac:dyDescent="0.25">
      <c r="A2243" s="25">
        <v>13</v>
      </c>
      <c r="B2243" s="25" t="s">
        <v>397</v>
      </c>
      <c r="C2243" s="26" t="s">
        <v>1295</v>
      </c>
      <c r="D2243" s="25" t="str">
        <f t="shared" ref="D2243:D2306" si="35">$B$1&amp;B2243</f>
        <v>Số thửaSố thửa171</v>
      </c>
    </row>
    <row r="2244" spans="1:4" x14ac:dyDescent="0.25">
      <c r="A2244" s="25">
        <v>13</v>
      </c>
      <c r="B2244" s="25" t="s">
        <v>398</v>
      </c>
      <c r="C2244" s="26" t="s">
        <v>1295</v>
      </c>
      <c r="D2244" s="25" t="str">
        <f t="shared" si="35"/>
        <v>Số thửaSố thửa172</v>
      </c>
    </row>
    <row r="2245" spans="1:4" x14ac:dyDescent="0.25">
      <c r="A2245" s="25">
        <v>13</v>
      </c>
      <c r="B2245" s="25" t="s">
        <v>1296</v>
      </c>
      <c r="C2245" s="26" t="s">
        <v>1295</v>
      </c>
      <c r="D2245" s="25" t="str">
        <f t="shared" si="35"/>
        <v>Số thửaSố thửa189</v>
      </c>
    </row>
    <row r="2246" spans="1:4" x14ac:dyDescent="0.25">
      <c r="A2246" s="25">
        <v>13</v>
      </c>
      <c r="B2246" s="25" t="s">
        <v>1274</v>
      </c>
      <c r="C2246" s="26" t="s">
        <v>1297</v>
      </c>
      <c r="D2246" s="25" t="str">
        <f t="shared" si="35"/>
        <v>Số thửaSố thửa759</v>
      </c>
    </row>
    <row r="2247" spans="1:4" x14ac:dyDescent="0.25">
      <c r="A2247" s="25">
        <v>14</v>
      </c>
      <c r="B2247" s="25" t="s">
        <v>395</v>
      </c>
      <c r="C2247" s="26" t="s">
        <v>1297</v>
      </c>
      <c r="D2247" s="25" t="str">
        <f t="shared" si="35"/>
        <v>Số thửaSố thửa170</v>
      </c>
    </row>
    <row r="2248" spans="1:4" x14ac:dyDescent="0.25">
      <c r="A2248" s="25">
        <v>16</v>
      </c>
      <c r="B2248" s="25" t="s">
        <v>414</v>
      </c>
      <c r="C2248" s="26" t="s">
        <v>1297</v>
      </c>
      <c r="D2248" s="25" t="str">
        <f t="shared" si="35"/>
        <v>Số thửaSố thửa38</v>
      </c>
    </row>
    <row r="2249" spans="1:4" x14ac:dyDescent="0.25">
      <c r="A2249" s="25">
        <v>6</v>
      </c>
      <c r="B2249" s="25" t="s">
        <v>1002</v>
      </c>
      <c r="C2249" s="26" t="s">
        <v>1298</v>
      </c>
      <c r="D2249" s="25" t="str">
        <f t="shared" si="35"/>
        <v>Số thửaSố thửa158</v>
      </c>
    </row>
    <row r="2250" spans="1:4" x14ac:dyDescent="0.25">
      <c r="A2250" s="25">
        <v>6</v>
      </c>
      <c r="B2250" s="25" t="s">
        <v>84</v>
      </c>
      <c r="C2250" s="26" t="s">
        <v>1298</v>
      </c>
      <c r="D2250" s="25" t="str">
        <f t="shared" si="35"/>
        <v>Số thửaSố thửa218</v>
      </c>
    </row>
    <row r="2251" spans="1:4" x14ac:dyDescent="0.25">
      <c r="A2251" s="25">
        <v>6</v>
      </c>
      <c r="B2251" s="25" t="s">
        <v>86</v>
      </c>
      <c r="C2251" s="26" t="s">
        <v>1298</v>
      </c>
      <c r="D2251" s="25" t="str">
        <f t="shared" si="35"/>
        <v>Số thửaSố thửa220</v>
      </c>
    </row>
    <row r="2252" spans="1:4" x14ac:dyDescent="0.25">
      <c r="A2252" s="25">
        <v>6</v>
      </c>
      <c r="B2252" s="25" t="s">
        <v>90</v>
      </c>
      <c r="C2252" s="26" t="s">
        <v>1298</v>
      </c>
      <c r="D2252" s="25" t="str">
        <f t="shared" si="35"/>
        <v>Số thửaSố thửa225</v>
      </c>
    </row>
    <row r="2253" spans="1:4" x14ac:dyDescent="0.25">
      <c r="A2253" s="25">
        <v>6</v>
      </c>
      <c r="B2253" s="25" t="s">
        <v>676</v>
      </c>
      <c r="C2253" s="26" t="s">
        <v>1298</v>
      </c>
      <c r="D2253" s="25" t="str">
        <f t="shared" si="35"/>
        <v>Số thửaSố thửa226</v>
      </c>
    </row>
    <row r="2254" spans="1:4" x14ac:dyDescent="0.25">
      <c r="A2254" s="25">
        <v>6</v>
      </c>
      <c r="B2254" s="25" t="s">
        <v>214</v>
      </c>
      <c r="C2254" s="26" t="s">
        <v>1298</v>
      </c>
      <c r="D2254" s="25" t="str">
        <f t="shared" si="35"/>
        <v>Số thửaSố thửa289</v>
      </c>
    </row>
    <row r="2255" spans="1:4" x14ac:dyDescent="0.25">
      <c r="A2255" s="25">
        <v>6</v>
      </c>
      <c r="B2255" s="25" t="s">
        <v>515</v>
      </c>
      <c r="C2255" s="26" t="s">
        <v>1298</v>
      </c>
      <c r="D2255" s="25" t="str">
        <f t="shared" si="35"/>
        <v>Số thửaSố thửa293</v>
      </c>
    </row>
    <row r="2256" spans="1:4" x14ac:dyDescent="0.25">
      <c r="A2256" s="25">
        <v>6</v>
      </c>
      <c r="B2256" s="25" t="s">
        <v>449</v>
      </c>
      <c r="C2256" s="26" t="s">
        <v>1298</v>
      </c>
      <c r="D2256" s="25" t="str">
        <f t="shared" si="35"/>
        <v>Số thửaSố thửa296</v>
      </c>
    </row>
    <row r="2257" spans="1:4" x14ac:dyDescent="0.25">
      <c r="A2257" s="25">
        <v>6</v>
      </c>
      <c r="B2257" s="25" t="s">
        <v>961</v>
      </c>
      <c r="C2257" s="26" t="s">
        <v>1298</v>
      </c>
      <c r="D2257" s="25" t="str">
        <f t="shared" si="35"/>
        <v>Số thửaSố thửa297</v>
      </c>
    </row>
    <row r="2258" spans="1:4" x14ac:dyDescent="0.25">
      <c r="A2258" s="25">
        <v>6</v>
      </c>
      <c r="B2258" s="25" t="s">
        <v>519</v>
      </c>
      <c r="C2258" s="26" t="s">
        <v>1299</v>
      </c>
      <c r="D2258" s="25" t="str">
        <f t="shared" si="35"/>
        <v>Số thửaSố thửa688</v>
      </c>
    </row>
    <row r="2259" spans="1:4" x14ac:dyDescent="0.25">
      <c r="A2259" s="25">
        <v>6</v>
      </c>
      <c r="B2259" s="25" t="s">
        <v>519</v>
      </c>
      <c r="C2259" s="26" t="s">
        <v>1299</v>
      </c>
      <c r="D2259" s="25" t="str">
        <f t="shared" si="35"/>
        <v>Số thửaSố thửa688</v>
      </c>
    </row>
    <row r="2260" spans="1:4" x14ac:dyDescent="0.25">
      <c r="A2260" s="25">
        <v>6</v>
      </c>
      <c r="B2260" s="25" t="s">
        <v>477</v>
      </c>
      <c r="C2260" s="26" t="s">
        <v>1300</v>
      </c>
      <c r="D2260" s="25" t="str">
        <f t="shared" si="35"/>
        <v>Số thửaSố thửa718</v>
      </c>
    </row>
    <row r="2261" spans="1:4" x14ac:dyDescent="0.25">
      <c r="A2261" s="25">
        <v>11</v>
      </c>
      <c r="B2261" s="25" t="s">
        <v>417</v>
      </c>
      <c r="C2261" s="26" t="s">
        <v>1300</v>
      </c>
      <c r="D2261" s="25" t="str">
        <f t="shared" si="35"/>
        <v>Số thửaSố thửa14</v>
      </c>
    </row>
    <row r="2262" spans="1:4" x14ac:dyDescent="0.25">
      <c r="A2262" s="25">
        <v>8</v>
      </c>
      <c r="B2262" s="25" t="s">
        <v>1281</v>
      </c>
      <c r="C2262" s="26" t="s">
        <v>1301</v>
      </c>
      <c r="D2262" s="25" t="str">
        <f t="shared" si="35"/>
        <v>Số thửaSố thửa249</v>
      </c>
    </row>
    <row r="2263" spans="1:4" x14ac:dyDescent="0.25">
      <c r="A2263" s="25">
        <v>8</v>
      </c>
      <c r="B2263" s="25" t="s">
        <v>603</v>
      </c>
      <c r="C2263" s="26" t="s">
        <v>1302</v>
      </c>
      <c r="D2263" s="25" t="str">
        <f t="shared" si="35"/>
        <v>Số thửaSố thửa294</v>
      </c>
    </row>
    <row r="2264" spans="1:4" x14ac:dyDescent="0.25">
      <c r="A2264" s="25">
        <v>9</v>
      </c>
      <c r="B2264" s="25" t="s">
        <v>820</v>
      </c>
      <c r="C2264" s="26" t="s">
        <v>1302</v>
      </c>
      <c r="D2264" s="25" t="str">
        <f t="shared" si="35"/>
        <v>Số thửaSố thửa811</v>
      </c>
    </row>
    <row r="2265" spans="1:4" x14ac:dyDescent="0.25">
      <c r="A2265" s="25">
        <v>9</v>
      </c>
      <c r="B2265" s="25" t="s">
        <v>1303</v>
      </c>
      <c r="C2265" s="26" t="s">
        <v>1302</v>
      </c>
      <c r="D2265" s="25" t="str">
        <f t="shared" si="35"/>
        <v>Số thửaSố thửa812</v>
      </c>
    </row>
    <row r="2266" spans="1:4" x14ac:dyDescent="0.25">
      <c r="A2266" s="25">
        <v>9</v>
      </c>
      <c r="B2266" s="25" t="s">
        <v>560</v>
      </c>
      <c r="C2266" s="26" t="s">
        <v>1302</v>
      </c>
      <c r="D2266" s="25" t="str">
        <f t="shared" si="35"/>
        <v>Số thửaSố thửa819</v>
      </c>
    </row>
    <row r="2267" spans="1:4" x14ac:dyDescent="0.25">
      <c r="A2267" s="25">
        <v>9</v>
      </c>
      <c r="B2267" s="25" t="s">
        <v>1021</v>
      </c>
      <c r="C2267" s="26" t="s">
        <v>1302</v>
      </c>
      <c r="D2267" s="25" t="str">
        <f t="shared" si="35"/>
        <v>Số thửaSố thửa820</v>
      </c>
    </row>
    <row r="2268" spans="1:4" x14ac:dyDescent="0.25">
      <c r="A2268" s="25">
        <v>9</v>
      </c>
      <c r="B2268" s="25" t="s">
        <v>1023</v>
      </c>
      <c r="C2268" s="26" t="s">
        <v>1302</v>
      </c>
      <c r="D2268" s="25" t="str">
        <f t="shared" si="35"/>
        <v>Số thửaSố thửa821</v>
      </c>
    </row>
    <row r="2269" spans="1:4" x14ac:dyDescent="0.25">
      <c r="A2269" s="25">
        <v>9</v>
      </c>
      <c r="B2269" s="25" t="s">
        <v>1024</v>
      </c>
      <c r="C2269" s="26" t="s">
        <v>1302</v>
      </c>
      <c r="D2269" s="25" t="str">
        <f t="shared" si="35"/>
        <v>Số thửaSố thửa822</v>
      </c>
    </row>
    <row r="2270" spans="1:4" x14ac:dyDescent="0.25">
      <c r="A2270" s="25">
        <v>9</v>
      </c>
      <c r="B2270" s="25" t="s">
        <v>1025</v>
      </c>
      <c r="C2270" s="26" t="s">
        <v>1301</v>
      </c>
      <c r="D2270" s="25" t="str">
        <f t="shared" si="35"/>
        <v>Số thửaSố thửa824</v>
      </c>
    </row>
    <row r="2271" spans="1:4" x14ac:dyDescent="0.25">
      <c r="A2271" s="25">
        <v>9</v>
      </c>
      <c r="B2271" s="25" t="s">
        <v>1026</v>
      </c>
      <c r="C2271" s="26" t="s">
        <v>1302</v>
      </c>
      <c r="D2271" s="25" t="str">
        <f t="shared" si="35"/>
        <v>Số thửaSố thửa825</v>
      </c>
    </row>
    <row r="2272" spans="1:4" x14ac:dyDescent="0.25">
      <c r="A2272" s="25">
        <v>9</v>
      </c>
      <c r="B2272" s="25" t="s">
        <v>1076</v>
      </c>
      <c r="C2272" s="26" t="s">
        <v>1301</v>
      </c>
      <c r="D2272" s="25" t="str">
        <f t="shared" si="35"/>
        <v>Số thửaSố thửa826</v>
      </c>
    </row>
    <row r="2273" spans="1:4" x14ac:dyDescent="0.25">
      <c r="A2273" s="25">
        <v>9</v>
      </c>
      <c r="B2273" s="25" t="s">
        <v>795</v>
      </c>
      <c r="C2273" s="26" t="s">
        <v>1302</v>
      </c>
      <c r="D2273" s="25" t="str">
        <f t="shared" si="35"/>
        <v>Số thửaSố thửa831</v>
      </c>
    </row>
    <row r="2274" spans="1:4" x14ac:dyDescent="0.25">
      <c r="A2274" s="25">
        <v>9</v>
      </c>
      <c r="B2274" s="25" t="s">
        <v>355</v>
      </c>
      <c r="C2274" s="26" t="s">
        <v>1302</v>
      </c>
      <c r="D2274" s="25" t="str">
        <f t="shared" si="35"/>
        <v>Số thửaSố thửa832</v>
      </c>
    </row>
    <row r="2275" spans="1:4" x14ac:dyDescent="0.25">
      <c r="A2275" s="25">
        <v>9</v>
      </c>
      <c r="B2275" s="25" t="s">
        <v>900</v>
      </c>
      <c r="C2275" s="26" t="s">
        <v>1302</v>
      </c>
      <c r="D2275" s="25" t="str">
        <f t="shared" si="35"/>
        <v>Số thửaSố thửa837</v>
      </c>
    </row>
    <row r="2276" spans="1:4" x14ac:dyDescent="0.25">
      <c r="A2276" s="25">
        <v>9</v>
      </c>
      <c r="B2276" s="25" t="s">
        <v>119</v>
      </c>
      <c r="C2276" s="26" t="s">
        <v>1302</v>
      </c>
      <c r="D2276" s="25" t="str">
        <f t="shared" si="35"/>
        <v>Số thửaSố thửa868</v>
      </c>
    </row>
    <row r="2277" spans="1:4" x14ac:dyDescent="0.25">
      <c r="A2277" s="25">
        <v>8</v>
      </c>
      <c r="B2277" s="25" t="s">
        <v>245</v>
      </c>
      <c r="C2277" s="26" t="s">
        <v>1304</v>
      </c>
      <c r="D2277" s="25" t="str">
        <f t="shared" si="35"/>
        <v>Số thửaSố thửa69</v>
      </c>
    </row>
    <row r="2278" spans="1:4" x14ac:dyDescent="0.25">
      <c r="A2278" s="25">
        <v>8</v>
      </c>
      <c r="B2278" s="25" t="s">
        <v>719</v>
      </c>
      <c r="C2278" s="26" t="s">
        <v>1305</v>
      </c>
      <c r="D2278" s="25" t="str">
        <f t="shared" si="35"/>
        <v>Số thửaSố thửa157</v>
      </c>
    </row>
    <row r="2279" spans="1:4" x14ac:dyDescent="0.25">
      <c r="A2279" s="25">
        <v>8</v>
      </c>
      <c r="B2279" s="25" t="s">
        <v>1003</v>
      </c>
      <c r="C2279" s="26" t="s">
        <v>1305</v>
      </c>
      <c r="D2279" s="25" t="str">
        <f t="shared" si="35"/>
        <v>Số thửaSố thửa159</v>
      </c>
    </row>
    <row r="2280" spans="1:4" x14ac:dyDescent="0.25">
      <c r="A2280" s="25">
        <v>8</v>
      </c>
      <c r="B2280" s="25" t="s">
        <v>685</v>
      </c>
      <c r="C2280" s="26" t="s">
        <v>1305</v>
      </c>
      <c r="D2280" s="25" t="str">
        <f t="shared" si="35"/>
        <v>Số thửaSố thửa160</v>
      </c>
    </row>
    <row r="2281" spans="1:4" x14ac:dyDescent="0.25">
      <c r="A2281" s="25">
        <v>8</v>
      </c>
      <c r="B2281" s="25" t="s">
        <v>708</v>
      </c>
      <c r="C2281" s="26" t="s">
        <v>1305</v>
      </c>
      <c r="D2281" s="25" t="str">
        <f t="shared" si="35"/>
        <v>Số thửaSố thửa163</v>
      </c>
    </row>
    <row r="2282" spans="1:4" x14ac:dyDescent="0.25">
      <c r="A2282" s="25">
        <v>8</v>
      </c>
      <c r="B2282" s="25" t="s">
        <v>709</v>
      </c>
      <c r="C2282" s="26" t="s">
        <v>1305</v>
      </c>
      <c r="D2282" s="25" t="str">
        <f t="shared" si="35"/>
        <v>Số thửaSố thửa164</v>
      </c>
    </row>
    <row r="2283" spans="1:4" x14ac:dyDescent="0.25">
      <c r="A2283" s="25">
        <v>8</v>
      </c>
      <c r="B2283" s="25" t="s">
        <v>894</v>
      </c>
      <c r="C2283" s="26" t="s">
        <v>1305</v>
      </c>
      <c r="D2283" s="25" t="str">
        <f t="shared" si="35"/>
        <v>Số thửaSố thửa165</v>
      </c>
    </row>
    <row r="2284" spans="1:4" x14ac:dyDescent="0.25">
      <c r="A2284" s="25">
        <v>8</v>
      </c>
      <c r="B2284" s="25" t="s">
        <v>1102</v>
      </c>
      <c r="C2284" s="26" t="s">
        <v>1305</v>
      </c>
      <c r="D2284" s="25" t="str">
        <f t="shared" si="35"/>
        <v>Số thửaSố thửa166</v>
      </c>
    </row>
    <row r="2285" spans="1:4" x14ac:dyDescent="0.25">
      <c r="A2285" s="25">
        <v>8</v>
      </c>
      <c r="B2285" s="25" t="s">
        <v>866</v>
      </c>
      <c r="C2285" s="26" t="s">
        <v>1305</v>
      </c>
      <c r="D2285" s="25" t="str">
        <f t="shared" si="35"/>
        <v>Số thửaSố thửa196</v>
      </c>
    </row>
    <row r="2286" spans="1:4" x14ac:dyDescent="0.25">
      <c r="A2286" s="25">
        <v>8</v>
      </c>
      <c r="B2286" s="25" t="s">
        <v>867</v>
      </c>
      <c r="C2286" s="26" t="s">
        <v>1305</v>
      </c>
      <c r="D2286" s="25" t="str">
        <f t="shared" si="35"/>
        <v>Số thửaSố thửa197</v>
      </c>
    </row>
    <row r="2287" spans="1:4" x14ac:dyDescent="0.25">
      <c r="A2287" s="25">
        <v>8</v>
      </c>
      <c r="B2287" s="25" t="s">
        <v>1182</v>
      </c>
      <c r="C2287" s="26" t="s">
        <v>1305</v>
      </c>
      <c r="D2287" s="25" t="str">
        <f t="shared" si="35"/>
        <v>Số thửaSố thửa199</v>
      </c>
    </row>
    <row r="2288" spans="1:4" x14ac:dyDescent="0.25">
      <c r="A2288" s="25">
        <v>8</v>
      </c>
      <c r="B2288" s="25" t="s">
        <v>82</v>
      </c>
      <c r="C2288" s="26" t="s">
        <v>1304</v>
      </c>
      <c r="D2288" s="25" t="str">
        <f t="shared" si="35"/>
        <v>Số thửaSố thửa215</v>
      </c>
    </row>
    <row r="2289" spans="1:4" x14ac:dyDescent="0.25">
      <c r="A2289" s="25">
        <v>8</v>
      </c>
      <c r="B2289" s="25" t="s">
        <v>87</v>
      </c>
      <c r="C2289" s="26" t="s">
        <v>1305</v>
      </c>
      <c r="D2289" s="25" t="str">
        <f t="shared" si="35"/>
        <v>Số thửaSố thửa221</v>
      </c>
    </row>
    <row r="2290" spans="1:4" x14ac:dyDescent="0.25">
      <c r="A2290" s="25">
        <v>8</v>
      </c>
      <c r="B2290" s="25" t="s">
        <v>485</v>
      </c>
      <c r="C2290" s="26" t="s">
        <v>1304</v>
      </c>
      <c r="D2290" s="25" t="str">
        <f t="shared" si="35"/>
        <v>Số thửaSố thửa264</v>
      </c>
    </row>
    <row r="2291" spans="1:4" x14ac:dyDescent="0.25">
      <c r="A2291" s="25">
        <v>8</v>
      </c>
      <c r="B2291" s="25" t="s">
        <v>178</v>
      </c>
      <c r="C2291" s="26" t="s">
        <v>1305</v>
      </c>
      <c r="D2291" s="25" t="str">
        <f t="shared" si="35"/>
        <v>Số thửaSố thửa292</v>
      </c>
    </row>
    <row r="2292" spans="1:4" x14ac:dyDescent="0.25">
      <c r="A2292" s="25">
        <v>8</v>
      </c>
      <c r="B2292" s="25" t="s">
        <v>515</v>
      </c>
      <c r="C2292" s="26" t="s">
        <v>1305</v>
      </c>
      <c r="D2292" s="25" t="str">
        <f t="shared" si="35"/>
        <v>Số thửaSố thửa293</v>
      </c>
    </row>
    <row r="2293" spans="1:4" x14ac:dyDescent="0.25">
      <c r="A2293" s="25">
        <v>10</v>
      </c>
      <c r="B2293" s="25" t="s">
        <v>871</v>
      </c>
      <c r="C2293" s="26" t="s">
        <v>1305</v>
      </c>
      <c r="D2293" s="25" t="str">
        <f t="shared" si="35"/>
        <v>Số thửaSố thửa273</v>
      </c>
    </row>
    <row r="2294" spans="1:4" x14ac:dyDescent="0.25">
      <c r="A2294" s="25">
        <v>10</v>
      </c>
      <c r="B2294" s="25" t="s">
        <v>362</v>
      </c>
      <c r="C2294" s="26" t="s">
        <v>1305</v>
      </c>
      <c r="D2294" s="25" t="str">
        <f t="shared" si="35"/>
        <v>Số thửaSố thửa274</v>
      </c>
    </row>
    <row r="2295" spans="1:4" x14ac:dyDescent="0.25">
      <c r="A2295" s="25">
        <v>10</v>
      </c>
      <c r="B2295" s="25" t="s">
        <v>363</v>
      </c>
      <c r="C2295" s="26" t="s">
        <v>1305</v>
      </c>
      <c r="D2295" s="25" t="str">
        <f t="shared" si="35"/>
        <v>Số thửaSố thửa275</v>
      </c>
    </row>
    <row r="2296" spans="1:4" x14ac:dyDescent="0.25">
      <c r="A2296" s="25">
        <v>10</v>
      </c>
      <c r="B2296" s="25" t="s">
        <v>133</v>
      </c>
      <c r="C2296" s="26" t="s">
        <v>1306</v>
      </c>
      <c r="D2296" s="25" t="str">
        <f t="shared" si="35"/>
        <v>Số thửaSố thửa283</v>
      </c>
    </row>
    <row r="2297" spans="1:4" x14ac:dyDescent="0.25">
      <c r="A2297" s="25">
        <v>10</v>
      </c>
      <c r="B2297" s="25" t="s">
        <v>819</v>
      </c>
      <c r="C2297" s="26" t="s">
        <v>1306</v>
      </c>
      <c r="D2297" s="25" t="str">
        <f t="shared" si="35"/>
        <v>Số thửaSố thửa284</v>
      </c>
    </row>
    <row r="2298" spans="1:4" x14ac:dyDescent="0.25">
      <c r="A2298" s="25">
        <v>10</v>
      </c>
      <c r="B2298" s="25" t="s">
        <v>992</v>
      </c>
      <c r="C2298" s="26" t="s">
        <v>1306</v>
      </c>
      <c r="D2298" s="25" t="str">
        <f t="shared" si="35"/>
        <v>Số thửaSố thửa285</v>
      </c>
    </row>
    <row r="2299" spans="1:4" x14ac:dyDescent="0.25">
      <c r="A2299" s="25">
        <v>10</v>
      </c>
      <c r="B2299" s="25" t="s">
        <v>1125</v>
      </c>
      <c r="C2299" s="26" t="s">
        <v>1306</v>
      </c>
      <c r="D2299" s="25" t="str">
        <f t="shared" si="35"/>
        <v>Số thửaSố thửa286</v>
      </c>
    </row>
    <row r="2300" spans="1:4" x14ac:dyDescent="0.25">
      <c r="A2300" s="25">
        <v>10</v>
      </c>
      <c r="B2300" s="25" t="s">
        <v>141</v>
      </c>
      <c r="C2300" s="26" t="s">
        <v>1306</v>
      </c>
      <c r="D2300" s="25" t="str">
        <f t="shared" si="35"/>
        <v>Số thửaSố thửa329</v>
      </c>
    </row>
    <row r="2301" spans="1:4" x14ac:dyDescent="0.25">
      <c r="A2301" s="25">
        <v>13</v>
      </c>
      <c r="B2301" s="25" t="s">
        <v>435</v>
      </c>
      <c r="C2301" s="26" t="s">
        <v>1307</v>
      </c>
      <c r="D2301" s="25" t="str">
        <f t="shared" si="35"/>
        <v>Số thửaSố thửa272</v>
      </c>
    </row>
    <row r="2302" spans="1:4" x14ac:dyDescent="0.25">
      <c r="A2302" s="25">
        <v>13</v>
      </c>
      <c r="B2302" s="25" t="s">
        <v>871</v>
      </c>
      <c r="C2302" s="26" t="s">
        <v>1307</v>
      </c>
      <c r="D2302" s="25" t="str">
        <f t="shared" si="35"/>
        <v>Số thửaSố thửa273</v>
      </c>
    </row>
    <row r="2303" spans="1:4" x14ac:dyDescent="0.25">
      <c r="A2303" s="25">
        <v>13</v>
      </c>
      <c r="B2303" s="25" t="s">
        <v>698</v>
      </c>
      <c r="C2303" s="26" t="s">
        <v>1307</v>
      </c>
      <c r="D2303" s="25" t="str">
        <f t="shared" si="35"/>
        <v>Số thửaSố thửa323</v>
      </c>
    </row>
    <row r="2304" spans="1:4" x14ac:dyDescent="0.25">
      <c r="A2304" s="25">
        <v>13</v>
      </c>
      <c r="B2304" s="25" t="s">
        <v>283</v>
      </c>
      <c r="C2304" s="26" t="s">
        <v>1307</v>
      </c>
      <c r="D2304" s="25" t="str">
        <f t="shared" si="35"/>
        <v>Số thửaSố thửa325</v>
      </c>
    </row>
    <row r="2305" spans="1:4" x14ac:dyDescent="0.25">
      <c r="A2305" s="25">
        <v>13</v>
      </c>
      <c r="B2305" s="25" t="s">
        <v>499</v>
      </c>
      <c r="C2305" s="26" t="s">
        <v>1307</v>
      </c>
      <c r="D2305" s="25" t="str">
        <f t="shared" si="35"/>
        <v>Số thửaSố thửa326</v>
      </c>
    </row>
    <row r="2306" spans="1:4" x14ac:dyDescent="0.25">
      <c r="A2306" s="25">
        <v>13</v>
      </c>
      <c r="B2306" s="25" t="s">
        <v>407</v>
      </c>
      <c r="C2306" s="26" t="s">
        <v>1307</v>
      </c>
      <c r="D2306" s="25" t="str">
        <f t="shared" si="35"/>
        <v>Số thửaSố thửa327</v>
      </c>
    </row>
    <row r="2307" spans="1:4" x14ac:dyDescent="0.25">
      <c r="A2307" s="25">
        <v>13</v>
      </c>
      <c r="B2307" s="25" t="s">
        <v>638</v>
      </c>
      <c r="C2307" s="26" t="s">
        <v>1307</v>
      </c>
      <c r="D2307" s="25" t="str">
        <f t="shared" ref="D2307:D2370" si="36">$B$1&amp;B2307</f>
        <v>Số thửaSố thửa328</v>
      </c>
    </row>
    <row r="2308" spans="1:4" x14ac:dyDescent="0.25">
      <c r="A2308" s="25">
        <v>13</v>
      </c>
      <c r="B2308" s="25" t="s">
        <v>141</v>
      </c>
      <c r="C2308" s="26" t="s">
        <v>1307</v>
      </c>
      <c r="D2308" s="25" t="str">
        <f t="shared" si="36"/>
        <v>Số thửaSố thửa329</v>
      </c>
    </row>
    <row r="2309" spans="1:4" x14ac:dyDescent="0.25">
      <c r="A2309" s="25">
        <v>13</v>
      </c>
      <c r="B2309" s="25" t="s">
        <v>143</v>
      </c>
      <c r="C2309" s="26" t="s">
        <v>1307</v>
      </c>
      <c r="D2309" s="25" t="str">
        <f t="shared" si="36"/>
        <v>Số thửaSố thửa331</v>
      </c>
    </row>
    <row r="2310" spans="1:4" x14ac:dyDescent="0.25">
      <c r="A2310" s="25">
        <v>13</v>
      </c>
      <c r="B2310" s="25" t="s">
        <v>144</v>
      </c>
      <c r="C2310" s="26" t="s">
        <v>1307</v>
      </c>
      <c r="D2310" s="25" t="str">
        <f t="shared" si="36"/>
        <v>Số thửaSố thửa332</v>
      </c>
    </row>
    <row r="2311" spans="1:4" x14ac:dyDescent="0.25">
      <c r="A2311" s="25">
        <v>13</v>
      </c>
      <c r="B2311" s="25" t="s">
        <v>487</v>
      </c>
      <c r="C2311" s="26" t="s">
        <v>1307</v>
      </c>
      <c r="D2311" s="25" t="str">
        <f t="shared" si="36"/>
        <v>Số thửaSố thửa334</v>
      </c>
    </row>
    <row r="2312" spans="1:4" x14ac:dyDescent="0.25">
      <c r="A2312" s="25">
        <v>13</v>
      </c>
      <c r="B2312" s="25" t="s">
        <v>808</v>
      </c>
      <c r="C2312" s="26" t="s">
        <v>1308</v>
      </c>
      <c r="D2312" s="25" t="str">
        <f t="shared" si="36"/>
        <v>Số thửaSố thửa375</v>
      </c>
    </row>
    <row r="2313" spans="1:4" x14ac:dyDescent="0.25">
      <c r="A2313" s="25">
        <v>14</v>
      </c>
      <c r="B2313" s="25" t="s">
        <v>1089</v>
      </c>
      <c r="C2313" s="26" t="s">
        <v>1308</v>
      </c>
      <c r="D2313" s="25" t="str">
        <f t="shared" si="36"/>
        <v>Số thửaSố thửa136</v>
      </c>
    </row>
    <row r="2314" spans="1:4" x14ac:dyDescent="0.25">
      <c r="A2314" s="25">
        <v>14</v>
      </c>
      <c r="B2314" s="25" t="s">
        <v>1083</v>
      </c>
      <c r="C2314" s="26" t="s">
        <v>1308</v>
      </c>
      <c r="D2314" s="25" t="str">
        <f t="shared" si="36"/>
        <v>Số thửaSố thửa637</v>
      </c>
    </row>
    <row r="2315" spans="1:4" x14ac:dyDescent="0.25">
      <c r="A2315" s="25">
        <v>13</v>
      </c>
      <c r="B2315" s="25" t="s">
        <v>849</v>
      </c>
      <c r="C2315" s="26" t="s">
        <v>1309</v>
      </c>
      <c r="D2315" s="25" t="str">
        <f t="shared" si="36"/>
        <v>Số thửaSố thửa191</v>
      </c>
    </row>
    <row r="2316" spans="1:4" x14ac:dyDescent="0.25">
      <c r="A2316" s="25">
        <v>13</v>
      </c>
      <c r="B2316" s="25" t="s">
        <v>1007</v>
      </c>
      <c r="C2316" s="26" t="s">
        <v>1309</v>
      </c>
      <c r="D2316" s="25" t="str">
        <f t="shared" si="36"/>
        <v>Số thửaSố thửa192</v>
      </c>
    </row>
    <row r="2317" spans="1:4" x14ac:dyDescent="0.25">
      <c r="A2317" s="25">
        <v>13</v>
      </c>
      <c r="B2317" s="25" t="s">
        <v>1008</v>
      </c>
      <c r="C2317" s="26" t="s">
        <v>1309</v>
      </c>
      <c r="D2317" s="25" t="str">
        <f t="shared" si="36"/>
        <v>Số thửaSố thửa193</v>
      </c>
    </row>
    <row r="2318" spans="1:4" x14ac:dyDescent="0.25">
      <c r="A2318" s="25">
        <v>13</v>
      </c>
      <c r="B2318" s="25" t="s">
        <v>176</v>
      </c>
      <c r="C2318" s="26" t="s">
        <v>1309</v>
      </c>
      <c r="D2318" s="25" t="str">
        <f t="shared" si="36"/>
        <v>Số thửaSố thửa259</v>
      </c>
    </row>
    <row r="2319" spans="1:4" x14ac:dyDescent="0.25">
      <c r="A2319" s="25">
        <v>13</v>
      </c>
      <c r="B2319" s="25" t="s">
        <v>177</v>
      </c>
      <c r="C2319" s="26" t="s">
        <v>1309</v>
      </c>
      <c r="D2319" s="25" t="str">
        <f t="shared" si="36"/>
        <v>Số thửaSố thửa260</v>
      </c>
    </row>
    <row r="2320" spans="1:4" x14ac:dyDescent="0.25">
      <c r="A2320" s="25">
        <v>13</v>
      </c>
      <c r="B2320" s="25" t="s">
        <v>870</v>
      </c>
      <c r="C2320" s="26" t="s">
        <v>1309</v>
      </c>
      <c r="D2320" s="25" t="str">
        <f t="shared" si="36"/>
        <v>Số thửaSố thửa261</v>
      </c>
    </row>
    <row r="2321" spans="1:4" x14ac:dyDescent="0.25">
      <c r="A2321" s="25">
        <v>13</v>
      </c>
      <c r="B2321" s="25" t="s">
        <v>436</v>
      </c>
      <c r="C2321" s="26" t="s">
        <v>1309</v>
      </c>
      <c r="D2321" s="25" t="str">
        <f t="shared" si="36"/>
        <v>Số thửaSố thửa281</v>
      </c>
    </row>
    <row r="2322" spans="1:4" x14ac:dyDescent="0.25">
      <c r="A2322" s="25">
        <v>13</v>
      </c>
      <c r="B2322" s="25" t="s">
        <v>403</v>
      </c>
      <c r="C2322" s="26" t="s">
        <v>1309</v>
      </c>
      <c r="D2322" s="25" t="str">
        <f t="shared" si="36"/>
        <v>Số thửaSố thửa282</v>
      </c>
    </row>
    <row r="2323" spans="1:4" x14ac:dyDescent="0.25">
      <c r="A2323" s="25">
        <v>13</v>
      </c>
      <c r="B2323" s="25" t="s">
        <v>819</v>
      </c>
      <c r="C2323" s="26" t="s">
        <v>1309</v>
      </c>
      <c r="D2323" s="25" t="str">
        <f t="shared" si="36"/>
        <v>Số thửaSố thửa284</v>
      </c>
    </row>
    <row r="2324" spans="1:4" x14ac:dyDescent="0.25">
      <c r="A2324" s="25">
        <v>14</v>
      </c>
      <c r="B2324" s="25" t="s">
        <v>778</v>
      </c>
      <c r="C2324" s="26" t="s">
        <v>1310</v>
      </c>
      <c r="D2324" s="25" t="str">
        <f t="shared" si="36"/>
        <v>Số thửaSố thửa155</v>
      </c>
    </row>
    <row r="2325" spans="1:4" x14ac:dyDescent="0.25">
      <c r="A2325" s="25">
        <v>8</v>
      </c>
      <c r="B2325" s="25" t="s">
        <v>93</v>
      </c>
      <c r="C2325" s="26" t="s">
        <v>1311</v>
      </c>
      <c r="D2325" s="25" t="str">
        <f t="shared" si="36"/>
        <v>Số thửaSố thửa239</v>
      </c>
    </row>
    <row r="2326" spans="1:4" x14ac:dyDescent="0.25">
      <c r="A2326" s="25">
        <v>8</v>
      </c>
      <c r="B2326" s="25" t="s">
        <v>93</v>
      </c>
      <c r="C2326" s="26" t="s">
        <v>1311</v>
      </c>
      <c r="D2326" s="25" t="str">
        <f t="shared" si="36"/>
        <v>Số thửaSố thửa239</v>
      </c>
    </row>
    <row r="2327" spans="1:4" x14ac:dyDescent="0.25">
      <c r="A2327" s="25">
        <v>14</v>
      </c>
      <c r="B2327" s="25" t="s">
        <v>85</v>
      </c>
      <c r="C2327" s="26" t="s">
        <v>1312</v>
      </c>
      <c r="D2327" s="25" t="str">
        <f t="shared" si="36"/>
        <v>Số thửaSố thửa219</v>
      </c>
    </row>
    <row r="2328" spans="1:4" x14ac:dyDescent="0.25">
      <c r="A2328" s="25">
        <v>14</v>
      </c>
      <c r="B2328" s="25" t="s">
        <v>93</v>
      </c>
      <c r="C2328" s="26" t="s">
        <v>1312</v>
      </c>
      <c r="D2328" s="25" t="str">
        <f t="shared" si="36"/>
        <v>Số thửaSố thửa239</v>
      </c>
    </row>
    <row r="2329" spans="1:4" x14ac:dyDescent="0.25">
      <c r="A2329" s="25">
        <v>9</v>
      </c>
      <c r="B2329" s="25" t="s">
        <v>222</v>
      </c>
      <c r="C2329" s="26" t="s">
        <v>1313</v>
      </c>
      <c r="D2329" s="25" t="str">
        <f t="shared" si="36"/>
        <v>Số thửaSố thửa227</v>
      </c>
    </row>
    <row r="2330" spans="1:4" x14ac:dyDescent="0.25">
      <c r="A2330" s="25">
        <v>9</v>
      </c>
      <c r="B2330" s="25" t="s">
        <v>387</v>
      </c>
      <c r="C2330" s="26" t="s">
        <v>1313</v>
      </c>
      <c r="D2330" s="25" t="str">
        <f t="shared" si="36"/>
        <v>Số thửaSố thửa228</v>
      </c>
    </row>
    <row r="2331" spans="1:4" x14ac:dyDescent="0.25">
      <c r="A2331" s="25">
        <v>9</v>
      </c>
      <c r="B2331" s="25" t="s">
        <v>56</v>
      </c>
      <c r="C2331" s="26" t="s">
        <v>1313</v>
      </c>
      <c r="D2331" s="25" t="str">
        <f t="shared" si="36"/>
        <v>Số thửaSố thửa229</v>
      </c>
    </row>
    <row r="2332" spans="1:4" x14ac:dyDescent="0.25">
      <c r="A2332" s="25">
        <v>9</v>
      </c>
      <c r="B2332" s="25" t="s">
        <v>432</v>
      </c>
      <c r="C2332" s="26" t="s">
        <v>1313</v>
      </c>
      <c r="D2332" s="25" t="str">
        <f t="shared" si="36"/>
        <v>Số thửaSố thửa252</v>
      </c>
    </row>
    <row r="2333" spans="1:4" x14ac:dyDescent="0.25">
      <c r="A2333" s="25">
        <v>9</v>
      </c>
      <c r="B2333" s="25" t="s">
        <v>723</v>
      </c>
      <c r="C2333" s="26" t="s">
        <v>1313</v>
      </c>
      <c r="D2333" s="25" t="str">
        <f t="shared" si="36"/>
        <v>Số thửaSố thửa253</v>
      </c>
    </row>
    <row r="2334" spans="1:4" x14ac:dyDescent="0.25">
      <c r="A2334" s="25">
        <v>9</v>
      </c>
      <c r="B2334" s="25" t="s">
        <v>724</v>
      </c>
      <c r="C2334" s="26" t="s">
        <v>1313</v>
      </c>
      <c r="D2334" s="25" t="str">
        <f t="shared" si="36"/>
        <v>Số thửaSố thửa254</v>
      </c>
    </row>
    <row r="2335" spans="1:4" x14ac:dyDescent="0.25">
      <c r="A2335" s="25">
        <v>9</v>
      </c>
      <c r="B2335" s="25" t="s">
        <v>726</v>
      </c>
      <c r="C2335" s="26" t="s">
        <v>1313</v>
      </c>
      <c r="D2335" s="25" t="str">
        <f t="shared" si="36"/>
        <v>Số thửaSố thửa255</v>
      </c>
    </row>
    <row r="2336" spans="1:4" x14ac:dyDescent="0.25">
      <c r="A2336" s="25">
        <v>9</v>
      </c>
      <c r="B2336" s="25" t="s">
        <v>727</v>
      </c>
      <c r="C2336" s="26" t="s">
        <v>1313</v>
      </c>
      <c r="D2336" s="25" t="str">
        <f t="shared" si="36"/>
        <v>Số thửaSố thửa256</v>
      </c>
    </row>
    <row r="2337" spans="1:4" x14ac:dyDescent="0.25">
      <c r="A2337" s="25">
        <v>9</v>
      </c>
      <c r="B2337" s="25" t="s">
        <v>896</v>
      </c>
      <c r="C2337" s="26" t="s">
        <v>1313</v>
      </c>
      <c r="D2337" s="25" t="str">
        <f t="shared" si="36"/>
        <v>Số thửaSố thửa257</v>
      </c>
    </row>
    <row r="2338" spans="1:4" x14ac:dyDescent="0.25">
      <c r="A2338" s="25">
        <v>9</v>
      </c>
      <c r="B2338" s="25" t="s">
        <v>434</v>
      </c>
      <c r="C2338" s="26" t="s">
        <v>1313</v>
      </c>
      <c r="D2338" s="25" t="str">
        <f t="shared" si="36"/>
        <v>Số thửaSố thửa271</v>
      </c>
    </row>
    <row r="2339" spans="1:4" x14ac:dyDescent="0.25">
      <c r="A2339" s="25">
        <v>9</v>
      </c>
      <c r="B2339" s="25" t="s">
        <v>435</v>
      </c>
      <c r="C2339" s="26" t="s">
        <v>1313</v>
      </c>
      <c r="D2339" s="25" t="str">
        <f t="shared" si="36"/>
        <v>Số thửaSố thửa272</v>
      </c>
    </row>
    <row r="2340" spans="1:4" x14ac:dyDescent="0.25">
      <c r="A2340" s="25">
        <v>9</v>
      </c>
      <c r="B2340" s="25" t="s">
        <v>871</v>
      </c>
      <c r="C2340" s="26" t="s">
        <v>1313</v>
      </c>
      <c r="D2340" s="25" t="str">
        <f t="shared" si="36"/>
        <v>Số thửaSố thửa273</v>
      </c>
    </row>
    <row r="2341" spans="1:4" x14ac:dyDescent="0.25">
      <c r="A2341" s="25">
        <v>9</v>
      </c>
      <c r="B2341" s="25" t="s">
        <v>362</v>
      </c>
      <c r="C2341" s="26" t="s">
        <v>1313</v>
      </c>
      <c r="D2341" s="25" t="str">
        <f t="shared" si="36"/>
        <v>Số thửaSố thửa274</v>
      </c>
    </row>
    <row r="2342" spans="1:4" x14ac:dyDescent="0.25">
      <c r="A2342" s="25">
        <v>13</v>
      </c>
      <c r="B2342" s="25" t="s">
        <v>520</v>
      </c>
      <c r="C2342" s="26" t="s">
        <v>1314</v>
      </c>
      <c r="D2342" s="25" t="str">
        <f t="shared" si="36"/>
        <v>Số thửaSố thửa691</v>
      </c>
    </row>
    <row r="2343" spans="1:4" x14ac:dyDescent="0.25">
      <c r="A2343" s="25">
        <v>13</v>
      </c>
      <c r="B2343" s="25" t="s">
        <v>539</v>
      </c>
      <c r="C2343" s="26" t="s">
        <v>1314</v>
      </c>
      <c r="D2343" s="25" t="str">
        <f t="shared" si="36"/>
        <v>Số thửaSố thửa692</v>
      </c>
    </row>
    <row r="2344" spans="1:4" x14ac:dyDescent="0.25">
      <c r="A2344" s="25">
        <v>13</v>
      </c>
      <c r="B2344" s="25" t="s">
        <v>1105</v>
      </c>
      <c r="C2344" s="26" t="s">
        <v>1314</v>
      </c>
      <c r="D2344" s="25" t="str">
        <f t="shared" si="36"/>
        <v>Số thửaSố thửa716</v>
      </c>
    </row>
    <row r="2345" spans="1:4" x14ac:dyDescent="0.25">
      <c r="A2345" s="25">
        <v>13</v>
      </c>
      <c r="B2345" s="25" t="s">
        <v>429</v>
      </c>
      <c r="C2345" s="26" t="s">
        <v>1314</v>
      </c>
      <c r="D2345" s="25" t="str">
        <f t="shared" si="36"/>
        <v>Số thửaSố thửa717</v>
      </c>
    </row>
    <row r="2346" spans="1:4" x14ac:dyDescent="0.25">
      <c r="A2346" s="25">
        <v>13</v>
      </c>
      <c r="B2346" s="25" t="s">
        <v>1315</v>
      </c>
      <c r="C2346" s="26" t="s">
        <v>1314</v>
      </c>
      <c r="D2346" s="25" t="str">
        <f t="shared" si="36"/>
        <v>Số thửaSố thửa721</v>
      </c>
    </row>
    <row r="2347" spans="1:4" x14ac:dyDescent="0.25">
      <c r="A2347" s="25">
        <v>13</v>
      </c>
      <c r="B2347" s="25" t="s">
        <v>1195</v>
      </c>
      <c r="C2347" s="26" t="s">
        <v>1314</v>
      </c>
      <c r="D2347" s="25" t="str">
        <f t="shared" si="36"/>
        <v>Số thửaSố thửa741</v>
      </c>
    </row>
    <row r="2348" spans="1:4" x14ac:dyDescent="0.25">
      <c r="A2348" s="25">
        <v>14</v>
      </c>
      <c r="B2348" s="25" t="s">
        <v>1287</v>
      </c>
      <c r="C2348" s="26" t="s">
        <v>1316</v>
      </c>
      <c r="D2348" s="25" t="str">
        <f t="shared" si="36"/>
        <v>Số thửaSố thửa138</v>
      </c>
    </row>
    <row r="2349" spans="1:4" x14ac:dyDescent="0.25">
      <c r="A2349" s="25">
        <v>14</v>
      </c>
      <c r="B2349" s="25" t="s">
        <v>719</v>
      </c>
      <c r="C2349" s="26" t="s">
        <v>1316</v>
      </c>
      <c r="D2349" s="25" t="str">
        <f t="shared" si="36"/>
        <v>Số thửaSố thửa157</v>
      </c>
    </row>
    <row r="2350" spans="1:4" x14ac:dyDescent="0.25">
      <c r="A2350" s="25">
        <v>14</v>
      </c>
      <c r="B2350" s="25" t="s">
        <v>1002</v>
      </c>
      <c r="C2350" s="26" t="s">
        <v>1316</v>
      </c>
      <c r="D2350" s="25" t="str">
        <f t="shared" si="36"/>
        <v>Số thửaSố thửa158</v>
      </c>
    </row>
    <row r="2351" spans="1:4" x14ac:dyDescent="0.25">
      <c r="A2351" s="25">
        <v>14</v>
      </c>
      <c r="B2351" s="25" t="s">
        <v>171</v>
      </c>
      <c r="C2351" s="26" t="s">
        <v>1317</v>
      </c>
      <c r="D2351" s="25" t="str">
        <f t="shared" si="36"/>
        <v>Số thửaSố thửa182</v>
      </c>
    </row>
    <row r="2352" spans="1:4" x14ac:dyDescent="0.25">
      <c r="A2352" s="25">
        <v>14</v>
      </c>
      <c r="B2352" s="25" t="s">
        <v>171</v>
      </c>
      <c r="C2352" s="26" t="s">
        <v>1317</v>
      </c>
      <c r="D2352" s="25" t="str">
        <f t="shared" si="36"/>
        <v>Số thửaSố thửa182</v>
      </c>
    </row>
    <row r="2353" spans="1:4" x14ac:dyDescent="0.25">
      <c r="A2353" s="25">
        <v>7</v>
      </c>
      <c r="B2353" s="25" t="s">
        <v>1318</v>
      </c>
      <c r="C2353" s="26" t="s">
        <v>1319</v>
      </c>
      <c r="D2353" s="25" t="str">
        <f t="shared" si="36"/>
        <v>Số thửaSố thửa790</v>
      </c>
    </row>
    <row r="2354" spans="1:4" x14ac:dyDescent="0.25">
      <c r="A2354" s="25">
        <v>7</v>
      </c>
      <c r="B2354" s="25" t="s">
        <v>577</v>
      </c>
      <c r="C2354" s="26" t="s">
        <v>1320</v>
      </c>
      <c r="D2354" s="25" t="str">
        <f t="shared" si="36"/>
        <v>Số thửaSố thửa834</v>
      </c>
    </row>
    <row r="2355" spans="1:4" x14ac:dyDescent="0.25">
      <c r="A2355" s="25">
        <v>13</v>
      </c>
      <c r="B2355" s="25" t="s">
        <v>633</v>
      </c>
      <c r="C2355" s="26" t="s">
        <v>1321</v>
      </c>
      <c r="D2355" s="25" t="str">
        <f t="shared" si="36"/>
        <v>Số thửaSố thửa682</v>
      </c>
    </row>
    <row r="2356" spans="1:4" x14ac:dyDescent="0.25">
      <c r="A2356" s="25">
        <v>13</v>
      </c>
      <c r="B2356" s="25" t="s">
        <v>425</v>
      </c>
      <c r="C2356" s="26" t="s">
        <v>1322</v>
      </c>
      <c r="D2356" s="25" t="str">
        <f t="shared" si="36"/>
        <v>Số thửaSố thửa701</v>
      </c>
    </row>
    <row r="2357" spans="1:4" x14ac:dyDescent="0.25">
      <c r="A2357" s="25">
        <v>13</v>
      </c>
      <c r="B2357" s="25" t="s">
        <v>425</v>
      </c>
      <c r="C2357" s="26" t="s">
        <v>1322</v>
      </c>
      <c r="D2357" s="25" t="str">
        <f t="shared" si="36"/>
        <v>Số thửaSố thửa701</v>
      </c>
    </row>
    <row r="2358" spans="1:4" x14ac:dyDescent="0.25">
      <c r="A2358" s="25">
        <v>13</v>
      </c>
      <c r="B2358" s="25" t="s">
        <v>1095</v>
      </c>
      <c r="C2358" s="26" t="s">
        <v>1323</v>
      </c>
      <c r="D2358" s="25" t="str">
        <f t="shared" si="36"/>
        <v>Số thửaSố thửa706</v>
      </c>
    </row>
    <row r="2359" spans="1:4" x14ac:dyDescent="0.25">
      <c r="A2359" s="25">
        <v>13</v>
      </c>
      <c r="B2359" s="25" t="s">
        <v>1324</v>
      </c>
      <c r="C2359" s="26" t="s">
        <v>1323</v>
      </c>
      <c r="D2359" s="25" t="str">
        <f t="shared" si="36"/>
        <v>Số thửaSố thửa707</v>
      </c>
    </row>
    <row r="2360" spans="1:4" x14ac:dyDescent="0.25">
      <c r="A2360" s="25">
        <v>13</v>
      </c>
      <c r="B2360" s="25" t="s">
        <v>1325</v>
      </c>
      <c r="C2360" s="26" t="s">
        <v>1323</v>
      </c>
      <c r="D2360" s="25" t="str">
        <f t="shared" si="36"/>
        <v>Số thửaSố thửa708</v>
      </c>
    </row>
    <row r="2361" spans="1:4" x14ac:dyDescent="0.25">
      <c r="A2361" s="25">
        <v>13</v>
      </c>
      <c r="B2361" s="25" t="s">
        <v>882</v>
      </c>
      <c r="C2361" s="26" t="s">
        <v>1323</v>
      </c>
      <c r="D2361" s="25" t="str">
        <f t="shared" si="36"/>
        <v>Số thửaSố thửa729</v>
      </c>
    </row>
    <row r="2362" spans="1:4" x14ac:dyDescent="0.25">
      <c r="A2362" s="25">
        <v>13</v>
      </c>
      <c r="B2362" s="25" t="s">
        <v>1326</v>
      </c>
      <c r="C2362" s="26" t="s">
        <v>1323</v>
      </c>
      <c r="D2362" s="25" t="str">
        <f t="shared" si="36"/>
        <v>Số thửaSố thửa731</v>
      </c>
    </row>
    <row r="2363" spans="1:4" x14ac:dyDescent="0.25">
      <c r="A2363" s="25">
        <v>13</v>
      </c>
      <c r="B2363" s="25" t="s">
        <v>1273</v>
      </c>
      <c r="C2363" s="26" t="s">
        <v>1323</v>
      </c>
      <c r="D2363" s="25" t="str">
        <f t="shared" si="36"/>
        <v>Số thửaSố thửa732</v>
      </c>
    </row>
    <row r="2364" spans="1:4" x14ac:dyDescent="0.25">
      <c r="A2364" s="25">
        <v>13</v>
      </c>
      <c r="B2364" s="25" t="s">
        <v>1327</v>
      </c>
      <c r="C2364" s="26" t="s">
        <v>1323</v>
      </c>
      <c r="D2364" s="25" t="str">
        <f t="shared" si="36"/>
        <v>Số thửaSố thửa733</v>
      </c>
    </row>
    <row r="2365" spans="1:4" x14ac:dyDescent="0.25">
      <c r="A2365" s="25">
        <v>13</v>
      </c>
      <c r="B2365" s="25" t="s">
        <v>541</v>
      </c>
      <c r="C2365" s="26" t="s">
        <v>1323</v>
      </c>
      <c r="D2365" s="25" t="str">
        <f t="shared" si="36"/>
        <v>Số thửaSố thửa734</v>
      </c>
    </row>
    <row r="2366" spans="1:4" x14ac:dyDescent="0.25">
      <c r="A2366" s="25">
        <v>13</v>
      </c>
      <c r="B2366" s="25" t="s">
        <v>307</v>
      </c>
      <c r="C2366" s="26" t="s">
        <v>1323</v>
      </c>
      <c r="D2366" s="25" t="str">
        <f t="shared" si="36"/>
        <v>Số thửaSố thửa735</v>
      </c>
    </row>
    <row r="2367" spans="1:4" x14ac:dyDescent="0.25">
      <c r="A2367" s="25">
        <v>13</v>
      </c>
      <c r="B2367" s="25" t="s">
        <v>690</v>
      </c>
      <c r="C2367" s="26" t="s">
        <v>1328</v>
      </c>
      <c r="D2367" s="25" t="str">
        <f t="shared" si="36"/>
        <v>Số thửaSố thửa752</v>
      </c>
    </row>
    <row r="2368" spans="1:4" x14ac:dyDescent="0.25">
      <c r="A2368" s="25">
        <v>14</v>
      </c>
      <c r="B2368" s="25" t="s">
        <v>866</v>
      </c>
      <c r="C2368" s="26" t="s">
        <v>1321</v>
      </c>
      <c r="D2368" s="25" t="str">
        <f t="shared" si="36"/>
        <v>Số thửaSố thửa196</v>
      </c>
    </row>
    <row r="2369" spans="1:4" x14ac:dyDescent="0.25">
      <c r="A2369" s="25">
        <v>10</v>
      </c>
      <c r="B2369" s="25" t="s">
        <v>777</v>
      </c>
      <c r="C2369" s="26" t="s">
        <v>1329</v>
      </c>
      <c r="D2369" s="25" t="str">
        <f t="shared" si="36"/>
        <v>Số thửaSố thửa91</v>
      </c>
    </row>
    <row r="2370" spans="1:4" x14ac:dyDescent="0.25">
      <c r="A2370" s="25">
        <v>10</v>
      </c>
      <c r="B2370" s="25" t="s">
        <v>494</v>
      </c>
      <c r="C2370" s="26" t="s">
        <v>1329</v>
      </c>
      <c r="D2370" s="25" t="str">
        <f t="shared" si="36"/>
        <v>Số thửaSố thửa92</v>
      </c>
    </row>
    <row r="2371" spans="1:4" x14ac:dyDescent="0.25">
      <c r="A2371" s="25">
        <v>10</v>
      </c>
      <c r="B2371" s="25" t="s">
        <v>468</v>
      </c>
      <c r="C2371" s="26" t="s">
        <v>1329</v>
      </c>
      <c r="D2371" s="25" t="str">
        <f t="shared" ref="D2371:D2434" si="37">$B$1&amp;B2371</f>
        <v>Số thửaSố thửa93</v>
      </c>
    </row>
    <row r="2372" spans="1:4" x14ac:dyDescent="0.25">
      <c r="A2372" s="25">
        <v>10</v>
      </c>
      <c r="B2372" s="25" t="s">
        <v>469</v>
      </c>
      <c r="C2372" s="26" t="s">
        <v>1329</v>
      </c>
      <c r="D2372" s="25" t="str">
        <f t="shared" si="37"/>
        <v>Số thửaSố thửa94</v>
      </c>
    </row>
    <row r="2373" spans="1:4" x14ac:dyDescent="0.25">
      <c r="A2373" s="25">
        <v>10</v>
      </c>
      <c r="B2373" s="25" t="s">
        <v>108</v>
      </c>
      <c r="C2373" s="26" t="s">
        <v>1329</v>
      </c>
      <c r="D2373" s="25" t="str">
        <f t="shared" si="37"/>
        <v>Số thửaSố thửa119</v>
      </c>
    </row>
    <row r="2374" spans="1:4" x14ac:dyDescent="0.25">
      <c r="A2374" s="25">
        <v>10</v>
      </c>
      <c r="B2374" s="25" t="s">
        <v>1017</v>
      </c>
      <c r="C2374" s="26" t="s">
        <v>1330</v>
      </c>
      <c r="D2374" s="25" t="str">
        <f t="shared" si="37"/>
        <v>Số thửaSố thửa120</v>
      </c>
    </row>
    <row r="2375" spans="1:4" x14ac:dyDescent="0.25">
      <c r="A2375" s="25">
        <v>10</v>
      </c>
      <c r="B2375" s="25" t="s">
        <v>912</v>
      </c>
      <c r="C2375" s="26" t="s">
        <v>1329</v>
      </c>
      <c r="D2375" s="25" t="str">
        <f t="shared" si="37"/>
        <v>Số thửaSố thửa121</v>
      </c>
    </row>
    <row r="2376" spans="1:4" x14ac:dyDescent="0.25">
      <c r="A2376" s="25">
        <v>10</v>
      </c>
      <c r="B2376" s="25" t="s">
        <v>578</v>
      </c>
      <c r="C2376" s="26" t="s">
        <v>1329</v>
      </c>
      <c r="D2376" s="25" t="str">
        <f t="shared" si="37"/>
        <v>Số thửaSố thửa122</v>
      </c>
    </row>
    <row r="2377" spans="1:4" x14ac:dyDescent="0.25">
      <c r="A2377" s="25">
        <v>10</v>
      </c>
      <c r="B2377" s="25" t="s">
        <v>375</v>
      </c>
      <c r="C2377" s="26" t="s">
        <v>1329</v>
      </c>
      <c r="D2377" s="25" t="str">
        <f t="shared" si="37"/>
        <v>Số thửaSố thửa123</v>
      </c>
    </row>
    <row r="2378" spans="1:4" x14ac:dyDescent="0.25">
      <c r="A2378" s="25">
        <v>10</v>
      </c>
      <c r="B2378" s="25" t="s">
        <v>891</v>
      </c>
      <c r="C2378" s="26" t="s">
        <v>1329</v>
      </c>
      <c r="D2378" s="25" t="str">
        <f t="shared" si="37"/>
        <v>Số thửaSố thửa124</v>
      </c>
    </row>
    <row r="2379" spans="1:4" x14ac:dyDescent="0.25">
      <c r="A2379" s="25">
        <v>10</v>
      </c>
      <c r="B2379" s="25" t="s">
        <v>1101</v>
      </c>
      <c r="C2379" s="26" t="s">
        <v>1329</v>
      </c>
      <c r="D2379" s="25" t="str">
        <f t="shared" si="37"/>
        <v>Số thửaSố thửa144</v>
      </c>
    </row>
    <row r="2380" spans="1:4" x14ac:dyDescent="0.25">
      <c r="A2380" s="25">
        <v>10</v>
      </c>
      <c r="B2380" s="25" t="s">
        <v>381</v>
      </c>
      <c r="C2380" s="26" t="s">
        <v>1329</v>
      </c>
      <c r="D2380" s="25" t="str">
        <f t="shared" si="37"/>
        <v>Số thửaSố thửa145</v>
      </c>
    </row>
    <row r="2381" spans="1:4" x14ac:dyDescent="0.25">
      <c r="A2381" s="25">
        <v>10</v>
      </c>
      <c r="B2381" s="25" t="s">
        <v>382</v>
      </c>
      <c r="C2381" s="26" t="s">
        <v>1329</v>
      </c>
      <c r="D2381" s="25" t="str">
        <f t="shared" si="37"/>
        <v>Số thửaSố thửa146</v>
      </c>
    </row>
    <row r="2382" spans="1:4" x14ac:dyDescent="0.25">
      <c r="A2382" s="25">
        <v>10</v>
      </c>
      <c r="B2382" s="25" t="s">
        <v>926</v>
      </c>
      <c r="C2382" s="26" t="s">
        <v>1329</v>
      </c>
      <c r="D2382" s="25" t="str">
        <f t="shared" si="37"/>
        <v>Số thửaSố thửa147</v>
      </c>
    </row>
    <row r="2383" spans="1:4" x14ac:dyDescent="0.25">
      <c r="A2383" s="25">
        <v>10</v>
      </c>
      <c r="B2383" s="25" t="s">
        <v>511</v>
      </c>
      <c r="C2383" s="26" t="s">
        <v>1329</v>
      </c>
      <c r="D2383" s="25" t="str">
        <f t="shared" si="37"/>
        <v>Số thửaSố thửa150</v>
      </c>
    </row>
    <row r="2384" spans="1:4" x14ac:dyDescent="0.25">
      <c r="A2384" s="25">
        <v>10</v>
      </c>
      <c r="B2384" s="25" t="s">
        <v>456</v>
      </c>
      <c r="C2384" s="26" t="s">
        <v>1329</v>
      </c>
      <c r="D2384" s="25" t="str">
        <f t="shared" si="37"/>
        <v>Số thửaSố thửa151</v>
      </c>
    </row>
    <row r="2385" spans="1:4" x14ac:dyDescent="0.25">
      <c r="A2385" s="25">
        <v>10</v>
      </c>
      <c r="B2385" s="25" t="s">
        <v>398</v>
      </c>
      <c r="C2385" s="26" t="s">
        <v>1330</v>
      </c>
      <c r="D2385" s="25" t="str">
        <f t="shared" si="37"/>
        <v>Số thửaSố thửa172</v>
      </c>
    </row>
    <row r="2386" spans="1:4" x14ac:dyDescent="0.25">
      <c r="A2386" s="25">
        <v>10</v>
      </c>
      <c r="B2386" s="25" t="s">
        <v>399</v>
      </c>
      <c r="C2386" s="26" t="s">
        <v>1329</v>
      </c>
      <c r="D2386" s="25" t="str">
        <f t="shared" si="37"/>
        <v>Số thửaSố thửa173</v>
      </c>
    </row>
    <row r="2387" spans="1:4" x14ac:dyDescent="0.25">
      <c r="A2387" s="25">
        <v>10</v>
      </c>
      <c r="B2387" s="25" t="s">
        <v>400</v>
      </c>
      <c r="C2387" s="26" t="s">
        <v>1330</v>
      </c>
      <c r="D2387" s="25" t="str">
        <f t="shared" si="37"/>
        <v>Số thửaSố thửa174</v>
      </c>
    </row>
    <row r="2388" spans="1:4" x14ac:dyDescent="0.25">
      <c r="A2388" s="25">
        <v>10</v>
      </c>
      <c r="B2388" s="25" t="s">
        <v>401</v>
      </c>
      <c r="C2388" s="26" t="s">
        <v>1331</v>
      </c>
      <c r="D2388" s="25" t="str">
        <f t="shared" si="37"/>
        <v>Số thửaSố thửa175</v>
      </c>
    </row>
    <row r="2389" spans="1:4" x14ac:dyDescent="0.25">
      <c r="A2389" s="25">
        <v>10</v>
      </c>
      <c r="B2389" s="25" t="s">
        <v>942</v>
      </c>
      <c r="C2389" s="26" t="s">
        <v>1331</v>
      </c>
      <c r="D2389" s="25" t="str">
        <f t="shared" si="37"/>
        <v>Số thửaSố thửa176</v>
      </c>
    </row>
    <row r="2390" spans="1:4" x14ac:dyDescent="0.25">
      <c r="A2390" s="25">
        <v>10</v>
      </c>
      <c r="B2390" s="25" t="s">
        <v>986</v>
      </c>
      <c r="C2390" s="26" t="s">
        <v>1331</v>
      </c>
      <c r="D2390" s="25" t="str">
        <f t="shared" si="37"/>
        <v>Số thửaSố thửa200</v>
      </c>
    </row>
    <row r="2391" spans="1:4" x14ac:dyDescent="0.25">
      <c r="A2391" s="25">
        <v>10</v>
      </c>
      <c r="B2391" s="25" t="s">
        <v>1009</v>
      </c>
      <c r="C2391" s="26" t="s">
        <v>1331</v>
      </c>
      <c r="D2391" s="25" t="str">
        <f t="shared" si="37"/>
        <v>Số thửaSố thửa201</v>
      </c>
    </row>
    <row r="2392" spans="1:4" x14ac:dyDescent="0.25">
      <c r="A2392" s="25">
        <v>10</v>
      </c>
      <c r="B2392" s="25" t="s">
        <v>1073</v>
      </c>
      <c r="C2392" s="26" t="s">
        <v>1331</v>
      </c>
      <c r="D2392" s="25" t="str">
        <f t="shared" si="37"/>
        <v>Số thửaSố thửa202</v>
      </c>
    </row>
    <row r="2393" spans="1:4" x14ac:dyDescent="0.25">
      <c r="A2393" s="25">
        <v>10</v>
      </c>
      <c r="B2393" s="25" t="s">
        <v>173</v>
      </c>
      <c r="C2393" s="26" t="s">
        <v>1331</v>
      </c>
      <c r="D2393" s="25" t="str">
        <f t="shared" si="37"/>
        <v>Số thửaSố thửa204</v>
      </c>
    </row>
    <row r="2394" spans="1:4" x14ac:dyDescent="0.25">
      <c r="A2394" s="25">
        <v>10</v>
      </c>
      <c r="B2394" s="25" t="s">
        <v>174</v>
      </c>
      <c r="C2394" s="26" t="s">
        <v>1331</v>
      </c>
      <c r="D2394" s="25" t="str">
        <f t="shared" si="37"/>
        <v>Số thửaSố thửa205</v>
      </c>
    </row>
    <row r="2395" spans="1:4" x14ac:dyDescent="0.25">
      <c r="A2395" s="25">
        <v>10</v>
      </c>
      <c r="B2395" s="25" t="s">
        <v>680</v>
      </c>
      <c r="C2395" s="26" t="s">
        <v>1331</v>
      </c>
      <c r="D2395" s="25" t="str">
        <f t="shared" si="37"/>
        <v>Số thửaSố thửa206</v>
      </c>
    </row>
    <row r="2396" spans="1:4" x14ac:dyDescent="0.25">
      <c r="A2396" s="25">
        <v>10</v>
      </c>
      <c r="B2396" s="25" t="s">
        <v>175</v>
      </c>
      <c r="C2396" s="26" t="s">
        <v>1330</v>
      </c>
      <c r="D2396" s="25" t="str">
        <f t="shared" si="37"/>
        <v>Số thửaSố thửa207</v>
      </c>
    </row>
    <row r="2397" spans="1:4" x14ac:dyDescent="0.25">
      <c r="A2397" s="25">
        <v>10</v>
      </c>
      <c r="B2397" s="25" t="s">
        <v>89</v>
      </c>
      <c r="C2397" s="26" t="s">
        <v>1331</v>
      </c>
      <c r="D2397" s="25" t="str">
        <f t="shared" si="37"/>
        <v>Số thửaSố thửa223</v>
      </c>
    </row>
    <row r="2398" spans="1:4" x14ac:dyDescent="0.25">
      <c r="A2398" s="25">
        <v>10</v>
      </c>
      <c r="B2398" s="25" t="s">
        <v>726</v>
      </c>
      <c r="C2398" s="26" t="s">
        <v>1331</v>
      </c>
      <c r="D2398" s="25" t="str">
        <f t="shared" si="37"/>
        <v>Số thửaSố thửa255</v>
      </c>
    </row>
    <row r="2399" spans="1:4" x14ac:dyDescent="0.25">
      <c r="A2399" s="25">
        <v>10</v>
      </c>
      <c r="B2399" s="25" t="s">
        <v>727</v>
      </c>
      <c r="C2399" s="26" t="s">
        <v>1331</v>
      </c>
      <c r="D2399" s="25" t="str">
        <f t="shared" si="37"/>
        <v>Số thửaSố thửa256</v>
      </c>
    </row>
    <row r="2400" spans="1:4" x14ac:dyDescent="0.25">
      <c r="A2400" s="25">
        <v>10</v>
      </c>
      <c r="B2400" s="25" t="s">
        <v>729</v>
      </c>
      <c r="C2400" s="26" t="s">
        <v>1331</v>
      </c>
      <c r="D2400" s="25" t="str">
        <f t="shared" si="37"/>
        <v>Số thửaSố thửa278</v>
      </c>
    </row>
    <row r="2401" spans="1:4" x14ac:dyDescent="0.25">
      <c r="A2401" s="25">
        <v>10</v>
      </c>
      <c r="B2401" s="25" t="s">
        <v>436</v>
      </c>
      <c r="C2401" s="26" t="s">
        <v>1331</v>
      </c>
      <c r="D2401" s="25" t="str">
        <f t="shared" si="37"/>
        <v>Số thửaSố thửa281</v>
      </c>
    </row>
    <row r="2402" spans="1:4" x14ac:dyDescent="0.25">
      <c r="A2402" s="25">
        <v>6</v>
      </c>
      <c r="B2402" s="25" t="s">
        <v>186</v>
      </c>
      <c r="C2402" s="26" t="s">
        <v>1332</v>
      </c>
      <c r="D2402" s="25" t="str">
        <f t="shared" si="37"/>
        <v>Số thửaSố thửa427</v>
      </c>
    </row>
    <row r="2403" spans="1:4" x14ac:dyDescent="0.25">
      <c r="A2403" s="25">
        <v>6</v>
      </c>
      <c r="B2403" s="25" t="s">
        <v>186</v>
      </c>
      <c r="C2403" s="26" t="s">
        <v>1332</v>
      </c>
      <c r="D2403" s="25" t="str">
        <f t="shared" si="37"/>
        <v>Số thửaSố thửa427</v>
      </c>
    </row>
    <row r="2404" spans="1:4" x14ac:dyDescent="0.25">
      <c r="A2404" s="25">
        <v>6</v>
      </c>
      <c r="B2404" s="25" t="s">
        <v>420</v>
      </c>
      <c r="C2404" s="26" t="s">
        <v>1333</v>
      </c>
      <c r="D2404" s="25" t="str">
        <f t="shared" si="37"/>
        <v>Số thửaSố thửa466</v>
      </c>
    </row>
    <row r="2405" spans="1:4" x14ac:dyDescent="0.25">
      <c r="A2405" s="25">
        <v>6</v>
      </c>
      <c r="B2405" s="25" t="s">
        <v>1034</v>
      </c>
      <c r="C2405" s="26" t="s">
        <v>1333</v>
      </c>
      <c r="D2405" s="25" t="str">
        <f t="shared" si="37"/>
        <v>Số thửaSố thửa471</v>
      </c>
    </row>
    <row r="2406" spans="1:4" x14ac:dyDescent="0.25">
      <c r="A2406" s="25">
        <v>6</v>
      </c>
      <c r="B2406" s="25" t="s">
        <v>537</v>
      </c>
      <c r="C2406" s="26" t="s">
        <v>1333</v>
      </c>
      <c r="D2406" s="25" t="str">
        <f t="shared" si="37"/>
        <v>Số thửaSố thửa472</v>
      </c>
    </row>
    <row r="2407" spans="1:4" x14ac:dyDescent="0.25">
      <c r="A2407" s="25">
        <v>6</v>
      </c>
      <c r="B2407" s="25" t="s">
        <v>306</v>
      </c>
      <c r="C2407" s="26" t="s">
        <v>1333</v>
      </c>
      <c r="D2407" s="25" t="str">
        <f t="shared" si="37"/>
        <v>Số thửaSố thửa560</v>
      </c>
    </row>
    <row r="2408" spans="1:4" x14ac:dyDescent="0.25">
      <c r="A2408" s="25">
        <v>6</v>
      </c>
      <c r="B2408" s="25" t="s">
        <v>1232</v>
      </c>
      <c r="C2408" s="26" t="s">
        <v>1333</v>
      </c>
      <c r="D2408" s="25" t="str">
        <f t="shared" si="37"/>
        <v>Số thửaSố thửa562</v>
      </c>
    </row>
    <row r="2409" spans="1:4" x14ac:dyDescent="0.25">
      <c r="A2409" s="25">
        <v>6</v>
      </c>
      <c r="B2409" s="25" t="s">
        <v>945</v>
      </c>
      <c r="C2409" s="26" t="s">
        <v>1333</v>
      </c>
      <c r="D2409" s="25" t="str">
        <f t="shared" si="37"/>
        <v>Số thửaSố thửa563</v>
      </c>
    </row>
    <row r="2410" spans="1:4" x14ac:dyDescent="0.25">
      <c r="A2410" s="25">
        <v>6</v>
      </c>
      <c r="B2410" s="25" t="s">
        <v>947</v>
      </c>
      <c r="C2410" s="26" t="s">
        <v>1333</v>
      </c>
      <c r="D2410" s="25" t="str">
        <f t="shared" si="37"/>
        <v>Số thửaSố thửa564</v>
      </c>
    </row>
    <row r="2411" spans="1:4" x14ac:dyDescent="0.25">
      <c r="A2411" s="25">
        <v>6</v>
      </c>
      <c r="B2411" s="25" t="s">
        <v>948</v>
      </c>
      <c r="C2411" s="26" t="s">
        <v>1333</v>
      </c>
      <c r="D2411" s="25" t="str">
        <f t="shared" si="37"/>
        <v>Số thửaSố thửa565</v>
      </c>
    </row>
    <row r="2412" spans="1:4" x14ac:dyDescent="0.25">
      <c r="A2412" s="25">
        <v>6</v>
      </c>
      <c r="B2412" s="25" t="s">
        <v>1334</v>
      </c>
      <c r="C2412" s="26" t="s">
        <v>1333</v>
      </c>
      <c r="D2412" s="25" t="str">
        <f t="shared" si="37"/>
        <v>Số thửaSố thửa566</v>
      </c>
    </row>
    <row r="2413" spans="1:4" x14ac:dyDescent="0.25">
      <c r="A2413" s="25">
        <v>6</v>
      </c>
      <c r="B2413" s="25" t="s">
        <v>1335</v>
      </c>
      <c r="C2413" s="26" t="s">
        <v>1333</v>
      </c>
      <c r="D2413" s="25" t="str">
        <f t="shared" si="37"/>
        <v>Số thửaSố thửa568</v>
      </c>
    </row>
    <row r="2414" spans="1:4" x14ac:dyDescent="0.25">
      <c r="A2414" s="25">
        <v>6</v>
      </c>
      <c r="B2414" s="25" t="s">
        <v>949</v>
      </c>
      <c r="C2414" s="26" t="s">
        <v>1333</v>
      </c>
      <c r="D2414" s="25" t="str">
        <f t="shared" si="37"/>
        <v>Số thửaSố thửa569</v>
      </c>
    </row>
    <row r="2415" spans="1:4" x14ac:dyDescent="0.25">
      <c r="A2415" s="25">
        <v>6</v>
      </c>
      <c r="B2415" s="25" t="s">
        <v>950</v>
      </c>
      <c r="C2415" s="26" t="s">
        <v>1333</v>
      </c>
      <c r="D2415" s="25" t="str">
        <f t="shared" si="37"/>
        <v>Số thửaSố thửa570</v>
      </c>
    </row>
    <row r="2416" spans="1:4" x14ac:dyDescent="0.25">
      <c r="A2416" s="25">
        <v>6</v>
      </c>
      <c r="B2416" s="25" t="s">
        <v>517</v>
      </c>
      <c r="C2416" s="26" t="s">
        <v>1333</v>
      </c>
      <c r="D2416" s="25" t="str">
        <f t="shared" si="37"/>
        <v>Số thửaSố thửa571</v>
      </c>
    </row>
    <row r="2417" spans="1:4" x14ac:dyDescent="0.25">
      <c r="A2417" s="25">
        <v>6</v>
      </c>
      <c r="B2417" s="25" t="s">
        <v>1156</v>
      </c>
      <c r="C2417" s="26" t="s">
        <v>1333</v>
      </c>
      <c r="D2417" s="25" t="str">
        <f t="shared" si="37"/>
        <v>Số thửaSố thửa572</v>
      </c>
    </row>
    <row r="2418" spans="1:4" x14ac:dyDescent="0.25">
      <c r="A2418" s="25">
        <v>6</v>
      </c>
      <c r="B2418" s="25" t="s">
        <v>188</v>
      </c>
      <c r="C2418" s="26" t="s">
        <v>1333</v>
      </c>
      <c r="D2418" s="25" t="str">
        <f t="shared" si="37"/>
        <v>Số thửaSố thửa573</v>
      </c>
    </row>
    <row r="2419" spans="1:4" x14ac:dyDescent="0.25">
      <c r="A2419" s="25">
        <v>6</v>
      </c>
      <c r="B2419" s="25" t="s">
        <v>507</v>
      </c>
      <c r="C2419" s="26" t="s">
        <v>1333</v>
      </c>
      <c r="D2419" s="25" t="str">
        <f t="shared" si="37"/>
        <v>Số thửaSố thửa574</v>
      </c>
    </row>
    <row r="2420" spans="1:4" x14ac:dyDescent="0.25">
      <c r="A2420" s="25">
        <v>6</v>
      </c>
      <c r="B2420" s="25" t="s">
        <v>508</v>
      </c>
      <c r="C2420" s="26" t="s">
        <v>1336</v>
      </c>
      <c r="D2420" s="25" t="str">
        <f t="shared" si="37"/>
        <v>Số thửaSố thửa575</v>
      </c>
    </row>
    <row r="2421" spans="1:4" x14ac:dyDescent="0.25">
      <c r="A2421" s="25">
        <v>6</v>
      </c>
      <c r="B2421" s="25" t="s">
        <v>518</v>
      </c>
      <c r="C2421" s="26" t="s">
        <v>1336</v>
      </c>
      <c r="D2421" s="25" t="str">
        <f t="shared" si="37"/>
        <v>Số thửaSố thửa576</v>
      </c>
    </row>
    <row r="2422" spans="1:4" x14ac:dyDescent="0.25">
      <c r="A2422" s="25">
        <v>6</v>
      </c>
      <c r="B2422" s="25" t="s">
        <v>952</v>
      </c>
      <c r="C2422" s="26" t="s">
        <v>1336</v>
      </c>
      <c r="D2422" s="25" t="str">
        <f t="shared" si="37"/>
        <v>Số thửaSố thửa612</v>
      </c>
    </row>
    <row r="2423" spans="1:4" x14ac:dyDescent="0.25">
      <c r="A2423" s="25">
        <v>6</v>
      </c>
      <c r="B2423" s="25" t="s">
        <v>974</v>
      </c>
      <c r="C2423" s="26" t="s">
        <v>1336</v>
      </c>
      <c r="D2423" s="25" t="str">
        <f t="shared" si="37"/>
        <v>Số thửaSố thửa613</v>
      </c>
    </row>
    <row r="2424" spans="1:4" x14ac:dyDescent="0.25">
      <c r="A2424" s="25">
        <v>6</v>
      </c>
      <c r="B2424" s="25" t="s">
        <v>265</v>
      </c>
      <c r="C2424" s="26" t="s">
        <v>1336</v>
      </c>
      <c r="D2424" s="25" t="str">
        <f t="shared" si="37"/>
        <v>Số thửaSố thửa614</v>
      </c>
    </row>
    <row r="2425" spans="1:4" x14ac:dyDescent="0.25">
      <c r="A2425" s="25">
        <v>6</v>
      </c>
      <c r="B2425" s="25" t="s">
        <v>1337</v>
      </c>
      <c r="C2425" s="26" t="s">
        <v>1336</v>
      </c>
      <c r="D2425" s="25" t="str">
        <f t="shared" si="37"/>
        <v>Số thửaSố thửa615</v>
      </c>
    </row>
    <row r="2426" spans="1:4" x14ac:dyDescent="0.25">
      <c r="A2426" s="25">
        <v>6</v>
      </c>
      <c r="B2426" s="25" t="s">
        <v>977</v>
      </c>
      <c r="C2426" s="26" t="s">
        <v>1336</v>
      </c>
      <c r="D2426" s="25" t="str">
        <f t="shared" si="37"/>
        <v>Số thửaSố thửa617</v>
      </c>
    </row>
    <row r="2427" spans="1:4" x14ac:dyDescent="0.25">
      <c r="A2427" s="25">
        <v>6</v>
      </c>
      <c r="B2427" s="25" t="s">
        <v>1039</v>
      </c>
      <c r="C2427" s="26" t="s">
        <v>1336</v>
      </c>
      <c r="D2427" s="25" t="str">
        <f t="shared" si="37"/>
        <v>Số thửaSố thửa618</v>
      </c>
    </row>
    <row r="2428" spans="1:4" x14ac:dyDescent="0.25">
      <c r="A2428" s="25">
        <v>6</v>
      </c>
      <c r="B2428" s="25" t="s">
        <v>979</v>
      </c>
      <c r="C2428" s="26" t="s">
        <v>1336</v>
      </c>
      <c r="D2428" s="25" t="str">
        <f t="shared" si="37"/>
        <v>Số thửaSố thửa621</v>
      </c>
    </row>
    <row r="2429" spans="1:4" x14ac:dyDescent="0.25">
      <c r="A2429" s="25">
        <v>6</v>
      </c>
      <c r="B2429" s="25" t="s">
        <v>644</v>
      </c>
      <c r="C2429" s="26" t="s">
        <v>1336</v>
      </c>
      <c r="D2429" s="25" t="str">
        <f t="shared" si="37"/>
        <v>Số thửaSố thửa622</v>
      </c>
    </row>
    <row r="2430" spans="1:4" x14ac:dyDescent="0.25">
      <c r="A2430" s="25">
        <v>6</v>
      </c>
      <c r="B2430" s="25" t="s">
        <v>1252</v>
      </c>
      <c r="C2430" s="26" t="s">
        <v>1336</v>
      </c>
      <c r="D2430" s="25" t="str">
        <f t="shared" si="37"/>
        <v>Số thửaSố thửa623</v>
      </c>
    </row>
    <row r="2431" spans="1:4" x14ac:dyDescent="0.25">
      <c r="A2431" s="25">
        <v>6</v>
      </c>
      <c r="B2431" s="25" t="s">
        <v>1253</v>
      </c>
      <c r="C2431" s="26" t="s">
        <v>1336</v>
      </c>
      <c r="D2431" s="25" t="str">
        <f t="shared" si="37"/>
        <v>Số thửaSố thửa624</v>
      </c>
    </row>
    <row r="2432" spans="1:4" x14ac:dyDescent="0.25">
      <c r="A2432" s="25">
        <v>6</v>
      </c>
      <c r="B2432" s="25" t="s">
        <v>1338</v>
      </c>
      <c r="C2432" s="26" t="s">
        <v>1336</v>
      </c>
      <c r="D2432" s="25" t="str">
        <f t="shared" si="37"/>
        <v>Số thửaSố thửa625</v>
      </c>
    </row>
    <row r="2433" spans="1:4" x14ac:dyDescent="0.25">
      <c r="A2433" s="25">
        <v>6</v>
      </c>
      <c r="B2433" s="25" t="s">
        <v>1267</v>
      </c>
      <c r="C2433" s="26" t="s">
        <v>1336</v>
      </c>
      <c r="D2433" s="25" t="str">
        <f t="shared" si="37"/>
        <v>Số thửaSố thửa626</v>
      </c>
    </row>
    <row r="2434" spans="1:4" x14ac:dyDescent="0.25">
      <c r="A2434" s="25">
        <v>6</v>
      </c>
      <c r="B2434" s="25" t="s">
        <v>1339</v>
      </c>
      <c r="C2434" s="26" t="s">
        <v>1336</v>
      </c>
      <c r="D2434" s="25" t="str">
        <f t="shared" si="37"/>
        <v>Số thửaSố thửa627</v>
      </c>
    </row>
    <row r="2435" spans="1:4" x14ac:dyDescent="0.25">
      <c r="A2435" s="25">
        <v>6</v>
      </c>
      <c r="B2435" s="25" t="s">
        <v>1080</v>
      </c>
      <c r="C2435" s="26" t="s">
        <v>1336</v>
      </c>
      <c r="D2435" s="25" t="str">
        <f t="shared" ref="D2435:D2498" si="38">$B$1&amp;B2435</f>
        <v>Số thửaSố thửa628</v>
      </c>
    </row>
    <row r="2436" spans="1:4" x14ac:dyDescent="0.25">
      <c r="A2436" s="25">
        <v>6</v>
      </c>
      <c r="B2436" s="25" t="s">
        <v>437</v>
      </c>
      <c r="C2436" s="26" t="s">
        <v>1340</v>
      </c>
      <c r="D2436" s="25" t="str">
        <f t="shared" si="38"/>
        <v>Số thửaSố thửa630</v>
      </c>
    </row>
    <row r="2437" spans="1:4" x14ac:dyDescent="0.25">
      <c r="A2437" s="25">
        <v>6</v>
      </c>
      <c r="B2437" s="25" t="s">
        <v>652</v>
      </c>
      <c r="C2437" s="26" t="s">
        <v>1340</v>
      </c>
      <c r="D2437" s="25" t="str">
        <f t="shared" si="38"/>
        <v>Số thửaSố thửa664</v>
      </c>
    </row>
    <row r="2438" spans="1:4" x14ac:dyDescent="0.25">
      <c r="A2438" s="25">
        <v>6</v>
      </c>
      <c r="B2438" s="25" t="s">
        <v>440</v>
      </c>
      <c r="C2438" s="26" t="s">
        <v>1340</v>
      </c>
      <c r="D2438" s="25" t="str">
        <f t="shared" si="38"/>
        <v>Số thửaSố thửa666</v>
      </c>
    </row>
    <row r="2439" spans="1:4" x14ac:dyDescent="0.25">
      <c r="A2439" s="25">
        <v>6</v>
      </c>
      <c r="B2439" s="25" t="s">
        <v>1341</v>
      </c>
      <c r="C2439" s="26" t="s">
        <v>1340</v>
      </c>
      <c r="D2439" s="25" t="str">
        <f t="shared" si="38"/>
        <v>Số thửaSố thửa669</v>
      </c>
    </row>
    <row r="2440" spans="1:4" x14ac:dyDescent="0.25">
      <c r="A2440" s="25">
        <v>6</v>
      </c>
      <c r="B2440" s="25" t="s">
        <v>1342</v>
      </c>
      <c r="C2440" s="26" t="s">
        <v>1343</v>
      </c>
      <c r="D2440" s="25" t="str">
        <f t="shared" si="38"/>
        <v>Số thửaSố thửa672</v>
      </c>
    </row>
    <row r="2441" spans="1:4" x14ac:dyDescent="0.25">
      <c r="A2441" s="25">
        <v>1</v>
      </c>
      <c r="B2441" s="25" t="s">
        <v>462</v>
      </c>
      <c r="C2441" s="26" t="s">
        <v>1344</v>
      </c>
      <c r="D2441" s="25" t="str">
        <f t="shared" si="38"/>
        <v>Số thửaSố thửa75</v>
      </c>
    </row>
    <row r="2442" spans="1:4" x14ac:dyDescent="0.25">
      <c r="A2442" s="25">
        <v>6</v>
      </c>
      <c r="B2442" s="25" t="s">
        <v>632</v>
      </c>
      <c r="C2442" s="26" t="s">
        <v>1345</v>
      </c>
      <c r="D2442" s="25" t="str">
        <f t="shared" si="38"/>
        <v>Số thửaSố thửa54</v>
      </c>
    </row>
    <row r="2443" spans="1:4" x14ac:dyDescent="0.25">
      <c r="A2443" s="25">
        <v>6</v>
      </c>
      <c r="B2443" s="25" t="s">
        <v>471</v>
      </c>
      <c r="C2443" s="26" t="s">
        <v>1345</v>
      </c>
      <c r="D2443" s="25" t="str">
        <f t="shared" si="38"/>
        <v>Số thửaSố thửa107</v>
      </c>
    </row>
    <row r="2444" spans="1:4" x14ac:dyDescent="0.25">
      <c r="A2444" s="25">
        <v>6</v>
      </c>
      <c r="B2444" s="25" t="s">
        <v>372</v>
      </c>
      <c r="C2444" s="26" t="s">
        <v>1345</v>
      </c>
      <c r="D2444" s="25" t="str">
        <f t="shared" si="38"/>
        <v>Số thửaSố thửa109</v>
      </c>
    </row>
    <row r="2445" spans="1:4" x14ac:dyDescent="0.25">
      <c r="A2445" s="25">
        <v>6</v>
      </c>
      <c r="B2445" s="25" t="s">
        <v>705</v>
      </c>
      <c r="C2445" s="26" t="s">
        <v>1345</v>
      </c>
      <c r="D2445" s="25" t="str">
        <f t="shared" si="38"/>
        <v>Số thửaSố thửa135</v>
      </c>
    </row>
    <row r="2446" spans="1:4" x14ac:dyDescent="0.25">
      <c r="A2446" s="25">
        <v>6</v>
      </c>
      <c r="B2446" s="25" t="s">
        <v>1089</v>
      </c>
      <c r="C2446" s="26" t="s">
        <v>1345</v>
      </c>
      <c r="D2446" s="25" t="str">
        <f t="shared" si="38"/>
        <v>Số thửaSố thửa136</v>
      </c>
    </row>
    <row r="2447" spans="1:4" x14ac:dyDescent="0.25">
      <c r="A2447" s="25">
        <v>6</v>
      </c>
      <c r="B2447" s="25" t="s">
        <v>649</v>
      </c>
      <c r="C2447" s="26" t="s">
        <v>1333</v>
      </c>
      <c r="D2447" s="25" t="str">
        <f t="shared" si="38"/>
        <v>Số thửaSố thửa517</v>
      </c>
    </row>
    <row r="2448" spans="1:4" x14ac:dyDescent="0.25">
      <c r="A2448" s="25">
        <v>6</v>
      </c>
      <c r="B2448" s="25" t="s">
        <v>299</v>
      </c>
      <c r="C2448" s="26" t="s">
        <v>1346</v>
      </c>
      <c r="D2448" s="25" t="str">
        <f t="shared" si="38"/>
        <v>Số thửaSố thửa522</v>
      </c>
    </row>
    <row r="2449" spans="1:4" x14ac:dyDescent="0.25">
      <c r="A2449" s="25">
        <v>6</v>
      </c>
      <c r="B2449" s="25" t="s">
        <v>299</v>
      </c>
      <c r="C2449" s="26" t="s">
        <v>1346</v>
      </c>
      <c r="D2449" s="25" t="str">
        <f t="shared" si="38"/>
        <v>Số thửaSố thửa522</v>
      </c>
    </row>
    <row r="2450" spans="1:4" x14ac:dyDescent="0.25">
      <c r="A2450" s="25">
        <v>6</v>
      </c>
      <c r="B2450" s="25" t="s">
        <v>1040</v>
      </c>
      <c r="C2450" s="26" t="s">
        <v>1345</v>
      </c>
      <c r="D2450" s="25" t="str">
        <f t="shared" si="38"/>
        <v>Số thửaSố thửa619</v>
      </c>
    </row>
    <row r="2451" spans="1:4" x14ac:dyDescent="0.25">
      <c r="A2451" s="25">
        <v>6</v>
      </c>
      <c r="B2451" s="25" t="s">
        <v>978</v>
      </c>
      <c r="C2451" s="26" t="s">
        <v>1347</v>
      </c>
      <c r="D2451" s="25" t="str">
        <f t="shared" si="38"/>
        <v>Số thửaSố thửa620</v>
      </c>
    </row>
    <row r="2452" spans="1:4" x14ac:dyDescent="0.25">
      <c r="A2452" s="25">
        <v>6</v>
      </c>
      <c r="B2452" s="25" t="s">
        <v>804</v>
      </c>
      <c r="C2452" s="26" t="s">
        <v>1345</v>
      </c>
      <c r="D2452" s="25" t="str">
        <f t="shared" si="38"/>
        <v>Số thửaSố thửa632</v>
      </c>
    </row>
    <row r="2453" spans="1:4" x14ac:dyDescent="0.25">
      <c r="A2453" s="25">
        <v>6</v>
      </c>
      <c r="B2453" s="25" t="s">
        <v>1255</v>
      </c>
      <c r="C2453" s="26" t="s">
        <v>1345</v>
      </c>
      <c r="D2453" s="25" t="str">
        <f t="shared" si="38"/>
        <v>Số thửaSố thửa663</v>
      </c>
    </row>
    <row r="2454" spans="1:4" x14ac:dyDescent="0.25">
      <c r="A2454" s="25">
        <v>12</v>
      </c>
      <c r="B2454" s="25" t="s">
        <v>763</v>
      </c>
      <c r="C2454" s="26" t="s">
        <v>1348</v>
      </c>
      <c r="D2454" s="25" t="str">
        <f t="shared" si="38"/>
        <v>Số thửaSố thửa86</v>
      </c>
    </row>
    <row r="2455" spans="1:4" x14ac:dyDescent="0.25">
      <c r="A2455" s="25">
        <v>11</v>
      </c>
      <c r="B2455" s="25" t="s">
        <v>106</v>
      </c>
      <c r="C2455" s="26" t="s">
        <v>1349</v>
      </c>
      <c r="D2455" s="25" t="str">
        <f t="shared" si="38"/>
        <v>Số thửaSố thửa116</v>
      </c>
    </row>
    <row r="2456" spans="1:4" x14ac:dyDescent="0.25">
      <c r="A2456" s="25">
        <v>11</v>
      </c>
      <c r="B2456" s="25" t="s">
        <v>912</v>
      </c>
      <c r="C2456" s="26" t="s">
        <v>1350</v>
      </c>
      <c r="D2456" s="25" t="str">
        <f t="shared" si="38"/>
        <v>Số thửaSố thửa121</v>
      </c>
    </row>
    <row r="2457" spans="1:4" x14ac:dyDescent="0.25">
      <c r="A2457" s="25">
        <v>11</v>
      </c>
      <c r="B2457" s="25" t="s">
        <v>375</v>
      </c>
      <c r="C2457" s="26" t="s">
        <v>1351</v>
      </c>
      <c r="D2457" s="25" t="str">
        <f t="shared" si="38"/>
        <v>Số thửaSố thửa123</v>
      </c>
    </row>
    <row r="2458" spans="1:4" x14ac:dyDescent="0.25">
      <c r="A2458" s="25">
        <v>11</v>
      </c>
      <c r="B2458" s="25" t="s">
        <v>375</v>
      </c>
      <c r="C2458" s="26" t="s">
        <v>1351</v>
      </c>
      <c r="D2458" s="25" t="str">
        <f t="shared" si="38"/>
        <v>Số thửaSố thửa123</v>
      </c>
    </row>
    <row r="2459" spans="1:4" x14ac:dyDescent="0.25">
      <c r="A2459" s="25">
        <v>4</v>
      </c>
      <c r="B2459" s="25" t="s">
        <v>275</v>
      </c>
      <c r="C2459" s="26" t="s">
        <v>1352</v>
      </c>
      <c r="D2459" s="25" t="str">
        <f t="shared" si="38"/>
        <v>Số thửaSố thửa24</v>
      </c>
    </row>
    <row r="2460" spans="1:4" x14ac:dyDescent="0.25">
      <c r="A2460" s="25">
        <v>4</v>
      </c>
      <c r="B2460" s="25" t="s">
        <v>1002</v>
      </c>
      <c r="C2460" s="26" t="s">
        <v>1353</v>
      </c>
      <c r="D2460" s="25" t="str">
        <f t="shared" si="38"/>
        <v>Số thửaSố thửa158</v>
      </c>
    </row>
    <row r="2461" spans="1:4" x14ac:dyDescent="0.25">
      <c r="A2461" s="25">
        <v>4</v>
      </c>
      <c r="B2461" s="25" t="s">
        <v>1003</v>
      </c>
      <c r="C2461" s="26" t="s">
        <v>1353</v>
      </c>
      <c r="D2461" s="25" t="str">
        <f t="shared" si="38"/>
        <v>Số thửaSố thửa159</v>
      </c>
    </row>
    <row r="2462" spans="1:4" x14ac:dyDescent="0.25">
      <c r="A2462" s="25">
        <v>4</v>
      </c>
      <c r="B2462" s="25" t="s">
        <v>894</v>
      </c>
      <c r="C2462" s="26" t="s">
        <v>1353</v>
      </c>
      <c r="D2462" s="25" t="str">
        <f t="shared" si="38"/>
        <v>Số thửaSố thửa165</v>
      </c>
    </row>
    <row r="2463" spans="1:4" x14ac:dyDescent="0.25">
      <c r="A2463" s="25">
        <v>4</v>
      </c>
      <c r="B2463" s="25" t="s">
        <v>1102</v>
      </c>
      <c r="C2463" s="26" t="s">
        <v>1354</v>
      </c>
      <c r="D2463" s="25" t="str">
        <f t="shared" si="38"/>
        <v>Số thửaSố thửa166</v>
      </c>
    </row>
    <row r="2464" spans="1:4" x14ac:dyDescent="0.25">
      <c r="A2464" s="25">
        <v>4</v>
      </c>
      <c r="B2464" s="25" t="s">
        <v>829</v>
      </c>
      <c r="C2464" s="26" t="s">
        <v>1353</v>
      </c>
      <c r="D2464" s="25" t="str">
        <f t="shared" si="38"/>
        <v>Số thửaSố thửa167</v>
      </c>
    </row>
    <row r="2465" spans="1:4" x14ac:dyDescent="0.25">
      <c r="A2465" s="25">
        <v>4</v>
      </c>
      <c r="B2465" s="25" t="s">
        <v>86</v>
      </c>
      <c r="C2465" s="26" t="s">
        <v>1353</v>
      </c>
      <c r="D2465" s="25" t="str">
        <f t="shared" si="38"/>
        <v>Số thửaSố thửa220</v>
      </c>
    </row>
    <row r="2466" spans="1:4" x14ac:dyDescent="0.25">
      <c r="A2466" s="25">
        <v>4</v>
      </c>
      <c r="B2466" s="25" t="s">
        <v>676</v>
      </c>
      <c r="C2466" s="26" t="s">
        <v>1354</v>
      </c>
      <c r="D2466" s="25" t="str">
        <f t="shared" si="38"/>
        <v>Số thửaSố thửa226</v>
      </c>
    </row>
    <row r="2467" spans="1:4" x14ac:dyDescent="0.25">
      <c r="A2467" s="25">
        <v>4</v>
      </c>
      <c r="B2467" s="25" t="s">
        <v>222</v>
      </c>
      <c r="C2467" s="26" t="s">
        <v>1353</v>
      </c>
      <c r="D2467" s="25" t="str">
        <f t="shared" si="38"/>
        <v>Số thửaSố thửa227</v>
      </c>
    </row>
    <row r="2468" spans="1:4" x14ac:dyDescent="0.25">
      <c r="A2468" s="25">
        <v>4</v>
      </c>
      <c r="B2468" s="25" t="s">
        <v>387</v>
      </c>
      <c r="C2468" s="26" t="s">
        <v>1353</v>
      </c>
      <c r="D2468" s="25" t="str">
        <f t="shared" si="38"/>
        <v>Số thửaSố thửa228</v>
      </c>
    </row>
    <row r="2469" spans="1:4" x14ac:dyDescent="0.25">
      <c r="A2469" s="25">
        <v>4</v>
      </c>
      <c r="B2469" s="25" t="s">
        <v>56</v>
      </c>
      <c r="C2469" s="26" t="s">
        <v>1353</v>
      </c>
      <c r="D2469" s="25" t="str">
        <f t="shared" si="38"/>
        <v>Số thửaSố thửa229</v>
      </c>
    </row>
    <row r="2470" spans="1:4" x14ac:dyDescent="0.25">
      <c r="A2470" s="25">
        <v>4</v>
      </c>
      <c r="B2470" s="25" t="s">
        <v>1114</v>
      </c>
      <c r="C2470" s="26" t="s">
        <v>1353</v>
      </c>
      <c r="D2470" s="25" t="str">
        <f t="shared" si="38"/>
        <v>Số thửaSố thửa230</v>
      </c>
    </row>
    <row r="2471" spans="1:4" x14ac:dyDescent="0.25">
      <c r="A2471" s="25">
        <v>4</v>
      </c>
      <c r="B2471" s="25" t="s">
        <v>435</v>
      </c>
      <c r="C2471" s="26" t="s">
        <v>1353</v>
      </c>
      <c r="D2471" s="25" t="str">
        <f t="shared" si="38"/>
        <v>Số thửaSố thửa272</v>
      </c>
    </row>
    <row r="2472" spans="1:4" x14ac:dyDescent="0.25">
      <c r="A2472" s="25">
        <v>6</v>
      </c>
      <c r="B2472" s="25" t="s">
        <v>1083</v>
      </c>
      <c r="C2472" s="26" t="s">
        <v>1352</v>
      </c>
      <c r="D2472" s="25" t="str">
        <f t="shared" si="38"/>
        <v>Số thửaSố thửa637</v>
      </c>
    </row>
    <row r="2473" spans="1:4" x14ac:dyDescent="0.25">
      <c r="A2473" s="25">
        <v>7</v>
      </c>
      <c r="B2473" s="25" t="s">
        <v>1115</v>
      </c>
      <c r="C2473" s="26" t="s">
        <v>1352</v>
      </c>
      <c r="D2473" s="25" t="str">
        <f t="shared" si="38"/>
        <v>Số thửaSố thửa251</v>
      </c>
    </row>
    <row r="2474" spans="1:4" x14ac:dyDescent="0.25">
      <c r="A2474" s="25">
        <v>7</v>
      </c>
      <c r="B2474" s="25" t="s">
        <v>1116</v>
      </c>
      <c r="C2474" s="26" t="s">
        <v>1352</v>
      </c>
      <c r="D2474" s="25" t="str">
        <f t="shared" si="38"/>
        <v>Số thửaSố thửa302</v>
      </c>
    </row>
    <row r="2475" spans="1:4" x14ac:dyDescent="0.25">
      <c r="A2475" s="25">
        <v>7</v>
      </c>
      <c r="B2475" s="25" t="s">
        <v>1235</v>
      </c>
      <c r="C2475" s="26" t="s">
        <v>1353</v>
      </c>
      <c r="D2475" s="25" t="str">
        <f t="shared" si="38"/>
        <v>Số thửaSố thửa795</v>
      </c>
    </row>
    <row r="2476" spans="1:4" x14ac:dyDescent="0.25">
      <c r="A2476" s="25">
        <v>7</v>
      </c>
      <c r="B2476" s="25" t="s">
        <v>418</v>
      </c>
      <c r="C2476" s="26" t="s">
        <v>1353</v>
      </c>
      <c r="D2476" s="25" t="str">
        <f t="shared" si="38"/>
        <v>Số thửaSố thửa796</v>
      </c>
    </row>
    <row r="2477" spans="1:4" x14ac:dyDescent="0.25">
      <c r="A2477" s="25">
        <v>7</v>
      </c>
      <c r="B2477" s="25" t="s">
        <v>320</v>
      </c>
      <c r="C2477" s="26" t="s">
        <v>1353</v>
      </c>
      <c r="D2477" s="25" t="str">
        <f t="shared" si="38"/>
        <v>Số thửaSố thửa798</v>
      </c>
    </row>
    <row r="2478" spans="1:4" x14ac:dyDescent="0.25">
      <c r="A2478" s="25">
        <v>7</v>
      </c>
      <c r="B2478" s="25" t="s">
        <v>1355</v>
      </c>
      <c r="C2478" s="26" t="s">
        <v>1353</v>
      </c>
      <c r="D2478" s="25" t="str">
        <f t="shared" si="38"/>
        <v>Số thửaSố thửa799</v>
      </c>
    </row>
    <row r="2479" spans="1:4" x14ac:dyDescent="0.25">
      <c r="A2479" s="25">
        <v>7</v>
      </c>
      <c r="B2479" s="25" t="s">
        <v>1356</v>
      </c>
      <c r="C2479" s="26" t="s">
        <v>1353</v>
      </c>
      <c r="D2479" s="25" t="str">
        <f t="shared" si="38"/>
        <v>Số thửaSố thửa800</v>
      </c>
    </row>
    <row r="2480" spans="1:4" x14ac:dyDescent="0.25">
      <c r="A2480" s="25">
        <v>7</v>
      </c>
      <c r="B2480" s="25" t="s">
        <v>1357</v>
      </c>
      <c r="C2480" s="26" t="s">
        <v>1353</v>
      </c>
      <c r="D2480" s="25" t="str">
        <f t="shared" si="38"/>
        <v>Số thửaSố thửa802</v>
      </c>
    </row>
    <row r="2481" spans="1:4" x14ac:dyDescent="0.25">
      <c r="A2481" s="25">
        <v>7</v>
      </c>
      <c r="B2481" s="25" t="s">
        <v>225</v>
      </c>
      <c r="C2481" s="26" t="s">
        <v>1358</v>
      </c>
      <c r="D2481" s="25" t="str">
        <f t="shared" si="38"/>
        <v>Số thửaSố thửa810</v>
      </c>
    </row>
    <row r="2482" spans="1:4" x14ac:dyDescent="0.25">
      <c r="A2482" s="25">
        <v>7</v>
      </c>
      <c r="B2482" s="25" t="s">
        <v>820</v>
      </c>
      <c r="C2482" s="26" t="s">
        <v>1354</v>
      </c>
      <c r="D2482" s="25" t="str">
        <f t="shared" si="38"/>
        <v>Số thửaSố thửa811</v>
      </c>
    </row>
    <row r="2483" spans="1:4" x14ac:dyDescent="0.25">
      <c r="A2483" s="25">
        <v>7</v>
      </c>
      <c r="B2483" s="25" t="s">
        <v>1303</v>
      </c>
      <c r="C2483" s="26" t="s">
        <v>1354</v>
      </c>
      <c r="D2483" s="25" t="str">
        <f t="shared" si="38"/>
        <v>Số thửaSố thửa812</v>
      </c>
    </row>
    <row r="2484" spans="1:4" x14ac:dyDescent="0.25">
      <c r="A2484" s="25">
        <v>7</v>
      </c>
      <c r="B2484" s="25" t="s">
        <v>419</v>
      </c>
      <c r="C2484" s="26" t="s">
        <v>1358</v>
      </c>
      <c r="D2484" s="25" t="str">
        <f t="shared" si="38"/>
        <v>Số thửaSố thửa813</v>
      </c>
    </row>
    <row r="2485" spans="1:4" x14ac:dyDescent="0.25">
      <c r="A2485" s="25">
        <v>7</v>
      </c>
      <c r="B2485" s="25" t="s">
        <v>1359</v>
      </c>
      <c r="C2485" s="26" t="s">
        <v>1354</v>
      </c>
      <c r="D2485" s="25" t="str">
        <f t="shared" si="38"/>
        <v>Số thửaSố thửa814</v>
      </c>
    </row>
    <row r="2486" spans="1:4" x14ac:dyDescent="0.25">
      <c r="A2486" s="25">
        <v>7</v>
      </c>
      <c r="B2486" s="25" t="s">
        <v>351</v>
      </c>
      <c r="C2486" s="26" t="s">
        <v>1358</v>
      </c>
      <c r="D2486" s="25" t="str">
        <f t="shared" si="38"/>
        <v>Số thửaSố thửa815</v>
      </c>
    </row>
    <row r="2487" spans="1:4" x14ac:dyDescent="0.25">
      <c r="A2487" s="25">
        <v>7</v>
      </c>
      <c r="B2487" s="25" t="s">
        <v>353</v>
      </c>
      <c r="C2487" s="26" t="s">
        <v>1358</v>
      </c>
      <c r="D2487" s="25" t="str">
        <f t="shared" si="38"/>
        <v>Số thửaSố thửa817</v>
      </c>
    </row>
    <row r="2488" spans="1:4" x14ac:dyDescent="0.25">
      <c r="A2488" s="25">
        <v>7</v>
      </c>
      <c r="B2488" s="25" t="s">
        <v>354</v>
      </c>
      <c r="C2488" s="26" t="s">
        <v>1354</v>
      </c>
      <c r="D2488" s="25" t="str">
        <f t="shared" si="38"/>
        <v>Số thửaSố thửa818</v>
      </c>
    </row>
    <row r="2489" spans="1:4" x14ac:dyDescent="0.25">
      <c r="A2489" s="25">
        <v>7</v>
      </c>
      <c r="B2489" s="25" t="s">
        <v>560</v>
      </c>
      <c r="C2489" s="26" t="s">
        <v>1354</v>
      </c>
      <c r="D2489" s="25" t="str">
        <f t="shared" si="38"/>
        <v>Số thửaSố thửa819</v>
      </c>
    </row>
    <row r="2490" spans="1:4" x14ac:dyDescent="0.25">
      <c r="A2490" s="25">
        <v>7</v>
      </c>
      <c r="B2490" s="25" t="s">
        <v>1021</v>
      </c>
      <c r="C2490" s="26" t="s">
        <v>1354</v>
      </c>
      <c r="D2490" s="25" t="str">
        <f t="shared" si="38"/>
        <v>Số thửaSố thửa820</v>
      </c>
    </row>
    <row r="2491" spans="1:4" x14ac:dyDescent="0.25">
      <c r="A2491" s="25">
        <v>7</v>
      </c>
      <c r="B2491" s="25" t="s">
        <v>1023</v>
      </c>
      <c r="C2491" s="26" t="s">
        <v>1354</v>
      </c>
      <c r="D2491" s="25" t="str">
        <f t="shared" si="38"/>
        <v>Số thửaSố thửa821</v>
      </c>
    </row>
    <row r="2492" spans="1:4" x14ac:dyDescent="0.25">
      <c r="A2492" s="25">
        <v>7</v>
      </c>
      <c r="B2492" s="25" t="s">
        <v>234</v>
      </c>
      <c r="C2492" s="26" t="s">
        <v>1358</v>
      </c>
      <c r="D2492" s="25" t="str">
        <f t="shared" si="38"/>
        <v>Số thửaSố thửa841</v>
      </c>
    </row>
    <row r="2493" spans="1:4" x14ac:dyDescent="0.25">
      <c r="A2493" s="25">
        <v>7</v>
      </c>
      <c r="B2493" s="25" t="s">
        <v>235</v>
      </c>
      <c r="C2493" s="26" t="s">
        <v>1354</v>
      </c>
      <c r="D2493" s="25" t="str">
        <f t="shared" si="38"/>
        <v>Số thửaSố thửa842</v>
      </c>
    </row>
    <row r="2494" spans="1:4" x14ac:dyDescent="0.25">
      <c r="A2494" s="25">
        <v>7</v>
      </c>
      <c r="B2494" s="25" t="s">
        <v>236</v>
      </c>
      <c r="C2494" s="26" t="s">
        <v>1358</v>
      </c>
      <c r="D2494" s="25" t="str">
        <f t="shared" si="38"/>
        <v>Số thửaSố thửa843</v>
      </c>
    </row>
    <row r="2495" spans="1:4" x14ac:dyDescent="0.25">
      <c r="A2495" s="25">
        <v>7</v>
      </c>
      <c r="B2495" s="25" t="s">
        <v>237</v>
      </c>
      <c r="C2495" s="26" t="s">
        <v>1358</v>
      </c>
      <c r="D2495" s="25" t="str">
        <f t="shared" si="38"/>
        <v>Số thửaSố thửa844</v>
      </c>
    </row>
    <row r="2496" spans="1:4" x14ac:dyDescent="0.25">
      <c r="A2496" s="25">
        <v>7</v>
      </c>
      <c r="B2496" s="25" t="s">
        <v>238</v>
      </c>
      <c r="C2496" s="26" t="s">
        <v>1358</v>
      </c>
      <c r="D2496" s="25" t="str">
        <f t="shared" si="38"/>
        <v>Số thửaSố thửa845</v>
      </c>
    </row>
    <row r="2497" spans="1:4" x14ac:dyDescent="0.25">
      <c r="A2497" s="25">
        <v>7</v>
      </c>
      <c r="B2497" s="25" t="s">
        <v>1126</v>
      </c>
      <c r="C2497" s="26" t="s">
        <v>1354</v>
      </c>
      <c r="D2497" s="25" t="str">
        <f t="shared" si="38"/>
        <v>Số thửaSố thửa849</v>
      </c>
    </row>
    <row r="2498" spans="1:4" x14ac:dyDescent="0.25">
      <c r="A2498" s="25">
        <v>7</v>
      </c>
      <c r="B2498" s="25" t="s">
        <v>239</v>
      </c>
      <c r="C2498" s="26" t="s">
        <v>1358</v>
      </c>
      <c r="D2498" s="25" t="str">
        <f t="shared" si="38"/>
        <v>Số thửaSố thửa850</v>
      </c>
    </row>
    <row r="2499" spans="1:4" x14ac:dyDescent="0.25">
      <c r="A2499" s="25">
        <v>7</v>
      </c>
      <c r="B2499" s="25" t="s">
        <v>1360</v>
      </c>
      <c r="C2499" s="26" t="s">
        <v>1361</v>
      </c>
      <c r="D2499" s="25" t="str">
        <f t="shared" ref="D2499:D2562" si="39">$B$1&amp;B2499</f>
        <v>Số thửaSố thửa867</v>
      </c>
    </row>
    <row r="2500" spans="1:4" x14ac:dyDescent="0.25">
      <c r="A2500" s="25">
        <v>7</v>
      </c>
      <c r="B2500" s="25" t="s">
        <v>1360</v>
      </c>
      <c r="C2500" s="26" t="s">
        <v>1361</v>
      </c>
      <c r="D2500" s="25" t="str">
        <f t="shared" si="39"/>
        <v>Số thửaSố thửa867</v>
      </c>
    </row>
    <row r="2501" spans="1:4" x14ac:dyDescent="0.25">
      <c r="A2501" s="25">
        <v>7</v>
      </c>
      <c r="B2501" s="25" t="s">
        <v>562</v>
      </c>
      <c r="C2501" s="26" t="s">
        <v>1352</v>
      </c>
      <c r="D2501" s="25" t="str">
        <f t="shared" si="39"/>
        <v>Số thửaSố thửa872</v>
      </c>
    </row>
    <row r="2502" spans="1:4" x14ac:dyDescent="0.25">
      <c r="A2502" s="25">
        <v>1</v>
      </c>
      <c r="B2502" s="25" t="s">
        <v>277</v>
      </c>
      <c r="C2502" s="26" t="s">
        <v>1362</v>
      </c>
      <c r="D2502" s="25" t="str">
        <f t="shared" si="39"/>
        <v>Số thửaSố thửa26</v>
      </c>
    </row>
    <row r="2503" spans="1:4" x14ac:dyDescent="0.25">
      <c r="A2503" s="25">
        <v>6</v>
      </c>
      <c r="B2503" s="25" t="s">
        <v>1087</v>
      </c>
      <c r="C2503" s="26" t="s">
        <v>1363</v>
      </c>
      <c r="D2503" s="25" t="str">
        <f t="shared" si="39"/>
        <v>Số thửaSố thửa738</v>
      </c>
    </row>
    <row r="2504" spans="1:4" x14ac:dyDescent="0.25">
      <c r="A2504" s="25">
        <v>3</v>
      </c>
      <c r="B2504" s="25" t="s">
        <v>224</v>
      </c>
      <c r="C2504" s="26" t="s">
        <v>1364</v>
      </c>
      <c r="D2504" s="25" t="str">
        <f t="shared" si="39"/>
        <v>Số thửaSố thửa237</v>
      </c>
    </row>
    <row r="2505" spans="1:4" x14ac:dyDescent="0.25">
      <c r="A2505" s="25">
        <v>3</v>
      </c>
      <c r="B2505" s="25" t="s">
        <v>92</v>
      </c>
      <c r="C2505" s="26" t="s">
        <v>1364</v>
      </c>
      <c r="D2505" s="25" t="str">
        <f t="shared" si="39"/>
        <v>Số thửaSố thửa238</v>
      </c>
    </row>
    <row r="2506" spans="1:4" x14ac:dyDescent="0.25">
      <c r="A2506" s="25">
        <v>3</v>
      </c>
      <c r="B2506" s="25" t="s">
        <v>93</v>
      </c>
      <c r="C2506" s="26" t="s">
        <v>1364</v>
      </c>
      <c r="D2506" s="25" t="str">
        <f t="shared" si="39"/>
        <v>Số thửaSố thửa239</v>
      </c>
    </row>
    <row r="2507" spans="1:4" x14ac:dyDescent="0.25">
      <c r="A2507" s="25">
        <v>3</v>
      </c>
      <c r="B2507" s="25" t="s">
        <v>94</v>
      </c>
      <c r="C2507" s="26" t="s">
        <v>1364</v>
      </c>
      <c r="D2507" s="25" t="str">
        <f t="shared" si="39"/>
        <v>Số thửaSố thửa240</v>
      </c>
    </row>
    <row r="2508" spans="1:4" x14ac:dyDescent="0.25">
      <c r="A2508" s="25">
        <v>3</v>
      </c>
      <c r="B2508" s="25" t="s">
        <v>95</v>
      </c>
      <c r="C2508" s="26" t="s">
        <v>1364</v>
      </c>
      <c r="D2508" s="25" t="str">
        <f t="shared" si="39"/>
        <v>Số thửaSố thửa241</v>
      </c>
    </row>
    <row r="2509" spans="1:4" x14ac:dyDescent="0.25">
      <c r="A2509" s="25">
        <v>3</v>
      </c>
      <c r="B2509" s="25" t="s">
        <v>715</v>
      </c>
      <c r="C2509" s="26" t="s">
        <v>1364</v>
      </c>
      <c r="D2509" s="25" t="str">
        <f t="shared" si="39"/>
        <v>Số thửaSố thửa309</v>
      </c>
    </row>
    <row r="2510" spans="1:4" x14ac:dyDescent="0.25">
      <c r="A2510" s="25">
        <v>3</v>
      </c>
      <c r="B2510" s="25" t="s">
        <v>404</v>
      </c>
      <c r="C2510" s="26" t="s">
        <v>1364</v>
      </c>
      <c r="D2510" s="25" t="str">
        <f t="shared" si="39"/>
        <v>Số thửaSố thửa310</v>
      </c>
    </row>
    <row r="2511" spans="1:4" x14ac:dyDescent="0.25">
      <c r="A2511" s="25">
        <v>3</v>
      </c>
      <c r="B2511" s="25" t="s">
        <v>405</v>
      </c>
      <c r="C2511" s="26" t="s">
        <v>1365</v>
      </c>
      <c r="D2511" s="25" t="str">
        <f t="shared" si="39"/>
        <v>Số thửaSố thửa311</v>
      </c>
    </row>
    <row r="2512" spans="1:4" x14ac:dyDescent="0.25">
      <c r="A2512" s="25">
        <v>3</v>
      </c>
      <c r="B2512" s="25" t="s">
        <v>671</v>
      </c>
      <c r="C2512" s="26" t="s">
        <v>1364</v>
      </c>
      <c r="D2512" s="25" t="str">
        <f t="shared" si="39"/>
        <v>Số thửaSố thửa314</v>
      </c>
    </row>
    <row r="2513" spans="1:4" x14ac:dyDescent="0.25">
      <c r="A2513" s="25">
        <v>4</v>
      </c>
      <c r="B2513" s="25" t="s">
        <v>706</v>
      </c>
      <c r="C2513" s="26" t="s">
        <v>1365</v>
      </c>
      <c r="D2513" s="25" t="str">
        <f t="shared" si="39"/>
        <v>Số thửaSố thửa161</v>
      </c>
    </row>
    <row r="2514" spans="1:4" x14ac:dyDescent="0.25">
      <c r="A2514" s="25">
        <v>4</v>
      </c>
      <c r="B2514" s="25" t="s">
        <v>707</v>
      </c>
      <c r="C2514" s="26" t="s">
        <v>1365</v>
      </c>
      <c r="D2514" s="25" t="str">
        <f t="shared" si="39"/>
        <v>Số thửaSố thửa162</v>
      </c>
    </row>
    <row r="2515" spans="1:4" x14ac:dyDescent="0.25">
      <c r="A2515" s="25">
        <v>4</v>
      </c>
      <c r="B2515" s="25" t="s">
        <v>709</v>
      </c>
      <c r="C2515" s="26" t="s">
        <v>1365</v>
      </c>
      <c r="D2515" s="25" t="str">
        <f t="shared" si="39"/>
        <v>Số thửaSố thửa164</v>
      </c>
    </row>
    <row r="2516" spans="1:4" x14ac:dyDescent="0.25">
      <c r="A2516" s="25">
        <v>4</v>
      </c>
      <c r="B2516" s="25" t="s">
        <v>81</v>
      </c>
      <c r="C2516" s="26" t="s">
        <v>1365</v>
      </c>
      <c r="D2516" s="25" t="str">
        <f t="shared" si="39"/>
        <v>Số thửaSố thửa214</v>
      </c>
    </row>
    <row r="2517" spans="1:4" x14ac:dyDescent="0.25">
      <c r="A2517" s="25">
        <v>4</v>
      </c>
      <c r="B2517" s="25" t="s">
        <v>88</v>
      </c>
      <c r="C2517" s="26" t="s">
        <v>1365</v>
      </c>
      <c r="D2517" s="25" t="str">
        <f t="shared" si="39"/>
        <v>Số thửaSố thửa222</v>
      </c>
    </row>
    <row r="2518" spans="1:4" x14ac:dyDescent="0.25">
      <c r="A2518" s="25">
        <v>4</v>
      </c>
      <c r="B2518" s="25" t="s">
        <v>89</v>
      </c>
      <c r="C2518" s="26" t="s">
        <v>1365</v>
      </c>
      <c r="D2518" s="25" t="str">
        <f t="shared" si="39"/>
        <v>Số thửaSố thửa223</v>
      </c>
    </row>
    <row r="2519" spans="1:4" x14ac:dyDescent="0.25">
      <c r="A2519" s="25">
        <v>4</v>
      </c>
      <c r="B2519" s="25" t="s">
        <v>90</v>
      </c>
      <c r="C2519" s="26" t="s">
        <v>1365</v>
      </c>
      <c r="D2519" s="25" t="str">
        <f t="shared" si="39"/>
        <v>Số thửaSố thửa225</v>
      </c>
    </row>
    <row r="2520" spans="1:4" x14ac:dyDescent="0.25">
      <c r="A2520" s="25">
        <v>4</v>
      </c>
      <c r="B2520" s="25" t="s">
        <v>388</v>
      </c>
      <c r="C2520" s="26" t="s">
        <v>1365</v>
      </c>
      <c r="D2520" s="25" t="str">
        <f t="shared" si="39"/>
        <v>Số thửaSố thửa233</v>
      </c>
    </row>
    <row r="2521" spans="1:4" x14ac:dyDescent="0.25">
      <c r="A2521" s="25">
        <v>4</v>
      </c>
      <c r="B2521" s="25" t="s">
        <v>389</v>
      </c>
      <c r="C2521" s="26" t="s">
        <v>1365</v>
      </c>
      <c r="D2521" s="25" t="str">
        <f t="shared" si="39"/>
        <v>Số thửaSố thửa234</v>
      </c>
    </row>
    <row r="2522" spans="1:4" x14ac:dyDescent="0.25">
      <c r="A2522" s="25">
        <v>4</v>
      </c>
      <c r="B2522" s="25" t="s">
        <v>390</v>
      </c>
      <c r="C2522" s="26" t="s">
        <v>1365</v>
      </c>
      <c r="D2522" s="25" t="str">
        <f t="shared" si="39"/>
        <v>Số thửaSố thửa235</v>
      </c>
    </row>
    <row r="2523" spans="1:4" x14ac:dyDescent="0.25">
      <c r="A2523" s="25">
        <v>4</v>
      </c>
      <c r="B2523" s="25" t="s">
        <v>486</v>
      </c>
      <c r="C2523" s="26" t="s">
        <v>1365</v>
      </c>
      <c r="D2523" s="25" t="str">
        <f t="shared" si="39"/>
        <v>Số thửaSố thửa265</v>
      </c>
    </row>
    <row r="2524" spans="1:4" x14ac:dyDescent="0.25">
      <c r="A2524" s="25">
        <v>7</v>
      </c>
      <c r="B2524" s="25" t="s">
        <v>470</v>
      </c>
      <c r="C2524" s="26" t="s">
        <v>1366</v>
      </c>
      <c r="D2524" s="25" t="str">
        <f t="shared" si="39"/>
        <v>Số thửaSố thửa96</v>
      </c>
    </row>
    <row r="2525" spans="1:4" x14ac:dyDescent="0.25">
      <c r="A2525" s="25">
        <v>7</v>
      </c>
      <c r="B2525" s="25" t="s">
        <v>109</v>
      </c>
      <c r="C2525" s="26" t="s">
        <v>1366</v>
      </c>
      <c r="D2525" s="25" t="str">
        <f t="shared" si="39"/>
        <v>Số thửaSố thửa139</v>
      </c>
    </row>
    <row r="2526" spans="1:4" x14ac:dyDescent="0.25">
      <c r="A2526" s="25">
        <v>7</v>
      </c>
      <c r="B2526" s="25" t="s">
        <v>510</v>
      </c>
      <c r="C2526" s="26" t="s">
        <v>1366</v>
      </c>
      <c r="D2526" s="25" t="str">
        <f t="shared" si="39"/>
        <v>Số thửaSố thửa149</v>
      </c>
    </row>
    <row r="2527" spans="1:4" x14ac:dyDescent="0.25">
      <c r="A2527" s="25">
        <v>7</v>
      </c>
      <c r="B2527" s="25" t="s">
        <v>511</v>
      </c>
      <c r="C2527" s="26" t="s">
        <v>1366</v>
      </c>
      <c r="D2527" s="25" t="str">
        <f t="shared" si="39"/>
        <v>Số thửaSố thửa150</v>
      </c>
    </row>
    <row r="2528" spans="1:4" x14ac:dyDescent="0.25">
      <c r="A2528" s="25">
        <v>7</v>
      </c>
      <c r="B2528" s="25" t="s">
        <v>580</v>
      </c>
      <c r="C2528" s="26" t="s">
        <v>1366</v>
      </c>
      <c r="D2528" s="25" t="str">
        <f t="shared" si="39"/>
        <v>Số thửaSố thửa300</v>
      </c>
    </row>
    <row r="2529" spans="1:4" x14ac:dyDescent="0.25">
      <c r="A2529" s="25">
        <v>7</v>
      </c>
      <c r="B2529" s="25" t="s">
        <v>735</v>
      </c>
      <c r="C2529" s="26" t="s">
        <v>1366</v>
      </c>
      <c r="D2529" s="25" t="str">
        <f t="shared" si="39"/>
        <v>Số thửaSố thửa338</v>
      </c>
    </row>
    <row r="2530" spans="1:4" x14ac:dyDescent="0.25">
      <c r="A2530" s="25">
        <v>7</v>
      </c>
      <c r="B2530" s="25" t="s">
        <v>1059</v>
      </c>
      <c r="C2530" s="26" t="s">
        <v>1366</v>
      </c>
      <c r="D2530" s="25" t="str">
        <f t="shared" si="39"/>
        <v>Số thửaSố thửa506</v>
      </c>
    </row>
    <row r="2531" spans="1:4" x14ac:dyDescent="0.25">
      <c r="A2531" s="25">
        <v>7</v>
      </c>
      <c r="B2531" s="25" t="s">
        <v>1367</v>
      </c>
      <c r="C2531" s="26" t="s">
        <v>1368</v>
      </c>
      <c r="D2531" s="25" t="str">
        <f t="shared" si="39"/>
        <v>Số thửaSố thửa689</v>
      </c>
    </row>
    <row r="2532" spans="1:4" x14ac:dyDescent="0.25">
      <c r="A2532" s="25">
        <v>7</v>
      </c>
      <c r="B2532" s="25" t="s">
        <v>1367</v>
      </c>
      <c r="C2532" s="26" t="s">
        <v>1368</v>
      </c>
      <c r="D2532" s="25" t="str">
        <f t="shared" si="39"/>
        <v>Số thửaSố thửa689</v>
      </c>
    </row>
    <row r="2533" spans="1:4" x14ac:dyDescent="0.25">
      <c r="A2533" s="25">
        <v>6</v>
      </c>
      <c r="B2533" s="25" t="s">
        <v>727</v>
      </c>
      <c r="C2533" s="26" t="s">
        <v>1369</v>
      </c>
      <c r="D2533" s="25" t="str">
        <f t="shared" si="39"/>
        <v>Số thửaSố thửa256</v>
      </c>
    </row>
    <row r="2534" spans="1:4" x14ac:dyDescent="0.25">
      <c r="A2534" s="25">
        <v>6</v>
      </c>
      <c r="B2534" s="25" t="s">
        <v>727</v>
      </c>
      <c r="C2534" s="26" t="s">
        <v>1369</v>
      </c>
      <c r="D2534" s="25" t="str">
        <f t="shared" si="39"/>
        <v>Số thửaSố thửa256</v>
      </c>
    </row>
    <row r="2535" spans="1:4" x14ac:dyDescent="0.25">
      <c r="A2535" s="25">
        <v>4</v>
      </c>
      <c r="B2535" s="25" t="s">
        <v>414</v>
      </c>
      <c r="C2535" s="26" t="s">
        <v>1370</v>
      </c>
      <c r="D2535" s="25" t="str">
        <f t="shared" si="39"/>
        <v>Số thửaSố thửa38</v>
      </c>
    </row>
    <row r="2536" spans="1:4" x14ac:dyDescent="0.25">
      <c r="A2536" s="25">
        <v>3</v>
      </c>
      <c r="B2536" s="25" t="s">
        <v>788</v>
      </c>
      <c r="C2536" s="26" t="s">
        <v>1371</v>
      </c>
      <c r="D2536" s="25" t="str">
        <f t="shared" si="39"/>
        <v>Số thửaSố thửa18</v>
      </c>
    </row>
    <row r="2537" spans="1:4" x14ac:dyDescent="0.25">
      <c r="A2537" s="25">
        <v>3</v>
      </c>
      <c r="B2537" s="25" t="s">
        <v>273</v>
      </c>
      <c r="C2537" s="26" t="s">
        <v>1372</v>
      </c>
      <c r="D2537" s="25" t="str">
        <f t="shared" si="39"/>
        <v>Số thửaSố thửa22</v>
      </c>
    </row>
    <row r="2538" spans="1:4" x14ac:dyDescent="0.25">
      <c r="A2538" s="25">
        <v>3</v>
      </c>
      <c r="B2538" s="25" t="s">
        <v>70</v>
      </c>
      <c r="C2538" s="26" t="s">
        <v>1373</v>
      </c>
      <c r="D2538" s="25" t="str">
        <f t="shared" si="39"/>
        <v>Số thửaSố thửa82</v>
      </c>
    </row>
    <row r="2539" spans="1:4" x14ac:dyDescent="0.25">
      <c r="A2539" s="25">
        <v>6</v>
      </c>
      <c r="B2539" s="25" t="s">
        <v>1374</v>
      </c>
      <c r="C2539" s="26" t="s">
        <v>1375</v>
      </c>
      <c r="D2539" s="25" t="str">
        <f t="shared" si="39"/>
        <v>Số thửaSố thửa479</v>
      </c>
    </row>
    <row r="2540" spans="1:4" x14ac:dyDescent="0.25">
      <c r="A2540" s="25">
        <v>3</v>
      </c>
      <c r="B2540" s="25" t="s">
        <v>628</v>
      </c>
      <c r="C2540" s="26" t="s">
        <v>1376</v>
      </c>
      <c r="D2540" s="25" t="str">
        <f t="shared" si="39"/>
        <v>Số thửaSố thửa5</v>
      </c>
    </row>
    <row r="2541" spans="1:4" x14ac:dyDescent="0.25">
      <c r="A2541" s="25">
        <v>3</v>
      </c>
      <c r="B2541" s="25" t="s">
        <v>653</v>
      </c>
      <c r="C2541" s="26" t="s">
        <v>1377</v>
      </c>
      <c r="D2541" s="25" t="str">
        <f t="shared" si="39"/>
        <v>Số thửaSố thửa177</v>
      </c>
    </row>
    <row r="2542" spans="1:4" x14ac:dyDescent="0.25">
      <c r="A2542" s="25">
        <v>3</v>
      </c>
      <c r="B2542" s="25" t="s">
        <v>112</v>
      </c>
      <c r="C2542" s="26" t="s">
        <v>1377</v>
      </c>
      <c r="D2542" s="25" t="str">
        <f t="shared" si="39"/>
        <v>Số thửaSố thửa185</v>
      </c>
    </row>
    <row r="2543" spans="1:4" x14ac:dyDescent="0.25">
      <c r="A2543" s="25">
        <v>3</v>
      </c>
      <c r="B2543" s="25" t="s">
        <v>1251</v>
      </c>
      <c r="C2543" s="26" t="s">
        <v>1377</v>
      </c>
      <c r="D2543" s="25" t="str">
        <f t="shared" si="39"/>
        <v>Số thửaSố thửa211</v>
      </c>
    </row>
    <row r="2544" spans="1:4" x14ac:dyDescent="0.25">
      <c r="A2544" s="25">
        <v>3</v>
      </c>
      <c r="B2544" s="25" t="s">
        <v>85</v>
      </c>
      <c r="C2544" s="26" t="s">
        <v>1377</v>
      </c>
      <c r="D2544" s="25" t="str">
        <f t="shared" si="39"/>
        <v>Số thửaSố thửa219</v>
      </c>
    </row>
    <row r="2545" spans="1:4" x14ac:dyDescent="0.25">
      <c r="A2545" s="25">
        <v>3</v>
      </c>
      <c r="B2545" s="25" t="s">
        <v>990</v>
      </c>
      <c r="C2545" s="26" t="s">
        <v>1378</v>
      </c>
      <c r="D2545" s="25" t="str">
        <f t="shared" si="39"/>
        <v>Số thửaSố thửa194</v>
      </c>
    </row>
    <row r="2546" spans="1:4" x14ac:dyDescent="0.25">
      <c r="A2546" s="25">
        <v>3</v>
      </c>
      <c r="B2546" s="25" t="s">
        <v>390</v>
      </c>
      <c r="C2546" s="26" t="s">
        <v>1378</v>
      </c>
      <c r="D2546" s="25" t="str">
        <f t="shared" si="39"/>
        <v>Số thửaSố thửa235</v>
      </c>
    </row>
    <row r="2547" spans="1:4" x14ac:dyDescent="0.25">
      <c r="A2547" s="25">
        <v>6</v>
      </c>
      <c r="B2547" s="25" t="s">
        <v>729</v>
      </c>
      <c r="C2547" s="26" t="s">
        <v>1378</v>
      </c>
      <c r="D2547" s="25" t="str">
        <f t="shared" si="39"/>
        <v>Số thửaSố thửa278</v>
      </c>
    </row>
    <row r="2548" spans="1:4" x14ac:dyDescent="0.25">
      <c r="A2548" s="25">
        <v>7</v>
      </c>
      <c r="B2548" s="25" t="s">
        <v>314</v>
      </c>
      <c r="C2548" s="26" t="s">
        <v>1378</v>
      </c>
      <c r="D2548" s="25" t="str">
        <f t="shared" si="39"/>
        <v>Số thửaSố thửa98</v>
      </c>
    </row>
    <row r="2549" spans="1:4" x14ac:dyDescent="0.25">
      <c r="A2549" s="25">
        <v>3</v>
      </c>
      <c r="B2549" s="25" t="s">
        <v>104</v>
      </c>
      <c r="C2549" s="26" t="s">
        <v>1379</v>
      </c>
      <c r="D2549" s="25" t="str">
        <f t="shared" si="39"/>
        <v>Số thửaSố thửa81</v>
      </c>
    </row>
    <row r="2550" spans="1:4" x14ac:dyDescent="0.25">
      <c r="A2550" s="25">
        <v>3</v>
      </c>
      <c r="B2550" s="25" t="s">
        <v>104</v>
      </c>
      <c r="C2550" s="26" t="s">
        <v>1379</v>
      </c>
      <c r="D2550" s="25" t="str">
        <f t="shared" si="39"/>
        <v>Số thửaSố thửa81</v>
      </c>
    </row>
    <row r="2551" spans="1:4" x14ac:dyDescent="0.25">
      <c r="A2551" s="25">
        <v>2</v>
      </c>
      <c r="B2551" s="25" t="s">
        <v>632</v>
      </c>
      <c r="C2551" s="26" t="s">
        <v>1380</v>
      </c>
      <c r="D2551" s="25" t="str">
        <f t="shared" si="39"/>
        <v>Số thửaSố thửa54</v>
      </c>
    </row>
    <row r="2552" spans="1:4" x14ac:dyDescent="0.25">
      <c r="A2552" s="25">
        <v>3</v>
      </c>
      <c r="B2552" s="25" t="s">
        <v>102</v>
      </c>
      <c r="C2552" s="26" t="s">
        <v>1380</v>
      </c>
      <c r="D2552" s="25" t="str">
        <f t="shared" si="39"/>
        <v>Số thửaSố thửa43</v>
      </c>
    </row>
    <row r="2553" spans="1:4" x14ac:dyDescent="0.25">
      <c r="A2553" s="25">
        <v>3</v>
      </c>
      <c r="B2553" s="25" t="s">
        <v>161</v>
      </c>
      <c r="C2553" s="26" t="s">
        <v>1381</v>
      </c>
      <c r="D2553" s="25" t="str">
        <f t="shared" si="39"/>
        <v>Số thửaSố thửa51</v>
      </c>
    </row>
    <row r="2554" spans="1:4" x14ac:dyDescent="0.25">
      <c r="A2554" s="25">
        <v>3</v>
      </c>
      <c r="B2554" s="25" t="s">
        <v>643</v>
      </c>
      <c r="C2554" s="26" t="s">
        <v>1381</v>
      </c>
      <c r="D2554" s="25" t="str">
        <f t="shared" si="39"/>
        <v>Số thửaSố thửa63</v>
      </c>
    </row>
    <row r="2555" spans="1:4" x14ac:dyDescent="0.25">
      <c r="A2555" s="25">
        <v>3</v>
      </c>
      <c r="B2555" s="25" t="s">
        <v>463</v>
      </c>
      <c r="C2555" s="26" t="s">
        <v>1382</v>
      </c>
      <c r="D2555" s="25" t="str">
        <f t="shared" si="39"/>
        <v>Số thửaSố thửa76</v>
      </c>
    </row>
    <row r="2556" spans="1:4" x14ac:dyDescent="0.25">
      <c r="A2556" s="25">
        <v>3</v>
      </c>
      <c r="B2556" s="25" t="s">
        <v>463</v>
      </c>
      <c r="C2556" s="26" t="s">
        <v>1382</v>
      </c>
      <c r="D2556" s="25" t="str">
        <f t="shared" si="39"/>
        <v>Số thửaSố thửa76</v>
      </c>
    </row>
    <row r="2557" spans="1:4" x14ac:dyDescent="0.25">
      <c r="A2557" s="25">
        <v>3</v>
      </c>
      <c r="B2557" s="25" t="s">
        <v>374</v>
      </c>
      <c r="C2557" s="26" t="s">
        <v>1380</v>
      </c>
      <c r="D2557" s="25" t="str">
        <f t="shared" si="39"/>
        <v>Số thửaSố thửa117</v>
      </c>
    </row>
    <row r="2558" spans="1:4" x14ac:dyDescent="0.25">
      <c r="A2558" s="25">
        <v>3</v>
      </c>
      <c r="B2558" s="25" t="s">
        <v>942</v>
      </c>
      <c r="C2558" s="26" t="s">
        <v>1383</v>
      </c>
      <c r="D2558" s="25" t="str">
        <f t="shared" si="39"/>
        <v>Số thửaSố thửa176</v>
      </c>
    </row>
    <row r="2559" spans="1:4" x14ac:dyDescent="0.25">
      <c r="A2559" s="25">
        <v>3</v>
      </c>
      <c r="B2559" s="25" t="s">
        <v>895</v>
      </c>
      <c r="C2559" s="26" t="s">
        <v>1381</v>
      </c>
      <c r="D2559" s="25" t="str">
        <f t="shared" si="39"/>
        <v>Số thửaSố thửa179</v>
      </c>
    </row>
    <row r="2560" spans="1:4" x14ac:dyDescent="0.25">
      <c r="A2560" s="25">
        <v>3</v>
      </c>
      <c r="B2560" s="25" t="s">
        <v>549</v>
      </c>
      <c r="C2560" s="26" t="s">
        <v>1381</v>
      </c>
      <c r="D2560" s="25" t="str">
        <f t="shared" si="39"/>
        <v>Số thửaSố thửa187</v>
      </c>
    </row>
    <row r="2561" spans="1:4" x14ac:dyDescent="0.25">
      <c r="A2561" s="25">
        <v>3</v>
      </c>
      <c r="B2561" s="25" t="s">
        <v>385</v>
      </c>
      <c r="C2561" s="26" t="s">
        <v>1381</v>
      </c>
      <c r="D2561" s="25" t="str">
        <f t="shared" si="39"/>
        <v>Số thửaSố thửa208</v>
      </c>
    </row>
    <row r="2562" spans="1:4" x14ac:dyDescent="0.25">
      <c r="A2562" s="25">
        <v>6</v>
      </c>
      <c r="B2562" s="25" t="s">
        <v>1384</v>
      </c>
      <c r="C2562" s="26" t="s">
        <v>1385</v>
      </c>
      <c r="D2562" s="25" t="str">
        <f t="shared" si="39"/>
        <v>Số thửaSố thửa911</v>
      </c>
    </row>
    <row r="2563" spans="1:4" x14ac:dyDescent="0.25">
      <c r="A2563" s="25">
        <v>11</v>
      </c>
      <c r="B2563" s="25" t="s">
        <v>271</v>
      </c>
      <c r="C2563" s="26" t="s">
        <v>1386</v>
      </c>
      <c r="D2563" s="25" t="str">
        <f t="shared" ref="D2563:D2626" si="40">$B$1&amp;B2563</f>
        <v>Số thửaSố thửa17</v>
      </c>
    </row>
    <row r="2564" spans="1:4" x14ac:dyDescent="0.25">
      <c r="A2564" s="25">
        <v>11</v>
      </c>
      <c r="B2564" s="25" t="s">
        <v>469</v>
      </c>
      <c r="C2564" s="26" t="s">
        <v>1386</v>
      </c>
      <c r="D2564" s="25" t="str">
        <f t="shared" si="40"/>
        <v>Số thửaSố thửa94</v>
      </c>
    </row>
    <row r="2565" spans="1:4" x14ac:dyDescent="0.25">
      <c r="A2565" s="25">
        <v>11</v>
      </c>
      <c r="B2565" s="25" t="s">
        <v>100</v>
      </c>
      <c r="C2565" s="26" t="s">
        <v>1385</v>
      </c>
      <c r="D2565" s="25" t="str">
        <f t="shared" si="40"/>
        <v>Số thửaSố thửa112</v>
      </c>
    </row>
    <row r="2566" spans="1:4" x14ac:dyDescent="0.25">
      <c r="A2566" s="25">
        <v>3</v>
      </c>
      <c r="B2566" s="25" t="s">
        <v>904</v>
      </c>
      <c r="C2566" s="26" t="s">
        <v>1387</v>
      </c>
      <c r="D2566" s="25" t="str">
        <f t="shared" si="40"/>
        <v>Số thửaSố thửa84</v>
      </c>
    </row>
    <row r="2567" spans="1:4" x14ac:dyDescent="0.25">
      <c r="A2567" s="25">
        <v>3</v>
      </c>
      <c r="B2567" s="25" t="s">
        <v>904</v>
      </c>
      <c r="C2567" s="26" t="s">
        <v>1387</v>
      </c>
      <c r="D2567" s="25" t="str">
        <f t="shared" si="40"/>
        <v>Số thửaSố thửa84</v>
      </c>
    </row>
    <row r="2568" spans="1:4" x14ac:dyDescent="0.25">
      <c r="A2568" s="25">
        <v>1</v>
      </c>
      <c r="B2568" s="25" t="s">
        <v>256</v>
      </c>
      <c r="C2568" s="26" t="s">
        <v>1388</v>
      </c>
      <c r="D2568" s="25" t="str">
        <f t="shared" si="40"/>
        <v>Số thửaSố thửa47</v>
      </c>
    </row>
    <row r="2569" spans="1:4" x14ac:dyDescent="0.25">
      <c r="A2569" s="25">
        <v>2</v>
      </c>
      <c r="B2569" s="25" t="s">
        <v>63</v>
      </c>
      <c r="C2569" s="26" t="s">
        <v>1389</v>
      </c>
      <c r="D2569" s="25" t="str">
        <f t="shared" si="40"/>
        <v>Số thửaSố thửa56</v>
      </c>
    </row>
    <row r="2570" spans="1:4" x14ac:dyDescent="0.25">
      <c r="A2570" s="25">
        <v>3</v>
      </c>
      <c r="B2570" s="25" t="s">
        <v>414</v>
      </c>
      <c r="C2570" s="26" t="s">
        <v>1389</v>
      </c>
      <c r="D2570" s="25" t="str">
        <f t="shared" si="40"/>
        <v>Số thửaSố thửa38</v>
      </c>
    </row>
    <row r="2571" spans="1:4" x14ac:dyDescent="0.25">
      <c r="A2571" s="25">
        <v>3</v>
      </c>
      <c r="B2571" s="25" t="s">
        <v>658</v>
      </c>
      <c r="C2571" s="26" t="s">
        <v>1390</v>
      </c>
      <c r="D2571" s="25" t="str">
        <f t="shared" si="40"/>
        <v>Số thửaSố thửa65</v>
      </c>
    </row>
    <row r="2572" spans="1:4" x14ac:dyDescent="0.25">
      <c r="A2572" s="25">
        <v>3</v>
      </c>
      <c r="B2572" s="25" t="s">
        <v>658</v>
      </c>
      <c r="C2572" s="26" t="s">
        <v>1390</v>
      </c>
      <c r="D2572" s="25" t="str">
        <f t="shared" si="40"/>
        <v>Số thửaSố thửa65</v>
      </c>
    </row>
    <row r="2573" spans="1:4" x14ac:dyDescent="0.25">
      <c r="A2573" s="25">
        <v>3</v>
      </c>
      <c r="B2573" s="25" t="s">
        <v>196</v>
      </c>
      <c r="C2573" s="26" t="s">
        <v>1391</v>
      </c>
      <c r="D2573" s="25" t="str">
        <f t="shared" si="40"/>
        <v>Số thửaSố thửa50</v>
      </c>
    </row>
    <row r="2574" spans="1:4" x14ac:dyDescent="0.25">
      <c r="A2574" s="25">
        <v>3</v>
      </c>
      <c r="B2574" s="25" t="s">
        <v>1064</v>
      </c>
      <c r="C2574" s="26" t="s">
        <v>1391</v>
      </c>
      <c r="D2574" s="25" t="str">
        <f t="shared" si="40"/>
        <v>Số thửaSố thửa74</v>
      </c>
    </row>
    <row r="2575" spans="1:4" x14ac:dyDescent="0.25">
      <c r="A2575" s="25">
        <v>3</v>
      </c>
      <c r="B2575" s="25" t="s">
        <v>693</v>
      </c>
      <c r="C2575" s="26" t="s">
        <v>1392</v>
      </c>
      <c r="D2575" s="25" t="str">
        <f t="shared" si="40"/>
        <v>Số thửaSố thửa115</v>
      </c>
    </row>
    <row r="2576" spans="1:4" x14ac:dyDescent="0.25">
      <c r="A2576" s="25">
        <v>3</v>
      </c>
      <c r="B2576" s="25" t="s">
        <v>693</v>
      </c>
      <c r="C2576" s="26" t="s">
        <v>1392</v>
      </c>
      <c r="D2576" s="25" t="str">
        <f t="shared" si="40"/>
        <v>Số thửaSố thửa115</v>
      </c>
    </row>
    <row r="2577" spans="1:4" x14ac:dyDescent="0.25">
      <c r="A2577" s="25">
        <v>3</v>
      </c>
      <c r="B2577" s="25" t="s">
        <v>457</v>
      </c>
      <c r="C2577" s="26" t="s">
        <v>1393</v>
      </c>
      <c r="D2577" s="25" t="str">
        <f t="shared" si="40"/>
        <v>Số thửaSố thửa10</v>
      </c>
    </row>
    <row r="2578" spans="1:4" x14ac:dyDescent="0.25">
      <c r="A2578" s="25">
        <v>6</v>
      </c>
      <c r="B2578" s="25" t="s">
        <v>1394</v>
      </c>
      <c r="C2578" s="26" t="s">
        <v>1395</v>
      </c>
      <c r="D2578" s="25" t="str">
        <f t="shared" si="40"/>
        <v>Số thửaSố thửa903</v>
      </c>
    </row>
    <row r="2579" spans="1:4" x14ac:dyDescent="0.25">
      <c r="A2579" s="25">
        <v>6</v>
      </c>
      <c r="B2579" s="25" t="s">
        <v>1394</v>
      </c>
      <c r="C2579" s="26" t="s">
        <v>1395</v>
      </c>
      <c r="D2579" s="25" t="str">
        <f t="shared" si="40"/>
        <v>Số thửaSố thửa903</v>
      </c>
    </row>
    <row r="2580" spans="1:4" x14ac:dyDescent="0.25">
      <c r="A2580" s="25">
        <v>11</v>
      </c>
      <c r="B2580" s="25" t="s">
        <v>60</v>
      </c>
      <c r="C2580" s="26" t="s">
        <v>1396</v>
      </c>
      <c r="D2580" s="25" t="str">
        <f t="shared" si="40"/>
        <v>Số thửaSố thửa7</v>
      </c>
    </row>
    <row r="2581" spans="1:4" x14ac:dyDescent="0.25">
      <c r="A2581" s="25">
        <v>11</v>
      </c>
      <c r="B2581" s="25" t="s">
        <v>127</v>
      </c>
      <c r="C2581" s="26" t="s">
        <v>1397</v>
      </c>
      <c r="D2581" s="25" t="str">
        <f t="shared" si="40"/>
        <v>Số thửaSố thửa15</v>
      </c>
    </row>
    <row r="2582" spans="1:4" x14ac:dyDescent="0.25">
      <c r="A2582" s="25">
        <v>3</v>
      </c>
      <c r="B2582" s="25" t="s">
        <v>97</v>
      </c>
      <c r="C2582" s="26" t="s">
        <v>1398</v>
      </c>
      <c r="D2582" s="25" t="str">
        <f t="shared" si="40"/>
        <v>Số thửaSố thửa243</v>
      </c>
    </row>
    <row r="2583" spans="1:4" x14ac:dyDescent="0.25">
      <c r="A2583" s="25">
        <v>3</v>
      </c>
      <c r="B2583" s="25" t="s">
        <v>817</v>
      </c>
      <c r="C2583" s="26" t="s">
        <v>1398</v>
      </c>
      <c r="D2583" s="25" t="str">
        <f t="shared" si="40"/>
        <v>Số thửaSố thửa244</v>
      </c>
    </row>
    <row r="2584" spans="1:4" x14ac:dyDescent="0.25">
      <c r="A2584" s="25">
        <v>3</v>
      </c>
      <c r="B2584" s="25" t="s">
        <v>956</v>
      </c>
      <c r="C2584" s="26" t="s">
        <v>1398</v>
      </c>
      <c r="D2584" s="25" t="str">
        <f t="shared" si="40"/>
        <v>Số thửaSố thửa245</v>
      </c>
    </row>
    <row r="2585" spans="1:4" x14ac:dyDescent="0.25">
      <c r="A2585" s="25">
        <v>3</v>
      </c>
      <c r="B2585" s="25" t="s">
        <v>937</v>
      </c>
      <c r="C2585" s="26" t="s">
        <v>1398</v>
      </c>
      <c r="D2585" s="25" t="str">
        <f t="shared" si="40"/>
        <v>Số thửaSố thửa248</v>
      </c>
    </row>
    <row r="2586" spans="1:4" x14ac:dyDescent="0.25">
      <c r="A2586" s="25">
        <v>3</v>
      </c>
      <c r="B2586" s="25" t="s">
        <v>140</v>
      </c>
      <c r="C2586" s="26" t="s">
        <v>1398</v>
      </c>
      <c r="D2586" s="25" t="str">
        <f t="shared" si="40"/>
        <v>Số thửaSố thửa307</v>
      </c>
    </row>
    <row r="2587" spans="1:4" x14ac:dyDescent="0.25">
      <c r="A2587" s="25">
        <v>3</v>
      </c>
      <c r="B2587" s="25" t="s">
        <v>713</v>
      </c>
      <c r="C2587" s="26" t="s">
        <v>1398</v>
      </c>
      <c r="D2587" s="25" t="str">
        <f t="shared" si="40"/>
        <v>Số thửaSố thửa308</v>
      </c>
    </row>
    <row r="2588" spans="1:4" x14ac:dyDescent="0.25">
      <c r="A2588" s="25">
        <v>3</v>
      </c>
      <c r="B2588" s="25" t="s">
        <v>367</v>
      </c>
      <c r="C2588" s="26" t="s">
        <v>1398</v>
      </c>
      <c r="D2588" s="25" t="str">
        <f t="shared" si="40"/>
        <v>Số thửaSố thửa321</v>
      </c>
    </row>
    <row r="2589" spans="1:4" x14ac:dyDescent="0.25">
      <c r="A2589" s="25">
        <v>3</v>
      </c>
      <c r="B2589" s="25" t="s">
        <v>698</v>
      </c>
      <c r="C2589" s="26" t="s">
        <v>1398</v>
      </c>
      <c r="D2589" s="25" t="str">
        <f t="shared" si="40"/>
        <v>Số thửaSố thửa323</v>
      </c>
    </row>
    <row r="2590" spans="1:4" x14ac:dyDescent="0.25">
      <c r="A2590" s="25">
        <v>3</v>
      </c>
      <c r="B2590" s="25" t="s">
        <v>811</v>
      </c>
      <c r="C2590" s="26" t="s">
        <v>1398</v>
      </c>
      <c r="D2590" s="25" t="str">
        <f t="shared" si="40"/>
        <v>Số thửaSố thửa357</v>
      </c>
    </row>
    <row r="2591" spans="1:4" x14ac:dyDescent="0.25">
      <c r="A2591" s="25">
        <v>4</v>
      </c>
      <c r="B2591" s="25" t="s">
        <v>719</v>
      </c>
      <c r="C2591" s="26" t="s">
        <v>1398</v>
      </c>
      <c r="D2591" s="25" t="str">
        <f t="shared" si="40"/>
        <v>Số thửaSố thửa157</v>
      </c>
    </row>
    <row r="2592" spans="1:4" x14ac:dyDescent="0.25">
      <c r="A2592" s="25">
        <v>4</v>
      </c>
      <c r="B2592" s="25" t="s">
        <v>942</v>
      </c>
      <c r="C2592" s="26" t="s">
        <v>1398</v>
      </c>
      <c r="D2592" s="25" t="str">
        <f t="shared" si="40"/>
        <v>Số thửaSố thửa176</v>
      </c>
    </row>
    <row r="2593" spans="1:4" x14ac:dyDescent="0.25">
      <c r="A2593" s="25">
        <v>4</v>
      </c>
      <c r="B2593" s="25" t="s">
        <v>653</v>
      </c>
      <c r="C2593" s="26" t="s">
        <v>1398</v>
      </c>
      <c r="D2593" s="25" t="str">
        <f t="shared" si="40"/>
        <v>Số thửaSố thửa177</v>
      </c>
    </row>
    <row r="2594" spans="1:4" x14ac:dyDescent="0.25">
      <c r="A2594" s="25">
        <v>4</v>
      </c>
      <c r="B2594" s="25" t="s">
        <v>1006</v>
      </c>
      <c r="C2594" s="26" t="s">
        <v>1398</v>
      </c>
      <c r="D2594" s="25" t="str">
        <f t="shared" si="40"/>
        <v>Số thửaSố thửa178</v>
      </c>
    </row>
    <row r="2595" spans="1:4" x14ac:dyDescent="0.25">
      <c r="A2595" s="25">
        <v>4</v>
      </c>
      <c r="B2595" s="25" t="s">
        <v>955</v>
      </c>
      <c r="C2595" s="26" t="s">
        <v>1398</v>
      </c>
      <c r="D2595" s="25" t="str">
        <f t="shared" si="40"/>
        <v>Số thửaSố thửa212</v>
      </c>
    </row>
    <row r="2596" spans="1:4" x14ac:dyDescent="0.25">
      <c r="A2596" s="25">
        <v>4</v>
      </c>
      <c r="B2596" s="25" t="s">
        <v>1071</v>
      </c>
      <c r="C2596" s="26" t="s">
        <v>1398</v>
      </c>
      <c r="D2596" s="25" t="str">
        <f t="shared" si="40"/>
        <v>Số thửaSố thửa213</v>
      </c>
    </row>
    <row r="2597" spans="1:4" x14ac:dyDescent="0.25">
      <c r="A2597" s="25">
        <v>7</v>
      </c>
      <c r="B2597" s="25" t="s">
        <v>1102</v>
      </c>
      <c r="C2597" s="26" t="s">
        <v>1398</v>
      </c>
      <c r="D2597" s="25" t="str">
        <f t="shared" si="40"/>
        <v>Số thửaSố thửa166</v>
      </c>
    </row>
    <row r="2598" spans="1:4" x14ac:dyDescent="0.25">
      <c r="A2598" s="25">
        <v>7</v>
      </c>
      <c r="B2598" s="25" t="s">
        <v>829</v>
      </c>
      <c r="C2598" s="26" t="s">
        <v>1399</v>
      </c>
      <c r="D2598" s="25" t="str">
        <f t="shared" si="40"/>
        <v>Số thửaSố thửa167</v>
      </c>
    </row>
    <row r="2599" spans="1:4" x14ac:dyDescent="0.25">
      <c r="A2599" s="25">
        <v>7</v>
      </c>
      <c r="B2599" s="25" t="s">
        <v>73</v>
      </c>
      <c r="C2599" s="26" t="s">
        <v>1399</v>
      </c>
      <c r="D2599" s="25" t="str">
        <f t="shared" si="40"/>
        <v>Số thửaSố thửa168</v>
      </c>
    </row>
    <row r="2600" spans="1:4" x14ac:dyDescent="0.25">
      <c r="A2600" s="25">
        <v>7</v>
      </c>
      <c r="B2600" s="25" t="s">
        <v>399</v>
      </c>
      <c r="C2600" s="26" t="s">
        <v>1399</v>
      </c>
      <c r="D2600" s="25" t="str">
        <f t="shared" si="40"/>
        <v>Số thửaSố thửa173</v>
      </c>
    </row>
    <row r="2601" spans="1:4" x14ac:dyDescent="0.25">
      <c r="A2601" s="25">
        <v>7</v>
      </c>
      <c r="B2601" s="25" t="s">
        <v>400</v>
      </c>
      <c r="C2601" s="26" t="s">
        <v>1399</v>
      </c>
      <c r="D2601" s="25" t="str">
        <f t="shared" si="40"/>
        <v>Số thửaSố thửa174</v>
      </c>
    </row>
    <row r="2602" spans="1:4" x14ac:dyDescent="0.25">
      <c r="A2602" s="25">
        <v>7</v>
      </c>
      <c r="B2602" s="25" t="s">
        <v>401</v>
      </c>
      <c r="C2602" s="26" t="s">
        <v>1399</v>
      </c>
      <c r="D2602" s="25" t="str">
        <f t="shared" si="40"/>
        <v>Số thửaSố thửa175</v>
      </c>
    </row>
    <row r="2603" spans="1:4" x14ac:dyDescent="0.25">
      <c r="A2603" s="25">
        <v>7</v>
      </c>
      <c r="B2603" s="25" t="s">
        <v>942</v>
      </c>
      <c r="C2603" s="26" t="s">
        <v>1399</v>
      </c>
      <c r="D2603" s="25" t="str">
        <f t="shared" si="40"/>
        <v>Số thửaSố thửa176</v>
      </c>
    </row>
    <row r="2604" spans="1:4" x14ac:dyDescent="0.25">
      <c r="A2604" s="25">
        <v>7</v>
      </c>
      <c r="B2604" s="25" t="s">
        <v>1202</v>
      </c>
      <c r="C2604" s="26" t="s">
        <v>1399</v>
      </c>
      <c r="D2604" s="25" t="str">
        <f t="shared" si="40"/>
        <v>Số thửaSố thửa216</v>
      </c>
    </row>
    <row r="2605" spans="1:4" x14ac:dyDescent="0.25">
      <c r="A2605" s="25">
        <v>7</v>
      </c>
      <c r="B2605" s="25" t="s">
        <v>83</v>
      </c>
      <c r="C2605" s="26" t="s">
        <v>1399</v>
      </c>
      <c r="D2605" s="25" t="str">
        <f t="shared" si="40"/>
        <v>Số thửaSố thửa217</v>
      </c>
    </row>
    <row r="2606" spans="1:4" x14ac:dyDescent="0.25">
      <c r="A2606" s="25">
        <v>7</v>
      </c>
      <c r="B2606" s="25" t="s">
        <v>84</v>
      </c>
      <c r="C2606" s="26" t="s">
        <v>1399</v>
      </c>
      <c r="D2606" s="25" t="str">
        <f t="shared" si="40"/>
        <v>Số thửaSố thửa218</v>
      </c>
    </row>
    <row r="2607" spans="1:4" x14ac:dyDescent="0.25">
      <c r="A2607" s="25">
        <v>7</v>
      </c>
      <c r="B2607" s="25" t="s">
        <v>983</v>
      </c>
      <c r="C2607" s="26" t="s">
        <v>1399</v>
      </c>
      <c r="D2607" s="25" t="str">
        <f t="shared" si="40"/>
        <v>Số thửaSố thửa224</v>
      </c>
    </row>
    <row r="2608" spans="1:4" x14ac:dyDescent="0.25">
      <c r="A2608" s="25">
        <v>7</v>
      </c>
      <c r="B2608" s="25" t="s">
        <v>133</v>
      </c>
      <c r="C2608" s="26" t="s">
        <v>1400</v>
      </c>
      <c r="D2608" s="25" t="str">
        <f t="shared" si="40"/>
        <v>Số thửaSố thửa283</v>
      </c>
    </row>
    <row r="2609" spans="1:4" x14ac:dyDescent="0.25">
      <c r="A2609" s="25">
        <v>7</v>
      </c>
      <c r="B2609" s="25" t="s">
        <v>589</v>
      </c>
      <c r="C2609" s="26" t="s">
        <v>1400</v>
      </c>
      <c r="D2609" s="25" t="str">
        <f t="shared" si="40"/>
        <v>Số thửaSố thửa550</v>
      </c>
    </row>
    <row r="2610" spans="1:4" x14ac:dyDescent="0.25">
      <c r="A2610" s="25">
        <v>7</v>
      </c>
      <c r="B2610" s="25" t="s">
        <v>1267</v>
      </c>
      <c r="C2610" s="26" t="s">
        <v>1401</v>
      </c>
      <c r="D2610" s="25" t="str">
        <f t="shared" si="40"/>
        <v>Số thửaSố thửa626</v>
      </c>
    </row>
    <row r="2611" spans="1:4" x14ac:dyDescent="0.25">
      <c r="A2611" s="25">
        <v>7</v>
      </c>
      <c r="B2611" s="25" t="s">
        <v>1211</v>
      </c>
      <c r="C2611" s="26" t="s">
        <v>1401</v>
      </c>
      <c r="D2611" s="25" t="str">
        <f t="shared" si="40"/>
        <v>Số thửaSố thửa690</v>
      </c>
    </row>
    <row r="2612" spans="1:4" x14ac:dyDescent="0.25">
      <c r="A2612" s="25">
        <v>7</v>
      </c>
      <c r="B2612" s="25" t="s">
        <v>428</v>
      </c>
      <c r="C2612" s="26" t="s">
        <v>1402</v>
      </c>
      <c r="D2612" s="25" t="str">
        <f t="shared" si="40"/>
        <v>Số thửaSố thửa703</v>
      </c>
    </row>
    <row r="2613" spans="1:4" x14ac:dyDescent="0.25">
      <c r="A2613" s="25">
        <v>7</v>
      </c>
      <c r="B2613" s="25" t="s">
        <v>428</v>
      </c>
      <c r="C2613" s="26" t="s">
        <v>1402</v>
      </c>
      <c r="D2613" s="25" t="str">
        <f t="shared" si="40"/>
        <v>Số thửaSố thửa703</v>
      </c>
    </row>
    <row r="2614" spans="1:4" x14ac:dyDescent="0.25">
      <c r="A2614" s="25">
        <v>7</v>
      </c>
      <c r="B2614" s="25" t="s">
        <v>1403</v>
      </c>
      <c r="C2614" s="26" t="s">
        <v>1404</v>
      </c>
      <c r="D2614" s="25" t="str">
        <f t="shared" si="40"/>
        <v>Số thửaSố thửa883</v>
      </c>
    </row>
    <row r="2615" spans="1:4" x14ac:dyDescent="0.25">
      <c r="A2615" s="25">
        <v>7</v>
      </c>
      <c r="B2615" s="25" t="s">
        <v>1403</v>
      </c>
      <c r="C2615" s="26" t="s">
        <v>1404</v>
      </c>
      <c r="D2615" s="25" t="str">
        <f t="shared" si="40"/>
        <v>Số thửaSố thửa883</v>
      </c>
    </row>
    <row r="2616" spans="1:4" x14ac:dyDescent="0.25">
      <c r="A2616" s="25">
        <v>3</v>
      </c>
      <c r="B2616" s="25" t="s">
        <v>276</v>
      </c>
      <c r="C2616" s="26" t="s">
        <v>1405</v>
      </c>
      <c r="D2616" s="25" t="str">
        <f t="shared" si="40"/>
        <v>Số thửaSố thửa25</v>
      </c>
    </row>
    <row r="2617" spans="1:4" x14ac:dyDescent="0.25">
      <c r="A2617" s="25">
        <v>3</v>
      </c>
      <c r="B2617" s="25" t="s">
        <v>276</v>
      </c>
      <c r="C2617" s="26" t="s">
        <v>1405</v>
      </c>
      <c r="D2617" s="25" t="str">
        <f t="shared" si="40"/>
        <v>Số thửaSố thửa25</v>
      </c>
    </row>
    <row r="2618" spans="1:4" x14ac:dyDescent="0.25">
      <c r="A2618" s="25">
        <v>4</v>
      </c>
      <c r="B2618" s="25" t="s">
        <v>272</v>
      </c>
      <c r="C2618" s="26" t="s">
        <v>1406</v>
      </c>
      <c r="D2618" s="25" t="str">
        <f t="shared" si="40"/>
        <v>Số thửaSố thửa19</v>
      </c>
    </row>
    <row r="2619" spans="1:4" x14ac:dyDescent="0.25">
      <c r="A2619" s="25">
        <v>6</v>
      </c>
      <c r="B2619" s="25" t="s">
        <v>1047</v>
      </c>
      <c r="C2619" s="26" t="s">
        <v>1407</v>
      </c>
      <c r="D2619" s="25" t="str">
        <f t="shared" si="40"/>
        <v>Số thửaSố thửa710</v>
      </c>
    </row>
    <row r="2620" spans="1:4" x14ac:dyDescent="0.25">
      <c r="A2620" s="25">
        <v>6</v>
      </c>
      <c r="B2620" s="25" t="s">
        <v>560</v>
      </c>
      <c r="C2620" s="26" t="s">
        <v>1408</v>
      </c>
      <c r="D2620" s="25" t="str">
        <f t="shared" si="40"/>
        <v>Số thửaSố thửa819</v>
      </c>
    </row>
    <row r="2621" spans="1:4" x14ac:dyDescent="0.25">
      <c r="A2621" s="25">
        <v>6</v>
      </c>
      <c r="B2621" s="25" t="s">
        <v>560</v>
      </c>
      <c r="C2621" s="26" t="s">
        <v>1408</v>
      </c>
      <c r="D2621" s="25" t="str">
        <f t="shared" si="40"/>
        <v>Số thửaSố thửa819</v>
      </c>
    </row>
    <row r="2622" spans="1:4" x14ac:dyDescent="0.25">
      <c r="A2622" s="25">
        <v>11</v>
      </c>
      <c r="B2622" s="25" t="s">
        <v>867</v>
      </c>
      <c r="C2622" s="26" t="s">
        <v>1409</v>
      </c>
      <c r="D2622" s="25" t="str">
        <f t="shared" si="40"/>
        <v>Số thửaSố thửa197</v>
      </c>
    </row>
    <row r="2623" spans="1:4" x14ac:dyDescent="0.25">
      <c r="A2623" s="25">
        <v>9</v>
      </c>
      <c r="B2623" s="25" t="s">
        <v>1326</v>
      </c>
      <c r="C2623" s="26" t="s">
        <v>1410</v>
      </c>
      <c r="D2623" s="25" t="str">
        <f t="shared" si="40"/>
        <v>Số thửaSố thửa731</v>
      </c>
    </row>
    <row r="2624" spans="1:4" x14ac:dyDescent="0.25">
      <c r="A2624" s="25">
        <v>11</v>
      </c>
      <c r="B2624" s="25" t="s">
        <v>829</v>
      </c>
      <c r="C2624" s="26" t="s">
        <v>1411</v>
      </c>
      <c r="D2624" s="25" t="str">
        <f t="shared" si="40"/>
        <v>Số thửaSố thửa167</v>
      </c>
    </row>
    <row r="2625" spans="1:4" x14ac:dyDescent="0.25">
      <c r="A2625" s="25">
        <v>11</v>
      </c>
      <c r="B2625" s="25" t="s">
        <v>829</v>
      </c>
      <c r="C2625" s="26" t="s">
        <v>1411</v>
      </c>
      <c r="D2625" s="25" t="str">
        <f t="shared" si="40"/>
        <v>Số thửaSố thửa167</v>
      </c>
    </row>
    <row r="2626" spans="1:4" x14ac:dyDescent="0.25">
      <c r="A2626" s="25">
        <v>11</v>
      </c>
      <c r="B2626" s="25" t="s">
        <v>362</v>
      </c>
      <c r="C2626" s="26" t="s">
        <v>1412</v>
      </c>
      <c r="D2626" s="25" t="str">
        <f t="shared" si="40"/>
        <v>Số thửaSố thửa274</v>
      </c>
    </row>
    <row r="2627" spans="1:4" x14ac:dyDescent="0.25">
      <c r="A2627" s="25">
        <v>11</v>
      </c>
      <c r="B2627" s="25" t="s">
        <v>362</v>
      </c>
      <c r="C2627" s="26" t="s">
        <v>1412</v>
      </c>
      <c r="D2627" s="25" t="str">
        <f t="shared" ref="D2627:D2690" si="41">$B$1&amp;B2627</f>
        <v>Số thửaSố thửa274</v>
      </c>
    </row>
    <row r="2628" spans="1:4" x14ac:dyDescent="0.25">
      <c r="A2628" s="25">
        <v>2</v>
      </c>
      <c r="B2628" s="25" t="s">
        <v>933</v>
      </c>
      <c r="C2628" s="26" t="s">
        <v>1413</v>
      </c>
      <c r="D2628" s="25" t="str">
        <f t="shared" si="41"/>
        <v>Số thửaSố thửa53</v>
      </c>
    </row>
    <row r="2629" spans="1:4" x14ac:dyDescent="0.25">
      <c r="A2629" s="25">
        <v>11</v>
      </c>
      <c r="B2629" s="25" t="s">
        <v>381</v>
      </c>
      <c r="C2629" s="26" t="s">
        <v>1414</v>
      </c>
      <c r="D2629" s="25" t="str">
        <f t="shared" si="41"/>
        <v>Số thửaSố thửa145</v>
      </c>
    </row>
    <row r="2630" spans="1:4" x14ac:dyDescent="0.25">
      <c r="A2630" s="25">
        <v>11</v>
      </c>
      <c r="B2630" s="25" t="s">
        <v>382</v>
      </c>
      <c r="C2630" s="26" t="s">
        <v>1415</v>
      </c>
      <c r="D2630" s="25" t="str">
        <f t="shared" si="41"/>
        <v>Số thửaSố thửa146</v>
      </c>
    </row>
    <row r="2631" spans="1:4" x14ac:dyDescent="0.25">
      <c r="A2631" s="25">
        <v>11</v>
      </c>
      <c r="B2631" s="25" t="s">
        <v>926</v>
      </c>
      <c r="C2631" s="26" t="s">
        <v>1415</v>
      </c>
      <c r="D2631" s="25" t="str">
        <f t="shared" si="41"/>
        <v>Số thửaSố thửa147</v>
      </c>
    </row>
    <row r="2632" spans="1:4" x14ac:dyDescent="0.25">
      <c r="A2632" s="25">
        <v>11</v>
      </c>
      <c r="B2632" s="25" t="s">
        <v>669</v>
      </c>
      <c r="C2632" s="26" t="s">
        <v>1416</v>
      </c>
      <c r="D2632" s="25" t="str">
        <f t="shared" si="41"/>
        <v>Số thửaSố thửa154</v>
      </c>
    </row>
    <row r="2633" spans="1:4" x14ac:dyDescent="0.25">
      <c r="A2633" s="25">
        <v>11</v>
      </c>
      <c r="B2633" s="25" t="s">
        <v>669</v>
      </c>
      <c r="C2633" s="26" t="s">
        <v>1416</v>
      </c>
      <c r="D2633" s="25" t="str">
        <f t="shared" si="41"/>
        <v>Số thửaSố thửa154</v>
      </c>
    </row>
    <row r="2634" spans="1:4" x14ac:dyDescent="0.25">
      <c r="A2634" s="25">
        <v>14</v>
      </c>
      <c r="B2634" s="25" t="s">
        <v>932</v>
      </c>
      <c r="C2634" s="26" t="s">
        <v>1414</v>
      </c>
      <c r="D2634" s="25" t="str">
        <f t="shared" si="41"/>
        <v>Số thửaSố thửa42</v>
      </c>
    </row>
    <row r="2635" spans="1:4" x14ac:dyDescent="0.25">
      <c r="A2635" s="25">
        <v>6</v>
      </c>
      <c r="B2635" s="25" t="s">
        <v>1197</v>
      </c>
      <c r="C2635" s="26" t="s">
        <v>1417</v>
      </c>
      <c r="D2635" s="25" t="str">
        <f t="shared" si="41"/>
        <v>Số thửaSố thửa771</v>
      </c>
    </row>
    <row r="2636" spans="1:4" x14ac:dyDescent="0.25">
      <c r="A2636" s="25">
        <v>3</v>
      </c>
      <c r="B2636" s="25" t="s">
        <v>1418</v>
      </c>
      <c r="C2636" s="26" t="s">
        <v>1419</v>
      </c>
      <c r="D2636" s="25" t="str">
        <f t="shared" si="41"/>
        <v>Số thửaSố thửa476</v>
      </c>
    </row>
    <row r="2637" spans="1:4" x14ac:dyDescent="0.25">
      <c r="A2637" s="25">
        <v>3</v>
      </c>
      <c r="B2637" s="25" t="s">
        <v>1143</v>
      </c>
      <c r="C2637" s="26" t="s">
        <v>1419</v>
      </c>
      <c r="D2637" s="25" t="str">
        <f t="shared" si="41"/>
        <v>Số thửaSố thửa477</v>
      </c>
    </row>
    <row r="2638" spans="1:4" x14ac:dyDescent="0.25">
      <c r="A2638" s="25">
        <v>6</v>
      </c>
      <c r="B2638" s="25" t="s">
        <v>701</v>
      </c>
      <c r="C2638" s="26" t="s">
        <v>1419</v>
      </c>
      <c r="D2638" s="25" t="str">
        <f t="shared" si="41"/>
        <v>Số thửaSố thửa108</v>
      </c>
    </row>
    <row r="2639" spans="1:4" x14ac:dyDescent="0.25">
      <c r="A2639" s="25">
        <v>6</v>
      </c>
      <c r="B2639" s="25" t="s">
        <v>726</v>
      </c>
      <c r="C2639" s="26" t="s">
        <v>1420</v>
      </c>
      <c r="D2639" s="25" t="str">
        <f t="shared" si="41"/>
        <v>Số thửaSố thửa255</v>
      </c>
    </row>
    <row r="2640" spans="1:4" x14ac:dyDescent="0.25">
      <c r="A2640" s="25">
        <v>6</v>
      </c>
      <c r="B2640" s="25" t="s">
        <v>726</v>
      </c>
      <c r="C2640" s="26" t="s">
        <v>1420</v>
      </c>
      <c r="D2640" s="25" t="str">
        <f t="shared" si="41"/>
        <v>Số thửaSố thửa255</v>
      </c>
    </row>
    <row r="2641" spans="1:4" x14ac:dyDescent="0.25">
      <c r="A2641" s="25">
        <v>6</v>
      </c>
      <c r="B2641" s="25" t="s">
        <v>671</v>
      </c>
      <c r="C2641" s="26" t="s">
        <v>1421</v>
      </c>
      <c r="D2641" s="25" t="str">
        <f t="shared" si="41"/>
        <v>Số thửaSố thửa314</v>
      </c>
    </row>
    <row r="2642" spans="1:4" x14ac:dyDescent="0.25">
      <c r="A2642" s="25">
        <v>5</v>
      </c>
      <c r="B2642" s="25" t="s">
        <v>258</v>
      </c>
      <c r="C2642" s="26" t="s">
        <v>1422</v>
      </c>
      <c r="D2642" s="25" t="str">
        <f t="shared" si="41"/>
        <v>Số thửaSố thửa57</v>
      </c>
    </row>
    <row r="2643" spans="1:4" x14ac:dyDescent="0.25">
      <c r="A2643" s="25">
        <v>6</v>
      </c>
      <c r="B2643" s="25" t="s">
        <v>1423</v>
      </c>
      <c r="C2643" s="26" t="s">
        <v>1424</v>
      </c>
      <c r="D2643" s="25" t="str">
        <f t="shared" si="41"/>
        <v>Số thửaSố thửa428</v>
      </c>
    </row>
    <row r="2644" spans="1:4" x14ac:dyDescent="0.25">
      <c r="A2644" s="25">
        <v>6</v>
      </c>
      <c r="B2644" s="25" t="s">
        <v>1423</v>
      </c>
      <c r="C2644" s="26" t="s">
        <v>1424</v>
      </c>
      <c r="D2644" s="25" t="str">
        <f t="shared" si="41"/>
        <v>Số thửaSố thửa428</v>
      </c>
    </row>
    <row r="2645" spans="1:4" x14ac:dyDescent="0.25">
      <c r="A2645" s="25">
        <v>11</v>
      </c>
      <c r="B2645" s="25" t="s">
        <v>327</v>
      </c>
      <c r="C2645" s="26" t="s">
        <v>1425</v>
      </c>
      <c r="D2645" s="25" t="str">
        <f t="shared" si="41"/>
        <v>Số thửaSố thửa137</v>
      </c>
    </row>
    <row r="2646" spans="1:4" x14ac:dyDescent="0.25">
      <c r="A2646" s="25">
        <v>11</v>
      </c>
      <c r="B2646" s="25" t="s">
        <v>401</v>
      </c>
      <c r="C2646" s="26" t="s">
        <v>1426</v>
      </c>
      <c r="D2646" s="25" t="str">
        <f t="shared" si="41"/>
        <v>Số thửaSố thửa175</v>
      </c>
    </row>
    <row r="2647" spans="1:4" x14ac:dyDescent="0.25">
      <c r="A2647" s="25">
        <v>11</v>
      </c>
      <c r="B2647" s="25" t="s">
        <v>112</v>
      </c>
      <c r="C2647" s="26" t="s">
        <v>1427</v>
      </c>
      <c r="D2647" s="25" t="str">
        <f t="shared" si="41"/>
        <v>Số thửaSố thửa185</v>
      </c>
    </row>
    <row r="2648" spans="1:4" x14ac:dyDescent="0.25">
      <c r="A2648" s="25">
        <v>11</v>
      </c>
      <c r="B2648" s="25" t="s">
        <v>112</v>
      </c>
      <c r="C2648" s="26" t="s">
        <v>1427</v>
      </c>
      <c r="D2648" s="25" t="str">
        <f t="shared" si="41"/>
        <v>Số thửaSố thửa185</v>
      </c>
    </row>
    <row r="2649" spans="1:4" x14ac:dyDescent="0.25">
      <c r="A2649" s="25">
        <v>11</v>
      </c>
      <c r="B2649" s="25" t="s">
        <v>1008</v>
      </c>
      <c r="C2649" s="26" t="s">
        <v>1426</v>
      </c>
      <c r="D2649" s="25" t="str">
        <f t="shared" si="41"/>
        <v>Số thửaSố thửa193</v>
      </c>
    </row>
    <row r="2650" spans="1:4" x14ac:dyDescent="0.25">
      <c r="A2650" s="25">
        <v>11</v>
      </c>
      <c r="B2650" s="25" t="s">
        <v>990</v>
      </c>
      <c r="C2650" s="26" t="s">
        <v>1428</v>
      </c>
      <c r="D2650" s="25" t="str">
        <f t="shared" si="41"/>
        <v>Số thửaSố thửa194</v>
      </c>
    </row>
    <row r="2651" spans="1:4" x14ac:dyDescent="0.25">
      <c r="A2651" s="25">
        <v>11</v>
      </c>
      <c r="B2651" s="25" t="s">
        <v>865</v>
      </c>
      <c r="C2651" s="26" t="s">
        <v>1428</v>
      </c>
      <c r="D2651" s="25" t="str">
        <f t="shared" si="41"/>
        <v>Số thửaSố thửa195</v>
      </c>
    </row>
    <row r="2652" spans="1:4" x14ac:dyDescent="0.25">
      <c r="A2652" s="25">
        <v>12</v>
      </c>
      <c r="B2652" s="25" t="s">
        <v>777</v>
      </c>
      <c r="C2652" s="26" t="s">
        <v>1429</v>
      </c>
      <c r="D2652" s="25" t="str">
        <f t="shared" si="41"/>
        <v>Số thửaSố thửa91</v>
      </c>
    </row>
    <row r="2653" spans="1:4" x14ac:dyDescent="0.25">
      <c r="A2653" s="25">
        <v>12</v>
      </c>
      <c r="B2653" s="25" t="s">
        <v>777</v>
      </c>
      <c r="C2653" s="26" t="s">
        <v>1429</v>
      </c>
      <c r="D2653" s="25" t="str">
        <f t="shared" si="41"/>
        <v>Số thửaSố thửa91</v>
      </c>
    </row>
    <row r="2654" spans="1:4" x14ac:dyDescent="0.25">
      <c r="A2654" s="25">
        <v>12</v>
      </c>
      <c r="B2654" s="25" t="s">
        <v>344</v>
      </c>
      <c r="C2654" s="26" t="s">
        <v>1430</v>
      </c>
      <c r="D2654" s="25" t="str">
        <f t="shared" si="41"/>
        <v>Số thửaSố thửa88</v>
      </c>
    </row>
    <row r="2655" spans="1:4" x14ac:dyDescent="0.25">
      <c r="A2655" s="25">
        <v>12</v>
      </c>
      <c r="B2655" s="25" t="s">
        <v>344</v>
      </c>
      <c r="C2655" s="26" t="s">
        <v>1430</v>
      </c>
      <c r="D2655" s="25" t="str">
        <f t="shared" si="41"/>
        <v>Số thửaSố thửa88</v>
      </c>
    </row>
    <row r="2656" spans="1:4" x14ac:dyDescent="0.25">
      <c r="A2656" s="25">
        <v>14</v>
      </c>
      <c r="B2656" s="25" t="s">
        <v>263</v>
      </c>
      <c r="C2656" s="26" t="s">
        <v>1431</v>
      </c>
      <c r="D2656" s="25" t="str">
        <f t="shared" si="41"/>
        <v>Số thửaSố thửa73</v>
      </c>
    </row>
    <row r="2657" spans="1:4" x14ac:dyDescent="0.25">
      <c r="A2657" s="25">
        <v>11</v>
      </c>
      <c r="B2657" s="25" t="s">
        <v>868</v>
      </c>
      <c r="C2657" s="26" t="s">
        <v>1432</v>
      </c>
      <c r="D2657" s="25" t="str">
        <f t="shared" si="41"/>
        <v>Số thửaSố thửa258</v>
      </c>
    </row>
    <row r="2658" spans="1:4" x14ac:dyDescent="0.25">
      <c r="A2658" s="25">
        <v>11</v>
      </c>
      <c r="B2658" s="25" t="s">
        <v>868</v>
      </c>
      <c r="C2658" s="26" t="s">
        <v>1432</v>
      </c>
      <c r="D2658" s="25" t="str">
        <f t="shared" si="41"/>
        <v>Số thửaSố thửa258</v>
      </c>
    </row>
    <row r="2659" spans="1:4" x14ac:dyDescent="0.25">
      <c r="A2659" s="25">
        <v>14</v>
      </c>
      <c r="B2659" s="25" t="s">
        <v>378</v>
      </c>
      <c r="C2659" s="26" t="s">
        <v>1433</v>
      </c>
      <c r="D2659" s="25" t="str">
        <f t="shared" si="41"/>
        <v>Số thửaSố thửa126</v>
      </c>
    </row>
    <row r="2660" spans="1:4" x14ac:dyDescent="0.25">
      <c r="A2660" s="25">
        <v>6</v>
      </c>
      <c r="B2660" s="25" t="s">
        <v>848</v>
      </c>
      <c r="C2660" s="26" t="s">
        <v>1434</v>
      </c>
      <c r="D2660" s="25" t="str">
        <f t="shared" si="41"/>
        <v>Số thửaSố thửa412</v>
      </c>
    </row>
    <row r="2661" spans="1:4" x14ac:dyDescent="0.25">
      <c r="A2661" s="25">
        <v>6</v>
      </c>
      <c r="B2661" s="25" t="s">
        <v>848</v>
      </c>
      <c r="C2661" s="26" t="s">
        <v>1434</v>
      </c>
      <c r="D2661" s="25" t="str">
        <f t="shared" si="41"/>
        <v>Số thửaSố thửa412</v>
      </c>
    </row>
    <row r="2662" spans="1:4" x14ac:dyDescent="0.25">
      <c r="A2662" s="25">
        <v>2</v>
      </c>
      <c r="B2662" s="25" t="s">
        <v>902</v>
      </c>
      <c r="C2662" s="26" t="s">
        <v>1435</v>
      </c>
      <c r="D2662" s="25" t="str">
        <f t="shared" si="41"/>
        <v>Số thửaSố thửa68</v>
      </c>
    </row>
    <row r="2663" spans="1:4" x14ac:dyDescent="0.25">
      <c r="A2663" s="25">
        <v>2</v>
      </c>
      <c r="B2663" s="25" t="s">
        <v>68</v>
      </c>
      <c r="C2663" s="26" t="s">
        <v>1436</v>
      </c>
      <c r="D2663" s="25" t="str">
        <f t="shared" si="41"/>
        <v>Số thửaSố thửa72</v>
      </c>
    </row>
    <row r="2664" spans="1:4" x14ac:dyDescent="0.25">
      <c r="A2664" s="25">
        <v>3</v>
      </c>
      <c r="B2664" s="25" t="s">
        <v>494</v>
      </c>
      <c r="C2664" s="26" t="s">
        <v>1437</v>
      </c>
      <c r="D2664" s="25" t="str">
        <f t="shared" si="41"/>
        <v>Số thửaSố thửa92</v>
      </c>
    </row>
    <row r="2665" spans="1:4" x14ac:dyDescent="0.25">
      <c r="A2665" s="25">
        <v>3</v>
      </c>
      <c r="B2665" s="25" t="s">
        <v>494</v>
      </c>
      <c r="C2665" s="26" t="s">
        <v>1437</v>
      </c>
      <c r="D2665" s="25" t="str">
        <f t="shared" si="41"/>
        <v>Số thửaSố thửa92</v>
      </c>
    </row>
    <row r="2666" spans="1:4" x14ac:dyDescent="0.25">
      <c r="A2666" s="25">
        <v>11</v>
      </c>
      <c r="B2666" s="25" t="s">
        <v>416</v>
      </c>
      <c r="C2666" s="26" t="s">
        <v>1438</v>
      </c>
      <c r="D2666" s="25" t="str">
        <f t="shared" si="41"/>
        <v>Số thửaSố thửa2</v>
      </c>
    </row>
    <row r="2667" spans="1:4" x14ac:dyDescent="0.25">
      <c r="A2667" s="25">
        <v>11</v>
      </c>
      <c r="B2667" s="25" t="s">
        <v>132</v>
      </c>
      <c r="C2667" s="26" t="s">
        <v>1438</v>
      </c>
      <c r="D2667" s="25" t="str">
        <f t="shared" si="41"/>
        <v>Số thửaSố thửa8</v>
      </c>
    </row>
    <row r="2668" spans="1:4" x14ac:dyDescent="0.25">
      <c r="A2668" s="25">
        <v>11</v>
      </c>
      <c r="B2668" s="25" t="s">
        <v>346</v>
      </c>
      <c r="C2668" s="26" t="s">
        <v>1439</v>
      </c>
      <c r="D2668" s="25" t="str">
        <f t="shared" si="41"/>
        <v>Số thửaSố thửa156</v>
      </c>
    </row>
    <row r="2669" spans="1:4" x14ac:dyDescent="0.25">
      <c r="A2669" s="25">
        <v>11</v>
      </c>
      <c r="B2669" s="25" t="s">
        <v>346</v>
      </c>
      <c r="C2669" s="26" t="s">
        <v>1439</v>
      </c>
      <c r="D2669" s="25" t="str">
        <f t="shared" si="41"/>
        <v>Số thửaSố thửa156</v>
      </c>
    </row>
    <row r="2670" spans="1:4" x14ac:dyDescent="0.25">
      <c r="A2670" s="25">
        <v>11</v>
      </c>
      <c r="B2670" s="25" t="s">
        <v>374</v>
      </c>
      <c r="C2670" s="26" t="s">
        <v>1440</v>
      </c>
      <c r="D2670" s="25" t="str">
        <f t="shared" si="41"/>
        <v>Số thửaSố thửa117</v>
      </c>
    </row>
    <row r="2671" spans="1:4" x14ac:dyDescent="0.25">
      <c r="A2671" s="25">
        <v>11</v>
      </c>
      <c r="B2671" s="25" t="s">
        <v>778</v>
      </c>
      <c r="C2671" s="26" t="s">
        <v>1441</v>
      </c>
      <c r="D2671" s="25" t="str">
        <f t="shared" si="41"/>
        <v>Số thửaSố thửa155</v>
      </c>
    </row>
    <row r="2672" spans="1:4" x14ac:dyDescent="0.25">
      <c r="A2672" s="25">
        <v>11</v>
      </c>
      <c r="B2672" s="25" t="s">
        <v>778</v>
      </c>
      <c r="C2672" s="26" t="s">
        <v>1441</v>
      </c>
      <c r="D2672" s="25" t="str">
        <f t="shared" si="41"/>
        <v>Số thửaSố thửa155</v>
      </c>
    </row>
    <row r="2673" spans="1:4" x14ac:dyDescent="0.25">
      <c r="A2673" s="25">
        <v>11</v>
      </c>
      <c r="B2673" s="25" t="s">
        <v>1102</v>
      </c>
      <c r="C2673" s="26" t="s">
        <v>1442</v>
      </c>
      <c r="D2673" s="25" t="str">
        <f t="shared" si="41"/>
        <v>Số thửaSố thửa166</v>
      </c>
    </row>
    <row r="2674" spans="1:4" x14ac:dyDescent="0.25">
      <c r="A2674" s="25">
        <v>11</v>
      </c>
      <c r="B2674" s="25" t="s">
        <v>1102</v>
      </c>
      <c r="C2674" s="26" t="s">
        <v>1442</v>
      </c>
      <c r="D2674" s="25" t="str">
        <f t="shared" si="41"/>
        <v>Số thửaSố thửa166</v>
      </c>
    </row>
    <row r="2675" spans="1:4" x14ac:dyDescent="0.25">
      <c r="A2675" s="25">
        <v>11</v>
      </c>
      <c r="B2675" s="25" t="s">
        <v>719</v>
      </c>
      <c r="C2675" s="26" t="s">
        <v>1443</v>
      </c>
      <c r="D2675" s="25" t="str">
        <f t="shared" si="41"/>
        <v>Số thửaSố thửa157</v>
      </c>
    </row>
    <row r="2676" spans="1:4" x14ac:dyDescent="0.25">
      <c r="A2676" s="25">
        <v>11</v>
      </c>
      <c r="B2676" s="25" t="s">
        <v>719</v>
      </c>
      <c r="C2676" s="26" t="s">
        <v>1443</v>
      </c>
      <c r="D2676" s="25" t="str">
        <f t="shared" si="41"/>
        <v>Số thửaSố thửa157</v>
      </c>
    </row>
    <row r="2677" spans="1:4" x14ac:dyDescent="0.25">
      <c r="A2677" s="25">
        <v>10</v>
      </c>
      <c r="B2677" s="25" t="s">
        <v>565</v>
      </c>
      <c r="C2677" s="26" t="s">
        <v>1444</v>
      </c>
      <c r="D2677" s="25" t="str">
        <f t="shared" si="41"/>
        <v>Số thửaSố thửa30</v>
      </c>
    </row>
    <row r="2678" spans="1:4" x14ac:dyDescent="0.25">
      <c r="A2678" s="25">
        <v>10</v>
      </c>
      <c r="B2678" s="25" t="s">
        <v>1029</v>
      </c>
      <c r="C2678" s="26" t="s">
        <v>1445</v>
      </c>
      <c r="D2678" s="25" t="str">
        <f t="shared" si="41"/>
        <v>Số thửaSố thửa133</v>
      </c>
    </row>
    <row r="2679" spans="1:4" x14ac:dyDescent="0.25">
      <c r="A2679" s="25">
        <v>11</v>
      </c>
      <c r="B2679" s="25" t="s">
        <v>708</v>
      </c>
      <c r="C2679" s="26" t="s">
        <v>1445</v>
      </c>
      <c r="D2679" s="25" t="str">
        <f t="shared" si="41"/>
        <v>Số thửaSố thửa163</v>
      </c>
    </row>
    <row r="2680" spans="1:4" x14ac:dyDescent="0.25">
      <c r="A2680" s="25">
        <v>11</v>
      </c>
      <c r="B2680" s="25" t="s">
        <v>173</v>
      </c>
      <c r="C2680" s="26" t="s">
        <v>1446</v>
      </c>
      <c r="D2680" s="25" t="str">
        <f t="shared" si="41"/>
        <v>Số thửaSố thửa204</v>
      </c>
    </row>
    <row r="2681" spans="1:4" x14ac:dyDescent="0.25">
      <c r="A2681" s="25">
        <v>11</v>
      </c>
      <c r="B2681" s="25" t="s">
        <v>173</v>
      </c>
      <c r="C2681" s="26" t="s">
        <v>1446</v>
      </c>
      <c r="D2681" s="25" t="str">
        <f t="shared" si="41"/>
        <v>Số thửaSố thửa204</v>
      </c>
    </row>
    <row r="2682" spans="1:4" x14ac:dyDescent="0.25">
      <c r="A2682" s="25">
        <v>14</v>
      </c>
      <c r="B2682" s="25" t="s">
        <v>1202</v>
      </c>
      <c r="C2682" s="26" t="s">
        <v>1445</v>
      </c>
      <c r="D2682" s="25" t="str">
        <f t="shared" si="41"/>
        <v>Số thửaSố thửa216</v>
      </c>
    </row>
    <row r="2683" spans="1:4" x14ac:dyDescent="0.25">
      <c r="A2683" s="25">
        <v>3</v>
      </c>
      <c r="B2683" s="25" t="s">
        <v>744</v>
      </c>
      <c r="C2683" s="26" t="s">
        <v>1447</v>
      </c>
      <c r="D2683" s="25" t="str">
        <f t="shared" si="41"/>
        <v>Số thửaSố thửa494</v>
      </c>
    </row>
    <row r="2684" spans="1:4" x14ac:dyDescent="0.25">
      <c r="A2684" s="25">
        <v>4</v>
      </c>
      <c r="B2684" s="25" t="s">
        <v>726</v>
      </c>
      <c r="C2684" s="26" t="s">
        <v>1448</v>
      </c>
      <c r="D2684" s="25" t="str">
        <f t="shared" si="41"/>
        <v>Số thửaSố thửa255</v>
      </c>
    </row>
    <row r="2685" spans="1:4" x14ac:dyDescent="0.25">
      <c r="A2685" s="25">
        <v>4</v>
      </c>
      <c r="B2685" s="25" t="s">
        <v>711</v>
      </c>
      <c r="C2685" s="26" t="s">
        <v>1449</v>
      </c>
      <c r="D2685" s="25" t="str">
        <f t="shared" si="41"/>
        <v>Số thửaSố thửa298</v>
      </c>
    </row>
    <row r="2686" spans="1:4" x14ac:dyDescent="0.25">
      <c r="A2686" s="25">
        <v>4</v>
      </c>
      <c r="B2686" s="25" t="s">
        <v>1206</v>
      </c>
      <c r="C2686" s="26" t="s">
        <v>1449</v>
      </c>
      <c r="D2686" s="25" t="str">
        <f t="shared" si="41"/>
        <v>Số thửaSố thửa317</v>
      </c>
    </row>
    <row r="2687" spans="1:4" x14ac:dyDescent="0.25">
      <c r="A2687" s="25">
        <v>4</v>
      </c>
      <c r="B2687" s="25" t="s">
        <v>806</v>
      </c>
      <c r="C2687" s="26" t="s">
        <v>1447</v>
      </c>
      <c r="D2687" s="25" t="str">
        <f t="shared" si="41"/>
        <v>Số thửaSố thửa320</v>
      </c>
    </row>
    <row r="2688" spans="1:4" x14ac:dyDescent="0.25">
      <c r="A2688" s="25">
        <v>4</v>
      </c>
      <c r="B2688" s="25" t="s">
        <v>640</v>
      </c>
      <c r="C2688" s="26" t="s">
        <v>1449</v>
      </c>
      <c r="D2688" s="25" t="str">
        <f t="shared" si="41"/>
        <v>Số thửaSố thửa333</v>
      </c>
    </row>
    <row r="2689" spans="1:4" x14ac:dyDescent="0.25">
      <c r="A2689" s="25">
        <v>4</v>
      </c>
      <c r="B2689" s="25" t="s">
        <v>487</v>
      </c>
      <c r="C2689" s="26" t="s">
        <v>1449</v>
      </c>
      <c r="D2689" s="25" t="str">
        <f t="shared" si="41"/>
        <v>Số thửaSố thửa334</v>
      </c>
    </row>
    <row r="2690" spans="1:4" x14ac:dyDescent="0.25">
      <c r="A2690" s="25">
        <v>4</v>
      </c>
      <c r="B2690" s="25" t="s">
        <v>735</v>
      </c>
      <c r="C2690" s="26" t="s">
        <v>1449</v>
      </c>
      <c r="D2690" s="25" t="str">
        <f t="shared" si="41"/>
        <v>Số thửaSố thửa338</v>
      </c>
    </row>
    <row r="2691" spans="1:4" x14ac:dyDescent="0.25">
      <c r="A2691" s="25">
        <v>4</v>
      </c>
      <c r="B2691" s="25" t="s">
        <v>490</v>
      </c>
      <c r="C2691" s="26" t="s">
        <v>1449</v>
      </c>
      <c r="D2691" s="25" t="str">
        <f t="shared" ref="D2691:D2754" si="42">$B$1&amp;B2691</f>
        <v>Số thửaSố thửa377</v>
      </c>
    </row>
    <row r="2692" spans="1:4" x14ac:dyDescent="0.25">
      <c r="A2692" s="25">
        <v>7</v>
      </c>
      <c r="B2692" s="25" t="s">
        <v>629</v>
      </c>
      <c r="C2692" s="26" t="s">
        <v>1450</v>
      </c>
      <c r="D2692" s="25" t="str">
        <f t="shared" si="42"/>
        <v>Số thửaSố thửa32</v>
      </c>
    </row>
    <row r="2693" spans="1:4" x14ac:dyDescent="0.25">
      <c r="A2693" s="25">
        <v>7</v>
      </c>
      <c r="B2693" s="25" t="s">
        <v>427</v>
      </c>
      <c r="C2693" s="26" t="s">
        <v>1451</v>
      </c>
      <c r="D2693" s="25" t="str">
        <f t="shared" si="42"/>
        <v>Số thửaSố thửa702</v>
      </c>
    </row>
    <row r="2694" spans="1:4" x14ac:dyDescent="0.25">
      <c r="A2694" s="25">
        <v>7</v>
      </c>
      <c r="B2694" s="25" t="s">
        <v>427</v>
      </c>
      <c r="C2694" s="26" t="s">
        <v>1451</v>
      </c>
      <c r="D2694" s="25" t="str">
        <f t="shared" si="42"/>
        <v>Số thửaSố thửa702</v>
      </c>
    </row>
    <row r="2695" spans="1:4" x14ac:dyDescent="0.25">
      <c r="A2695" s="25">
        <v>7</v>
      </c>
      <c r="B2695" s="25" t="s">
        <v>832</v>
      </c>
      <c r="C2695" s="26" t="s">
        <v>1447</v>
      </c>
      <c r="D2695" s="25" t="str">
        <f t="shared" si="42"/>
        <v>Số thửaSố thửa859</v>
      </c>
    </row>
    <row r="2696" spans="1:4" x14ac:dyDescent="0.25">
      <c r="A2696" s="25">
        <v>3</v>
      </c>
      <c r="B2696" s="25" t="s">
        <v>630</v>
      </c>
      <c r="C2696" s="26" t="s">
        <v>1452</v>
      </c>
      <c r="D2696" s="25" t="str">
        <f t="shared" si="42"/>
        <v>Số thửaSố thửa36</v>
      </c>
    </row>
    <row r="2697" spans="1:4" x14ac:dyDescent="0.25">
      <c r="A2697" s="25">
        <v>3</v>
      </c>
      <c r="B2697" s="25" t="s">
        <v>630</v>
      </c>
      <c r="C2697" s="26" t="s">
        <v>1452</v>
      </c>
      <c r="D2697" s="25" t="str">
        <f t="shared" si="42"/>
        <v>Số thửaSố thửa36</v>
      </c>
    </row>
    <row r="2698" spans="1:4" x14ac:dyDescent="0.25">
      <c r="A2698" s="25">
        <v>3</v>
      </c>
      <c r="B2698" s="25" t="s">
        <v>256</v>
      </c>
      <c r="C2698" s="26" t="s">
        <v>1453</v>
      </c>
      <c r="D2698" s="25" t="str">
        <f t="shared" si="42"/>
        <v>Số thửaSố thửa47</v>
      </c>
    </row>
    <row r="2699" spans="1:4" x14ac:dyDescent="0.25">
      <c r="A2699" s="25">
        <v>3</v>
      </c>
      <c r="B2699" s="25" t="s">
        <v>133</v>
      </c>
      <c r="C2699" s="26" t="s">
        <v>1453</v>
      </c>
      <c r="D2699" s="25" t="str">
        <f t="shared" si="42"/>
        <v>Số thửaSố thửa283</v>
      </c>
    </row>
    <row r="2700" spans="1:4" x14ac:dyDescent="0.25">
      <c r="A2700" s="25">
        <v>3</v>
      </c>
      <c r="B2700" s="25" t="s">
        <v>552</v>
      </c>
      <c r="C2700" s="26" t="s">
        <v>1454</v>
      </c>
      <c r="D2700" s="25" t="str">
        <f t="shared" si="42"/>
        <v>Số thửaSố thửa369</v>
      </c>
    </row>
    <row r="2701" spans="1:4" x14ac:dyDescent="0.25">
      <c r="A2701" s="25">
        <v>3</v>
      </c>
      <c r="B2701" s="25" t="s">
        <v>517</v>
      </c>
      <c r="C2701" s="26" t="s">
        <v>1455</v>
      </c>
      <c r="D2701" s="25" t="str">
        <f t="shared" si="42"/>
        <v>Số thửaSố thửa571</v>
      </c>
    </row>
    <row r="2702" spans="1:4" x14ac:dyDescent="0.25">
      <c r="A2702" s="25">
        <v>3</v>
      </c>
      <c r="B2702" s="25" t="s">
        <v>517</v>
      </c>
      <c r="C2702" s="26" t="s">
        <v>1455</v>
      </c>
      <c r="D2702" s="25" t="str">
        <f t="shared" si="42"/>
        <v>Số thửaSố thửa571</v>
      </c>
    </row>
    <row r="2703" spans="1:4" x14ac:dyDescent="0.25">
      <c r="A2703" s="25">
        <v>3</v>
      </c>
      <c r="B2703" s="25" t="s">
        <v>198</v>
      </c>
      <c r="C2703" s="26" t="s">
        <v>1456</v>
      </c>
      <c r="D2703" s="25" t="str">
        <f t="shared" si="42"/>
        <v>Số thửaSố thửa55</v>
      </c>
    </row>
    <row r="2704" spans="1:4" x14ac:dyDescent="0.25">
      <c r="A2704" s="25">
        <v>3</v>
      </c>
      <c r="B2704" s="25" t="s">
        <v>198</v>
      </c>
      <c r="C2704" s="26" t="s">
        <v>1456</v>
      </c>
      <c r="D2704" s="25" t="str">
        <f t="shared" si="42"/>
        <v>Số thửaSố thửa55</v>
      </c>
    </row>
    <row r="2705" spans="1:4" x14ac:dyDescent="0.25">
      <c r="A2705" s="25">
        <v>6</v>
      </c>
      <c r="B2705" s="25" t="s">
        <v>323</v>
      </c>
      <c r="C2705" s="26" t="s">
        <v>1457</v>
      </c>
      <c r="D2705" s="25" t="str">
        <f t="shared" si="42"/>
        <v>Số thửaSố thửa114</v>
      </c>
    </row>
    <row r="2706" spans="1:4" x14ac:dyDescent="0.25">
      <c r="A2706" s="25">
        <v>2</v>
      </c>
      <c r="B2706" s="25" t="s">
        <v>196</v>
      </c>
      <c r="C2706" s="26" t="s">
        <v>1458</v>
      </c>
      <c r="D2706" s="25" t="str">
        <f t="shared" si="42"/>
        <v>Số thửaSố thửa50</v>
      </c>
    </row>
    <row r="2707" spans="1:4" x14ac:dyDescent="0.25">
      <c r="A2707" s="25">
        <v>2</v>
      </c>
      <c r="B2707" s="25" t="s">
        <v>66</v>
      </c>
      <c r="C2707" s="26" t="s">
        <v>1459</v>
      </c>
      <c r="D2707" s="25" t="str">
        <f t="shared" si="42"/>
        <v>Số thửaSố thửa62</v>
      </c>
    </row>
    <row r="2708" spans="1:4" x14ac:dyDescent="0.25">
      <c r="A2708" s="25">
        <v>3</v>
      </c>
      <c r="B2708" s="25" t="s">
        <v>554</v>
      </c>
      <c r="C2708" s="26" t="s">
        <v>1458</v>
      </c>
      <c r="D2708" s="25" t="str">
        <f t="shared" si="42"/>
        <v>Số thửaSố thửa403</v>
      </c>
    </row>
    <row r="2709" spans="1:4" x14ac:dyDescent="0.25">
      <c r="A2709" s="25">
        <v>3</v>
      </c>
      <c r="B2709" s="25" t="s">
        <v>555</v>
      </c>
      <c r="C2709" s="26" t="s">
        <v>1458</v>
      </c>
      <c r="D2709" s="25" t="str">
        <f t="shared" si="42"/>
        <v>Số thửaSố thửa405</v>
      </c>
    </row>
    <row r="2710" spans="1:4" x14ac:dyDescent="0.25">
      <c r="A2710" s="25">
        <v>3</v>
      </c>
      <c r="B2710" s="25" t="s">
        <v>533</v>
      </c>
      <c r="C2710" s="26" t="s">
        <v>1458</v>
      </c>
      <c r="D2710" s="25" t="str">
        <f t="shared" si="42"/>
        <v>Số thửaSố thửa431</v>
      </c>
    </row>
    <row r="2711" spans="1:4" x14ac:dyDescent="0.25">
      <c r="A2711" s="25">
        <v>14</v>
      </c>
      <c r="B2711" s="25" t="s">
        <v>667</v>
      </c>
      <c r="C2711" s="26" t="s">
        <v>1460</v>
      </c>
      <c r="D2711" s="25" t="str">
        <f t="shared" si="42"/>
        <v>Số thửaSố thửa152</v>
      </c>
    </row>
    <row r="2712" spans="1:4" x14ac:dyDescent="0.25">
      <c r="A2712" s="25">
        <v>14</v>
      </c>
      <c r="B2712" s="25" t="s">
        <v>680</v>
      </c>
      <c r="C2712" s="26" t="s">
        <v>1461</v>
      </c>
      <c r="D2712" s="25" t="str">
        <f t="shared" si="42"/>
        <v>Số thửaSố thửa206</v>
      </c>
    </row>
    <row r="2713" spans="1:4" x14ac:dyDescent="0.25">
      <c r="A2713" s="25">
        <v>14</v>
      </c>
      <c r="B2713" s="25" t="s">
        <v>680</v>
      </c>
      <c r="C2713" s="26" t="s">
        <v>1461</v>
      </c>
      <c r="D2713" s="25" t="str">
        <f t="shared" si="42"/>
        <v>Số thửaSố thửa206</v>
      </c>
    </row>
    <row r="2714" spans="1:4" x14ac:dyDescent="0.25">
      <c r="A2714" s="25">
        <v>6</v>
      </c>
      <c r="B2714" s="25" t="s">
        <v>1462</v>
      </c>
      <c r="C2714" s="26" t="s">
        <v>1463</v>
      </c>
      <c r="D2714" s="25" t="str">
        <f t="shared" si="42"/>
        <v>Số thửaSố thửa902</v>
      </c>
    </row>
    <row r="2715" spans="1:4" x14ac:dyDescent="0.25">
      <c r="A2715" s="25">
        <v>6</v>
      </c>
      <c r="B2715" s="25" t="s">
        <v>1462</v>
      </c>
      <c r="C2715" s="26" t="s">
        <v>1463</v>
      </c>
      <c r="D2715" s="25" t="str">
        <f t="shared" si="42"/>
        <v>Số thửaSố thửa902</v>
      </c>
    </row>
    <row r="2716" spans="1:4" x14ac:dyDescent="0.25">
      <c r="A2716" s="25">
        <v>11</v>
      </c>
      <c r="B2716" s="25" t="s">
        <v>69</v>
      </c>
      <c r="C2716" s="26" t="s">
        <v>1464</v>
      </c>
      <c r="D2716" s="25" t="str">
        <f t="shared" si="42"/>
        <v>Số thửaSố thửa77</v>
      </c>
    </row>
    <row r="2717" spans="1:4" x14ac:dyDescent="0.25">
      <c r="A2717" s="25">
        <v>11</v>
      </c>
      <c r="B2717" s="25" t="s">
        <v>568</v>
      </c>
      <c r="C2717" s="26" t="s">
        <v>1465</v>
      </c>
      <c r="D2717" s="25" t="str">
        <f t="shared" si="42"/>
        <v>Số thửaSố thửa186</v>
      </c>
    </row>
    <row r="2718" spans="1:4" x14ac:dyDescent="0.25">
      <c r="A2718" s="25">
        <v>11</v>
      </c>
      <c r="B2718" s="25" t="s">
        <v>568</v>
      </c>
      <c r="C2718" s="26" t="s">
        <v>1465</v>
      </c>
      <c r="D2718" s="25" t="str">
        <f t="shared" si="42"/>
        <v>Số thửaSố thửa186</v>
      </c>
    </row>
    <row r="2719" spans="1:4" x14ac:dyDescent="0.25">
      <c r="A2719" s="25">
        <v>1</v>
      </c>
      <c r="B2719" s="25" t="s">
        <v>932</v>
      </c>
      <c r="C2719" s="26" t="s">
        <v>1466</v>
      </c>
      <c r="D2719" s="25" t="str">
        <f t="shared" si="42"/>
        <v>Số thửaSố thửa42</v>
      </c>
    </row>
    <row r="2720" spans="1:4" x14ac:dyDescent="0.25">
      <c r="A2720" s="25">
        <v>3</v>
      </c>
      <c r="B2720" s="25" t="s">
        <v>516</v>
      </c>
      <c r="C2720" s="26" t="s">
        <v>1467</v>
      </c>
      <c r="D2720" s="25" t="str">
        <f t="shared" si="42"/>
        <v>Số thửaSố thửa492</v>
      </c>
    </row>
    <row r="2721" spans="1:4" x14ac:dyDescent="0.25">
      <c r="A2721" s="25">
        <v>3</v>
      </c>
      <c r="B2721" s="25" t="s">
        <v>202</v>
      </c>
      <c r="C2721" s="26" t="s">
        <v>1467</v>
      </c>
      <c r="D2721" s="25" t="str">
        <f t="shared" si="42"/>
        <v>Số thửaSố thửa493</v>
      </c>
    </row>
    <row r="2722" spans="1:4" x14ac:dyDescent="0.25">
      <c r="A2722" s="25">
        <v>4</v>
      </c>
      <c r="B2722" s="25" t="s">
        <v>194</v>
      </c>
      <c r="C2722" s="26" t="s">
        <v>1468</v>
      </c>
      <c r="D2722" s="25" t="str">
        <f t="shared" si="42"/>
        <v>Số thửaSố thửa100</v>
      </c>
    </row>
    <row r="2723" spans="1:4" x14ac:dyDescent="0.25">
      <c r="A2723" s="25">
        <v>4</v>
      </c>
      <c r="B2723" s="25" t="s">
        <v>1008</v>
      </c>
      <c r="C2723" s="26" t="s">
        <v>1467</v>
      </c>
      <c r="D2723" s="25" t="str">
        <f t="shared" si="42"/>
        <v>Số thửaSố thửa193</v>
      </c>
    </row>
    <row r="2724" spans="1:4" x14ac:dyDescent="0.25">
      <c r="A2724" s="25">
        <v>4</v>
      </c>
      <c r="B2724" s="25" t="s">
        <v>956</v>
      </c>
      <c r="C2724" s="26" t="s">
        <v>1467</v>
      </c>
      <c r="D2724" s="25" t="str">
        <f t="shared" si="42"/>
        <v>Số thửaSố thửa245</v>
      </c>
    </row>
    <row r="2725" spans="1:4" x14ac:dyDescent="0.25">
      <c r="A2725" s="25">
        <v>4</v>
      </c>
      <c r="B2725" s="25" t="s">
        <v>723</v>
      </c>
      <c r="C2725" s="26" t="s">
        <v>1467</v>
      </c>
      <c r="D2725" s="25" t="str">
        <f t="shared" si="42"/>
        <v>Số thửaSố thửa253</v>
      </c>
    </row>
    <row r="2726" spans="1:4" x14ac:dyDescent="0.25">
      <c r="A2726" s="25">
        <v>4</v>
      </c>
      <c r="B2726" s="25" t="s">
        <v>724</v>
      </c>
      <c r="C2726" s="26" t="s">
        <v>1467</v>
      </c>
      <c r="D2726" s="25" t="str">
        <f t="shared" si="42"/>
        <v>Số thửaSố thửa254</v>
      </c>
    </row>
    <row r="2727" spans="1:4" x14ac:dyDescent="0.25">
      <c r="A2727" s="25">
        <v>4</v>
      </c>
      <c r="B2727" s="25" t="s">
        <v>767</v>
      </c>
      <c r="C2727" s="26" t="s">
        <v>1467</v>
      </c>
      <c r="D2727" s="25" t="str">
        <f t="shared" si="42"/>
        <v>Số thửaSố thửa356</v>
      </c>
    </row>
    <row r="2728" spans="1:4" x14ac:dyDescent="0.25">
      <c r="A2728" s="25">
        <v>7</v>
      </c>
      <c r="B2728" s="25" t="s">
        <v>71</v>
      </c>
      <c r="C2728" s="26" t="s">
        <v>1468</v>
      </c>
      <c r="D2728" s="25" t="str">
        <f t="shared" si="42"/>
        <v>Số thửaSố thửa99</v>
      </c>
    </row>
    <row r="2729" spans="1:4" x14ac:dyDescent="0.25">
      <c r="A2729" s="25">
        <v>2</v>
      </c>
      <c r="B2729" s="25" t="s">
        <v>932</v>
      </c>
      <c r="C2729" s="26" t="s">
        <v>1469</v>
      </c>
      <c r="D2729" s="25" t="str">
        <f t="shared" si="42"/>
        <v>Số thửaSố thửa42</v>
      </c>
    </row>
    <row r="2730" spans="1:4" x14ac:dyDescent="0.25">
      <c r="A2730" s="25">
        <v>2</v>
      </c>
      <c r="B2730" s="25" t="s">
        <v>934</v>
      </c>
      <c r="C2730" s="26" t="s">
        <v>1470</v>
      </c>
      <c r="D2730" s="25" t="str">
        <f t="shared" si="42"/>
        <v>Số thửaSố thửa67</v>
      </c>
    </row>
    <row r="2731" spans="1:4" x14ac:dyDescent="0.25">
      <c r="A2731" s="25">
        <v>2</v>
      </c>
      <c r="B2731" s="25" t="s">
        <v>934</v>
      </c>
      <c r="C2731" s="26" t="s">
        <v>1470</v>
      </c>
      <c r="D2731" s="25" t="str">
        <f t="shared" si="42"/>
        <v>Số thửaSố thửa67</v>
      </c>
    </row>
    <row r="2732" spans="1:4" x14ac:dyDescent="0.25">
      <c r="A2732" s="25">
        <v>3</v>
      </c>
      <c r="B2732" s="25" t="s">
        <v>254</v>
      </c>
      <c r="C2732" s="26" t="s">
        <v>1471</v>
      </c>
      <c r="D2732" s="25" t="str">
        <f t="shared" si="42"/>
        <v>Số thửaSố thửa6</v>
      </c>
    </row>
    <row r="2733" spans="1:4" x14ac:dyDescent="0.25">
      <c r="A2733" s="25">
        <v>3</v>
      </c>
      <c r="B2733" s="25" t="s">
        <v>754</v>
      </c>
      <c r="C2733" s="26" t="s">
        <v>1472</v>
      </c>
      <c r="D2733" s="25" t="str">
        <f t="shared" si="42"/>
        <v>Số thửaSố thửa420</v>
      </c>
    </row>
    <row r="2734" spans="1:4" x14ac:dyDescent="0.25">
      <c r="A2734" s="25">
        <v>4</v>
      </c>
      <c r="B2734" s="25" t="s">
        <v>933</v>
      </c>
      <c r="C2734" s="26" t="s">
        <v>1473</v>
      </c>
      <c r="D2734" s="25" t="str">
        <f t="shared" si="42"/>
        <v>Số thửaSố thửa53</v>
      </c>
    </row>
    <row r="2735" spans="1:4" x14ac:dyDescent="0.25">
      <c r="A2735" s="25">
        <v>4</v>
      </c>
      <c r="B2735" s="25" t="s">
        <v>325</v>
      </c>
      <c r="C2735" s="26" t="s">
        <v>1473</v>
      </c>
      <c r="D2735" s="25" t="str">
        <f t="shared" si="42"/>
        <v>Số thửaSố thửa101</v>
      </c>
    </row>
    <row r="2736" spans="1:4" x14ac:dyDescent="0.25">
      <c r="A2736" s="25">
        <v>4</v>
      </c>
      <c r="B2736" s="25" t="s">
        <v>326</v>
      </c>
      <c r="C2736" s="26" t="s">
        <v>1473</v>
      </c>
      <c r="D2736" s="25" t="str">
        <f t="shared" si="42"/>
        <v>Số thửaSố thửa102</v>
      </c>
    </row>
    <row r="2737" spans="1:4" x14ac:dyDescent="0.25">
      <c r="A2737" s="25">
        <v>4</v>
      </c>
      <c r="B2737" s="25" t="s">
        <v>666</v>
      </c>
      <c r="C2737" s="26" t="s">
        <v>1472</v>
      </c>
      <c r="D2737" s="25" t="str">
        <f t="shared" si="42"/>
        <v>Số thửaSố thửa142</v>
      </c>
    </row>
    <row r="2738" spans="1:4" x14ac:dyDescent="0.25">
      <c r="A2738" s="25">
        <v>4</v>
      </c>
      <c r="B2738" s="25" t="s">
        <v>253</v>
      </c>
      <c r="C2738" s="26" t="s">
        <v>1472</v>
      </c>
      <c r="D2738" s="25" t="str">
        <f t="shared" si="42"/>
        <v>Số thửaSố thửa360</v>
      </c>
    </row>
    <row r="2739" spans="1:4" x14ac:dyDescent="0.25">
      <c r="A2739" s="25">
        <v>6</v>
      </c>
      <c r="B2739" s="25" t="s">
        <v>246</v>
      </c>
      <c r="C2739" s="26" t="s">
        <v>1472</v>
      </c>
      <c r="D2739" s="25" t="str">
        <f t="shared" si="42"/>
        <v>Số thửaSố thửa39</v>
      </c>
    </row>
    <row r="2740" spans="1:4" x14ac:dyDescent="0.25">
      <c r="A2740" s="25">
        <v>7</v>
      </c>
      <c r="B2740" s="25" t="s">
        <v>416</v>
      </c>
      <c r="C2740" s="26" t="s">
        <v>1472</v>
      </c>
      <c r="D2740" s="25" t="str">
        <f t="shared" si="42"/>
        <v>Số thửaSố thửa2</v>
      </c>
    </row>
    <row r="2741" spans="1:4" x14ac:dyDescent="0.25">
      <c r="A2741" s="25">
        <v>11</v>
      </c>
      <c r="B2741" s="25" t="s">
        <v>135</v>
      </c>
      <c r="C2741" s="26" t="s">
        <v>1474</v>
      </c>
      <c r="D2741" s="25" t="str">
        <f t="shared" si="42"/>
        <v>Số thửaSố thửa132</v>
      </c>
    </row>
    <row r="2742" spans="1:4" x14ac:dyDescent="0.25">
      <c r="A2742" s="25">
        <v>11</v>
      </c>
      <c r="B2742" s="25" t="s">
        <v>894</v>
      </c>
      <c r="C2742" s="26" t="s">
        <v>1475</v>
      </c>
      <c r="D2742" s="25" t="str">
        <f t="shared" si="42"/>
        <v>Số thửaSố thửa165</v>
      </c>
    </row>
    <row r="2743" spans="1:4" x14ac:dyDescent="0.25">
      <c r="A2743" s="25">
        <v>11</v>
      </c>
      <c r="B2743" s="25" t="s">
        <v>894</v>
      </c>
      <c r="C2743" s="26" t="s">
        <v>1475</v>
      </c>
      <c r="D2743" s="25" t="str">
        <f t="shared" si="42"/>
        <v>Số thửaSố thửa165</v>
      </c>
    </row>
    <row r="2744" spans="1:4" x14ac:dyDescent="0.25">
      <c r="A2744" s="25">
        <v>11</v>
      </c>
      <c r="B2744" s="25" t="s">
        <v>83</v>
      </c>
      <c r="C2744" s="26" t="s">
        <v>1476</v>
      </c>
      <c r="D2744" s="25" t="str">
        <f t="shared" si="42"/>
        <v>Số thửaSố thửa217</v>
      </c>
    </row>
    <row r="2745" spans="1:4" x14ac:dyDescent="0.25">
      <c r="A2745" s="25">
        <v>11</v>
      </c>
      <c r="B2745" s="25" t="s">
        <v>83</v>
      </c>
      <c r="C2745" s="26" t="s">
        <v>1476</v>
      </c>
      <c r="D2745" s="25" t="str">
        <f t="shared" si="42"/>
        <v>Số thửaSố thửa217</v>
      </c>
    </row>
    <row r="2746" spans="1:4" x14ac:dyDescent="0.25">
      <c r="A2746" s="25">
        <v>11</v>
      </c>
      <c r="B2746" s="25" t="s">
        <v>399</v>
      </c>
      <c r="C2746" s="26" t="s">
        <v>1477</v>
      </c>
      <c r="D2746" s="25" t="str">
        <f t="shared" si="42"/>
        <v>Số thửaSố thửa173</v>
      </c>
    </row>
    <row r="2747" spans="1:4" x14ac:dyDescent="0.25">
      <c r="A2747" s="25">
        <v>11</v>
      </c>
      <c r="B2747" s="25" t="s">
        <v>399</v>
      </c>
      <c r="C2747" s="26" t="s">
        <v>1477</v>
      </c>
      <c r="D2747" s="25" t="str">
        <f t="shared" si="42"/>
        <v>Số thửaSố thửa173</v>
      </c>
    </row>
    <row r="2748" spans="1:4" x14ac:dyDescent="0.25">
      <c r="A2748" s="25">
        <v>11</v>
      </c>
      <c r="B2748" s="25" t="s">
        <v>1006</v>
      </c>
      <c r="C2748" s="26" t="s">
        <v>1478</v>
      </c>
      <c r="D2748" s="25" t="str">
        <f t="shared" si="42"/>
        <v>Số thửaSố thửa178</v>
      </c>
    </row>
    <row r="2749" spans="1:4" x14ac:dyDescent="0.25">
      <c r="A2749" s="25">
        <v>11</v>
      </c>
      <c r="B2749" s="25" t="s">
        <v>1006</v>
      </c>
      <c r="C2749" s="26" t="s">
        <v>1478</v>
      </c>
      <c r="D2749" s="25" t="str">
        <f t="shared" si="42"/>
        <v>Số thửaSố thửa178</v>
      </c>
    </row>
    <row r="2750" spans="1:4" x14ac:dyDescent="0.25">
      <c r="A2750" s="25">
        <v>13</v>
      </c>
      <c r="B2750" s="25" t="s">
        <v>524</v>
      </c>
      <c r="C2750" s="26" t="s">
        <v>1479</v>
      </c>
      <c r="D2750" s="25" t="str">
        <f t="shared" si="42"/>
        <v>Số thửaSố thửa351</v>
      </c>
    </row>
    <row r="2751" spans="1:4" x14ac:dyDescent="0.25">
      <c r="A2751" s="25">
        <v>10</v>
      </c>
      <c r="B2751" s="25" t="s">
        <v>82</v>
      </c>
      <c r="C2751" s="26" t="s">
        <v>1480</v>
      </c>
      <c r="D2751" s="25" t="str">
        <f t="shared" si="42"/>
        <v>Số thửaSố thửa215</v>
      </c>
    </row>
    <row r="2752" spans="1:4" x14ac:dyDescent="0.25">
      <c r="A2752" s="25">
        <v>11</v>
      </c>
      <c r="B2752" s="25" t="s">
        <v>222</v>
      </c>
      <c r="C2752" s="26" t="s">
        <v>1481</v>
      </c>
      <c r="D2752" s="25" t="str">
        <f t="shared" si="42"/>
        <v>Số thửaSố thửa227</v>
      </c>
    </row>
    <row r="2753" spans="1:4" x14ac:dyDescent="0.25">
      <c r="A2753" s="25">
        <v>11</v>
      </c>
      <c r="B2753" s="25" t="s">
        <v>222</v>
      </c>
      <c r="C2753" s="26" t="s">
        <v>1481</v>
      </c>
      <c r="D2753" s="25" t="str">
        <f t="shared" si="42"/>
        <v>Số thửaSố thửa227</v>
      </c>
    </row>
    <row r="2754" spans="1:4" x14ac:dyDescent="0.25">
      <c r="A2754" s="25">
        <v>13</v>
      </c>
      <c r="B2754" s="25" t="s">
        <v>434</v>
      </c>
      <c r="C2754" s="26" t="s">
        <v>1480</v>
      </c>
      <c r="D2754" s="25" t="str">
        <f t="shared" si="42"/>
        <v>Số thửaSố thửa271</v>
      </c>
    </row>
    <row r="2755" spans="1:4" x14ac:dyDescent="0.25">
      <c r="A2755" s="25">
        <v>10</v>
      </c>
      <c r="B2755" s="25" t="s">
        <v>93</v>
      </c>
      <c r="C2755" s="26" t="s">
        <v>1482</v>
      </c>
      <c r="D2755" s="25" t="str">
        <f t="shared" ref="D2755:D2818" si="43">$B$1&amp;B2755</f>
        <v>Số thửaSố thửa239</v>
      </c>
    </row>
    <row r="2756" spans="1:4" x14ac:dyDescent="0.25">
      <c r="A2756" s="25">
        <v>10</v>
      </c>
      <c r="B2756" s="25" t="s">
        <v>93</v>
      </c>
      <c r="C2756" s="26" t="s">
        <v>1482</v>
      </c>
      <c r="D2756" s="25" t="str">
        <f t="shared" si="43"/>
        <v>Số thửaSố thửa239</v>
      </c>
    </row>
    <row r="2757" spans="1:4" x14ac:dyDescent="0.25">
      <c r="A2757" s="25">
        <v>14</v>
      </c>
      <c r="B2757" s="25" t="s">
        <v>56</v>
      </c>
      <c r="C2757" s="26" t="s">
        <v>1483</v>
      </c>
      <c r="D2757" s="25" t="str">
        <f t="shared" si="43"/>
        <v>Số thửaSố thửa229</v>
      </c>
    </row>
    <row r="2758" spans="1:4" x14ac:dyDescent="0.25">
      <c r="A2758" s="25">
        <v>2</v>
      </c>
      <c r="B2758" s="25" t="s">
        <v>182</v>
      </c>
      <c r="C2758" s="26" t="s">
        <v>1484</v>
      </c>
      <c r="D2758" s="25" t="str">
        <f t="shared" si="43"/>
        <v>Số thửaSố thửa371</v>
      </c>
    </row>
    <row r="2759" spans="1:4" x14ac:dyDescent="0.25">
      <c r="A2759" s="25">
        <v>3</v>
      </c>
      <c r="B2759" s="25" t="s">
        <v>245</v>
      </c>
      <c r="C2759" s="26" t="s">
        <v>1485</v>
      </c>
      <c r="D2759" s="25" t="str">
        <f t="shared" si="43"/>
        <v>Số thửaSố thửa69</v>
      </c>
    </row>
    <row r="2760" spans="1:4" x14ac:dyDescent="0.25">
      <c r="A2760" s="25">
        <v>3</v>
      </c>
      <c r="B2760" s="25" t="s">
        <v>468</v>
      </c>
      <c r="C2760" s="26" t="s">
        <v>1486</v>
      </c>
      <c r="D2760" s="25" t="str">
        <f t="shared" si="43"/>
        <v>Số thửaSố thửa93</v>
      </c>
    </row>
    <row r="2761" spans="1:4" x14ac:dyDescent="0.25">
      <c r="A2761" s="25">
        <v>3</v>
      </c>
      <c r="B2761" s="25" t="s">
        <v>468</v>
      </c>
      <c r="C2761" s="26" t="s">
        <v>1486</v>
      </c>
      <c r="D2761" s="25" t="str">
        <f t="shared" si="43"/>
        <v>Số thửaSố thửa93</v>
      </c>
    </row>
    <row r="2762" spans="1:4" x14ac:dyDescent="0.25">
      <c r="A2762" s="25">
        <v>3</v>
      </c>
      <c r="B2762" s="25" t="s">
        <v>401</v>
      </c>
      <c r="C2762" s="26" t="s">
        <v>1485</v>
      </c>
      <c r="D2762" s="25" t="str">
        <f t="shared" si="43"/>
        <v>Số thửaSố thửa175</v>
      </c>
    </row>
    <row r="2763" spans="1:4" x14ac:dyDescent="0.25">
      <c r="A2763" s="25">
        <v>13</v>
      </c>
      <c r="B2763" s="25" t="s">
        <v>785</v>
      </c>
      <c r="C2763" s="26" t="s">
        <v>1487</v>
      </c>
      <c r="D2763" s="25" t="str">
        <f t="shared" si="43"/>
        <v>Số thửaSố thửa683</v>
      </c>
    </row>
    <row r="2764" spans="1:4" x14ac:dyDescent="0.25">
      <c r="A2764" s="25">
        <v>7</v>
      </c>
      <c r="B2764" s="25" t="s">
        <v>682</v>
      </c>
      <c r="C2764" s="26" t="s">
        <v>1488</v>
      </c>
      <c r="D2764" s="25" t="str">
        <f t="shared" si="43"/>
        <v>Số thửaSố thửa725</v>
      </c>
    </row>
    <row r="2765" spans="1:4" x14ac:dyDescent="0.25">
      <c r="A2765" s="25">
        <v>3</v>
      </c>
      <c r="B2765" s="25" t="s">
        <v>323</v>
      </c>
      <c r="C2765" s="26" t="s">
        <v>1489</v>
      </c>
      <c r="D2765" s="25" t="str">
        <f t="shared" si="43"/>
        <v>Số thửaSố thửa114</v>
      </c>
    </row>
    <row r="2766" spans="1:4" x14ac:dyDescent="0.25">
      <c r="A2766" s="25">
        <v>1</v>
      </c>
      <c r="B2766" s="25" t="s">
        <v>278</v>
      </c>
      <c r="C2766" s="26" t="s">
        <v>1490</v>
      </c>
      <c r="D2766" s="25" t="str">
        <f t="shared" si="43"/>
        <v>Số thửaSố thửa27</v>
      </c>
    </row>
    <row r="2767" spans="1:4" x14ac:dyDescent="0.25">
      <c r="A2767" s="25">
        <v>8</v>
      </c>
      <c r="B2767" s="25" t="s">
        <v>74</v>
      </c>
      <c r="C2767" s="26" t="s">
        <v>1491</v>
      </c>
      <c r="D2767" s="25" t="str">
        <f t="shared" si="43"/>
        <v>Số thửaSố thửa183</v>
      </c>
    </row>
    <row r="2768" spans="1:4" x14ac:dyDescent="0.25">
      <c r="A2768" s="25">
        <v>8</v>
      </c>
      <c r="B2768" s="25" t="s">
        <v>74</v>
      </c>
      <c r="C2768" s="26" t="s">
        <v>1491</v>
      </c>
      <c r="D2768" s="25" t="str">
        <f t="shared" si="43"/>
        <v>Số thửaSố thửa183</v>
      </c>
    </row>
    <row r="2769" spans="1:4" x14ac:dyDescent="0.25">
      <c r="A2769" s="25">
        <v>8</v>
      </c>
      <c r="B2769" s="25" t="s">
        <v>96</v>
      </c>
      <c r="C2769" s="26" t="s">
        <v>1492</v>
      </c>
      <c r="D2769" s="25" t="str">
        <f t="shared" si="43"/>
        <v>Số thửaSố thửa242</v>
      </c>
    </row>
    <row r="2770" spans="1:4" x14ac:dyDescent="0.25">
      <c r="A2770" s="25">
        <v>8</v>
      </c>
      <c r="B2770" s="25" t="s">
        <v>97</v>
      </c>
      <c r="C2770" s="26" t="s">
        <v>1492</v>
      </c>
      <c r="D2770" s="25" t="str">
        <f t="shared" si="43"/>
        <v>Số thửaSố thửa243</v>
      </c>
    </row>
    <row r="2771" spans="1:4" x14ac:dyDescent="0.25">
      <c r="A2771" s="25">
        <v>8</v>
      </c>
      <c r="B2771" s="25" t="s">
        <v>817</v>
      </c>
      <c r="C2771" s="26" t="s">
        <v>1492</v>
      </c>
      <c r="D2771" s="25" t="str">
        <f t="shared" si="43"/>
        <v>Số thửaSố thửa244</v>
      </c>
    </row>
    <row r="2772" spans="1:4" x14ac:dyDescent="0.25">
      <c r="A2772" s="25">
        <v>8</v>
      </c>
      <c r="B2772" s="25" t="s">
        <v>956</v>
      </c>
      <c r="C2772" s="26" t="s">
        <v>1492</v>
      </c>
      <c r="D2772" s="25" t="str">
        <f t="shared" si="43"/>
        <v>Số thửaSố thửa245</v>
      </c>
    </row>
    <row r="2773" spans="1:4" x14ac:dyDescent="0.25">
      <c r="A2773" s="25">
        <v>8</v>
      </c>
      <c r="B2773" s="25" t="s">
        <v>797</v>
      </c>
      <c r="C2773" s="26" t="s">
        <v>1492</v>
      </c>
      <c r="D2773" s="25" t="str">
        <f t="shared" si="43"/>
        <v>Số thửaSố thửa246</v>
      </c>
    </row>
    <row r="2774" spans="1:4" x14ac:dyDescent="0.25">
      <c r="A2774" s="25">
        <v>8</v>
      </c>
      <c r="B2774" s="25" t="s">
        <v>724</v>
      </c>
      <c r="C2774" s="26" t="s">
        <v>1492</v>
      </c>
      <c r="D2774" s="25" t="str">
        <f t="shared" si="43"/>
        <v>Số thửaSố thửa254</v>
      </c>
    </row>
    <row r="2775" spans="1:4" x14ac:dyDescent="0.25">
      <c r="A2775" s="25">
        <v>8</v>
      </c>
      <c r="B2775" s="25" t="s">
        <v>726</v>
      </c>
      <c r="C2775" s="26" t="s">
        <v>1492</v>
      </c>
      <c r="D2775" s="25" t="str">
        <f t="shared" si="43"/>
        <v>Số thửaSố thửa255</v>
      </c>
    </row>
    <row r="2776" spans="1:4" x14ac:dyDescent="0.25">
      <c r="A2776" s="25">
        <v>13</v>
      </c>
      <c r="B2776" s="25" t="s">
        <v>636</v>
      </c>
      <c r="C2776" s="26" t="s">
        <v>1493</v>
      </c>
      <c r="D2776" s="25" t="str">
        <f t="shared" si="43"/>
        <v>Số thửaSố thửa712</v>
      </c>
    </row>
    <row r="2777" spans="1:4" x14ac:dyDescent="0.25">
      <c r="A2777" s="25">
        <v>13</v>
      </c>
      <c r="B2777" s="25" t="s">
        <v>636</v>
      </c>
      <c r="C2777" s="26" t="s">
        <v>1493</v>
      </c>
      <c r="D2777" s="25" t="str">
        <f t="shared" si="43"/>
        <v>Số thửaSố thửa712</v>
      </c>
    </row>
    <row r="2778" spans="1:4" x14ac:dyDescent="0.25">
      <c r="A2778" s="25">
        <v>11</v>
      </c>
      <c r="B2778" s="25" t="s">
        <v>71</v>
      </c>
      <c r="C2778" s="26" t="s">
        <v>1494</v>
      </c>
      <c r="D2778" s="25" t="str">
        <f t="shared" si="43"/>
        <v>Số thửaSố thửa99</v>
      </c>
    </row>
    <row r="2779" spans="1:4" x14ac:dyDescent="0.25">
      <c r="A2779" s="25">
        <v>11</v>
      </c>
      <c r="B2779" s="25" t="s">
        <v>654</v>
      </c>
      <c r="C2779" s="26" t="s">
        <v>1494</v>
      </c>
      <c r="D2779" s="25" t="str">
        <f t="shared" si="43"/>
        <v>Số thửaSố thửa103</v>
      </c>
    </row>
    <row r="2780" spans="1:4" x14ac:dyDescent="0.25">
      <c r="A2780" s="25">
        <v>11</v>
      </c>
      <c r="B2780" s="25" t="s">
        <v>885</v>
      </c>
      <c r="C2780" s="26" t="s">
        <v>1494</v>
      </c>
      <c r="D2780" s="25" t="str">
        <f t="shared" si="43"/>
        <v>Số thửaSố thửa106</v>
      </c>
    </row>
    <row r="2781" spans="1:4" x14ac:dyDescent="0.25">
      <c r="A2781" s="25">
        <v>11</v>
      </c>
      <c r="B2781" s="25" t="s">
        <v>323</v>
      </c>
      <c r="C2781" s="26" t="s">
        <v>1494</v>
      </c>
      <c r="D2781" s="25" t="str">
        <f t="shared" si="43"/>
        <v>Số thửaSố thửa114</v>
      </c>
    </row>
    <row r="2782" spans="1:4" x14ac:dyDescent="0.25">
      <c r="A2782" s="25">
        <v>11</v>
      </c>
      <c r="B2782" s="25" t="s">
        <v>693</v>
      </c>
      <c r="C2782" s="26" t="s">
        <v>1494</v>
      </c>
      <c r="D2782" s="25" t="str">
        <f t="shared" si="43"/>
        <v>Số thửaSố thửa115</v>
      </c>
    </row>
    <row r="2783" spans="1:4" x14ac:dyDescent="0.25">
      <c r="A2783" s="25">
        <v>11</v>
      </c>
      <c r="B2783" s="25" t="s">
        <v>107</v>
      </c>
      <c r="C2783" s="26" t="s">
        <v>1494</v>
      </c>
      <c r="D2783" s="25" t="str">
        <f t="shared" si="43"/>
        <v>Số thửaSố thửa118</v>
      </c>
    </row>
    <row r="2784" spans="1:4" x14ac:dyDescent="0.25">
      <c r="A2784" s="25">
        <v>13</v>
      </c>
      <c r="B2784" s="25" t="s">
        <v>480</v>
      </c>
      <c r="C2784" s="26" t="s">
        <v>1494</v>
      </c>
      <c r="D2784" s="25" t="str">
        <f t="shared" si="43"/>
        <v>Số thửaSố thửa767</v>
      </c>
    </row>
    <row r="2785" spans="1:4" x14ac:dyDescent="0.25">
      <c r="A2785" s="25">
        <v>15</v>
      </c>
      <c r="B2785" s="25" t="s">
        <v>1119</v>
      </c>
      <c r="C2785" s="26" t="s">
        <v>1495</v>
      </c>
      <c r="D2785" s="25" t="str">
        <f t="shared" si="43"/>
        <v>Số thửaSố thửa12</v>
      </c>
    </row>
    <row r="2786" spans="1:4" x14ac:dyDescent="0.25">
      <c r="A2786" s="25">
        <v>15</v>
      </c>
      <c r="B2786" s="25" t="s">
        <v>277</v>
      </c>
      <c r="C2786" s="26" t="s">
        <v>1495</v>
      </c>
      <c r="D2786" s="25" t="str">
        <f t="shared" si="43"/>
        <v>Số thửaSố thửa26</v>
      </c>
    </row>
    <row r="2787" spans="1:4" x14ac:dyDescent="0.25">
      <c r="A2787" s="25">
        <v>3</v>
      </c>
      <c r="B2787" s="25" t="s">
        <v>417</v>
      </c>
      <c r="C2787" s="26" t="s">
        <v>1496</v>
      </c>
      <c r="D2787" s="25" t="str">
        <f t="shared" si="43"/>
        <v>Số thửaSố thửa14</v>
      </c>
    </row>
    <row r="2788" spans="1:4" x14ac:dyDescent="0.25">
      <c r="A2788" s="25">
        <v>3</v>
      </c>
      <c r="B2788" s="25" t="s">
        <v>511</v>
      </c>
      <c r="C2788" s="26" t="s">
        <v>1497</v>
      </c>
      <c r="D2788" s="25" t="str">
        <f t="shared" si="43"/>
        <v>Số thửaSố thửa150</v>
      </c>
    </row>
    <row r="2789" spans="1:4" x14ac:dyDescent="0.25">
      <c r="A2789" s="25">
        <v>3</v>
      </c>
      <c r="B2789" s="25" t="s">
        <v>1002</v>
      </c>
      <c r="C2789" s="26" t="s">
        <v>1496</v>
      </c>
      <c r="D2789" s="25" t="str">
        <f t="shared" si="43"/>
        <v>Số thửaSố thửa158</v>
      </c>
    </row>
    <row r="2790" spans="1:4" x14ac:dyDescent="0.25">
      <c r="A2790" s="25">
        <v>3</v>
      </c>
      <c r="B2790" s="25" t="s">
        <v>731</v>
      </c>
      <c r="C2790" s="26" t="s">
        <v>1496</v>
      </c>
      <c r="D2790" s="25" t="str">
        <f t="shared" si="43"/>
        <v>Số thửaSố thửa304</v>
      </c>
    </row>
    <row r="2791" spans="1:4" x14ac:dyDescent="0.25">
      <c r="A2791" s="25">
        <v>3</v>
      </c>
      <c r="B2791" s="25" t="s">
        <v>767</v>
      </c>
      <c r="C2791" s="26" t="s">
        <v>1496</v>
      </c>
      <c r="D2791" s="25" t="str">
        <f t="shared" si="43"/>
        <v>Số thửaSố thửa356</v>
      </c>
    </row>
    <row r="2792" spans="1:4" x14ac:dyDescent="0.25">
      <c r="A2792" s="25">
        <v>3</v>
      </c>
      <c r="B2792" s="25" t="s">
        <v>846</v>
      </c>
      <c r="C2792" s="26" t="s">
        <v>1498</v>
      </c>
      <c r="D2792" s="25" t="str">
        <f t="shared" si="43"/>
        <v>Số thửaSố thửa409</v>
      </c>
    </row>
    <row r="2793" spans="1:4" x14ac:dyDescent="0.25">
      <c r="A2793" s="25">
        <v>3</v>
      </c>
      <c r="B2793" s="25" t="s">
        <v>846</v>
      </c>
      <c r="C2793" s="26" t="s">
        <v>1498</v>
      </c>
      <c r="D2793" s="25" t="str">
        <f t="shared" si="43"/>
        <v>Số thửaSố thửa409</v>
      </c>
    </row>
    <row r="2794" spans="1:4" x14ac:dyDescent="0.25">
      <c r="A2794" s="25">
        <v>6</v>
      </c>
      <c r="B2794" s="25" t="s">
        <v>196</v>
      </c>
      <c r="C2794" s="26" t="s">
        <v>1499</v>
      </c>
      <c r="D2794" s="25" t="str">
        <f t="shared" si="43"/>
        <v>Số thửaSố thửa50</v>
      </c>
    </row>
    <row r="2795" spans="1:4" x14ac:dyDescent="0.25">
      <c r="A2795" s="25">
        <v>3</v>
      </c>
      <c r="B2795" s="25" t="s">
        <v>932</v>
      </c>
      <c r="C2795" s="26" t="s">
        <v>1500</v>
      </c>
      <c r="D2795" s="25" t="str">
        <f t="shared" si="43"/>
        <v>Số thửaSố thửa42</v>
      </c>
    </row>
    <row r="2796" spans="1:4" x14ac:dyDescent="0.25">
      <c r="A2796" s="25">
        <v>3</v>
      </c>
      <c r="B2796" s="25" t="s">
        <v>932</v>
      </c>
      <c r="C2796" s="26" t="s">
        <v>1500</v>
      </c>
      <c r="D2796" s="25" t="str">
        <f t="shared" si="43"/>
        <v>Số thửaSố thửa42</v>
      </c>
    </row>
    <row r="2797" spans="1:4" x14ac:dyDescent="0.25">
      <c r="A2797" s="25">
        <v>11</v>
      </c>
      <c r="B2797" s="25" t="s">
        <v>73</v>
      </c>
      <c r="C2797" s="26" t="s">
        <v>1501</v>
      </c>
      <c r="D2797" s="25" t="str">
        <f t="shared" si="43"/>
        <v>Số thửaSố thửa168</v>
      </c>
    </row>
    <row r="2798" spans="1:4" x14ac:dyDescent="0.25">
      <c r="A2798" s="25">
        <v>11</v>
      </c>
      <c r="B2798" s="25" t="s">
        <v>171</v>
      </c>
      <c r="C2798" s="26" t="s">
        <v>1502</v>
      </c>
      <c r="D2798" s="25" t="str">
        <f t="shared" si="43"/>
        <v>Số thửaSố thửa182</v>
      </c>
    </row>
    <row r="2799" spans="1:4" x14ac:dyDescent="0.25">
      <c r="A2799" s="25">
        <v>11</v>
      </c>
      <c r="B2799" s="25" t="s">
        <v>171</v>
      </c>
      <c r="C2799" s="26" t="s">
        <v>1502</v>
      </c>
      <c r="D2799" s="25" t="str">
        <f t="shared" si="43"/>
        <v>Số thửaSố thửa182</v>
      </c>
    </row>
    <row r="2800" spans="1:4" x14ac:dyDescent="0.25">
      <c r="A2800" s="25">
        <v>6</v>
      </c>
      <c r="B2800" s="25" t="s">
        <v>1503</v>
      </c>
      <c r="C2800" s="26" t="s">
        <v>1504</v>
      </c>
      <c r="D2800" s="25" t="str">
        <f t="shared" si="43"/>
        <v>Số thửaSố thửa897</v>
      </c>
    </row>
    <row r="2801" spans="1:4" x14ac:dyDescent="0.25">
      <c r="A2801" s="25">
        <v>6</v>
      </c>
      <c r="B2801" s="25" t="s">
        <v>1503</v>
      </c>
      <c r="C2801" s="26" t="s">
        <v>1504</v>
      </c>
      <c r="D2801" s="25" t="str">
        <f t="shared" si="43"/>
        <v>Số thửaSố thửa897</v>
      </c>
    </row>
    <row r="2802" spans="1:4" x14ac:dyDescent="0.25">
      <c r="A2802" s="25">
        <v>11</v>
      </c>
      <c r="B2802" s="25" t="s">
        <v>348</v>
      </c>
      <c r="C2802" s="26" t="s">
        <v>1505</v>
      </c>
      <c r="D2802" s="25" t="str">
        <f t="shared" si="43"/>
        <v>Số thửaSố thửa97</v>
      </c>
    </row>
    <row r="2803" spans="1:4" x14ac:dyDescent="0.25">
      <c r="A2803" s="25">
        <v>12</v>
      </c>
      <c r="B2803" s="25" t="s">
        <v>494</v>
      </c>
      <c r="C2803" s="26" t="s">
        <v>1506</v>
      </c>
      <c r="D2803" s="25" t="str">
        <f t="shared" si="43"/>
        <v>Số thửaSố thửa92</v>
      </c>
    </row>
    <row r="2804" spans="1:4" x14ac:dyDescent="0.25">
      <c r="A2804" s="25">
        <v>12</v>
      </c>
      <c r="B2804" s="25" t="s">
        <v>494</v>
      </c>
      <c r="C2804" s="26" t="s">
        <v>1506</v>
      </c>
      <c r="D2804" s="25" t="str">
        <f t="shared" si="43"/>
        <v>Số thửaSố thửa92</v>
      </c>
    </row>
    <row r="2805" spans="1:4" x14ac:dyDescent="0.25">
      <c r="A2805" s="25">
        <v>14</v>
      </c>
      <c r="B2805" s="25" t="s">
        <v>788</v>
      </c>
      <c r="C2805" s="26" t="s">
        <v>1507</v>
      </c>
      <c r="D2805" s="25" t="str">
        <f t="shared" si="43"/>
        <v>Số thửaSố thửa18</v>
      </c>
    </row>
    <row r="2806" spans="1:4" x14ac:dyDescent="0.25">
      <c r="A2806" s="25">
        <v>14</v>
      </c>
      <c r="B2806" s="25" t="s">
        <v>931</v>
      </c>
      <c r="C2806" s="26" t="s">
        <v>1505</v>
      </c>
      <c r="D2806" s="25" t="str">
        <f t="shared" si="43"/>
        <v>Số thửaSố thửa41</v>
      </c>
    </row>
    <row r="2807" spans="1:4" x14ac:dyDescent="0.25">
      <c r="A2807" s="25">
        <v>2</v>
      </c>
      <c r="B2807" s="25" t="s">
        <v>819</v>
      </c>
      <c r="C2807" s="26" t="s">
        <v>1508</v>
      </c>
      <c r="D2807" s="25" t="str">
        <f t="shared" si="43"/>
        <v>Số thửaSố thửa284</v>
      </c>
    </row>
    <row r="2808" spans="1:4" x14ac:dyDescent="0.25">
      <c r="A2808" s="25">
        <v>3</v>
      </c>
      <c r="B2808" s="25" t="s">
        <v>348</v>
      </c>
      <c r="C2808" s="26" t="s">
        <v>1508</v>
      </c>
      <c r="D2808" s="25" t="str">
        <f t="shared" si="43"/>
        <v>Số thửaSố thửa97</v>
      </c>
    </row>
    <row r="2809" spans="1:4" x14ac:dyDescent="0.25">
      <c r="A2809" s="25">
        <v>3</v>
      </c>
      <c r="B2809" s="25" t="s">
        <v>885</v>
      </c>
      <c r="C2809" s="26" t="s">
        <v>1387</v>
      </c>
      <c r="D2809" s="25" t="str">
        <f t="shared" si="43"/>
        <v>Số thửaSố thửa106</v>
      </c>
    </row>
    <row r="2810" spans="1:4" x14ac:dyDescent="0.25">
      <c r="A2810" s="25">
        <v>3</v>
      </c>
      <c r="B2810" s="25" t="s">
        <v>885</v>
      </c>
      <c r="C2810" s="26" t="s">
        <v>1387</v>
      </c>
      <c r="D2810" s="25" t="str">
        <f t="shared" si="43"/>
        <v>Số thửaSố thửa106</v>
      </c>
    </row>
    <row r="2811" spans="1:4" x14ac:dyDescent="0.25">
      <c r="A2811" s="25">
        <v>3</v>
      </c>
      <c r="B2811" s="25" t="s">
        <v>107</v>
      </c>
      <c r="C2811" s="26" t="s">
        <v>1508</v>
      </c>
      <c r="D2811" s="25" t="str">
        <f t="shared" si="43"/>
        <v>Số thửaSố thửa118</v>
      </c>
    </row>
    <row r="2812" spans="1:4" x14ac:dyDescent="0.25">
      <c r="A2812" s="25">
        <v>11</v>
      </c>
      <c r="B2812" s="25" t="s">
        <v>567</v>
      </c>
      <c r="C2812" s="26" t="s">
        <v>1509</v>
      </c>
      <c r="D2812" s="25" t="str">
        <f t="shared" si="43"/>
        <v>Số thửaSố thửa184</v>
      </c>
    </row>
    <row r="2813" spans="1:4" x14ac:dyDescent="0.25">
      <c r="A2813" s="25">
        <v>11</v>
      </c>
      <c r="B2813" s="25" t="s">
        <v>567</v>
      </c>
      <c r="C2813" s="26" t="s">
        <v>1509</v>
      </c>
      <c r="D2813" s="25" t="str">
        <f t="shared" si="43"/>
        <v>Số thửaSố thửa184</v>
      </c>
    </row>
    <row r="2814" spans="1:4" x14ac:dyDescent="0.25">
      <c r="A2814" s="25">
        <v>2</v>
      </c>
      <c r="B2814" s="25" t="s">
        <v>254</v>
      </c>
      <c r="C2814" s="26" t="s">
        <v>1510</v>
      </c>
      <c r="D2814" s="25" t="str">
        <f t="shared" si="43"/>
        <v>Số thửaSố thửa6</v>
      </c>
    </row>
    <row r="2815" spans="1:4" x14ac:dyDescent="0.25">
      <c r="A2815" s="25">
        <v>10</v>
      </c>
      <c r="B2815" s="25" t="s">
        <v>280</v>
      </c>
      <c r="C2815" s="26" t="s">
        <v>1511</v>
      </c>
      <c r="D2815" s="25" t="str">
        <f t="shared" si="43"/>
        <v>Số thửaSố thửa315</v>
      </c>
    </row>
    <row r="2816" spans="1:4" x14ac:dyDescent="0.25">
      <c r="A2816" s="25">
        <v>6</v>
      </c>
      <c r="B2816" s="25" t="s">
        <v>1512</v>
      </c>
      <c r="C2816" s="26" t="s">
        <v>1513</v>
      </c>
      <c r="D2816" s="25" t="str">
        <f t="shared" si="43"/>
        <v>Số thửaSố thửa918</v>
      </c>
    </row>
    <row r="2817" spans="1:4" x14ac:dyDescent="0.25">
      <c r="A2817" s="25">
        <v>10</v>
      </c>
      <c r="B2817" s="25" t="s">
        <v>95</v>
      </c>
      <c r="C2817" s="26" t="s">
        <v>1514</v>
      </c>
      <c r="D2817" s="25" t="str">
        <f t="shared" si="43"/>
        <v>Số thửaSố thửa241</v>
      </c>
    </row>
    <row r="2818" spans="1:4" x14ac:dyDescent="0.25">
      <c r="A2818" s="25">
        <v>6</v>
      </c>
      <c r="B2818" s="25" t="s">
        <v>1294</v>
      </c>
      <c r="C2818" s="26" t="s">
        <v>1515</v>
      </c>
      <c r="D2818" s="25" t="str">
        <f t="shared" si="43"/>
        <v>Số thửaSố thửa912</v>
      </c>
    </row>
    <row r="2819" spans="1:4" x14ac:dyDescent="0.25">
      <c r="A2819" s="25">
        <v>11</v>
      </c>
      <c r="B2819" s="25" t="s">
        <v>628</v>
      </c>
      <c r="C2819" s="26" t="s">
        <v>1516</v>
      </c>
      <c r="D2819" s="25" t="str">
        <f t="shared" ref="D2819:D2882" si="44">$B$1&amp;B2819</f>
        <v>Số thửaSố thửa5</v>
      </c>
    </row>
    <row r="2820" spans="1:4" x14ac:dyDescent="0.25">
      <c r="A2820" s="25">
        <v>3</v>
      </c>
      <c r="B2820" s="25" t="s">
        <v>272</v>
      </c>
      <c r="C2820" s="26" t="s">
        <v>1517</v>
      </c>
      <c r="D2820" s="25" t="str">
        <f t="shared" si="44"/>
        <v>Số thửaSố thửa19</v>
      </c>
    </row>
    <row r="2821" spans="1:4" x14ac:dyDescent="0.25">
      <c r="A2821" s="25">
        <v>3</v>
      </c>
      <c r="B2821" s="25" t="s">
        <v>241</v>
      </c>
      <c r="C2821" s="26" t="s">
        <v>1517</v>
      </c>
      <c r="D2821" s="25" t="str">
        <f t="shared" si="44"/>
        <v>Số thửaSố thửa34</v>
      </c>
    </row>
    <row r="2822" spans="1:4" x14ac:dyDescent="0.25">
      <c r="A2822" s="25">
        <v>3</v>
      </c>
      <c r="B2822" s="25" t="s">
        <v>1017</v>
      </c>
      <c r="C2822" s="26" t="s">
        <v>1518</v>
      </c>
      <c r="D2822" s="25" t="str">
        <f t="shared" si="44"/>
        <v>Số thửaSố thửa120</v>
      </c>
    </row>
    <row r="2823" spans="1:4" x14ac:dyDescent="0.25">
      <c r="A2823" s="25">
        <v>3</v>
      </c>
      <c r="B2823" s="25" t="s">
        <v>1017</v>
      </c>
      <c r="C2823" s="26" t="s">
        <v>1518</v>
      </c>
      <c r="D2823" s="25" t="str">
        <f t="shared" si="44"/>
        <v>Số thửaSố thửa120</v>
      </c>
    </row>
    <row r="2824" spans="1:4" x14ac:dyDescent="0.25">
      <c r="A2824" s="25">
        <v>3</v>
      </c>
      <c r="B2824" s="25" t="s">
        <v>382</v>
      </c>
      <c r="C2824" s="26" t="s">
        <v>1519</v>
      </c>
      <c r="D2824" s="25" t="str">
        <f t="shared" si="44"/>
        <v>Số thửaSố thửa146</v>
      </c>
    </row>
    <row r="2825" spans="1:4" x14ac:dyDescent="0.25">
      <c r="A2825" s="25">
        <v>3</v>
      </c>
      <c r="B2825" s="25" t="s">
        <v>567</v>
      </c>
      <c r="C2825" s="26" t="s">
        <v>1520</v>
      </c>
      <c r="D2825" s="25" t="str">
        <f t="shared" si="44"/>
        <v>Số thửaSố thửa184</v>
      </c>
    </row>
    <row r="2826" spans="1:4" x14ac:dyDescent="0.25">
      <c r="A2826" s="25">
        <v>3</v>
      </c>
      <c r="B2826" s="25" t="s">
        <v>875</v>
      </c>
      <c r="C2826" s="26" t="s">
        <v>1520</v>
      </c>
      <c r="D2826" s="25" t="str">
        <f t="shared" si="44"/>
        <v>Số thửaSố thửa188</v>
      </c>
    </row>
    <row r="2827" spans="1:4" x14ac:dyDescent="0.25">
      <c r="A2827" s="25">
        <v>3</v>
      </c>
      <c r="B2827" s="25" t="s">
        <v>1296</v>
      </c>
      <c r="C2827" s="26" t="s">
        <v>1519</v>
      </c>
      <c r="D2827" s="25" t="str">
        <f t="shared" si="44"/>
        <v>Số thửaSố thửa189</v>
      </c>
    </row>
    <row r="2828" spans="1:4" x14ac:dyDescent="0.25">
      <c r="A2828" s="25">
        <v>3</v>
      </c>
      <c r="B2828" s="25" t="s">
        <v>680</v>
      </c>
      <c r="C2828" s="26" t="s">
        <v>1520</v>
      </c>
      <c r="D2828" s="25" t="str">
        <f t="shared" si="44"/>
        <v>Số thửaSố thửa206</v>
      </c>
    </row>
    <row r="2829" spans="1:4" x14ac:dyDescent="0.25">
      <c r="A2829" s="25">
        <v>3</v>
      </c>
      <c r="B2829" s="25" t="s">
        <v>244</v>
      </c>
      <c r="C2829" s="26" t="s">
        <v>1521</v>
      </c>
      <c r="D2829" s="25" t="str">
        <f t="shared" si="44"/>
        <v>Số thửaSố thửa45</v>
      </c>
    </row>
    <row r="2830" spans="1:4" x14ac:dyDescent="0.25">
      <c r="A2830" s="25">
        <v>3</v>
      </c>
      <c r="B2830" s="25" t="s">
        <v>244</v>
      </c>
      <c r="C2830" s="26" t="s">
        <v>1521</v>
      </c>
      <c r="D2830" s="25" t="str">
        <f t="shared" si="44"/>
        <v>Số thửaSố thửa45</v>
      </c>
    </row>
    <row r="2831" spans="1:4" x14ac:dyDescent="0.25">
      <c r="A2831" s="25">
        <v>3</v>
      </c>
      <c r="B2831" s="25" t="s">
        <v>165</v>
      </c>
      <c r="C2831" s="26" t="s">
        <v>1522</v>
      </c>
      <c r="D2831" s="25" t="str">
        <f t="shared" si="44"/>
        <v>Số thửaSố thửa46</v>
      </c>
    </row>
    <row r="2832" spans="1:4" x14ac:dyDescent="0.25">
      <c r="A2832" s="25">
        <v>3</v>
      </c>
      <c r="B2832" s="25" t="s">
        <v>259</v>
      </c>
      <c r="C2832" s="26" t="s">
        <v>1522</v>
      </c>
      <c r="D2832" s="25" t="str">
        <f t="shared" si="44"/>
        <v>Số thửaSố thửa58</v>
      </c>
    </row>
    <row r="2833" spans="1:4" x14ac:dyDescent="0.25">
      <c r="A2833" s="25">
        <v>2</v>
      </c>
      <c r="B2833" s="25" t="s">
        <v>258</v>
      </c>
      <c r="C2833" s="26" t="s">
        <v>1523</v>
      </c>
      <c r="D2833" s="25" t="str">
        <f t="shared" si="44"/>
        <v>Số thửaSố thửa57</v>
      </c>
    </row>
    <row r="2834" spans="1:4" x14ac:dyDescent="0.25">
      <c r="A2834" s="25">
        <v>3</v>
      </c>
      <c r="B2834" s="25" t="s">
        <v>194</v>
      </c>
      <c r="C2834" s="26" t="s">
        <v>1524</v>
      </c>
      <c r="D2834" s="25" t="str">
        <f t="shared" si="44"/>
        <v>Số thửaSố thửa100</v>
      </c>
    </row>
    <row r="2835" spans="1:4" x14ac:dyDescent="0.25">
      <c r="A2835" s="25">
        <v>3</v>
      </c>
      <c r="B2835" s="25" t="s">
        <v>194</v>
      </c>
      <c r="C2835" s="26" t="s">
        <v>1524</v>
      </c>
      <c r="D2835" s="25" t="str">
        <f t="shared" si="44"/>
        <v>Số thửaSố thửa100</v>
      </c>
    </row>
    <row r="2836" spans="1:4" x14ac:dyDescent="0.25">
      <c r="A2836" s="25">
        <v>6</v>
      </c>
      <c r="B2836" s="25" t="s">
        <v>1525</v>
      </c>
      <c r="C2836" s="26" t="s">
        <v>1523</v>
      </c>
      <c r="D2836" s="25" t="str">
        <f t="shared" si="44"/>
        <v>Số thửaSố thửa520</v>
      </c>
    </row>
    <row r="2837" spans="1:4" x14ac:dyDescent="0.25">
      <c r="A2837" s="25">
        <v>3</v>
      </c>
      <c r="B2837" s="25" t="s">
        <v>63</v>
      </c>
      <c r="C2837" s="26" t="s">
        <v>1526</v>
      </c>
      <c r="D2837" s="25" t="str">
        <f t="shared" si="44"/>
        <v>Số thửaSố thửa56</v>
      </c>
    </row>
    <row r="2838" spans="1:4" x14ac:dyDescent="0.25">
      <c r="A2838" s="25">
        <v>3</v>
      </c>
      <c r="B2838" s="25" t="s">
        <v>63</v>
      </c>
      <c r="C2838" s="26" t="s">
        <v>1526</v>
      </c>
      <c r="D2838" s="25" t="str">
        <f t="shared" si="44"/>
        <v>Số thửaSố thửa56</v>
      </c>
    </row>
    <row r="2839" spans="1:4" x14ac:dyDescent="0.25">
      <c r="A2839" s="25">
        <v>3</v>
      </c>
      <c r="B2839" s="25" t="s">
        <v>709</v>
      </c>
      <c r="C2839" s="26" t="s">
        <v>1527</v>
      </c>
      <c r="D2839" s="25" t="str">
        <f t="shared" si="44"/>
        <v>Số thửaSố thửa164</v>
      </c>
    </row>
    <row r="2840" spans="1:4" x14ac:dyDescent="0.25">
      <c r="A2840" s="25">
        <v>3</v>
      </c>
      <c r="B2840" s="25" t="s">
        <v>436</v>
      </c>
      <c r="C2840" s="26" t="s">
        <v>1528</v>
      </c>
      <c r="D2840" s="25" t="str">
        <f t="shared" si="44"/>
        <v>Số thửaSố thửa281</v>
      </c>
    </row>
    <row r="2841" spans="1:4" x14ac:dyDescent="0.25">
      <c r="A2841" s="25">
        <v>11</v>
      </c>
      <c r="B2841" s="25" t="s">
        <v>866</v>
      </c>
      <c r="C2841" s="26" t="s">
        <v>1529</v>
      </c>
      <c r="D2841" s="25" t="str">
        <f t="shared" si="44"/>
        <v>Số thửaSố thửa196</v>
      </c>
    </row>
    <row r="2842" spans="1:4" x14ac:dyDescent="0.25">
      <c r="A2842" s="25">
        <v>11</v>
      </c>
      <c r="B2842" s="25" t="s">
        <v>866</v>
      </c>
      <c r="C2842" s="26" t="s">
        <v>1529</v>
      </c>
      <c r="D2842" s="25" t="str">
        <f t="shared" si="44"/>
        <v>Số thửaSố thửa196</v>
      </c>
    </row>
    <row r="2843" spans="1:4" x14ac:dyDescent="0.25">
      <c r="A2843" s="25">
        <v>11</v>
      </c>
      <c r="B2843" s="25" t="s">
        <v>357</v>
      </c>
      <c r="C2843" s="26" t="s">
        <v>1530</v>
      </c>
      <c r="D2843" s="25" t="str">
        <f t="shared" si="44"/>
        <v>Số thửaSố thửa169</v>
      </c>
    </row>
    <row r="2844" spans="1:4" x14ac:dyDescent="0.25">
      <c r="A2844" s="25">
        <v>11</v>
      </c>
      <c r="B2844" s="25" t="s">
        <v>357</v>
      </c>
      <c r="C2844" s="26" t="s">
        <v>1530</v>
      </c>
      <c r="D2844" s="25" t="str">
        <f t="shared" si="44"/>
        <v>Số thửaSố thửa169</v>
      </c>
    </row>
    <row r="2845" spans="1:4" x14ac:dyDescent="0.25">
      <c r="A2845" s="25">
        <v>11</v>
      </c>
      <c r="B2845" s="25" t="s">
        <v>934</v>
      </c>
      <c r="C2845" s="26" t="s">
        <v>1531</v>
      </c>
      <c r="D2845" s="25" t="str">
        <f t="shared" si="44"/>
        <v>Số thửaSố thửa67</v>
      </c>
    </row>
    <row r="2846" spans="1:4" x14ac:dyDescent="0.25">
      <c r="A2846" s="25">
        <v>11</v>
      </c>
      <c r="B2846" s="25" t="s">
        <v>95</v>
      </c>
      <c r="C2846" s="26" t="s">
        <v>1532</v>
      </c>
      <c r="D2846" s="25" t="str">
        <f t="shared" si="44"/>
        <v>Số thửaSố thửa241</v>
      </c>
    </row>
    <row r="2847" spans="1:4" x14ac:dyDescent="0.25">
      <c r="A2847" s="25">
        <v>11</v>
      </c>
      <c r="B2847" s="25" t="s">
        <v>95</v>
      </c>
      <c r="C2847" s="26" t="s">
        <v>1532</v>
      </c>
      <c r="D2847" s="25" t="str">
        <f t="shared" si="44"/>
        <v>Số thửaSố thửa241</v>
      </c>
    </row>
    <row r="2848" spans="1:4" x14ac:dyDescent="0.25">
      <c r="A2848" s="25">
        <v>3</v>
      </c>
      <c r="B2848" s="25" t="s">
        <v>933</v>
      </c>
      <c r="C2848" s="26" t="s">
        <v>1533</v>
      </c>
      <c r="D2848" s="25" t="str">
        <f t="shared" si="44"/>
        <v>Số thửaSố thửa53</v>
      </c>
    </row>
    <row r="2849" spans="1:4" x14ac:dyDescent="0.25">
      <c r="A2849" s="25">
        <v>3</v>
      </c>
      <c r="B2849" s="25" t="s">
        <v>933</v>
      </c>
      <c r="C2849" s="26" t="s">
        <v>1533</v>
      </c>
      <c r="D2849" s="25" t="str">
        <f t="shared" si="44"/>
        <v>Số thửaSố thửa53</v>
      </c>
    </row>
    <row r="2850" spans="1:4" x14ac:dyDescent="0.25">
      <c r="A2850" s="25">
        <v>3</v>
      </c>
      <c r="B2850" s="25" t="s">
        <v>1066</v>
      </c>
      <c r="C2850" s="26" t="s">
        <v>1534</v>
      </c>
      <c r="D2850" s="25" t="str">
        <f t="shared" si="44"/>
        <v>Số thửaSố thửa85</v>
      </c>
    </row>
    <row r="2851" spans="1:4" x14ac:dyDescent="0.25">
      <c r="A2851" s="25">
        <v>3</v>
      </c>
      <c r="B2851" s="25" t="s">
        <v>730</v>
      </c>
      <c r="C2851" s="26" t="s">
        <v>1534</v>
      </c>
      <c r="D2851" s="25" t="str">
        <f t="shared" si="44"/>
        <v>Số thửaSố thửa279</v>
      </c>
    </row>
    <row r="2852" spans="1:4" x14ac:dyDescent="0.25">
      <c r="A2852" s="25">
        <v>3</v>
      </c>
      <c r="B2852" s="25" t="s">
        <v>366</v>
      </c>
      <c r="C2852" s="26" t="s">
        <v>1534</v>
      </c>
      <c r="D2852" s="25" t="str">
        <f t="shared" si="44"/>
        <v>Số thửaSố thửa280</v>
      </c>
    </row>
    <row r="2853" spans="1:4" x14ac:dyDescent="0.25">
      <c r="A2853" s="25">
        <v>3</v>
      </c>
      <c r="B2853" s="25" t="s">
        <v>1189</v>
      </c>
      <c r="C2853" s="26" t="s">
        <v>1535</v>
      </c>
      <c r="D2853" s="25" t="str">
        <f t="shared" si="44"/>
        <v>Số thửaSố thửa345</v>
      </c>
    </row>
    <row r="2854" spans="1:4" x14ac:dyDescent="0.25">
      <c r="A2854" s="25">
        <v>3</v>
      </c>
      <c r="B2854" s="25" t="s">
        <v>1536</v>
      </c>
      <c r="C2854" s="26" t="s">
        <v>1535</v>
      </c>
      <c r="D2854" s="25" t="str">
        <f t="shared" si="44"/>
        <v>Số thửaSố thửa379</v>
      </c>
    </row>
    <row r="2855" spans="1:4" x14ac:dyDescent="0.25">
      <c r="A2855" s="25">
        <v>3</v>
      </c>
      <c r="B2855" s="25" t="s">
        <v>526</v>
      </c>
      <c r="C2855" s="26" t="s">
        <v>1535</v>
      </c>
      <c r="D2855" s="25" t="str">
        <f t="shared" si="44"/>
        <v>Số thửaSố thửa380</v>
      </c>
    </row>
    <row r="2856" spans="1:4" x14ac:dyDescent="0.25">
      <c r="A2856" s="25">
        <v>3</v>
      </c>
      <c r="B2856" s="25" t="s">
        <v>452</v>
      </c>
      <c r="C2856" s="26" t="s">
        <v>1535</v>
      </c>
      <c r="D2856" s="25" t="str">
        <f t="shared" si="44"/>
        <v>Số thửaSố thửa391</v>
      </c>
    </row>
    <row r="2857" spans="1:4" x14ac:dyDescent="0.25">
      <c r="A2857" s="25">
        <v>3</v>
      </c>
      <c r="B2857" s="25" t="s">
        <v>1423</v>
      </c>
      <c r="C2857" s="26" t="s">
        <v>1537</v>
      </c>
      <c r="D2857" s="25" t="str">
        <f t="shared" si="44"/>
        <v>Số thửaSố thửa428</v>
      </c>
    </row>
    <row r="2858" spans="1:4" x14ac:dyDescent="0.25">
      <c r="A2858" s="25">
        <v>3</v>
      </c>
      <c r="B2858" s="25" t="s">
        <v>1423</v>
      </c>
      <c r="C2858" s="26" t="s">
        <v>1537</v>
      </c>
      <c r="D2858" s="25" t="str">
        <f t="shared" si="44"/>
        <v>Số thửaSố thửa428</v>
      </c>
    </row>
    <row r="2859" spans="1:4" x14ac:dyDescent="0.25">
      <c r="A2859" s="25">
        <v>3</v>
      </c>
      <c r="B2859" s="25" t="s">
        <v>1014</v>
      </c>
      <c r="C2859" s="26" t="s">
        <v>1538</v>
      </c>
      <c r="D2859" s="25" t="str">
        <f t="shared" si="44"/>
        <v>Số thửaSố thửa70</v>
      </c>
    </row>
    <row r="2860" spans="1:4" x14ac:dyDescent="0.25">
      <c r="A2860" s="25">
        <v>3</v>
      </c>
      <c r="B2860" s="25" t="s">
        <v>1014</v>
      </c>
      <c r="C2860" s="26" t="s">
        <v>1538</v>
      </c>
      <c r="D2860" s="25" t="str">
        <f t="shared" si="44"/>
        <v>Số thửaSố thửa70</v>
      </c>
    </row>
    <row r="2861" spans="1:4" x14ac:dyDescent="0.25">
      <c r="A2861" s="25">
        <v>3</v>
      </c>
      <c r="B2861" s="25" t="s">
        <v>704</v>
      </c>
      <c r="C2861" s="26" t="s">
        <v>1539</v>
      </c>
      <c r="D2861" s="25" t="str">
        <f t="shared" si="44"/>
        <v>Số thửaSố thửa111</v>
      </c>
    </row>
    <row r="2862" spans="1:4" x14ac:dyDescent="0.25">
      <c r="A2862" s="25">
        <v>3</v>
      </c>
      <c r="B2862" s="25" t="s">
        <v>704</v>
      </c>
      <c r="C2862" s="26" t="s">
        <v>1539</v>
      </c>
      <c r="D2862" s="25" t="str">
        <f t="shared" si="44"/>
        <v>Số thửaSố thửa111</v>
      </c>
    </row>
    <row r="2863" spans="1:4" x14ac:dyDescent="0.25">
      <c r="A2863" s="25">
        <v>3</v>
      </c>
      <c r="B2863" s="25" t="s">
        <v>673</v>
      </c>
      <c r="C2863" s="26" t="s">
        <v>1540</v>
      </c>
      <c r="D2863" s="25" t="str">
        <f t="shared" si="44"/>
        <v>Số thửaSố thửa341</v>
      </c>
    </row>
    <row r="2864" spans="1:4" x14ac:dyDescent="0.25">
      <c r="A2864" s="25">
        <v>4</v>
      </c>
      <c r="B2864" s="25" t="s">
        <v>1053</v>
      </c>
      <c r="C2864" s="26" t="s">
        <v>1540</v>
      </c>
      <c r="D2864" s="25" t="str">
        <f t="shared" si="44"/>
        <v>Số thửaSố thửa20</v>
      </c>
    </row>
    <row r="2865" spans="1:4" x14ac:dyDescent="0.25">
      <c r="A2865" s="25">
        <v>11</v>
      </c>
      <c r="B2865" s="25" t="s">
        <v>82</v>
      </c>
      <c r="C2865" s="26" t="s">
        <v>1541</v>
      </c>
      <c r="D2865" s="25" t="str">
        <f t="shared" si="44"/>
        <v>Số thửaSố thửa215</v>
      </c>
    </row>
    <row r="2866" spans="1:4" x14ac:dyDescent="0.25">
      <c r="A2866" s="25">
        <v>11</v>
      </c>
      <c r="B2866" s="25" t="s">
        <v>956</v>
      </c>
      <c r="C2866" s="26" t="s">
        <v>1542</v>
      </c>
      <c r="D2866" s="25" t="str">
        <f t="shared" si="44"/>
        <v>Số thửaSố thửa245</v>
      </c>
    </row>
    <row r="2867" spans="1:4" x14ac:dyDescent="0.25">
      <c r="A2867" s="25">
        <v>11</v>
      </c>
      <c r="B2867" s="25" t="s">
        <v>871</v>
      </c>
      <c r="C2867" s="26" t="s">
        <v>1542</v>
      </c>
      <c r="D2867" s="25" t="str">
        <f t="shared" si="44"/>
        <v>Số thửaSố thửa273</v>
      </c>
    </row>
    <row r="2868" spans="1:4" x14ac:dyDescent="0.25">
      <c r="A2868" s="25">
        <v>14</v>
      </c>
      <c r="B2868" s="25" t="s">
        <v>271</v>
      </c>
      <c r="C2868" s="26" t="s">
        <v>1541</v>
      </c>
      <c r="D2868" s="25" t="str">
        <f t="shared" si="44"/>
        <v>Số thửaSố thửa17</v>
      </c>
    </row>
    <row r="2869" spans="1:4" x14ac:dyDescent="0.25">
      <c r="A2869" s="25">
        <v>14</v>
      </c>
      <c r="B2869" s="25" t="s">
        <v>1055</v>
      </c>
      <c r="C2869" s="26" t="s">
        <v>1543</v>
      </c>
      <c r="D2869" s="25" t="str">
        <f t="shared" si="44"/>
        <v>Số thửaSố thửa21</v>
      </c>
    </row>
    <row r="2870" spans="1:4" x14ac:dyDescent="0.25">
      <c r="A2870" s="25">
        <v>6</v>
      </c>
      <c r="B2870" s="25" t="s">
        <v>448</v>
      </c>
      <c r="C2870" s="26" t="s">
        <v>1544</v>
      </c>
      <c r="D2870" s="25" t="str">
        <f t="shared" si="44"/>
        <v>Số thửaSố thửa877</v>
      </c>
    </row>
    <row r="2871" spans="1:4" x14ac:dyDescent="0.25">
      <c r="A2871" s="25">
        <v>6</v>
      </c>
      <c r="B2871" s="25" t="s">
        <v>448</v>
      </c>
      <c r="C2871" s="26" t="s">
        <v>1544</v>
      </c>
      <c r="D2871" s="25" t="str">
        <f t="shared" si="44"/>
        <v>Số thửaSố thửa877</v>
      </c>
    </row>
    <row r="2872" spans="1:4" x14ac:dyDescent="0.25">
      <c r="A2872" s="25">
        <v>11</v>
      </c>
      <c r="B2872" s="25" t="s">
        <v>274</v>
      </c>
      <c r="C2872" s="26" t="s">
        <v>1545</v>
      </c>
      <c r="D2872" s="25" t="str">
        <f t="shared" si="44"/>
        <v>Số thửaSố thửa23</v>
      </c>
    </row>
    <row r="2873" spans="1:4" x14ac:dyDescent="0.25">
      <c r="A2873" s="25">
        <v>11</v>
      </c>
      <c r="B2873" s="25" t="s">
        <v>169</v>
      </c>
      <c r="C2873" s="26" t="s">
        <v>1546</v>
      </c>
      <c r="D2873" s="25" t="str">
        <f t="shared" si="44"/>
        <v>Số thửaSố thửa66</v>
      </c>
    </row>
    <row r="2874" spans="1:4" x14ac:dyDescent="0.25">
      <c r="A2874" s="25">
        <v>11</v>
      </c>
      <c r="B2874" s="25" t="s">
        <v>494</v>
      </c>
      <c r="C2874" s="26" t="s">
        <v>1547</v>
      </c>
      <c r="D2874" s="25" t="str">
        <f t="shared" si="44"/>
        <v>Số thửaSố thửa92</v>
      </c>
    </row>
    <row r="2875" spans="1:4" x14ac:dyDescent="0.25">
      <c r="A2875" s="25">
        <v>11</v>
      </c>
      <c r="B2875" s="25" t="s">
        <v>468</v>
      </c>
      <c r="C2875" s="26" t="s">
        <v>1546</v>
      </c>
      <c r="D2875" s="25" t="str">
        <f t="shared" si="44"/>
        <v>Số thửaSố thửa93</v>
      </c>
    </row>
    <row r="2876" spans="1:4" x14ac:dyDescent="0.25">
      <c r="A2876" s="25">
        <v>11</v>
      </c>
      <c r="B2876" s="25" t="s">
        <v>372</v>
      </c>
      <c r="C2876" s="26" t="s">
        <v>1548</v>
      </c>
      <c r="D2876" s="25" t="str">
        <f t="shared" si="44"/>
        <v>Số thửaSố thửa109</v>
      </c>
    </row>
    <row r="2877" spans="1:4" x14ac:dyDescent="0.25">
      <c r="A2877" s="25">
        <v>11</v>
      </c>
      <c r="B2877" s="25" t="s">
        <v>372</v>
      </c>
      <c r="C2877" s="26" t="s">
        <v>1548</v>
      </c>
      <c r="D2877" s="25" t="str">
        <f t="shared" si="44"/>
        <v>Số thửaSố thửa109</v>
      </c>
    </row>
    <row r="2878" spans="1:4" x14ac:dyDescent="0.25">
      <c r="A2878" s="25">
        <v>3</v>
      </c>
      <c r="B2878" s="25" t="s">
        <v>466</v>
      </c>
      <c r="C2878" s="26" t="s">
        <v>1549</v>
      </c>
      <c r="D2878" s="25" t="str">
        <f t="shared" si="44"/>
        <v>Số thửaSố thửa79</v>
      </c>
    </row>
    <row r="2879" spans="1:4" x14ac:dyDescent="0.25">
      <c r="A2879" s="25">
        <v>6</v>
      </c>
      <c r="B2879" s="25" t="s">
        <v>238</v>
      </c>
      <c r="C2879" s="26" t="s">
        <v>1550</v>
      </c>
      <c r="D2879" s="25" t="str">
        <f t="shared" si="44"/>
        <v>Số thửaSố thửa845</v>
      </c>
    </row>
    <row r="2880" spans="1:4" x14ac:dyDescent="0.25">
      <c r="A2880" s="25">
        <v>2</v>
      </c>
      <c r="B2880" s="25" t="s">
        <v>245</v>
      </c>
      <c r="C2880" s="26" t="s">
        <v>1551</v>
      </c>
      <c r="D2880" s="25" t="str">
        <f t="shared" si="44"/>
        <v>Số thửaSố thửa69</v>
      </c>
    </row>
    <row r="2881" spans="1:4" x14ac:dyDescent="0.25">
      <c r="A2881" s="25">
        <v>2</v>
      </c>
      <c r="B2881" s="25" t="s">
        <v>1064</v>
      </c>
      <c r="C2881" s="26" t="s">
        <v>1552</v>
      </c>
      <c r="D2881" s="25" t="str">
        <f t="shared" si="44"/>
        <v>Số thửaSố thửa74</v>
      </c>
    </row>
    <row r="2882" spans="1:4" x14ac:dyDescent="0.25">
      <c r="A2882" s="25">
        <v>6</v>
      </c>
      <c r="B2882" s="25" t="s">
        <v>1218</v>
      </c>
      <c r="C2882" s="26" t="s">
        <v>1553</v>
      </c>
      <c r="D2882" s="25" t="str">
        <f t="shared" si="44"/>
        <v>Số thửaSố thửa853</v>
      </c>
    </row>
    <row r="2883" spans="1:4" x14ac:dyDescent="0.25">
      <c r="A2883" s="25">
        <v>6</v>
      </c>
      <c r="B2883" s="25" t="s">
        <v>1218</v>
      </c>
      <c r="C2883" s="26" t="s">
        <v>1553</v>
      </c>
      <c r="D2883" s="25" t="str">
        <f t="shared" ref="D2883:D2944" si="45">$B$1&amp;B2883</f>
        <v>Số thửaSố thửa853</v>
      </c>
    </row>
    <row r="2884" spans="1:4" x14ac:dyDescent="0.25">
      <c r="A2884" s="25">
        <v>6</v>
      </c>
      <c r="B2884" s="25" t="s">
        <v>1554</v>
      </c>
      <c r="C2884" s="26" t="s">
        <v>1555</v>
      </c>
      <c r="D2884" s="25" t="str">
        <f t="shared" si="45"/>
        <v>Số thửaSố thửa892</v>
      </c>
    </row>
    <row r="2885" spans="1:4" x14ac:dyDescent="0.25">
      <c r="A2885" s="25">
        <v>6</v>
      </c>
      <c r="B2885" s="25" t="s">
        <v>1554</v>
      </c>
      <c r="C2885" s="26" t="s">
        <v>1555</v>
      </c>
      <c r="D2885" s="25" t="str">
        <f t="shared" si="45"/>
        <v>Số thửaSố thửa892</v>
      </c>
    </row>
    <row r="2886" spans="1:4" x14ac:dyDescent="0.25">
      <c r="A2886" s="25">
        <v>11</v>
      </c>
      <c r="B2886" s="25" t="s">
        <v>565</v>
      </c>
      <c r="C2886" s="26" t="s">
        <v>1556</v>
      </c>
      <c r="D2886" s="25" t="str">
        <f t="shared" si="45"/>
        <v>Số thửaSố thửa30</v>
      </c>
    </row>
    <row r="2887" spans="1:4" x14ac:dyDescent="0.25">
      <c r="A2887" s="25">
        <v>11</v>
      </c>
      <c r="B2887" s="25" t="s">
        <v>462</v>
      </c>
      <c r="C2887" s="26" t="s">
        <v>1557</v>
      </c>
      <c r="D2887" s="25" t="str">
        <f t="shared" si="45"/>
        <v>Số thửaSố thửa75</v>
      </c>
    </row>
    <row r="2888" spans="1:4" x14ac:dyDescent="0.25">
      <c r="A2888" s="25">
        <v>11</v>
      </c>
      <c r="B2888" s="25" t="s">
        <v>343</v>
      </c>
      <c r="C2888" s="26" t="s">
        <v>1558</v>
      </c>
      <c r="D2888" s="25" t="str">
        <f t="shared" si="45"/>
        <v>Số thửaSố thửa83</v>
      </c>
    </row>
    <row r="2889" spans="1:4" x14ac:dyDescent="0.25">
      <c r="A2889" s="25">
        <v>2</v>
      </c>
      <c r="B2889" s="25" t="s">
        <v>256</v>
      </c>
      <c r="C2889" s="26" t="s">
        <v>1559</v>
      </c>
      <c r="D2889" s="25" t="str">
        <f t="shared" si="45"/>
        <v>Số thửaSố thửa47</v>
      </c>
    </row>
    <row r="2890" spans="1:4" x14ac:dyDescent="0.25">
      <c r="A2890" s="25">
        <v>2</v>
      </c>
      <c r="B2890" s="25" t="s">
        <v>256</v>
      </c>
      <c r="C2890" s="26" t="s">
        <v>1559</v>
      </c>
      <c r="D2890" s="25" t="str">
        <f t="shared" si="45"/>
        <v>Số thửaSố thửa47</v>
      </c>
    </row>
    <row r="2891" spans="1:4" x14ac:dyDescent="0.25">
      <c r="A2891" s="25">
        <v>10</v>
      </c>
      <c r="B2891" s="25" t="s">
        <v>1053</v>
      </c>
      <c r="C2891" s="26" t="s">
        <v>1560</v>
      </c>
      <c r="D2891" s="25" t="str">
        <f t="shared" si="45"/>
        <v>Số thửaSố thửa20</v>
      </c>
    </row>
    <row r="2892" spans="1:4" x14ac:dyDescent="0.25">
      <c r="A2892" s="25">
        <v>10</v>
      </c>
      <c r="B2892" s="25" t="s">
        <v>92</v>
      </c>
      <c r="C2892" s="26" t="s">
        <v>1560</v>
      </c>
      <c r="D2892" s="25" t="str">
        <f t="shared" si="45"/>
        <v>Số thửaSố thửa238</v>
      </c>
    </row>
    <row r="2893" spans="1:4" x14ac:dyDescent="0.25">
      <c r="A2893" s="25">
        <v>10</v>
      </c>
      <c r="B2893" s="25" t="s">
        <v>485</v>
      </c>
      <c r="C2893" s="26" t="s">
        <v>1560</v>
      </c>
      <c r="D2893" s="25" t="str">
        <f t="shared" si="45"/>
        <v>Số thửaSố thửa264</v>
      </c>
    </row>
    <row r="2894" spans="1:4" x14ac:dyDescent="0.25">
      <c r="A2894" s="25">
        <v>11</v>
      </c>
      <c r="B2894" s="25" t="s">
        <v>393</v>
      </c>
      <c r="C2894" s="26" t="s">
        <v>1561</v>
      </c>
      <c r="D2894" s="25" t="str">
        <f t="shared" si="45"/>
        <v>Số thửaSố thửa134</v>
      </c>
    </row>
    <row r="2895" spans="1:4" x14ac:dyDescent="0.25">
      <c r="A2895" s="25">
        <v>11</v>
      </c>
      <c r="B2895" s="25" t="s">
        <v>397</v>
      </c>
      <c r="C2895" s="26" t="s">
        <v>1562</v>
      </c>
      <c r="D2895" s="25" t="str">
        <f t="shared" si="45"/>
        <v>Số thửaSố thửa171</v>
      </c>
    </row>
    <row r="2896" spans="1:4" x14ac:dyDescent="0.25">
      <c r="A2896" s="25">
        <v>11</v>
      </c>
      <c r="B2896" s="25" t="s">
        <v>397</v>
      </c>
      <c r="C2896" s="26" t="s">
        <v>1562</v>
      </c>
      <c r="D2896" s="25" t="str">
        <f t="shared" si="45"/>
        <v>Số thửaSố thửa171</v>
      </c>
    </row>
    <row r="2897" spans="1:4" x14ac:dyDescent="0.25">
      <c r="A2897" s="25">
        <v>10</v>
      </c>
      <c r="B2897" s="25" t="s">
        <v>254</v>
      </c>
      <c r="C2897" s="26" t="s">
        <v>1563</v>
      </c>
      <c r="D2897" s="25" t="str">
        <f t="shared" si="45"/>
        <v>Số thửaSố thửa6</v>
      </c>
    </row>
    <row r="2898" spans="1:4" x14ac:dyDescent="0.25">
      <c r="A2898" s="25">
        <v>10</v>
      </c>
      <c r="B2898" s="25" t="s">
        <v>83</v>
      </c>
      <c r="C2898" s="26" t="s">
        <v>1564</v>
      </c>
      <c r="D2898" s="25" t="str">
        <f t="shared" si="45"/>
        <v>Số thửaSố thửa217</v>
      </c>
    </row>
    <row r="2899" spans="1:4" x14ac:dyDescent="0.25">
      <c r="A2899" s="25">
        <v>10</v>
      </c>
      <c r="B2899" s="25" t="s">
        <v>83</v>
      </c>
      <c r="C2899" s="26" t="s">
        <v>1564</v>
      </c>
      <c r="D2899" s="25" t="str">
        <f t="shared" si="45"/>
        <v>Số thửaSố thửa217</v>
      </c>
    </row>
    <row r="2900" spans="1:4" x14ac:dyDescent="0.25">
      <c r="A2900" s="25">
        <v>2</v>
      </c>
      <c r="B2900" s="25" t="s">
        <v>681</v>
      </c>
      <c r="C2900" s="26" t="s">
        <v>1565</v>
      </c>
      <c r="D2900" s="25" t="str">
        <f t="shared" si="45"/>
        <v>Số thửaSố thửa209</v>
      </c>
    </row>
    <row r="2901" spans="1:4" x14ac:dyDescent="0.25">
      <c r="A2901" s="25">
        <v>2</v>
      </c>
      <c r="B2901" s="25" t="s">
        <v>145</v>
      </c>
      <c r="C2901" s="26" t="s">
        <v>1565</v>
      </c>
      <c r="D2901" s="25" t="str">
        <f t="shared" si="45"/>
        <v>Số thửaSố thửa353</v>
      </c>
    </row>
    <row r="2902" spans="1:4" x14ac:dyDescent="0.25">
      <c r="A2902" s="25">
        <v>2</v>
      </c>
      <c r="B2902" s="25" t="s">
        <v>146</v>
      </c>
      <c r="C2902" s="26" t="s">
        <v>1566</v>
      </c>
      <c r="D2902" s="25" t="str">
        <f t="shared" si="45"/>
        <v>Số thửaSố thửa354</v>
      </c>
    </row>
    <row r="2903" spans="1:4" x14ac:dyDescent="0.25">
      <c r="A2903" s="25">
        <v>2</v>
      </c>
      <c r="B2903" s="25" t="s">
        <v>642</v>
      </c>
      <c r="C2903" s="26" t="s">
        <v>1566</v>
      </c>
      <c r="D2903" s="25" t="str">
        <f t="shared" si="45"/>
        <v>Số thửaSố thửa355</v>
      </c>
    </row>
    <row r="2904" spans="1:4" x14ac:dyDescent="0.25">
      <c r="A2904" s="25">
        <v>3</v>
      </c>
      <c r="B2904" s="25" t="s">
        <v>274</v>
      </c>
      <c r="C2904" s="26" t="s">
        <v>1565</v>
      </c>
      <c r="D2904" s="25" t="str">
        <f t="shared" si="45"/>
        <v>Số thửaSố thửa23</v>
      </c>
    </row>
    <row r="2905" spans="1:4" x14ac:dyDescent="0.25">
      <c r="A2905" s="25">
        <v>3</v>
      </c>
      <c r="B2905" s="25" t="s">
        <v>255</v>
      </c>
      <c r="C2905" s="26" t="s">
        <v>1565</v>
      </c>
      <c r="D2905" s="25" t="str">
        <f t="shared" si="45"/>
        <v>Số thửaSố thửa28</v>
      </c>
    </row>
    <row r="2906" spans="1:4" x14ac:dyDescent="0.25">
      <c r="A2906" s="25">
        <v>3</v>
      </c>
      <c r="B2906" s="25" t="s">
        <v>190</v>
      </c>
      <c r="C2906" s="26" t="s">
        <v>1567</v>
      </c>
      <c r="D2906" s="25" t="str">
        <f t="shared" si="45"/>
        <v>Số thửaSố thửa113</v>
      </c>
    </row>
    <row r="2907" spans="1:4" x14ac:dyDescent="0.25">
      <c r="A2907" s="25">
        <v>3</v>
      </c>
      <c r="B2907" s="25" t="s">
        <v>190</v>
      </c>
      <c r="C2907" s="26" t="s">
        <v>1567</v>
      </c>
      <c r="D2907" s="25" t="str">
        <f t="shared" si="45"/>
        <v>Số thửaSố thửa113</v>
      </c>
    </row>
    <row r="2908" spans="1:4" x14ac:dyDescent="0.25">
      <c r="A2908" s="25">
        <v>3</v>
      </c>
      <c r="B2908" s="25" t="s">
        <v>986</v>
      </c>
      <c r="C2908" s="26" t="s">
        <v>1566</v>
      </c>
      <c r="D2908" s="25" t="str">
        <f t="shared" si="45"/>
        <v>Số thửaSố thửa200</v>
      </c>
    </row>
    <row r="2909" spans="1:4" x14ac:dyDescent="0.25">
      <c r="A2909" s="25">
        <v>3</v>
      </c>
      <c r="B2909" s="25" t="s">
        <v>955</v>
      </c>
      <c r="C2909" s="26" t="s">
        <v>1566</v>
      </c>
      <c r="D2909" s="25" t="str">
        <f t="shared" si="45"/>
        <v>Số thửaSố thửa212</v>
      </c>
    </row>
    <row r="2910" spans="1:4" x14ac:dyDescent="0.25">
      <c r="A2910" s="25">
        <v>3</v>
      </c>
      <c r="B2910" s="25" t="s">
        <v>1071</v>
      </c>
      <c r="C2910" s="26" t="s">
        <v>1568</v>
      </c>
      <c r="D2910" s="25" t="str">
        <f t="shared" si="45"/>
        <v>Số thửaSố thửa213</v>
      </c>
    </row>
    <row r="2911" spans="1:4" x14ac:dyDescent="0.25">
      <c r="A2911" s="25">
        <v>3</v>
      </c>
      <c r="B2911" s="25" t="s">
        <v>1167</v>
      </c>
      <c r="C2911" s="26" t="s">
        <v>1566</v>
      </c>
      <c r="D2911" s="25" t="str">
        <f t="shared" si="45"/>
        <v>Số thửaSố thửa342</v>
      </c>
    </row>
    <row r="2912" spans="1:4" x14ac:dyDescent="0.25">
      <c r="A2912" s="25">
        <v>3</v>
      </c>
      <c r="B2912" s="25" t="s">
        <v>872</v>
      </c>
      <c r="C2912" s="26" t="s">
        <v>1566</v>
      </c>
      <c r="D2912" s="25" t="str">
        <f t="shared" si="45"/>
        <v>Số thửaSố thửa343</v>
      </c>
    </row>
    <row r="2913" spans="1:4" x14ac:dyDescent="0.25">
      <c r="A2913" s="25">
        <v>3</v>
      </c>
      <c r="B2913" s="25" t="s">
        <v>529</v>
      </c>
      <c r="C2913" s="26" t="s">
        <v>1566</v>
      </c>
      <c r="D2913" s="25" t="str">
        <f t="shared" si="45"/>
        <v>Số thửaSố thửa382</v>
      </c>
    </row>
    <row r="2914" spans="1:4" x14ac:dyDescent="0.25">
      <c r="A2914" s="25">
        <v>3</v>
      </c>
      <c r="B2914" s="25" t="s">
        <v>1169</v>
      </c>
      <c r="C2914" s="26" t="s">
        <v>1566</v>
      </c>
      <c r="D2914" s="25" t="str">
        <f t="shared" si="45"/>
        <v>Số thửaSố thửa383</v>
      </c>
    </row>
    <row r="2915" spans="1:4" x14ac:dyDescent="0.25">
      <c r="A2915" s="25">
        <v>3</v>
      </c>
      <c r="B2915" s="25" t="s">
        <v>284</v>
      </c>
      <c r="C2915" s="26" t="s">
        <v>1568</v>
      </c>
      <c r="D2915" s="25" t="str">
        <f t="shared" si="45"/>
        <v>Số thửaSố thửa385</v>
      </c>
    </row>
    <row r="2916" spans="1:4" x14ac:dyDescent="0.25">
      <c r="A2916" s="25">
        <v>3</v>
      </c>
      <c r="B2916" s="25" t="s">
        <v>647</v>
      </c>
      <c r="C2916" s="26" t="s">
        <v>1566</v>
      </c>
      <c r="D2916" s="25" t="str">
        <f t="shared" si="45"/>
        <v>Số thửaSố thửa510</v>
      </c>
    </row>
    <row r="2917" spans="1:4" x14ac:dyDescent="0.25">
      <c r="A2917" s="25">
        <v>6</v>
      </c>
      <c r="B2917" s="25" t="s">
        <v>277</v>
      </c>
      <c r="C2917" s="26" t="s">
        <v>1565</v>
      </c>
      <c r="D2917" s="25" t="str">
        <f t="shared" si="45"/>
        <v>Số thửaSố thửa26</v>
      </c>
    </row>
    <row r="2918" spans="1:4" x14ac:dyDescent="0.25">
      <c r="A2918" s="25">
        <v>6</v>
      </c>
      <c r="B2918" s="25" t="s">
        <v>278</v>
      </c>
      <c r="C2918" s="26" t="s">
        <v>1565</v>
      </c>
      <c r="D2918" s="25" t="str">
        <f t="shared" si="45"/>
        <v>Số thửaSố thửa27</v>
      </c>
    </row>
    <row r="2919" spans="1:4" x14ac:dyDescent="0.25">
      <c r="A2919" s="25">
        <v>6</v>
      </c>
      <c r="B2919" s="25" t="s">
        <v>63</v>
      </c>
      <c r="C2919" s="26" t="s">
        <v>1565</v>
      </c>
      <c r="D2919" s="25" t="str">
        <f t="shared" si="45"/>
        <v>Số thửaSố thửa56</v>
      </c>
    </row>
    <row r="2920" spans="1:4" x14ac:dyDescent="0.25">
      <c r="A2920" s="25">
        <v>6</v>
      </c>
      <c r="B2920" s="25" t="s">
        <v>258</v>
      </c>
      <c r="C2920" s="26" t="s">
        <v>1565</v>
      </c>
      <c r="D2920" s="25" t="str">
        <f t="shared" si="45"/>
        <v>Số thửaSố thửa57</v>
      </c>
    </row>
    <row r="2921" spans="1:4" x14ac:dyDescent="0.25">
      <c r="A2921" s="25">
        <v>11</v>
      </c>
      <c r="B2921" s="25" t="s">
        <v>653</v>
      </c>
      <c r="C2921" s="26" t="s">
        <v>1569</v>
      </c>
      <c r="D2921" s="25" t="str">
        <f t="shared" si="45"/>
        <v>Số thửaSố thửa177</v>
      </c>
    </row>
    <row r="2922" spans="1:4" x14ac:dyDescent="0.25">
      <c r="A2922" s="25">
        <v>11</v>
      </c>
      <c r="B2922" s="25" t="s">
        <v>875</v>
      </c>
      <c r="C2922" s="26" t="s">
        <v>1569</v>
      </c>
      <c r="D2922" s="25" t="str">
        <f t="shared" si="45"/>
        <v>Số thửaSố thửa188</v>
      </c>
    </row>
    <row r="2923" spans="1:4" x14ac:dyDescent="0.25">
      <c r="A2923" s="25">
        <v>11</v>
      </c>
      <c r="B2923" s="25" t="s">
        <v>513</v>
      </c>
      <c r="C2923" s="26" t="s">
        <v>1570</v>
      </c>
      <c r="D2923" s="25" t="str">
        <f t="shared" si="45"/>
        <v>Số thửaSố thửa203</v>
      </c>
    </row>
    <row r="2924" spans="1:4" x14ac:dyDescent="0.25">
      <c r="A2924" s="25">
        <v>11</v>
      </c>
      <c r="B2924" s="25" t="s">
        <v>513</v>
      </c>
      <c r="C2924" s="26" t="s">
        <v>1570</v>
      </c>
      <c r="D2924" s="25" t="str">
        <f t="shared" si="45"/>
        <v>Số thửaSố thửa203</v>
      </c>
    </row>
    <row r="2925" spans="1:4" x14ac:dyDescent="0.25">
      <c r="A2925" s="25">
        <v>13</v>
      </c>
      <c r="B2925" s="25" t="s">
        <v>1271</v>
      </c>
      <c r="C2925" s="26" t="s">
        <v>1569</v>
      </c>
      <c r="D2925" s="25" t="str">
        <f t="shared" si="45"/>
        <v>Số thửaSố thửa713</v>
      </c>
    </row>
    <row r="2926" spans="1:4" x14ac:dyDescent="0.25">
      <c r="A2926" s="25">
        <v>11</v>
      </c>
      <c r="B2926" s="25" t="s">
        <v>59</v>
      </c>
      <c r="C2926" s="26" t="s">
        <v>1571</v>
      </c>
      <c r="D2926" s="25" t="str">
        <f t="shared" si="45"/>
        <v>Số thửaSố thửa4</v>
      </c>
    </row>
    <row r="2927" spans="1:4" x14ac:dyDescent="0.25">
      <c r="A2927" s="25">
        <v>7</v>
      </c>
      <c r="B2927" s="25" t="s">
        <v>635</v>
      </c>
      <c r="C2927" s="26" t="s">
        <v>1572</v>
      </c>
      <c r="D2927" s="25" t="str">
        <f t="shared" si="45"/>
        <v>Số thửaSố thửa709</v>
      </c>
    </row>
    <row r="2928" spans="1:4" x14ac:dyDescent="0.25">
      <c r="A2928" s="25">
        <v>3</v>
      </c>
      <c r="B2928" s="25" t="s">
        <v>1038</v>
      </c>
      <c r="C2928" s="26" t="s">
        <v>1573</v>
      </c>
      <c r="D2928" s="25" t="str">
        <f t="shared" si="45"/>
        <v>Số thửaSố thửa600</v>
      </c>
    </row>
    <row r="2929" spans="1:4" x14ac:dyDescent="0.25">
      <c r="A2929" s="25">
        <v>3</v>
      </c>
      <c r="B2929" s="25" t="s">
        <v>108</v>
      </c>
      <c r="C2929" s="26" t="s">
        <v>1574</v>
      </c>
      <c r="D2929" s="25" t="str">
        <f t="shared" si="45"/>
        <v>Số thửaSố thửa119</v>
      </c>
    </row>
    <row r="2930" spans="1:4" x14ac:dyDescent="0.25">
      <c r="A2930" s="25">
        <v>11</v>
      </c>
      <c r="B2930" s="25" t="s">
        <v>74</v>
      </c>
      <c r="C2930" s="26" t="s">
        <v>1575</v>
      </c>
      <c r="D2930" s="25" t="str">
        <f t="shared" si="45"/>
        <v>Số thửaSố thửa183</v>
      </c>
    </row>
    <row r="2931" spans="1:4" x14ac:dyDescent="0.25">
      <c r="A2931" s="25">
        <v>11</v>
      </c>
      <c r="B2931" s="25" t="s">
        <v>74</v>
      </c>
      <c r="C2931" s="26" t="s">
        <v>1575</v>
      </c>
      <c r="D2931" s="25" t="str">
        <f t="shared" si="45"/>
        <v>Số thửaSố thửa183</v>
      </c>
    </row>
    <row r="2932" spans="1:4" x14ac:dyDescent="0.25">
      <c r="A2932" s="25">
        <v>3</v>
      </c>
      <c r="B2932" s="25" t="s">
        <v>181</v>
      </c>
      <c r="C2932" s="26" t="s">
        <v>1576</v>
      </c>
      <c r="D2932" s="25" t="str">
        <f t="shared" si="45"/>
        <v>Số thửaSố thửa370</v>
      </c>
    </row>
    <row r="2933" spans="1:4" x14ac:dyDescent="0.25">
      <c r="A2933" s="25">
        <v>3</v>
      </c>
      <c r="B2933" s="25" t="s">
        <v>169</v>
      </c>
      <c r="C2933" s="26" t="s">
        <v>1577</v>
      </c>
      <c r="D2933" s="25" t="str">
        <f t="shared" si="45"/>
        <v>Số thửaSố thửa66</v>
      </c>
    </row>
    <row r="2934" spans="1:4" x14ac:dyDescent="0.25">
      <c r="A2934" s="25">
        <v>3</v>
      </c>
      <c r="B2934" s="25" t="s">
        <v>169</v>
      </c>
      <c r="C2934" s="26" t="s">
        <v>1577</v>
      </c>
      <c r="D2934" s="25" t="str">
        <f t="shared" si="45"/>
        <v>Số thửaSố thửa66</v>
      </c>
    </row>
    <row r="2935" spans="1:4" x14ac:dyDescent="0.25">
      <c r="A2935" s="25">
        <v>1</v>
      </c>
      <c r="B2935" s="25" t="s">
        <v>660</v>
      </c>
      <c r="C2935" s="26" t="s">
        <v>1578</v>
      </c>
      <c r="D2935" s="25" t="str">
        <f t="shared" si="45"/>
        <v>Số thửaSố thửa78</v>
      </c>
    </row>
    <row r="2936" spans="1:4" x14ac:dyDescent="0.25">
      <c r="A2936" s="25">
        <v>11</v>
      </c>
      <c r="B2936" s="25" t="s">
        <v>931</v>
      </c>
      <c r="C2936" s="26" t="s">
        <v>1579</v>
      </c>
      <c r="D2936" s="25" t="str">
        <f t="shared" si="45"/>
        <v>Số thửaSố thửa41</v>
      </c>
    </row>
    <row r="2937" spans="1:4" x14ac:dyDescent="0.25">
      <c r="A2937" s="25">
        <v>11</v>
      </c>
      <c r="B2937" s="25" t="s">
        <v>256</v>
      </c>
      <c r="C2937" s="26" t="s">
        <v>1580</v>
      </c>
      <c r="D2937" s="25" t="str">
        <f t="shared" si="45"/>
        <v>Số thửaSố thửa47</v>
      </c>
    </row>
    <row r="2938" spans="1:4" x14ac:dyDescent="0.25">
      <c r="A2938" s="25">
        <v>11</v>
      </c>
      <c r="B2938" s="25" t="s">
        <v>400</v>
      </c>
      <c r="C2938" s="26" t="s">
        <v>1581</v>
      </c>
      <c r="D2938" s="25" t="str">
        <f t="shared" si="45"/>
        <v>Số thửaSố thửa174</v>
      </c>
    </row>
    <row r="2939" spans="1:4" x14ac:dyDescent="0.25">
      <c r="A2939" s="25">
        <v>11</v>
      </c>
      <c r="B2939" s="25" t="s">
        <v>400</v>
      </c>
      <c r="C2939" s="26" t="s">
        <v>1581</v>
      </c>
      <c r="D2939" s="25" t="str">
        <f t="shared" si="45"/>
        <v>Số thửaSố thửa174</v>
      </c>
    </row>
    <row r="2940" spans="1:4" x14ac:dyDescent="0.25">
      <c r="A2940" s="25">
        <v>2</v>
      </c>
      <c r="B2940" s="25" t="s">
        <v>274</v>
      </c>
      <c r="C2940" s="26" t="s">
        <v>1582</v>
      </c>
      <c r="D2940" s="25" t="str">
        <f t="shared" si="45"/>
        <v>Số thửaSố thửa23</v>
      </c>
    </row>
    <row r="2941" spans="1:4" x14ac:dyDescent="0.25">
      <c r="A2941" s="25">
        <v>3</v>
      </c>
      <c r="B2941" s="25" t="s">
        <v>1008</v>
      </c>
      <c r="C2941" s="26" t="s">
        <v>1583</v>
      </c>
      <c r="D2941" s="25" t="str">
        <f t="shared" si="45"/>
        <v>Số thửaSố thửa193</v>
      </c>
    </row>
    <row r="2942" spans="1:4" x14ac:dyDescent="0.25">
      <c r="A2942" s="25">
        <v>3</v>
      </c>
      <c r="B2942" s="25" t="s">
        <v>1008</v>
      </c>
      <c r="C2942" s="26" t="s">
        <v>1583</v>
      </c>
      <c r="D2942" s="25" t="str">
        <f t="shared" si="45"/>
        <v>Số thửaSố thửa193</v>
      </c>
    </row>
    <row r="2943" spans="1:4" x14ac:dyDescent="0.25">
      <c r="A2943" s="25">
        <v>1</v>
      </c>
      <c r="B2943" s="25" t="s">
        <v>240</v>
      </c>
      <c r="C2943" s="26" t="s">
        <v>1584</v>
      </c>
      <c r="D2943" s="25" t="str">
        <f t="shared" si="45"/>
        <v>Số thửaSố thửa33</v>
      </c>
    </row>
    <row r="2944" spans="1:4" x14ac:dyDescent="0.25">
      <c r="A2944" s="25">
        <v>1</v>
      </c>
      <c r="B2944" s="25" t="s">
        <v>102</v>
      </c>
      <c r="C2944" s="26" t="s">
        <v>1585</v>
      </c>
      <c r="D2944" s="25" t="str">
        <f t="shared" si="45"/>
        <v>Số thửaSố thửa43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0"/>
  <sheetViews>
    <sheetView workbookViewId="0">
      <selection activeCell="L6" sqref="L6"/>
    </sheetView>
  </sheetViews>
  <sheetFormatPr defaultRowHeight="15" x14ac:dyDescent="0.25"/>
  <sheetData>
    <row r="1" spans="1:12" ht="18.75" x14ac:dyDescent="0.25">
      <c r="A1" s="59" t="s">
        <v>1678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</row>
    <row r="2" spans="1:12" ht="15.75" thickBot="1" x14ac:dyDescent="0.3">
      <c r="A2" s="61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</row>
    <row r="3" spans="1:12" ht="15.75" thickTop="1" x14ac:dyDescent="0.25">
      <c r="A3" s="63" t="s">
        <v>0</v>
      </c>
      <c r="B3" s="65" t="s">
        <v>1</v>
      </c>
      <c r="C3" s="65" t="s">
        <v>2</v>
      </c>
      <c r="D3" s="65" t="s">
        <v>3</v>
      </c>
      <c r="E3" s="65" t="s">
        <v>4</v>
      </c>
      <c r="F3" s="65" t="s">
        <v>38</v>
      </c>
      <c r="G3" s="65" t="s">
        <v>39</v>
      </c>
      <c r="H3" s="65" t="s">
        <v>40</v>
      </c>
      <c r="I3" s="65"/>
      <c r="J3" s="65"/>
      <c r="K3" s="65" t="s">
        <v>41</v>
      </c>
      <c r="L3" s="67" t="s">
        <v>42</v>
      </c>
    </row>
    <row r="4" spans="1:12" x14ac:dyDescent="0.25">
      <c r="A4" s="64"/>
      <c r="B4" s="66"/>
      <c r="C4" s="66"/>
      <c r="D4" s="66"/>
      <c r="E4" s="66"/>
      <c r="F4" s="66"/>
      <c r="G4" s="66"/>
      <c r="H4" s="66"/>
      <c r="I4" s="66"/>
      <c r="J4" s="66"/>
      <c r="K4" s="66"/>
      <c r="L4" s="68"/>
    </row>
    <row r="5" spans="1:12" ht="28.5" x14ac:dyDescent="0.25">
      <c r="A5" s="64"/>
      <c r="B5" s="66"/>
      <c r="C5" s="66"/>
      <c r="D5" s="66"/>
      <c r="E5" s="66"/>
      <c r="F5" s="66"/>
      <c r="G5" s="66"/>
      <c r="H5" s="31" t="s">
        <v>43</v>
      </c>
      <c r="I5" s="31" t="s">
        <v>44</v>
      </c>
      <c r="J5" s="31" t="s">
        <v>45</v>
      </c>
      <c r="K5" s="66"/>
      <c r="L5" s="68"/>
    </row>
    <row r="6" spans="1:12" ht="30" x14ac:dyDescent="0.25">
      <c r="A6" s="32">
        <v>220</v>
      </c>
      <c r="B6" s="44" t="s">
        <v>1668</v>
      </c>
      <c r="C6" s="34">
        <v>46</v>
      </c>
      <c r="D6" s="34">
        <v>36</v>
      </c>
      <c r="E6" s="34" t="s">
        <v>6</v>
      </c>
      <c r="F6" s="34">
        <v>297</v>
      </c>
      <c r="G6" s="33" t="s">
        <v>1749</v>
      </c>
      <c r="H6" s="33">
        <v>14</v>
      </c>
      <c r="I6" s="34"/>
      <c r="J6" s="34">
        <v>14</v>
      </c>
      <c r="K6" s="34">
        <v>283</v>
      </c>
      <c r="L6" s="41" t="s">
        <v>34</v>
      </c>
    </row>
    <row r="7" spans="1:12" ht="45" x14ac:dyDescent="0.25">
      <c r="A7" s="32">
        <v>221</v>
      </c>
      <c r="B7" s="44" t="s">
        <v>1669</v>
      </c>
      <c r="C7" s="34">
        <v>46</v>
      </c>
      <c r="D7" s="34">
        <v>3</v>
      </c>
      <c r="E7" s="34" t="s">
        <v>6</v>
      </c>
      <c r="F7" s="34">
        <v>2639</v>
      </c>
      <c r="G7" s="33" t="s">
        <v>1749</v>
      </c>
      <c r="H7" s="33">
        <v>37</v>
      </c>
      <c r="I7" s="34"/>
      <c r="J7" s="34">
        <v>37</v>
      </c>
      <c r="K7" s="34">
        <v>2602</v>
      </c>
      <c r="L7" s="41" t="s">
        <v>7</v>
      </c>
    </row>
    <row r="8" spans="1:12" ht="45" x14ac:dyDescent="0.25">
      <c r="A8" s="32">
        <v>222</v>
      </c>
      <c r="B8" s="44" t="s">
        <v>1669</v>
      </c>
      <c r="C8" s="34">
        <v>46</v>
      </c>
      <c r="D8" s="34">
        <v>4</v>
      </c>
      <c r="E8" s="34" t="s">
        <v>6</v>
      </c>
      <c r="F8" s="34">
        <v>2686</v>
      </c>
      <c r="G8" s="33" t="s">
        <v>1749</v>
      </c>
      <c r="H8" s="33">
        <v>39</v>
      </c>
      <c r="I8" s="34"/>
      <c r="J8" s="34">
        <v>39</v>
      </c>
      <c r="K8" s="34">
        <v>2647</v>
      </c>
      <c r="L8" s="41" t="s">
        <v>7</v>
      </c>
    </row>
    <row r="9" spans="1:12" ht="45" x14ac:dyDescent="0.25">
      <c r="A9" s="32">
        <v>223</v>
      </c>
      <c r="B9" s="44" t="s">
        <v>1669</v>
      </c>
      <c r="C9" s="34">
        <v>46</v>
      </c>
      <c r="D9" s="34">
        <v>5</v>
      </c>
      <c r="E9" s="34" t="s">
        <v>6</v>
      </c>
      <c r="F9" s="34">
        <v>1277</v>
      </c>
      <c r="G9" s="33" t="s">
        <v>1749</v>
      </c>
      <c r="H9" s="33">
        <v>59</v>
      </c>
      <c r="I9" s="34"/>
      <c r="J9" s="34">
        <v>59</v>
      </c>
      <c r="K9" s="34">
        <v>1218</v>
      </c>
      <c r="L9" s="41" t="s">
        <v>7</v>
      </c>
    </row>
    <row r="10" spans="1:12" ht="30" x14ac:dyDescent="0.25">
      <c r="A10" s="32">
        <v>224</v>
      </c>
      <c r="B10" s="44" t="s">
        <v>1670</v>
      </c>
      <c r="C10" s="34">
        <v>46</v>
      </c>
      <c r="D10" s="34">
        <v>6</v>
      </c>
      <c r="E10" s="34" t="s">
        <v>6</v>
      </c>
      <c r="F10" s="34">
        <v>8689</v>
      </c>
      <c r="G10" s="33" t="s">
        <v>1749</v>
      </c>
      <c r="H10" s="33">
        <v>151</v>
      </c>
      <c r="I10" s="34"/>
      <c r="J10" s="34">
        <v>151</v>
      </c>
      <c r="K10" s="34">
        <v>8538</v>
      </c>
      <c r="L10" s="41" t="s">
        <v>1707</v>
      </c>
    </row>
    <row r="11" spans="1:12" ht="30" x14ac:dyDescent="0.25">
      <c r="A11" s="32">
        <v>225</v>
      </c>
      <c r="B11" s="44" t="s">
        <v>1637</v>
      </c>
      <c r="C11" s="34">
        <v>46</v>
      </c>
      <c r="D11" s="34">
        <v>8</v>
      </c>
      <c r="E11" s="34" t="s">
        <v>6</v>
      </c>
      <c r="F11" s="34">
        <v>5612</v>
      </c>
      <c r="G11" s="33" t="s">
        <v>1749</v>
      </c>
      <c r="H11" s="33">
        <v>151</v>
      </c>
      <c r="I11" s="34"/>
      <c r="J11" s="34">
        <v>151</v>
      </c>
      <c r="K11" s="34">
        <v>5461</v>
      </c>
      <c r="L11" s="41" t="s">
        <v>7</v>
      </c>
    </row>
    <row r="12" spans="1:12" ht="30" x14ac:dyDescent="0.25">
      <c r="A12" s="32">
        <v>226</v>
      </c>
      <c r="B12" s="44" t="s">
        <v>1671</v>
      </c>
      <c r="C12" s="34">
        <v>46</v>
      </c>
      <c r="D12" s="34">
        <v>11</v>
      </c>
      <c r="E12" s="34" t="s">
        <v>6</v>
      </c>
      <c r="F12" s="34">
        <v>5523</v>
      </c>
      <c r="G12" s="33" t="s">
        <v>1749</v>
      </c>
      <c r="H12" s="33">
        <v>44</v>
      </c>
      <c r="I12" s="34"/>
      <c r="J12" s="34">
        <v>44</v>
      </c>
      <c r="K12" s="34">
        <v>5479</v>
      </c>
      <c r="L12" s="41" t="s">
        <v>7</v>
      </c>
    </row>
    <row r="13" spans="1:12" ht="45" x14ac:dyDescent="0.25">
      <c r="A13" s="32">
        <v>227</v>
      </c>
      <c r="B13" s="44" t="s">
        <v>1637</v>
      </c>
      <c r="C13" s="34">
        <v>46</v>
      </c>
      <c r="D13" s="34">
        <v>19</v>
      </c>
      <c r="E13" s="34" t="s">
        <v>6</v>
      </c>
      <c r="F13" s="34">
        <v>6595</v>
      </c>
      <c r="G13" s="33" t="s">
        <v>1749</v>
      </c>
      <c r="H13" s="33">
        <v>181</v>
      </c>
      <c r="I13" s="34"/>
      <c r="J13" s="34">
        <v>181</v>
      </c>
      <c r="K13" s="34">
        <v>6414</v>
      </c>
      <c r="L13" s="41" t="s">
        <v>1710</v>
      </c>
    </row>
    <row r="14" spans="1:12" ht="30" x14ac:dyDescent="0.25">
      <c r="A14" s="32">
        <v>228</v>
      </c>
      <c r="B14" s="44" t="s">
        <v>1672</v>
      </c>
      <c r="C14" s="34">
        <v>46</v>
      </c>
      <c r="D14" s="34">
        <v>35</v>
      </c>
      <c r="E14" s="34" t="s">
        <v>1688</v>
      </c>
      <c r="F14" s="34">
        <v>26371</v>
      </c>
      <c r="G14" s="33" t="s">
        <v>1749</v>
      </c>
      <c r="H14" s="33">
        <v>104</v>
      </c>
      <c r="I14" s="34"/>
      <c r="J14" s="34">
        <v>104</v>
      </c>
      <c r="K14" s="34">
        <v>26267</v>
      </c>
      <c r="L14" s="41" t="s">
        <v>7</v>
      </c>
    </row>
    <row r="15" spans="1:12" ht="45" x14ac:dyDescent="0.25">
      <c r="A15" s="32">
        <v>229</v>
      </c>
      <c r="B15" s="44" t="s">
        <v>1673</v>
      </c>
      <c r="C15" s="34">
        <v>46</v>
      </c>
      <c r="D15" s="34">
        <v>65</v>
      </c>
      <c r="E15" s="34" t="s">
        <v>6</v>
      </c>
      <c r="F15" s="34">
        <v>415</v>
      </c>
      <c r="G15" s="33" t="s">
        <v>1749</v>
      </c>
      <c r="H15" s="33">
        <v>1</v>
      </c>
      <c r="I15" s="34"/>
      <c r="J15" s="34">
        <v>1</v>
      </c>
      <c r="K15" s="34">
        <v>414</v>
      </c>
      <c r="L15" s="41" t="s">
        <v>7</v>
      </c>
    </row>
    <row r="16" spans="1:12" ht="45" x14ac:dyDescent="0.25">
      <c r="A16" s="32">
        <v>230</v>
      </c>
      <c r="B16" s="44" t="s">
        <v>1674</v>
      </c>
      <c r="C16" s="34">
        <v>46</v>
      </c>
      <c r="D16" s="34">
        <v>66</v>
      </c>
      <c r="E16" s="34" t="s">
        <v>6</v>
      </c>
      <c r="F16" s="34">
        <v>235</v>
      </c>
      <c r="G16" s="33" t="s">
        <v>1749</v>
      </c>
      <c r="H16" s="33">
        <v>77</v>
      </c>
      <c r="I16" s="34"/>
      <c r="J16" s="34">
        <v>77</v>
      </c>
      <c r="K16" s="34">
        <v>158</v>
      </c>
      <c r="L16" s="41" t="s">
        <v>7</v>
      </c>
    </row>
    <row r="17" spans="1:12" ht="30" x14ac:dyDescent="0.25">
      <c r="A17" s="32">
        <v>231</v>
      </c>
      <c r="B17" s="44" t="s">
        <v>1675</v>
      </c>
      <c r="C17" s="34">
        <v>46</v>
      </c>
      <c r="D17" s="34">
        <v>4000</v>
      </c>
      <c r="E17" s="34" t="s">
        <v>7</v>
      </c>
      <c r="F17" s="34">
        <v>18471</v>
      </c>
      <c r="G17" s="33" t="s">
        <v>1749</v>
      </c>
      <c r="H17" s="33">
        <v>2847</v>
      </c>
      <c r="I17" s="34"/>
      <c r="J17" s="34">
        <v>2847</v>
      </c>
      <c r="K17" s="34">
        <v>15624</v>
      </c>
      <c r="L17" s="41" t="s">
        <v>7</v>
      </c>
    </row>
    <row r="18" spans="1:12" ht="45" x14ac:dyDescent="0.25">
      <c r="A18" s="32">
        <v>232</v>
      </c>
      <c r="B18" s="44" t="s">
        <v>1676</v>
      </c>
      <c r="C18" s="34">
        <v>50</v>
      </c>
      <c r="D18" s="34">
        <v>8</v>
      </c>
      <c r="E18" s="34" t="s">
        <v>1689</v>
      </c>
      <c r="F18" s="34">
        <v>5811</v>
      </c>
      <c r="G18" s="33" t="s">
        <v>1749</v>
      </c>
      <c r="H18" s="33">
        <v>20</v>
      </c>
      <c r="I18" s="34"/>
      <c r="J18" s="34">
        <v>20</v>
      </c>
      <c r="K18" s="34">
        <v>5791</v>
      </c>
      <c r="L18" s="41" t="s">
        <v>1710</v>
      </c>
    </row>
    <row r="19" spans="1:12" ht="45.75" thickBot="1" x14ac:dyDescent="0.3">
      <c r="A19" s="38">
        <v>233</v>
      </c>
      <c r="B19" s="45" t="s">
        <v>1677</v>
      </c>
      <c r="C19" s="40">
        <v>50</v>
      </c>
      <c r="D19" s="40">
        <v>36</v>
      </c>
      <c r="E19" s="40" t="s">
        <v>7</v>
      </c>
      <c r="F19" s="40">
        <v>254</v>
      </c>
      <c r="G19" s="39" t="s">
        <v>1749</v>
      </c>
      <c r="H19" s="39">
        <v>111</v>
      </c>
      <c r="I19" s="40"/>
      <c r="J19" s="40">
        <v>111</v>
      </c>
      <c r="K19" s="40">
        <v>143</v>
      </c>
      <c r="L19" s="42" t="s">
        <v>7</v>
      </c>
    </row>
    <row r="20" spans="1:12" ht="15.75" thickTop="1" x14ac:dyDescent="0.25"/>
  </sheetData>
  <mergeCells count="12">
    <mergeCell ref="K3:K5"/>
    <mergeCell ref="L3:L5"/>
    <mergeCell ref="A1:L1"/>
    <mergeCell ref="A2:L2"/>
    <mergeCell ref="A3:A5"/>
    <mergeCell ref="B3:B5"/>
    <mergeCell ref="C3:C5"/>
    <mergeCell ref="D3:D5"/>
    <mergeCell ref="E3:E5"/>
    <mergeCell ref="F3:F5"/>
    <mergeCell ref="G3:G5"/>
    <mergeCell ref="H3:J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DS</vt:lpstr>
      <vt:lpstr>TongHop</vt:lpstr>
      <vt:lpstr>TongHop (2)</vt:lpstr>
      <vt:lpstr>DLVILIS</vt:lpstr>
      <vt:lpstr>Sheet1</vt:lpstr>
      <vt:lpstr>DS!Print_Area</vt:lpstr>
      <vt:lpstr>TongHop!Print_Area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2023-02-22T03:11:07Z</dcterms:modified>
</cp:coreProperties>
</file>