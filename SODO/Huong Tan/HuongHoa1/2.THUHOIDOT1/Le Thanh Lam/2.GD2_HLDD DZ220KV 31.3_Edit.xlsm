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0490" windowHeight="7650"/>
  </bookViews>
  <sheets>
    <sheet name="DS" sheetId="4" r:id="rId1"/>
  </sheets>
  <externalReferences>
    <externalReference r:id="rId2"/>
    <externalReference r:id="rId3"/>
  </externalReferences>
  <definedNames>
    <definedName name="_Fill" hidden="1">#REF!</definedName>
    <definedName name="_xlnm._FilterDatabase" localSheetId="0" hidden="1">DS!$A$5:$R$174</definedName>
    <definedName name="Active">[1]CAPLAI!$A$1</definedName>
    <definedName name="ADDRESS">[1]CAPLAI!$C$5</definedName>
    <definedName name="BD">[1]CAPLAI!$G$9</definedName>
    <definedName name="BD97TH">#REF!</definedName>
    <definedName name="boloc">#REF!</definedName>
    <definedName name="BX">#REF!</definedName>
    <definedName name="CMND">[1]CAPLAI!$C$7</definedName>
    <definedName name="dong1">#REF!</definedName>
    <definedName name="GCN">[1]CAPLAI!$J$5</definedName>
    <definedName name="GCNC">[1]CAPLAI!$K$5</definedName>
    <definedName name="kihieumahs">#REF!</definedName>
    <definedName name="kyho">#REF!</definedName>
    <definedName name="lbox1">#REF!</definedName>
    <definedName name="lbox2">#REF!</definedName>
    <definedName name="list05">#REF!</definedName>
    <definedName name="list1">#REF!</definedName>
    <definedName name="list1cuaprofile">#REF!</definedName>
    <definedName name="LIST3">#REF!</definedName>
    <definedName name="LIST4">#REF!</definedName>
    <definedName name="LIST5">#REF!</definedName>
    <definedName name="listdon">#REF!</definedName>
    <definedName name="listhoso">#REF!</definedName>
    <definedName name="listmaptong">#REF!</definedName>
    <definedName name="listprofile">#REF!</definedName>
    <definedName name="listttqdtk">#REF!</definedName>
    <definedName name="LNC">[1]CAPLAI!$K$6</definedName>
    <definedName name="LoaiDoiTuongSuDung">[2]DanhMuc!$B$4:$B$22</definedName>
    <definedName name="LoaiMucDichSuDungDat">[2]DanhMuc!$F$3:$F$83</definedName>
    <definedName name="LoaiNguonGocSuDung">[2]DanhMuc!$I$3:$I$38</definedName>
    <definedName name="mabx">#REF!</definedName>
    <definedName name="magcn">#REF!</definedName>
    <definedName name="mahoso">#REF!</definedName>
    <definedName name="maloaihs">#REF!</definedName>
    <definedName name="mot_cua">#REF!</definedName>
    <definedName name="nam1cua">#REF!</definedName>
    <definedName name="NAMCHET">[1]CAPLAI!$C$2</definedName>
    <definedName name="NAME">[1]CAPLAI!$C$3</definedName>
    <definedName name="ND">#REF!</definedName>
    <definedName name="NGAYCHUNGTHUCHOPDONG">[1]CAPLAI!$E$2</definedName>
    <definedName name="nguongocsd">#REF!</definedName>
    <definedName name="nhapthue">#REF!</definedName>
    <definedName name="noicongchung">#REF!</definedName>
    <definedName name="ONT">[1]CAPLAI!$J$6</definedName>
    <definedName name="pccx">#REF!</definedName>
    <definedName name="PCTT">#REF!</definedName>
    <definedName name="PHOIGCN">#REF!</definedName>
    <definedName name="_xlnm.Print_Area" localSheetId="0">DS!$A$1:$L$180</definedName>
    <definedName name="QUYENSO">'[1]TANHOP - TC'!#REF!</definedName>
    <definedName name="smk">#REF!</definedName>
    <definedName name="so1cua">[1]CAPLAI!$J$9</definedName>
    <definedName name="SOCHUNGTHUCHD">[1]CAPLAI!$D$2</definedName>
    <definedName name="sodo">#REF!</definedName>
    <definedName name="sohosodagiaiquyet">#REF!</definedName>
    <definedName name="sohosodangthuly">#REF!</definedName>
    <definedName name="SOTOCU">[1]CAPLAI!$J$4</definedName>
    <definedName name="SOTOMOI">[1]CAPLAI!$K$4</definedName>
    <definedName name="TENNGUOIMAT">[1]CAPLAI!$B$2</definedName>
    <definedName name="thonxa">#REF!</definedName>
    <definedName name="thonxxa">#REF!</definedName>
    <definedName name="THUACU">[1]CAPLAI!$J$3</definedName>
    <definedName name="THUAMOI">[1]CAPLAI!$K$3</definedName>
    <definedName name="TONG">[1]CAPLAI!$L$6</definedName>
    <definedName name="TYLEBD">[1]CAPLAI!$J$1</definedName>
    <definedName name="xatthitran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" i="4" l="1"/>
  <c r="K13" i="4"/>
  <c r="K15" i="4"/>
  <c r="M18" i="4"/>
  <c r="K18" i="4"/>
  <c r="K17" i="4"/>
  <c r="M19" i="4"/>
  <c r="K19" i="4"/>
  <c r="K49" i="4"/>
  <c r="K60" i="4" l="1"/>
  <c r="K59" i="4"/>
  <c r="K54" i="4" l="1"/>
  <c r="M6" i="4" l="1"/>
  <c r="M11" i="4"/>
  <c r="M27" i="4"/>
  <c r="M42" i="4"/>
  <c r="M7" i="4"/>
  <c r="M8" i="4"/>
  <c r="M9" i="4"/>
  <c r="M10" i="4"/>
  <c r="M12" i="4"/>
  <c r="M14" i="4"/>
  <c r="M20" i="4"/>
  <c r="M21" i="4"/>
  <c r="M22" i="4"/>
  <c r="M23" i="4"/>
  <c r="M24" i="4"/>
  <c r="M25" i="4"/>
  <c r="M26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3" i="4"/>
  <c r="M44" i="4"/>
  <c r="M45" i="4"/>
  <c r="M46" i="4"/>
  <c r="M47" i="4"/>
  <c r="M48" i="4"/>
  <c r="M50" i="4"/>
  <c r="M51" i="4"/>
  <c r="M52" i="4"/>
  <c r="M53" i="4"/>
  <c r="M55" i="4"/>
  <c r="M56" i="4"/>
  <c r="M57" i="4"/>
  <c r="M58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J171" i="4"/>
  <c r="I171" i="4"/>
  <c r="F171" i="4"/>
  <c r="K108" i="4"/>
  <c r="K106" i="4"/>
  <c r="K105" i="4"/>
  <c r="K115" i="4"/>
  <c r="K110" i="4"/>
  <c r="K111" i="4"/>
  <c r="K107" i="4"/>
  <c r="K109" i="4"/>
  <c r="K116" i="4"/>
  <c r="K117" i="4"/>
  <c r="K118" i="4"/>
  <c r="K14" i="4"/>
  <c r="K119" i="4"/>
  <c r="K36" i="4"/>
  <c r="K11" i="4"/>
  <c r="K23" i="4"/>
  <c r="K120" i="4"/>
  <c r="K121" i="4"/>
  <c r="K122" i="4"/>
  <c r="K123" i="4"/>
  <c r="K39" i="4"/>
  <c r="K40" i="4"/>
  <c r="K32" i="4"/>
  <c r="K29" i="4"/>
  <c r="K124" i="4"/>
  <c r="K125" i="4"/>
  <c r="K126" i="4"/>
  <c r="K127" i="4"/>
  <c r="K128" i="4"/>
  <c r="K20" i="4"/>
  <c r="K35" i="4"/>
  <c r="K129" i="4"/>
  <c r="K130" i="4"/>
  <c r="K131" i="4"/>
  <c r="K22" i="4"/>
  <c r="K24" i="4"/>
  <c r="K31" i="4"/>
  <c r="K132" i="4"/>
  <c r="K21" i="4"/>
  <c r="K33" i="4"/>
  <c r="K34" i="4"/>
  <c r="K133" i="4"/>
  <c r="K25" i="4"/>
  <c r="K134" i="4"/>
  <c r="K30" i="4"/>
  <c r="K135" i="4"/>
  <c r="K136" i="4"/>
  <c r="K137" i="4"/>
  <c r="K8" i="4"/>
  <c r="K138" i="4"/>
  <c r="K7" i="4"/>
  <c r="K139" i="4"/>
  <c r="K140" i="4"/>
  <c r="K141" i="4"/>
  <c r="K142" i="4"/>
  <c r="K143" i="4"/>
  <c r="K144" i="4"/>
  <c r="K145" i="4"/>
  <c r="K146" i="4"/>
  <c r="K6" i="4"/>
  <c r="K147" i="4"/>
  <c r="K148" i="4"/>
  <c r="K82" i="4"/>
  <c r="K149" i="4"/>
  <c r="K150" i="4"/>
  <c r="K151" i="4"/>
  <c r="K152" i="4"/>
  <c r="K153" i="4"/>
  <c r="K154" i="4"/>
  <c r="K155" i="4"/>
  <c r="K156" i="4"/>
  <c r="K41" i="4"/>
  <c r="K38" i="4"/>
  <c r="K157" i="4"/>
  <c r="K158" i="4"/>
  <c r="K159" i="4"/>
  <c r="K113" i="4"/>
  <c r="K160" i="4"/>
  <c r="K161" i="4"/>
  <c r="K162" i="4"/>
  <c r="K163" i="4"/>
  <c r="K164" i="4"/>
  <c r="K37" i="4"/>
  <c r="K165" i="4"/>
  <c r="K166" i="4"/>
  <c r="K167" i="4"/>
  <c r="K168" i="4"/>
  <c r="K169" i="4"/>
  <c r="K170" i="4"/>
  <c r="K97" i="4"/>
  <c r="K90" i="4"/>
  <c r="K89" i="4"/>
  <c r="K83" i="4"/>
  <c r="K88" i="4"/>
  <c r="K84" i="4"/>
  <c r="K112" i="4"/>
  <c r="K58" i="4"/>
  <c r="K99" i="4"/>
  <c r="K94" i="4"/>
  <c r="K68" i="4"/>
  <c r="K95" i="4"/>
  <c r="K70" i="4"/>
  <c r="K100" i="4"/>
  <c r="K28" i="4"/>
  <c r="K9" i="4"/>
  <c r="K10" i="4"/>
  <c r="K12" i="4"/>
  <c r="K42" i="4"/>
  <c r="K43" i="4"/>
  <c r="K26" i="4"/>
  <c r="K27" i="4"/>
  <c r="K62" i="4"/>
  <c r="K63" i="4"/>
  <c r="K64" i="4"/>
  <c r="K65" i="4"/>
  <c r="K66" i="4"/>
  <c r="K51" i="4"/>
  <c r="K52" i="4"/>
  <c r="K53" i="4"/>
  <c r="K50" i="4"/>
  <c r="K80" i="4"/>
  <c r="K81" i="4"/>
  <c r="K86" i="4"/>
  <c r="K87" i="4"/>
  <c r="K76" i="4"/>
  <c r="K67" i="4"/>
  <c r="K92" i="4"/>
  <c r="K98" i="4"/>
  <c r="K96" i="4"/>
  <c r="K69" i="4"/>
  <c r="K44" i="4"/>
  <c r="K91" i="4"/>
  <c r="K74" i="4"/>
  <c r="K77" i="4"/>
  <c r="K48" i="4"/>
  <c r="K61" i="4"/>
  <c r="K47" i="4"/>
  <c r="K78" i="4"/>
  <c r="K85" i="4"/>
  <c r="K56" i="4"/>
  <c r="K72" i="4"/>
  <c r="K55" i="4"/>
  <c r="K73" i="4"/>
  <c r="K45" i="4"/>
  <c r="K93" i="4"/>
  <c r="K57" i="4"/>
  <c r="K79" i="4"/>
  <c r="K75" i="4"/>
  <c r="K71" i="4"/>
  <c r="K46" i="4"/>
  <c r="K101" i="4"/>
  <c r="K102" i="4"/>
  <c r="K103" i="4"/>
  <c r="K104" i="4"/>
  <c r="K114" i="4"/>
  <c r="K171" i="4" l="1"/>
  <c r="H171" i="4"/>
</calcChain>
</file>

<file path=xl/sharedStrings.xml><?xml version="1.0" encoding="utf-8"?>
<sst xmlns="http://schemas.openxmlformats.org/spreadsheetml/2006/main" count="553" uniqueCount="131">
  <si>
    <t>STT</t>
  </si>
  <si>
    <t>Họ và tên</t>
  </si>
  <si>
    <t>Số tờ BĐĐC</t>
  </si>
  <si>
    <t>Số thửa</t>
  </si>
  <si>
    <t>Loại đất</t>
  </si>
  <si>
    <t>Cao Đăng Duy</t>
  </si>
  <si>
    <t>CLN</t>
  </si>
  <si>
    <t>DGT</t>
  </si>
  <si>
    <t>Hồ Văn A</t>
  </si>
  <si>
    <t>Hồ Thị Xa Lâng</t>
  </si>
  <si>
    <t>LUK</t>
  </si>
  <si>
    <t>Người thực hiện</t>
  </si>
  <si>
    <t>Giám đốc</t>
  </si>
  <si>
    <t>Cán bộ địa chính</t>
  </si>
  <si>
    <t>Chủ tịch</t>
  </si>
  <si>
    <t>LUC</t>
  </si>
  <si>
    <t>NHK</t>
  </si>
  <si>
    <t>DCS</t>
  </si>
  <si>
    <t>Hồ Văn Cời</t>
  </si>
  <si>
    <t>UBND xã</t>
  </si>
  <si>
    <t>SON</t>
  </si>
  <si>
    <t>Diện tích hiện trạng thửa đất
 (m2)</t>
  </si>
  <si>
    <t>Số giấy CN</t>
  </si>
  <si>
    <t>Tổng</t>
  </si>
  <si>
    <t>Trong GCN</t>
  </si>
  <si>
    <t>Ngoài GCN</t>
  </si>
  <si>
    <t xml:space="preserve">                                                                               </t>
  </si>
  <si>
    <t>Ngày     tháng     năm 2023</t>
  </si>
  <si>
    <t>Ngày     tháng    năm 2023</t>
  </si>
  <si>
    <t xml:space="preserve">                                                     </t>
  </si>
  <si>
    <t>Đơn vị thực hiện
CHI NHÁNH VĂN PHÒNG ĐĂNG KÝ ĐẤT ĐAI HUYỆN HƯỚNG HÓA</t>
  </si>
  <si>
    <t>UBND xã Hướng Tân</t>
  </si>
  <si>
    <t>Trần Trường Sinh</t>
  </si>
  <si>
    <t>Nguyễn Chí Hiếu</t>
  </si>
  <si>
    <t>BĐ015755</t>
  </si>
  <si>
    <t>BG287098</t>
  </si>
  <si>
    <t>BG287020</t>
  </si>
  <si>
    <t>BG287018</t>
  </si>
  <si>
    <t>BG287024</t>
  </si>
  <si>
    <t>BG287043</t>
  </si>
  <si>
    <t>BG287041</t>
  </si>
  <si>
    <t>BG287042</t>
  </si>
  <si>
    <t>BG287056</t>
  </si>
  <si>
    <t>BG287068</t>
  </si>
  <si>
    <t>BG287077</t>
  </si>
  <si>
    <t>BG287079</t>
  </si>
  <si>
    <t>BG287096</t>
  </si>
  <si>
    <t>BG287101</t>
  </si>
  <si>
    <t>BG287106</t>
  </si>
  <si>
    <t>BG287119</t>
  </si>
  <si>
    <t>BG287116</t>
  </si>
  <si>
    <t>BG287118</t>
  </si>
  <si>
    <t>BG287117</t>
  </si>
  <si>
    <t>BG287125</t>
  </si>
  <si>
    <t>BG287131</t>
  </si>
  <si>
    <t>BG287154</t>
  </si>
  <si>
    <t>BG287158</t>
  </si>
  <si>
    <t>BG287157</t>
  </si>
  <si>
    <t>Hồ Văn Tuấn</t>
  </si>
  <si>
    <t>Hồ Xăm</t>
  </si>
  <si>
    <t>Hồ Thị Trầm</t>
  </si>
  <si>
    <t>Hồ Văn Hất</t>
  </si>
  <si>
    <t>Hồ Văn Cất</t>
  </si>
  <si>
    <t>Hồ Văn Hưm</t>
  </si>
  <si>
    <t>Hồ Văn Sâm</t>
  </si>
  <si>
    <t>Hồ Văn Ta Pưp</t>
  </si>
  <si>
    <t>Hồ Văn Phương</t>
  </si>
  <si>
    <t>RPH</t>
  </si>
  <si>
    <t>ONT</t>
  </si>
  <si>
    <t/>
  </si>
  <si>
    <t>Ghi Chú</t>
  </si>
  <si>
    <t>Đặng Đức Tài</t>
  </si>
  <si>
    <t>BHK</t>
  </si>
  <si>
    <t>Hồ Văn Đang</t>
  </si>
  <si>
    <t>Hồ Tung Dủm</t>
  </si>
  <si>
    <t>Hồ Văn Bình</t>
  </si>
  <si>
    <t>Hồ Văn Lài</t>
  </si>
  <si>
    <t>Hồ Văn Cơi</t>
  </si>
  <si>
    <t>Hồ Văn Thương</t>
  </si>
  <si>
    <t>Hồ Văn Sang</t>
  </si>
  <si>
    <t>Hồ Nâm</t>
  </si>
  <si>
    <t>Hồ Văn Lại</t>
  </si>
  <si>
    <t>Hồ Văn Xanh</t>
  </si>
  <si>
    <t>Hồ Văn Phâm</t>
  </si>
  <si>
    <t>Hồ Văn May</t>
  </si>
  <si>
    <t>Hồ Văn Nâm</t>
  </si>
  <si>
    <t>Diện tích ảnh hưởng (m2)</t>
  </si>
  <si>
    <t>Diện tích không bị ảnh hưởng
(m2)</t>
  </si>
  <si>
    <t>LNK</t>
  </si>
  <si>
    <t>LNC</t>
  </si>
  <si>
    <t>Nguyễn Văn Thủy</t>
  </si>
  <si>
    <t>DANH SÁCH HỔ TRỢ ĐỀN BÙ
TÊN DỰ ÁN: NHÀ MÁY ĐIỆN GIÓ LIG- HƯỚNG HÓA 1
HẠNG MỤC: HÀNH LANG ĐƯỜNG ĐIỆN 220KV
ĐỊA ĐIỂM: XÃ HƯỚNG TÂN - HUYỆN HƯỚNG HÓA - QUẢNG TRỊ</t>
  </si>
  <si>
    <t>Hồ Văn Thăng</t>
  </si>
  <si>
    <t>Hồ Văn Khâm</t>
  </si>
  <si>
    <t>Hồ Văn Lương</t>
  </si>
  <si>
    <t>Hồ Văn Đa</t>
  </si>
  <si>
    <t>Hồ Văn Qúy</t>
  </si>
  <si>
    <t>9.2</t>
  </si>
  <si>
    <t>9.1</t>
  </si>
  <si>
    <t>282/1</t>
  </si>
  <si>
    <t>282/2</t>
  </si>
  <si>
    <t>42.1</t>
  </si>
  <si>
    <t>42.2</t>
  </si>
  <si>
    <t>Hồ Văn Nuân</t>
  </si>
  <si>
    <t>887/1</t>
  </si>
  <si>
    <t>887/2</t>
  </si>
  <si>
    <t>47.1</t>
  </si>
  <si>
    <t>47.2</t>
  </si>
  <si>
    <t>659/1</t>
  </si>
  <si>
    <t>659/2</t>
  </si>
  <si>
    <t>38.1</t>
  </si>
  <si>
    <t>38.2</t>
  </si>
  <si>
    <t>224/1</t>
  </si>
  <si>
    <t>224/2</t>
  </si>
  <si>
    <t>9.3</t>
  </si>
  <si>
    <t>282/3</t>
  </si>
  <si>
    <t>282/4</t>
  </si>
  <si>
    <t>8.2</t>
  </si>
  <si>
    <t>8.1</t>
  </si>
  <si>
    <t>Hồ Văn Tường</t>
  </si>
  <si>
    <t>904/1</t>
  </si>
  <si>
    <t>904/2</t>
  </si>
  <si>
    <t xml:space="preserve">UBND xã </t>
  </si>
  <si>
    <t>128/1</t>
  </si>
  <si>
    <t>7.1</t>
  </si>
  <si>
    <t>7.2</t>
  </si>
  <si>
    <t>128/2</t>
  </si>
  <si>
    <t>9.4</t>
  </si>
  <si>
    <t>Hồ La Ham</t>
  </si>
  <si>
    <t>Hồ Thanh Rưm</t>
  </si>
  <si>
    <t>BQL rừng phòng hộ Hướng Hóa - Đakrông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</si>
</sst>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color indexed="8"/>
      <name val="Times New Roman"/>
      <family val="1"/>
    </font>
    <font>
      <sz val="11"/>
      <name val="Times New Roman"/>
      <family val="1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4"/>
      <color rgb="FF000000"/>
      <name val="Times New Roman"/>
      <family val="1"/>
    </font>
    <font>
      <sz val="14"/>
      <name val="Times New Roman"/>
      <family val="1"/>
    </font>
    <font>
      <b/>
      <sz val="11"/>
      <color rgb="FF000000"/>
      <name val="Times New Roman"/>
      <family val="1"/>
    </font>
    <font>
      <b/>
      <sz val="12"/>
      <color theme="1"/>
      <name val="Times New Roman"/>
      <family val="1"/>
    </font>
    <font>
      <i/>
      <sz val="11"/>
      <color rgb="FF000000"/>
      <name val="Times New Roman"/>
      <family val="1"/>
    </font>
    <font>
      <sz val="11"/>
      <color rgb="FF000000"/>
      <name val="Times New Roman"/>
      <family val="1"/>
    </font>
    <font>
      <b/>
      <i/>
      <sz val="11"/>
      <color rgb="FF000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1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5" fillId="0" borderId="0"/>
    <xf numFmtId="0" fontId="14" fillId="0" borderId="0"/>
    <xf numFmtId="0" fontId="16" fillId="0" borderId="0"/>
  </cellStyleXfs>
  <cellXfs count="65">
    <xf numFmtId="0" fontId="0" fillId="0" borderId="0" xfId="0"/>
    <xf numFmtId="0" fontId="2" fillId="0" borderId="0" xfId="0" applyFont="1"/>
    <xf numFmtId="0" fontId="9" fillId="2" borderId="0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/>
    </xf>
    <xf numFmtId="1" fontId="6" fillId="0" borderId="0" xfId="0" applyNumberFormat="1" applyFont="1"/>
    <xf numFmtId="2" fontId="4" fillId="0" borderId="0" xfId="0" applyNumberFormat="1" applyFont="1" applyAlignment="1">
      <alignment horizontal="center"/>
    </xf>
    <xf numFmtId="1" fontId="5" fillId="0" borderId="0" xfId="0" applyNumberFormat="1" applyFont="1"/>
    <xf numFmtId="0" fontId="5" fillId="0" borderId="0" xfId="0" applyFont="1"/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/>
    <xf numFmtId="164" fontId="11" fillId="0" borderId="0" xfId="0" applyNumberFormat="1" applyFont="1" applyAlignment="1">
      <alignment horizontal="center"/>
    </xf>
    <xf numFmtId="1" fontId="12" fillId="0" borderId="0" xfId="0" applyNumberFormat="1" applyFont="1"/>
    <xf numFmtId="0" fontId="11" fillId="0" borderId="0" xfId="0" applyFont="1"/>
    <xf numFmtId="2" fontId="12" fillId="0" borderId="0" xfId="0" applyNumberFormat="1" applyFont="1" applyAlignment="1">
      <alignment horizontal="center"/>
    </xf>
    <xf numFmtId="0" fontId="9" fillId="0" borderId="0" xfId="0" applyFont="1" applyAlignment="1">
      <alignment wrapText="1"/>
    </xf>
    <xf numFmtId="0" fontId="9" fillId="0" borderId="0" xfId="0" applyFont="1" applyAlignment="1">
      <alignment horizontal="center" vertical="center"/>
    </xf>
    <xf numFmtId="1" fontId="13" fillId="0" borderId="0" xfId="0" applyNumberFormat="1" applyFont="1"/>
    <xf numFmtId="1" fontId="6" fillId="0" borderId="0" xfId="0" applyNumberFormat="1" applyFont="1" applyAlignment="1">
      <alignment horizontal="center"/>
    </xf>
    <xf numFmtId="1" fontId="6" fillId="0" borderId="1" xfId="0" applyNumberFormat="1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 wrapText="1"/>
    </xf>
    <xf numFmtId="1" fontId="11" fillId="0" borderId="1" xfId="0" applyNumberFormat="1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164" fontId="9" fillId="0" borderId="0" xfId="0" applyNumberFormat="1" applyFont="1"/>
    <xf numFmtId="1" fontId="6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0" fillId="0" borderId="4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2" fillId="0" borderId="0" xfId="0" applyFont="1" applyFill="1"/>
    <xf numFmtId="1" fontId="4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" fontId="6" fillId="0" borderId="0" xfId="0" applyNumberFormat="1" applyFont="1" applyFill="1" applyAlignment="1">
      <alignment horizontal="center" vertical="center"/>
    </xf>
    <xf numFmtId="2" fontId="4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vertical="center" wrapText="1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1" fontId="5" fillId="0" borderId="0" xfId="0" applyNumberFormat="1" applyFont="1" applyFill="1" applyAlignment="1">
      <alignment horizontal="center"/>
    </xf>
    <xf numFmtId="1" fontId="6" fillId="0" borderId="0" xfId="0" applyNumberFormat="1" applyFont="1" applyFill="1" applyAlignment="1">
      <alignment horizontal="center"/>
    </xf>
    <xf numFmtId="1" fontId="6" fillId="0" borderId="0" xfId="0" applyNumberFormat="1" applyFont="1" applyFill="1"/>
    <xf numFmtId="2" fontId="4" fillId="0" borderId="0" xfId="0" applyNumberFormat="1" applyFont="1" applyFill="1" applyAlignment="1">
      <alignment horizontal="center"/>
    </xf>
  </cellXfs>
  <cellStyles count="4">
    <cellStyle name="Normal" xfId="0" builtinId="0"/>
    <cellStyle name="Normal 10" xfId="2"/>
    <cellStyle name="Normal 2" xfId="1"/>
    <cellStyle name="Norma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INH-PC\Google%20Driver\ggg\1%20Ho%20so%202014\Hoso201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Google%20Driver%20CV\DA%20CAPGCN\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N_HOP"/>
      <sheetName val="Hoa Thanh (2)"/>
      <sheetName val="Luong Le (2)"/>
      <sheetName val="Quyet Tam (2)"/>
      <sheetName val="Tan Xuyen (2)"/>
      <sheetName val="Hoa Thanh"/>
      <sheetName val="Luong Le"/>
      <sheetName val="Tan Xuyen"/>
      <sheetName val="Quyet Tam"/>
      <sheetName val="SOCGCNTH"/>
      <sheetName val="Tong"/>
      <sheetName val="BANGDIENTICH"/>
      <sheetName val="PROFILE"/>
      <sheetName val="TANHOP - TC"/>
      <sheetName val="TANHOP - CN"/>
      <sheetName val="DAUGIA"/>
      <sheetName val="TIENTHUE"/>
      <sheetName val="TANHOP - HTH"/>
      <sheetName val="BAOCAOTONGHOP"/>
      <sheetName val="CAPLAI"/>
      <sheetName val="SOMUCKETH"/>
      <sheetName val="MAPTH"/>
      <sheetName val="SOMUCKE97"/>
      <sheetName val="SOTHEOGIOI"/>
      <sheetName val="BCCT"/>
      <sheetName val="TT_QĐ_PCTT"/>
      <sheetName val="STGBDTH"/>
      <sheetName val="STGBDTHUAN"/>
      <sheetName val="STGBDHL"/>
      <sheetName val="SOMUCKETHUAN"/>
      <sheetName val="Ghichu"/>
      <sheetName val="Sheet1"/>
      <sheetName val="Sheet2"/>
      <sheetName val="DALN_TANHOP"/>
      <sheetName val="DANLNUPLY2_THUAN"/>
      <sheetName val="DSVINACAFE"/>
      <sheetName val="TU_2014"/>
      <sheetName val="00000000"/>
      <sheetName val="100000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1">
          <cell r="A1">
            <v>24</v>
          </cell>
          <cell r="J1" t="str">
            <v>1/1000</v>
          </cell>
        </row>
        <row r="2">
          <cell r="B2">
            <v>0</v>
          </cell>
          <cell r="C2">
            <v>0</v>
          </cell>
          <cell r="D2">
            <v>0</v>
          </cell>
          <cell r="E2">
            <v>0</v>
          </cell>
        </row>
        <row r="3">
          <cell r="C3" t="str">
            <v>Nguyễn Xuân Tửu và bà Nguyễn Thị Gái</v>
          </cell>
          <cell r="J3" t="str">
            <v>164</v>
          </cell>
          <cell r="K3" t="str">
            <v>453</v>
          </cell>
        </row>
        <row r="4">
          <cell r="J4" t="str">
            <v>12</v>
          </cell>
          <cell r="K4" t="str">
            <v>12</v>
          </cell>
        </row>
        <row r="5">
          <cell r="C5" t="str">
            <v>Tân Xuyên</v>
          </cell>
          <cell r="J5" t="str">
            <v>BX 812835</v>
          </cell>
          <cell r="K5" t="str">
            <v>BI 204626</v>
          </cell>
        </row>
        <row r="6">
          <cell r="J6">
            <v>0</v>
          </cell>
          <cell r="K6" t="str">
            <v>880</v>
          </cell>
          <cell r="L6">
            <v>880</v>
          </cell>
        </row>
        <row r="7">
          <cell r="C7" t="str">
            <v>190270775/190270768</v>
          </cell>
        </row>
        <row r="9">
          <cell r="G9">
            <v>0</v>
          </cell>
          <cell r="J9" t="str">
            <v>64A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  <pageSetUpPr fitToPage="1"/>
  </sheetPr>
  <dimension ref="A1:R180"/>
  <sheetViews>
    <sheetView tabSelected="1" view="pageBreakPreview" topLeftCell="A74" zoomScaleNormal="100" zoomScaleSheetLayoutView="100" workbookViewId="0">
      <selection activeCell="E79" sqref="A3:M174"/>
    </sheetView>
  </sheetViews>
  <sheetFormatPr defaultRowHeight="15" x14ac:dyDescent="0.25"/>
  <cols>
    <col min="1" max="1" width="9.140625" style="28"/>
    <col min="2" max="2" width="26.140625" style="30" customWidth="1"/>
    <col min="3" max="3" width="11" style="28" customWidth="1"/>
    <col min="4" max="4" width="9.140625" style="28"/>
    <col min="5" max="5" width="11.7109375" style="28" customWidth="1"/>
    <col min="6" max="6" width="12.85546875" style="28" customWidth="1"/>
    <col min="7" max="7" width="13.28515625" style="28" customWidth="1"/>
    <col min="8" max="9" width="11.5703125" style="28" customWidth="1"/>
    <col min="10" max="10" width="10.140625" style="28" customWidth="1"/>
    <col min="11" max="11" width="11.7109375" style="28" bestFit="1" customWidth="1"/>
    <col min="12" max="12" width="23.7109375" style="28" customWidth="1"/>
    <col min="13" max="16384" width="9.140625" style="1"/>
  </cols>
  <sheetData>
    <row r="1" spans="1:13" ht="72.75" customHeight="1" x14ac:dyDescent="0.25">
      <c r="A1" s="35" t="s">
        <v>91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2"/>
    </row>
    <row r="2" spans="1:13" ht="7.5" customHeight="1" thickBot="1" x14ac:dyDescent="0.3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2"/>
    </row>
    <row r="3" spans="1:13" ht="23.25" customHeight="1" thickTop="1" x14ac:dyDescent="0.25">
      <c r="A3" s="39" t="s">
        <v>0</v>
      </c>
      <c r="B3" s="41" t="s">
        <v>1</v>
      </c>
      <c r="C3" s="41" t="s">
        <v>2</v>
      </c>
      <c r="D3" s="41" t="s">
        <v>3</v>
      </c>
      <c r="E3" s="41" t="s">
        <v>4</v>
      </c>
      <c r="F3" s="41" t="s">
        <v>21</v>
      </c>
      <c r="G3" s="41" t="s">
        <v>22</v>
      </c>
      <c r="H3" s="41" t="s">
        <v>86</v>
      </c>
      <c r="I3" s="41"/>
      <c r="J3" s="41"/>
      <c r="K3" s="41" t="s">
        <v>87</v>
      </c>
      <c r="L3" s="43" t="s">
        <v>70</v>
      </c>
      <c r="M3" s="45"/>
    </row>
    <row r="4" spans="1:13" ht="15" customHeight="1" x14ac:dyDescent="0.25">
      <c r="A4" s="40"/>
      <c r="B4" s="42"/>
      <c r="C4" s="42"/>
      <c r="D4" s="42"/>
      <c r="E4" s="42"/>
      <c r="F4" s="42"/>
      <c r="G4" s="42"/>
      <c r="H4" s="42"/>
      <c r="I4" s="42"/>
      <c r="J4" s="42"/>
      <c r="K4" s="42"/>
      <c r="L4" s="44"/>
      <c r="M4" s="45"/>
    </row>
    <row r="5" spans="1:13" ht="33.75" customHeight="1" x14ac:dyDescent="0.25">
      <c r="A5" s="40"/>
      <c r="B5" s="42"/>
      <c r="C5" s="42"/>
      <c r="D5" s="42"/>
      <c r="E5" s="42"/>
      <c r="F5" s="42"/>
      <c r="G5" s="42"/>
      <c r="H5" s="20" t="s">
        <v>23</v>
      </c>
      <c r="I5" s="20" t="s">
        <v>24</v>
      </c>
      <c r="J5" s="20" t="s">
        <v>25</v>
      </c>
      <c r="K5" s="42"/>
      <c r="L5" s="44"/>
      <c r="M5" s="45"/>
    </row>
    <row r="6" spans="1:13" ht="45" customHeight="1" x14ac:dyDescent="0.25">
      <c r="A6" s="21">
        <v>1</v>
      </c>
      <c r="B6" s="29" t="s">
        <v>19</v>
      </c>
      <c r="C6" s="23">
        <v>13</v>
      </c>
      <c r="D6" s="23">
        <v>982</v>
      </c>
      <c r="E6" s="23" t="s">
        <v>20</v>
      </c>
      <c r="F6" s="23">
        <v>7608</v>
      </c>
      <c r="G6" s="22" t="s">
        <v>69</v>
      </c>
      <c r="H6" s="22">
        <v>512</v>
      </c>
      <c r="I6" s="23"/>
      <c r="J6" s="23"/>
      <c r="K6" s="23">
        <f t="shared" ref="K6:K77" si="0">F6-H6</f>
        <v>7096</v>
      </c>
      <c r="L6" s="27"/>
      <c r="M6" s="45" t="str">
        <f>IF(E6="ONT+CLN","CLN",IF(E6="ODT+CLN","CLN",E6))</f>
        <v>SON</v>
      </c>
    </row>
    <row r="7" spans="1:13" ht="45" customHeight="1" x14ac:dyDescent="0.25">
      <c r="A7" s="21">
        <v>2</v>
      </c>
      <c r="B7" s="29" t="s">
        <v>19</v>
      </c>
      <c r="C7" s="23">
        <v>13</v>
      </c>
      <c r="D7" s="23">
        <v>951</v>
      </c>
      <c r="E7" s="23" t="s">
        <v>7</v>
      </c>
      <c r="F7" s="23">
        <v>2166</v>
      </c>
      <c r="G7" s="22" t="s">
        <v>69</v>
      </c>
      <c r="H7" s="22">
        <v>334</v>
      </c>
      <c r="I7" s="23"/>
      <c r="J7" s="23"/>
      <c r="K7" s="23">
        <f t="shared" si="0"/>
        <v>1832</v>
      </c>
      <c r="L7" s="27"/>
      <c r="M7" s="45" t="str">
        <f t="shared" ref="M7:M78" si="1">IF(E7="ONT+CLN","CLN",IF(E7="ODT+CLN","CLN",E7))</f>
        <v>DGT</v>
      </c>
    </row>
    <row r="8" spans="1:13" ht="45" customHeight="1" x14ac:dyDescent="0.25">
      <c r="A8" s="21">
        <v>3</v>
      </c>
      <c r="B8" s="29" t="s">
        <v>5</v>
      </c>
      <c r="C8" s="23">
        <v>13</v>
      </c>
      <c r="D8" s="23">
        <v>64</v>
      </c>
      <c r="E8" s="23" t="s">
        <v>6</v>
      </c>
      <c r="F8" s="23">
        <v>3180</v>
      </c>
      <c r="G8" s="22" t="s">
        <v>53</v>
      </c>
      <c r="H8" s="22">
        <v>291</v>
      </c>
      <c r="I8" s="23"/>
      <c r="J8" s="23"/>
      <c r="K8" s="23">
        <f t="shared" si="0"/>
        <v>2889</v>
      </c>
      <c r="L8" s="27"/>
      <c r="M8" s="45" t="str">
        <f t="shared" si="1"/>
        <v>CLN</v>
      </c>
    </row>
    <row r="9" spans="1:13" ht="45" customHeight="1" x14ac:dyDescent="0.25">
      <c r="A9" s="21">
        <v>4</v>
      </c>
      <c r="B9" s="29" t="s">
        <v>8</v>
      </c>
      <c r="C9" s="23">
        <v>13</v>
      </c>
      <c r="D9" s="23">
        <v>65</v>
      </c>
      <c r="E9" s="23" t="s">
        <v>88</v>
      </c>
      <c r="F9" s="23">
        <v>3857</v>
      </c>
      <c r="G9" s="22" t="s">
        <v>36</v>
      </c>
      <c r="H9" s="22">
        <v>1050</v>
      </c>
      <c r="I9" s="23"/>
      <c r="J9" s="23"/>
      <c r="K9" s="23">
        <f t="shared" si="0"/>
        <v>2807</v>
      </c>
      <c r="L9" s="27"/>
      <c r="M9" s="45" t="str">
        <f t="shared" si="1"/>
        <v>LNK</v>
      </c>
    </row>
    <row r="10" spans="1:13" ht="45" customHeight="1" x14ac:dyDescent="0.25">
      <c r="A10" s="21">
        <v>5</v>
      </c>
      <c r="B10" s="29" t="s">
        <v>59</v>
      </c>
      <c r="C10" s="23">
        <v>10</v>
      </c>
      <c r="D10" s="23">
        <v>222</v>
      </c>
      <c r="E10" s="23" t="s">
        <v>68</v>
      </c>
      <c r="F10" s="23">
        <v>17278</v>
      </c>
      <c r="G10" s="22" t="s">
        <v>69</v>
      </c>
      <c r="H10" s="22">
        <v>13</v>
      </c>
      <c r="I10" s="23"/>
      <c r="J10" s="23"/>
      <c r="K10" s="23">
        <f t="shared" si="0"/>
        <v>17265</v>
      </c>
      <c r="L10" s="27"/>
      <c r="M10" s="45" t="str">
        <f t="shared" si="1"/>
        <v>ONT</v>
      </c>
    </row>
    <row r="11" spans="1:13" ht="45" customHeight="1" x14ac:dyDescent="0.25">
      <c r="A11" s="21">
        <v>6</v>
      </c>
      <c r="B11" s="29" t="s">
        <v>59</v>
      </c>
      <c r="C11" s="23">
        <v>10</v>
      </c>
      <c r="D11" s="23">
        <v>222</v>
      </c>
      <c r="E11" s="23" t="s">
        <v>68</v>
      </c>
      <c r="F11" s="23">
        <v>17278</v>
      </c>
      <c r="G11" s="22" t="s">
        <v>69</v>
      </c>
      <c r="H11" s="22">
        <v>52</v>
      </c>
      <c r="I11" s="23"/>
      <c r="J11" s="23"/>
      <c r="K11" s="23">
        <f t="shared" si="0"/>
        <v>17226</v>
      </c>
      <c r="L11" s="27"/>
      <c r="M11" s="45" t="str">
        <f t="shared" si="1"/>
        <v>ONT</v>
      </c>
    </row>
    <row r="12" spans="1:13" ht="45" customHeight="1" x14ac:dyDescent="0.25">
      <c r="A12" s="21" t="s">
        <v>124</v>
      </c>
      <c r="B12" s="29" t="s">
        <v>122</v>
      </c>
      <c r="C12" s="23">
        <v>13</v>
      </c>
      <c r="D12" s="23" t="s">
        <v>123</v>
      </c>
      <c r="E12" s="23" t="s">
        <v>17</v>
      </c>
      <c r="F12" s="23">
        <v>1705</v>
      </c>
      <c r="G12" s="22" t="s">
        <v>69</v>
      </c>
      <c r="H12" s="22">
        <v>739</v>
      </c>
      <c r="I12" s="23"/>
      <c r="J12" s="23"/>
      <c r="K12" s="23">
        <f t="shared" si="0"/>
        <v>966</v>
      </c>
      <c r="L12" s="27"/>
      <c r="M12" s="45" t="str">
        <f t="shared" si="1"/>
        <v>DCS</v>
      </c>
    </row>
    <row r="13" spans="1:13" ht="45" customHeight="1" x14ac:dyDescent="0.25">
      <c r="A13" s="21" t="s">
        <v>125</v>
      </c>
      <c r="B13" s="29" t="s">
        <v>92</v>
      </c>
      <c r="C13" s="23">
        <v>13</v>
      </c>
      <c r="D13" s="23" t="s">
        <v>126</v>
      </c>
      <c r="E13" s="23" t="s">
        <v>6</v>
      </c>
      <c r="F13" s="23">
        <v>2552</v>
      </c>
      <c r="G13" s="22" t="s">
        <v>69</v>
      </c>
      <c r="H13" s="22">
        <v>245</v>
      </c>
      <c r="I13" s="23"/>
      <c r="J13" s="23"/>
      <c r="K13" s="23">
        <f t="shared" ref="K13" si="2">F13-H13</f>
        <v>2307</v>
      </c>
      <c r="L13" s="27"/>
      <c r="M13" s="45"/>
    </row>
    <row r="14" spans="1:13" ht="45" customHeight="1" x14ac:dyDescent="0.25">
      <c r="A14" s="21" t="s">
        <v>118</v>
      </c>
      <c r="B14" s="29" t="s">
        <v>95</v>
      </c>
      <c r="C14" s="23">
        <v>13</v>
      </c>
      <c r="D14" s="23" t="s">
        <v>120</v>
      </c>
      <c r="E14" s="23" t="s">
        <v>72</v>
      </c>
      <c r="F14" s="23">
        <v>67</v>
      </c>
      <c r="G14" s="22" t="s">
        <v>69</v>
      </c>
      <c r="H14" s="22">
        <v>50</v>
      </c>
      <c r="I14" s="23"/>
      <c r="J14" s="23"/>
      <c r="K14" s="23">
        <f t="shared" si="0"/>
        <v>17</v>
      </c>
      <c r="L14" s="27"/>
      <c r="M14" s="45" t="str">
        <f t="shared" si="1"/>
        <v>BHK</v>
      </c>
    </row>
    <row r="15" spans="1:13" ht="45" customHeight="1" x14ac:dyDescent="0.25">
      <c r="A15" s="21" t="s">
        <v>117</v>
      </c>
      <c r="B15" s="29" t="s">
        <v>119</v>
      </c>
      <c r="C15" s="23">
        <v>13</v>
      </c>
      <c r="D15" s="23" t="s">
        <v>121</v>
      </c>
      <c r="E15" s="23" t="s">
        <v>72</v>
      </c>
      <c r="F15" s="23">
        <v>391</v>
      </c>
      <c r="G15" s="22" t="s">
        <v>69</v>
      </c>
      <c r="H15" s="22">
        <v>36</v>
      </c>
      <c r="I15" s="23"/>
      <c r="J15" s="23"/>
      <c r="K15" s="23">
        <f t="shared" ref="K15:K16" si="3">F15-H15</f>
        <v>355</v>
      </c>
      <c r="L15" s="27"/>
      <c r="M15" s="45"/>
    </row>
    <row r="16" spans="1:13" ht="45" customHeight="1" x14ac:dyDescent="0.25">
      <c r="A16" s="21" t="s">
        <v>98</v>
      </c>
      <c r="B16" s="29" t="s">
        <v>19</v>
      </c>
      <c r="C16" s="23">
        <v>10</v>
      </c>
      <c r="D16" s="23" t="s">
        <v>99</v>
      </c>
      <c r="E16" s="23" t="s">
        <v>17</v>
      </c>
      <c r="F16" s="23">
        <v>3432</v>
      </c>
      <c r="G16" s="22" t="s">
        <v>69</v>
      </c>
      <c r="H16" s="22">
        <v>0</v>
      </c>
      <c r="I16" s="23"/>
      <c r="J16" s="23"/>
      <c r="K16" s="23">
        <f t="shared" si="3"/>
        <v>3432</v>
      </c>
      <c r="L16" s="27"/>
      <c r="M16" s="45"/>
    </row>
    <row r="17" spans="1:18" ht="45" customHeight="1" x14ac:dyDescent="0.25">
      <c r="A17" s="21" t="s">
        <v>97</v>
      </c>
      <c r="B17" s="29" t="s">
        <v>95</v>
      </c>
      <c r="C17" s="23">
        <v>10</v>
      </c>
      <c r="D17" s="23" t="s">
        <v>100</v>
      </c>
      <c r="E17" s="23" t="s">
        <v>72</v>
      </c>
      <c r="F17" s="23">
        <v>293</v>
      </c>
      <c r="G17" s="22" t="s">
        <v>69</v>
      </c>
      <c r="H17" s="22">
        <v>164</v>
      </c>
      <c r="I17" s="23"/>
      <c r="J17" s="23"/>
      <c r="K17" s="23">
        <f t="shared" ref="K17:K18" si="4">F17-H17</f>
        <v>129</v>
      </c>
      <c r="L17" s="27"/>
      <c r="M17" s="45"/>
    </row>
    <row r="18" spans="1:18" ht="45" customHeight="1" x14ac:dyDescent="0.25">
      <c r="A18" s="21" t="s">
        <v>114</v>
      </c>
      <c r="B18" s="29" t="s">
        <v>96</v>
      </c>
      <c r="C18" s="23">
        <v>10</v>
      </c>
      <c r="D18" s="23" t="s">
        <v>115</v>
      </c>
      <c r="E18" s="23" t="s">
        <v>72</v>
      </c>
      <c r="F18" s="23">
        <v>131</v>
      </c>
      <c r="G18" s="22" t="s">
        <v>69</v>
      </c>
      <c r="H18" s="22">
        <v>131</v>
      </c>
      <c r="I18" s="23"/>
      <c r="J18" s="23"/>
      <c r="K18" s="23">
        <f t="shared" si="4"/>
        <v>0</v>
      </c>
      <c r="L18" s="27"/>
      <c r="M18" s="45" t="str">
        <f t="shared" ref="M18:M19" si="5">IF(E18="ONT+CLN","CLN",IF(E18="ODT+CLN","CLN",E18))</f>
        <v>BHK</v>
      </c>
    </row>
    <row r="19" spans="1:18" ht="45" customHeight="1" x14ac:dyDescent="0.25">
      <c r="A19" s="21" t="s">
        <v>127</v>
      </c>
      <c r="B19" s="29" t="s">
        <v>95</v>
      </c>
      <c r="C19" s="23">
        <v>10</v>
      </c>
      <c r="D19" s="23" t="s">
        <v>116</v>
      </c>
      <c r="E19" s="23" t="s">
        <v>72</v>
      </c>
      <c r="F19" s="23">
        <v>166</v>
      </c>
      <c r="G19" s="22" t="s">
        <v>69</v>
      </c>
      <c r="H19" s="22">
        <v>160</v>
      </c>
      <c r="I19" s="23"/>
      <c r="J19" s="23"/>
      <c r="K19" s="23">
        <f t="shared" ref="K19" si="6">F19-H19</f>
        <v>6</v>
      </c>
      <c r="L19" s="27"/>
      <c r="M19" s="45" t="str">
        <f t="shared" si="5"/>
        <v>BHK</v>
      </c>
    </row>
    <row r="20" spans="1:18" s="3" customFormat="1" ht="45" customHeight="1" x14ac:dyDescent="0.25">
      <c r="A20" s="21">
        <v>10</v>
      </c>
      <c r="B20" s="29" t="s">
        <v>19</v>
      </c>
      <c r="C20" s="23">
        <v>10</v>
      </c>
      <c r="D20" s="23">
        <v>282</v>
      </c>
      <c r="E20" s="23" t="s">
        <v>17</v>
      </c>
      <c r="F20" s="23">
        <v>4022</v>
      </c>
      <c r="G20" s="22" t="s">
        <v>69</v>
      </c>
      <c r="H20" s="22">
        <v>27</v>
      </c>
      <c r="I20" s="23"/>
      <c r="J20" s="23"/>
      <c r="K20" s="23">
        <f t="shared" si="0"/>
        <v>3995</v>
      </c>
      <c r="L20" s="27"/>
      <c r="M20" s="45" t="str">
        <f t="shared" si="1"/>
        <v>DCS</v>
      </c>
      <c r="N20" s="1"/>
      <c r="O20" s="1"/>
      <c r="P20" s="1"/>
      <c r="Q20" s="1"/>
      <c r="R20" s="1"/>
    </row>
    <row r="21" spans="1:18" ht="45" customHeight="1" x14ac:dyDescent="0.25">
      <c r="A21" s="21">
        <v>11</v>
      </c>
      <c r="B21" s="29" t="s">
        <v>19</v>
      </c>
      <c r="C21" s="23">
        <v>10</v>
      </c>
      <c r="D21" s="23">
        <v>282</v>
      </c>
      <c r="E21" s="23" t="s">
        <v>17</v>
      </c>
      <c r="F21" s="23">
        <v>4022</v>
      </c>
      <c r="G21" s="22" t="s">
        <v>69</v>
      </c>
      <c r="H21" s="22">
        <v>21</v>
      </c>
      <c r="I21" s="23"/>
      <c r="J21" s="23"/>
      <c r="K21" s="23">
        <f t="shared" si="0"/>
        <v>4001</v>
      </c>
      <c r="L21" s="27"/>
      <c r="M21" s="45" t="str">
        <f t="shared" si="1"/>
        <v>DCS</v>
      </c>
    </row>
    <row r="22" spans="1:18" ht="45" customHeight="1" x14ac:dyDescent="0.25">
      <c r="A22" s="21">
        <v>12</v>
      </c>
      <c r="B22" s="29" t="s">
        <v>129</v>
      </c>
      <c r="C22" s="23">
        <v>13</v>
      </c>
      <c r="D22" s="23">
        <v>1</v>
      </c>
      <c r="E22" s="23" t="s">
        <v>16</v>
      </c>
      <c r="F22" s="23">
        <v>586</v>
      </c>
      <c r="G22" s="22" t="s">
        <v>69</v>
      </c>
      <c r="H22" s="22">
        <v>9</v>
      </c>
      <c r="I22" s="23"/>
      <c r="J22" s="23"/>
      <c r="K22" s="23">
        <f t="shared" si="0"/>
        <v>577</v>
      </c>
      <c r="L22" s="27"/>
      <c r="M22" s="45" t="str">
        <f t="shared" si="1"/>
        <v>NHK</v>
      </c>
    </row>
    <row r="23" spans="1:18" ht="45" customHeight="1" x14ac:dyDescent="0.25">
      <c r="A23" s="21">
        <v>13</v>
      </c>
      <c r="B23" s="29" t="s">
        <v>19</v>
      </c>
      <c r="C23" s="23">
        <v>13</v>
      </c>
      <c r="D23" s="23">
        <v>981</v>
      </c>
      <c r="E23" s="23" t="s">
        <v>20</v>
      </c>
      <c r="F23" s="23">
        <v>826</v>
      </c>
      <c r="G23" s="22" t="s">
        <v>69</v>
      </c>
      <c r="H23" s="22">
        <v>545</v>
      </c>
      <c r="I23" s="23"/>
      <c r="J23" s="23"/>
      <c r="K23" s="23">
        <f t="shared" si="0"/>
        <v>281</v>
      </c>
      <c r="L23" s="27"/>
      <c r="M23" s="45" t="str">
        <f t="shared" si="1"/>
        <v>SON</v>
      </c>
    </row>
    <row r="24" spans="1:18" ht="45" customHeight="1" x14ac:dyDescent="0.25">
      <c r="A24" s="21">
        <v>14</v>
      </c>
      <c r="B24" s="29" t="s">
        <v>96</v>
      </c>
      <c r="C24" s="23">
        <v>13</v>
      </c>
      <c r="D24" s="23">
        <v>39</v>
      </c>
      <c r="E24" s="23" t="s">
        <v>6</v>
      </c>
      <c r="F24" s="23">
        <v>1005</v>
      </c>
      <c r="G24" s="22" t="s">
        <v>69</v>
      </c>
      <c r="H24" s="22">
        <v>385</v>
      </c>
      <c r="I24" s="23"/>
      <c r="J24" s="23"/>
      <c r="K24" s="23">
        <f t="shared" si="0"/>
        <v>620</v>
      </c>
      <c r="L24" s="27"/>
      <c r="M24" s="45" t="str">
        <f t="shared" si="1"/>
        <v>CLN</v>
      </c>
    </row>
    <row r="25" spans="1:18" ht="45" customHeight="1" x14ac:dyDescent="0.25">
      <c r="A25" s="21">
        <v>15</v>
      </c>
      <c r="B25" s="29" t="s">
        <v>8</v>
      </c>
      <c r="C25" s="23">
        <v>10</v>
      </c>
      <c r="D25" s="23">
        <v>356</v>
      </c>
      <c r="E25" s="23" t="s">
        <v>15</v>
      </c>
      <c r="F25" s="23">
        <v>199</v>
      </c>
      <c r="G25" s="22" t="s">
        <v>37</v>
      </c>
      <c r="H25" s="22">
        <v>14</v>
      </c>
      <c r="I25" s="23"/>
      <c r="J25" s="23"/>
      <c r="K25" s="23">
        <f t="shared" si="0"/>
        <v>185</v>
      </c>
      <c r="L25" s="27"/>
      <c r="M25" s="45" t="str">
        <f t="shared" si="1"/>
        <v>LUC</v>
      </c>
    </row>
    <row r="26" spans="1:18" ht="45" customHeight="1" x14ac:dyDescent="0.25">
      <c r="A26" s="21">
        <v>16</v>
      </c>
      <c r="B26" s="29" t="s">
        <v>9</v>
      </c>
      <c r="C26" s="23">
        <v>10</v>
      </c>
      <c r="D26" s="23">
        <v>355</v>
      </c>
      <c r="E26" s="23" t="s">
        <v>15</v>
      </c>
      <c r="F26" s="23">
        <v>235</v>
      </c>
      <c r="G26" s="22" t="s">
        <v>35</v>
      </c>
      <c r="H26" s="22">
        <v>186</v>
      </c>
      <c r="I26" s="23"/>
      <c r="J26" s="23"/>
      <c r="K26" s="23">
        <f t="shared" si="0"/>
        <v>49</v>
      </c>
      <c r="L26" s="27"/>
      <c r="M26" s="45" t="str">
        <f t="shared" si="1"/>
        <v>LUC</v>
      </c>
    </row>
    <row r="27" spans="1:18" s="3" customFormat="1" ht="45" customHeight="1" x14ac:dyDescent="0.25">
      <c r="A27" s="21">
        <v>17</v>
      </c>
      <c r="B27" s="29" t="s">
        <v>8</v>
      </c>
      <c r="C27" s="23">
        <v>10</v>
      </c>
      <c r="D27" s="23">
        <v>306</v>
      </c>
      <c r="E27" s="23" t="s">
        <v>15</v>
      </c>
      <c r="F27" s="23">
        <v>1149</v>
      </c>
      <c r="G27" s="22" t="s">
        <v>37</v>
      </c>
      <c r="H27" s="22">
        <v>426</v>
      </c>
      <c r="I27" s="23"/>
      <c r="J27" s="23"/>
      <c r="K27" s="23">
        <f t="shared" si="0"/>
        <v>723</v>
      </c>
      <c r="L27" s="27"/>
      <c r="M27" s="45" t="str">
        <f t="shared" si="1"/>
        <v>LUC</v>
      </c>
      <c r="N27" s="1"/>
      <c r="O27" s="1"/>
      <c r="P27" s="1"/>
      <c r="Q27" s="1"/>
      <c r="R27" s="1"/>
    </row>
    <row r="28" spans="1:18" ht="45" customHeight="1" x14ac:dyDescent="0.25">
      <c r="A28" s="21">
        <v>18</v>
      </c>
      <c r="B28" s="29" t="s">
        <v>9</v>
      </c>
      <c r="C28" s="23">
        <v>10</v>
      </c>
      <c r="D28" s="23">
        <v>331</v>
      </c>
      <c r="E28" s="23" t="s">
        <v>15</v>
      </c>
      <c r="F28" s="23">
        <v>346</v>
      </c>
      <c r="G28" s="22" t="s">
        <v>35</v>
      </c>
      <c r="H28" s="22">
        <v>189</v>
      </c>
      <c r="I28" s="23"/>
      <c r="J28" s="23"/>
      <c r="K28" s="23">
        <f t="shared" si="0"/>
        <v>157</v>
      </c>
      <c r="L28" s="27"/>
      <c r="M28" s="45" t="str">
        <f t="shared" si="1"/>
        <v>LUC</v>
      </c>
    </row>
    <row r="29" spans="1:18" ht="45" customHeight="1" x14ac:dyDescent="0.25">
      <c r="A29" s="21">
        <v>19</v>
      </c>
      <c r="B29" s="29" t="s">
        <v>8</v>
      </c>
      <c r="C29" s="23">
        <v>10</v>
      </c>
      <c r="D29" s="23">
        <v>330</v>
      </c>
      <c r="E29" s="23" t="s">
        <v>15</v>
      </c>
      <c r="F29" s="23">
        <v>266</v>
      </c>
      <c r="G29" s="22" t="s">
        <v>37</v>
      </c>
      <c r="H29" s="22">
        <v>175</v>
      </c>
      <c r="I29" s="23"/>
      <c r="J29" s="23"/>
      <c r="K29" s="23">
        <f t="shared" si="0"/>
        <v>91</v>
      </c>
      <c r="L29" s="27"/>
      <c r="M29" s="45" t="str">
        <f t="shared" si="1"/>
        <v>LUC</v>
      </c>
    </row>
    <row r="30" spans="1:18" ht="45" customHeight="1" x14ac:dyDescent="0.25">
      <c r="A30" s="21">
        <v>20</v>
      </c>
      <c r="B30" s="29" t="s">
        <v>19</v>
      </c>
      <c r="C30" s="23">
        <v>10</v>
      </c>
      <c r="D30" s="23">
        <v>820</v>
      </c>
      <c r="E30" s="23" t="s">
        <v>20</v>
      </c>
      <c r="F30" s="23">
        <v>6997</v>
      </c>
      <c r="G30" s="22" t="s">
        <v>69</v>
      </c>
      <c r="H30" s="22">
        <v>374</v>
      </c>
      <c r="I30" s="23"/>
      <c r="J30" s="23"/>
      <c r="K30" s="23">
        <f t="shared" si="0"/>
        <v>6623</v>
      </c>
      <c r="L30" s="27"/>
      <c r="M30" s="45" t="str">
        <f t="shared" si="1"/>
        <v>SON</v>
      </c>
    </row>
    <row r="31" spans="1:18" ht="45" customHeight="1" x14ac:dyDescent="0.25">
      <c r="A31" s="21">
        <v>21</v>
      </c>
      <c r="B31" s="29" t="s">
        <v>19</v>
      </c>
      <c r="C31" s="23">
        <v>10</v>
      </c>
      <c r="D31" s="23">
        <v>820</v>
      </c>
      <c r="E31" s="23" t="s">
        <v>20</v>
      </c>
      <c r="F31" s="23">
        <v>6997</v>
      </c>
      <c r="G31" s="22" t="s">
        <v>69</v>
      </c>
      <c r="H31" s="22">
        <v>801</v>
      </c>
      <c r="I31" s="23"/>
      <c r="J31" s="23"/>
      <c r="K31" s="23">
        <f t="shared" si="0"/>
        <v>6196</v>
      </c>
      <c r="L31" s="27"/>
      <c r="M31" s="45" t="str">
        <f t="shared" si="1"/>
        <v>SON</v>
      </c>
    </row>
    <row r="32" spans="1:18" ht="45" customHeight="1" x14ac:dyDescent="0.25">
      <c r="A32" s="21">
        <v>22</v>
      </c>
      <c r="B32" s="29" t="s">
        <v>73</v>
      </c>
      <c r="C32" s="23">
        <v>10</v>
      </c>
      <c r="D32" s="23">
        <v>305</v>
      </c>
      <c r="E32" s="23" t="s">
        <v>15</v>
      </c>
      <c r="F32" s="23">
        <v>292</v>
      </c>
      <c r="G32" s="22" t="s">
        <v>69</v>
      </c>
      <c r="H32" s="22">
        <v>232</v>
      </c>
      <c r="I32" s="23"/>
      <c r="J32" s="23"/>
      <c r="K32" s="23">
        <f t="shared" si="0"/>
        <v>60</v>
      </c>
      <c r="L32" s="27"/>
      <c r="M32" s="45" t="str">
        <f t="shared" si="1"/>
        <v>LUC</v>
      </c>
    </row>
    <row r="33" spans="1:18" ht="45" customHeight="1" x14ac:dyDescent="0.25">
      <c r="A33" s="21">
        <v>23</v>
      </c>
      <c r="B33" s="29" t="s">
        <v>73</v>
      </c>
      <c r="C33" s="23">
        <v>10</v>
      </c>
      <c r="D33" s="23">
        <v>300</v>
      </c>
      <c r="E33" s="23" t="s">
        <v>15</v>
      </c>
      <c r="F33" s="23">
        <v>618</v>
      </c>
      <c r="G33" s="22" t="s">
        <v>69</v>
      </c>
      <c r="H33" s="22">
        <v>346</v>
      </c>
      <c r="I33" s="23"/>
      <c r="J33" s="23"/>
      <c r="K33" s="23">
        <f t="shared" si="0"/>
        <v>272</v>
      </c>
      <c r="L33" s="27"/>
      <c r="M33" s="45" t="str">
        <f t="shared" si="1"/>
        <v>LUC</v>
      </c>
    </row>
    <row r="34" spans="1:18" ht="45" customHeight="1" x14ac:dyDescent="0.25">
      <c r="A34" s="21">
        <v>24</v>
      </c>
      <c r="B34" s="29" t="s">
        <v>19</v>
      </c>
      <c r="C34" s="23">
        <v>10</v>
      </c>
      <c r="D34" s="23">
        <v>280</v>
      </c>
      <c r="E34" s="23" t="s">
        <v>17</v>
      </c>
      <c r="F34" s="23">
        <v>4473</v>
      </c>
      <c r="G34" s="22" t="s">
        <v>69</v>
      </c>
      <c r="H34" s="22">
        <v>6</v>
      </c>
      <c r="I34" s="23"/>
      <c r="J34" s="23"/>
      <c r="K34" s="23">
        <f t="shared" si="0"/>
        <v>4467</v>
      </c>
      <c r="L34" s="27"/>
      <c r="M34" s="45" t="str">
        <f t="shared" si="1"/>
        <v>DCS</v>
      </c>
    </row>
    <row r="35" spans="1:18" ht="45" customHeight="1" x14ac:dyDescent="0.25">
      <c r="A35" s="21">
        <v>25</v>
      </c>
      <c r="B35" s="29" t="s">
        <v>18</v>
      </c>
      <c r="C35" s="23">
        <v>10</v>
      </c>
      <c r="D35" s="23">
        <v>276</v>
      </c>
      <c r="E35" s="23" t="s">
        <v>15</v>
      </c>
      <c r="F35" s="23">
        <v>497</v>
      </c>
      <c r="G35" s="22" t="s">
        <v>69</v>
      </c>
      <c r="H35" s="22">
        <v>97</v>
      </c>
      <c r="I35" s="23"/>
      <c r="J35" s="23"/>
      <c r="K35" s="23">
        <f t="shared" si="0"/>
        <v>400</v>
      </c>
      <c r="L35" s="27"/>
      <c r="M35" s="45" t="str">
        <f t="shared" si="1"/>
        <v>LUC</v>
      </c>
    </row>
    <row r="36" spans="1:18" ht="45" customHeight="1" x14ac:dyDescent="0.25">
      <c r="A36" s="21">
        <v>26</v>
      </c>
      <c r="B36" s="29" t="s">
        <v>73</v>
      </c>
      <c r="C36" s="23">
        <v>10</v>
      </c>
      <c r="D36" s="23">
        <v>304</v>
      </c>
      <c r="E36" s="23" t="s">
        <v>15</v>
      </c>
      <c r="F36" s="23">
        <v>311</v>
      </c>
      <c r="G36" s="22" t="s">
        <v>69</v>
      </c>
      <c r="H36" s="22">
        <v>166</v>
      </c>
      <c r="I36" s="23"/>
      <c r="J36" s="23"/>
      <c r="K36" s="23">
        <f t="shared" si="0"/>
        <v>145</v>
      </c>
      <c r="L36" s="27"/>
      <c r="M36" s="45" t="str">
        <f t="shared" si="1"/>
        <v>LUC</v>
      </c>
    </row>
    <row r="37" spans="1:18" ht="45" customHeight="1" x14ac:dyDescent="0.25">
      <c r="A37" s="24">
        <v>27</v>
      </c>
      <c r="B37" s="29" t="s">
        <v>73</v>
      </c>
      <c r="C37" s="23">
        <v>10</v>
      </c>
      <c r="D37" s="23">
        <v>301</v>
      </c>
      <c r="E37" s="23" t="s">
        <v>15</v>
      </c>
      <c r="F37" s="23">
        <v>1069</v>
      </c>
      <c r="G37" s="22" t="s">
        <v>69</v>
      </c>
      <c r="H37" s="22">
        <v>459</v>
      </c>
      <c r="I37" s="23"/>
      <c r="J37" s="25"/>
      <c r="K37" s="23">
        <f t="shared" si="0"/>
        <v>610</v>
      </c>
      <c r="L37" s="27"/>
      <c r="M37" s="45" t="str">
        <f t="shared" si="1"/>
        <v>LUC</v>
      </c>
    </row>
    <row r="38" spans="1:18" ht="45" customHeight="1" x14ac:dyDescent="0.25">
      <c r="A38" s="21">
        <v>28</v>
      </c>
      <c r="B38" s="29" t="s">
        <v>18</v>
      </c>
      <c r="C38" s="23">
        <v>10</v>
      </c>
      <c r="D38" s="23">
        <v>259</v>
      </c>
      <c r="E38" s="23" t="s">
        <v>15</v>
      </c>
      <c r="F38" s="23">
        <v>395</v>
      </c>
      <c r="G38" s="22" t="s">
        <v>69</v>
      </c>
      <c r="H38" s="22">
        <v>28</v>
      </c>
      <c r="I38" s="23"/>
      <c r="J38" s="23"/>
      <c r="K38" s="23">
        <f t="shared" si="0"/>
        <v>367</v>
      </c>
      <c r="L38" s="27"/>
      <c r="M38" s="45" t="str">
        <f t="shared" si="1"/>
        <v>LUC</v>
      </c>
    </row>
    <row r="39" spans="1:18" ht="45" customHeight="1" x14ac:dyDescent="0.25">
      <c r="A39" s="24">
        <v>29</v>
      </c>
      <c r="B39" s="29" t="s">
        <v>18</v>
      </c>
      <c r="C39" s="23">
        <v>10</v>
      </c>
      <c r="D39" s="23">
        <v>258</v>
      </c>
      <c r="E39" s="23" t="s">
        <v>16</v>
      </c>
      <c r="F39" s="23">
        <v>452</v>
      </c>
      <c r="G39" s="22" t="s">
        <v>69</v>
      </c>
      <c r="H39" s="22">
        <v>188</v>
      </c>
      <c r="I39" s="23"/>
      <c r="J39" s="22"/>
      <c r="K39" s="23">
        <f t="shared" si="0"/>
        <v>264</v>
      </c>
      <c r="L39" s="27"/>
      <c r="M39" s="45" t="str">
        <f t="shared" si="1"/>
        <v>NHK</v>
      </c>
      <c r="N39" s="3"/>
      <c r="O39" s="3"/>
      <c r="P39" s="3"/>
      <c r="Q39" s="3"/>
      <c r="R39" s="3"/>
    </row>
    <row r="40" spans="1:18" ht="45" customHeight="1" x14ac:dyDescent="0.25">
      <c r="A40" s="21">
        <v>30</v>
      </c>
      <c r="B40" s="29" t="s">
        <v>18</v>
      </c>
      <c r="C40" s="23">
        <v>10</v>
      </c>
      <c r="D40" s="23">
        <v>258</v>
      </c>
      <c r="E40" s="23" t="s">
        <v>16</v>
      </c>
      <c r="F40" s="23">
        <v>452</v>
      </c>
      <c r="G40" s="22" t="s">
        <v>69</v>
      </c>
      <c r="H40" s="22">
        <v>2</v>
      </c>
      <c r="I40" s="23"/>
      <c r="J40" s="23"/>
      <c r="K40" s="23">
        <f t="shared" si="0"/>
        <v>450</v>
      </c>
      <c r="L40" s="27"/>
      <c r="M40" s="45" t="str">
        <f t="shared" si="1"/>
        <v>NHK</v>
      </c>
    </row>
    <row r="41" spans="1:18" ht="45" customHeight="1" x14ac:dyDescent="0.25">
      <c r="A41" s="21">
        <v>31</v>
      </c>
      <c r="B41" s="29" t="s">
        <v>18</v>
      </c>
      <c r="C41" s="23">
        <v>10</v>
      </c>
      <c r="D41" s="23">
        <v>277</v>
      </c>
      <c r="E41" s="23" t="s">
        <v>16</v>
      </c>
      <c r="F41" s="23">
        <v>650</v>
      </c>
      <c r="G41" s="22" t="s">
        <v>69</v>
      </c>
      <c r="H41" s="22">
        <v>380</v>
      </c>
      <c r="I41" s="23"/>
      <c r="J41" s="23"/>
      <c r="K41" s="23">
        <f t="shared" si="0"/>
        <v>270</v>
      </c>
      <c r="L41" s="27"/>
      <c r="M41" s="45" t="str">
        <f t="shared" si="1"/>
        <v>NHK</v>
      </c>
    </row>
    <row r="42" spans="1:18" ht="45" customHeight="1" x14ac:dyDescent="0.25">
      <c r="A42" s="21">
        <v>32</v>
      </c>
      <c r="B42" s="29" t="s">
        <v>74</v>
      </c>
      <c r="C42" s="23">
        <v>10</v>
      </c>
      <c r="D42" s="23">
        <v>302</v>
      </c>
      <c r="E42" s="23" t="s">
        <v>15</v>
      </c>
      <c r="F42" s="23">
        <v>1901</v>
      </c>
      <c r="G42" s="22" t="s">
        <v>69</v>
      </c>
      <c r="H42" s="22">
        <v>172</v>
      </c>
      <c r="I42" s="23"/>
      <c r="J42" s="23"/>
      <c r="K42" s="23">
        <f t="shared" si="0"/>
        <v>1729</v>
      </c>
      <c r="L42" s="27"/>
      <c r="M42" s="45" t="str">
        <f t="shared" si="1"/>
        <v>LUC</v>
      </c>
    </row>
    <row r="43" spans="1:18" ht="45" customHeight="1" x14ac:dyDescent="0.25">
      <c r="A43" s="21">
        <v>33</v>
      </c>
      <c r="B43" s="29" t="s">
        <v>18</v>
      </c>
      <c r="C43" s="23">
        <v>10</v>
      </c>
      <c r="D43" s="23">
        <v>251</v>
      </c>
      <c r="E43" s="23" t="s">
        <v>15</v>
      </c>
      <c r="F43" s="23">
        <v>111</v>
      </c>
      <c r="G43" s="22" t="s">
        <v>69</v>
      </c>
      <c r="H43" s="22">
        <v>70</v>
      </c>
      <c r="I43" s="23"/>
      <c r="J43" s="23"/>
      <c r="K43" s="23">
        <f t="shared" si="0"/>
        <v>41</v>
      </c>
      <c r="L43" s="27"/>
      <c r="M43" s="45" t="str">
        <f t="shared" si="1"/>
        <v>LUC</v>
      </c>
    </row>
    <row r="44" spans="1:18" ht="45" customHeight="1" x14ac:dyDescent="0.25">
      <c r="A44" s="21">
        <v>34</v>
      </c>
      <c r="B44" s="29" t="s">
        <v>18</v>
      </c>
      <c r="C44" s="23">
        <v>10</v>
      </c>
      <c r="D44" s="23">
        <v>252</v>
      </c>
      <c r="E44" s="23" t="s">
        <v>15</v>
      </c>
      <c r="F44" s="23">
        <v>367</v>
      </c>
      <c r="G44" s="22" t="s">
        <v>69</v>
      </c>
      <c r="H44" s="22">
        <v>354</v>
      </c>
      <c r="I44" s="23"/>
      <c r="J44" s="23"/>
      <c r="K44" s="23">
        <f t="shared" si="0"/>
        <v>13</v>
      </c>
      <c r="L44" s="27"/>
      <c r="M44" s="45" t="str">
        <f t="shared" si="1"/>
        <v>LUC</v>
      </c>
    </row>
    <row r="45" spans="1:18" ht="45" customHeight="1" x14ac:dyDescent="0.25">
      <c r="A45" s="21">
        <v>35</v>
      </c>
      <c r="B45" s="29" t="s">
        <v>18</v>
      </c>
      <c r="C45" s="23">
        <v>10</v>
      </c>
      <c r="D45" s="23">
        <v>225</v>
      </c>
      <c r="E45" s="23" t="s">
        <v>15</v>
      </c>
      <c r="F45" s="23">
        <v>264</v>
      </c>
      <c r="G45" s="22" t="s">
        <v>69</v>
      </c>
      <c r="H45" s="22">
        <v>64</v>
      </c>
      <c r="I45" s="23"/>
      <c r="J45" s="23"/>
      <c r="K45" s="23">
        <f t="shared" si="0"/>
        <v>200</v>
      </c>
      <c r="L45" s="27"/>
      <c r="M45" s="45" t="str">
        <f t="shared" si="1"/>
        <v>LUC</v>
      </c>
    </row>
    <row r="46" spans="1:18" ht="41.25" customHeight="1" x14ac:dyDescent="0.25">
      <c r="A46" s="21">
        <v>36</v>
      </c>
      <c r="B46" s="29" t="s">
        <v>18</v>
      </c>
      <c r="C46" s="23">
        <v>10</v>
      </c>
      <c r="D46" s="23">
        <v>257</v>
      </c>
      <c r="E46" s="23" t="s">
        <v>15</v>
      </c>
      <c r="F46" s="23">
        <v>220</v>
      </c>
      <c r="G46" s="22" t="s">
        <v>69</v>
      </c>
      <c r="H46" s="22">
        <v>34</v>
      </c>
      <c r="I46" s="23"/>
      <c r="J46" s="23"/>
      <c r="K46" s="23">
        <f t="shared" si="0"/>
        <v>186</v>
      </c>
      <c r="L46" s="27"/>
      <c r="M46" s="45" t="str">
        <f t="shared" si="1"/>
        <v>LUC</v>
      </c>
    </row>
    <row r="47" spans="1:18" ht="41.25" customHeight="1" x14ac:dyDescent="0.25">
      <c r="A47" s="21">
        <v>37</v>
      </c>
      <c r="B47" s="29" t="s">
        <v>18</v>
      </c>
      <c r="C47" s="23">
        <v>10</v>
      </c>
      <c r="D47" s="23">
        <v>253</v>
      </c>
      <c r="E47" s="23" t="s">
        <v>15</v>
      </c>
      <c r="F47" s="23">
        <v>147</v>
      </c>
      <c r="G47" s="22" t="s">
        <v>69</v>
      </c>
      <c r="H47" s="22">
        <v>147</v>
      </c>
      <c r="I47" s="23"/>
      <c r="J47" s="23"/>
      <c r="K47" s="23">
        <f t="shared" si="0"/>
        <v>0</v>
      </c>
      <c r="L47" s="27"/>
      <c r="M47" s="45" t="str">
        <f t="shared" si="1"/>
        <v>LUC</v>
      </c>
    </row>
    <row r="48" spans="1:18" ht="41.25" customHeight="1" x14ac:dyDescent="0.25">
      <c r="A48" s="21" t="s">
        <v>110</v>
      </c>
      <c r="B48" s="29" t="s">
        <v>62</v>
      </c>
      <c r="C48" s="23">
        <v>10</v>
      </c>
      <c r="D48" s="23" t="s">
        <v>112</v>
      </c>
      <c r="E48" s="23" t="s">
        <v>6</v>
      </c>
      <c r="F48" s="23">
        <v>1288</v>
      </c>
      <c r="G48" s="22" t="s">
        <v>39</v>
      </c>
      <c r="H48" s="22">
        <v>782</v>
      </c>
      <c r="I48" s="23"/>
      <c r="J48" s="23"/>
      <c r="K48" s="23">
        <f t="shared" si="0"/>
        <v>506</v>
      </c>
      <c r="L48" s="27"/>
      <c r="M48" s="45" t="str">
        <f t="shared" si="1"/>
        <v>CLN</v>
      </c>
    </row>
    <row r="49" spans="1:13" ht="41.25" customHeight="1" x14ac:dyDescent="0.25">
      <c r="A49" s="21" t="s">
        <v>111</v>
      </c>
      <c r="B49" s="29" t="s">
        <v>62</v>
      </c>
      <c r="C49" s="23">
        <v>10</v>
      </c>
      <c r="D49" s="23" t="s">
        <v>113</v>
      </c>
      <c r="E49" s="23" t="s">
        <v>6</v>
      </c>
      <c r="F49" s="23">
        <v>4124</v>
      </c>
      <c r="G49" s="22" t="s">
        <v>39</v>
      </c>
      <c r="H49" s="22">
        <v>1335</v>
      </c>
      <c r="I49" s="23"/>
      <c r="J49" s="23"/>
      <c r="K49" s="23">
        <f t="shared" ref="K49" si="7">F49-H49</f>
        <v>2789</v>
      </c>
      <c r="L49" s="27"/>
      <c r="M49" s="45"/>
    </row>
    <row r="50" spans="1:13" ht="41.25" customHeight="1" x14ac:dyDescent="0.25">
      <c r="A50" s="21">
        <v>39</v>
      </c>
      <c r="B50" s="29" t="s">
        <v>59</v>
      </c>
      <c r="C50" s="23">
        <v>10</v>
      </c>
      <c r="D50" s="23">
        <v>174</v>
      </c>
      <c r="E50" s="23" t="s">
        <v>89</v>
      </c>
      <c r="F50" s="23">
        <v>3150</v>
      </c>
      <c r="G50" s="22" t="s">
        <v>56</v>
      </c>
      <c r="H50" s="22">
        <v>267</v>
      </c>
      <c r="I50" s="23"/>
      <c r="J50" s="23"/>
      <c r="K50" s="23">
        <f t="shared" si="0"/>
        <v>2883</v>
      </c>
      <c r="L50" s="27"/>
      <c r="M50" s="45" t="str">
        <f t="shared" si="1"/>
        <v>LNC</v>
      </c>
    </row>
    <row r="51" spans="1:13" ht="41.25" customHeight="1" x14ac:dyDescent="0.25">
      <c r="A51" s="21">
        <v>40</v>
      </c>
      <c r="B51" s="29" t="s">
        <v>59</v>
      </c>
      <c r="C51" s="23">
        <v>10</v>
      </c>
      <c r="D51" s="23">
        <v>204</v>
      </c>
      <c r="E51" s="23" t="s">
        <v>16</v>
      </c>
      <c r="F51" s="23">
        <v>1418</v>
      </c>
      <c r="G51" s="22" t="s">
        <v>57</v>
      </c>
      <c r="H51" s="22">
        <v>558</v>
      </c>
      <c r="I51" s="23"/>
      <c r="J51" s="23"/>
      <c r="K51" s="23">
        <f t="shared" si="0"/>
        <v>860</v>
      </c>
      <c r="L51" s="27"/>
      <c r="M51" s="45" t="str">
        <f t="shared" si="1"/>
        <v>NHK</v>
      </c>
    </row>
    <row r="52" spans="1:13" ht="41.25" customHeight="1" x14ac:dyDescent="0.25">
      <c r="A52" s="21">
        <v>41</v>
      </c>
      <c r="B52" s="29" t="s">
        <v>62</v>
      </c>
      <c r="C52" s="23">
        <v>10</v>
      </c>
      <c r="D52" s="23">
        <v>149</v>
      </c>
      <c r="E52" s="23" t="s">
        <v>89</v>
      </c>
      <c r="F52" s="23">
        <v>5768</v>
      </c>
      <c r="G52" s="22" t="s">
        <v>39</v>
      </c>
      <c r="H52" s="22">
        <v>382</v>
      </c>
      <c r="I52" s="23"/>
      <c r="J52" s="23"/>
      <c r="K52" s="23">
        <f t="shared" si="0"/>
        <v>5386</v>
      </c>
      <c r="L52" s="27"/>
      <c r="M52" s="45" t="str">
        <f t="shared" si="1"/>
        <v>LNC</v>
      </c>
    </row>
    <row r="53" spans="1:13" ht="41.25" customHeight="1" x14ac:dyDescent="0.25">
      <c r="A53" s="21" t="s">
        <v>101</v>
      </c>
      <c r="B53" s="29" t="s">
        <v>103</v>
      </c>
      <c r="C53" s="23">
        <v>9</v>
      </c>
      <c r="D53" s="23" t="s">
        <v>104</v>
      </c>
      <c r="E53" s="23" t="s">
        <v>88</v>
      </c>
      <c r="F53" s="23">
        <v>206</v>
      </c>
      <c r="G53" s="22" t="s">
        <v>69</v>
      </c>
      <c r="H53" s="22">
        <v>53</v>
      </c>
      <c r="I53" s="23"/>
      <c r="J53" s="23"/>
      <c r="K53" s="23">
        <f t="shared" si="0"/>
        <v>153</v>
      </c>
      <c r="L53" s="27"/>
      <c r="M53" s="45" t="str">
        <f t="shared" si="1"/>
        <v>LNK</v>
      </c>
    </row>
    <row r="54" spans="1:13" ht="41.25" customHeight="1" x14ac:dyDescent="0.25">
      <c r="A54" s="21" t="s">
        <v>102</v>
      </c>
      <c r="B54" s="29" t="s">
        <v>58</v>
      </c>
      <c r="C54" s="23">
        <v>9</v>
      </c>
      <c r="D54" s="23" t="s">
        <v>105</v>
      </c>
      <c r="E54" s="23" t="s">
        <v>88</v>
      </c>
      <c r="F54" s="23">
        <v>703</v>
      </c>
      <c r="G54" s="22" t="s">
        <v>69</v>
      </c>
      <c r="H54" s="22">
        <v>622</v>
      </c>
      <c r="I54" s="23"/>
      <c r="J54" s="23"/>
      <c r="K54" s="23">
        <f t="shared" ref="K54" si="8">F54-H54</f>
        <v>81</v>
      </c>
      <c r="L54" s="27"/>
      <c r="M54" s="45"/>
    </row>
    <row r="55" spans="1:13" ht="41.25" customHeight="1" x14ac:dyDescent="0.25">
      <c r="A55" s="21">
        <v>43</v>
      </c>
      <c r="B55" s="29" t="s">
        <v>64</v>
      </c>
      <c r="C55" s="23">
        <v>9</v>
      </c>
      <c r="D55" s="23">
        <v>720</v>
      </c>
      <c r="E55" s="23" t="s">
        <v>10</v>
      </c>
      <c r="F55" s="23">
        <v>707</v>
      </c>
      <c r="G55" s="22" t="s">
        <v>69</v>
      </c>
      <c r="H55" s="22">
        <v>23</v>
      </c>
      <c r="I55" s="23"/>
      <c r="J55" s="23"/>
      <c r="K55" s="23">
        <f t="shared" si="0"/>
        <v>684</v>
      </c>
      <c r="L55" s="27"/>
      <c r="M55" s="45" t="str">
        <f t="shared" si="1"/>
        <v>LUK</v>
      </c>
    </row>
    <row r="56" spans="1:13" ht="41.25" customHeight="1" x14ac:dyDescent="0.25">
      <c r="A56" s="21">
        <v>44</v>
      </c>
      <c r="B56" s="29" t="s">
        <v>64</v>
      </c>
      <c r="C56" s="23">
        <v>9</v>
      </c>
      <c r="D56" s="23">
        <v>697</v>
      </c>
      <c r="E56" s="23" t="s">
        <v>10</v>
      </c>
      <c r="F56" s="23">
        <v>465</v>
      </c>
      <c r="G56" s="22" t="s">
        <v>69</v>
      </c>
      <c r="H56" s="22">
        <v>88</v>
      </c>
      <c r="I56" s="23"/>
      <c r="J56" s="23"/>
      <c r="K56" s="23">
        <f t="shared" si="0"/>
        <v>377</v>
      </c>
      <c r="L56" s="27"/>
      <c r="M56" s="45" t="str">
        <f t="shared" si="1"/>
        <v>LUK</v>
      </c>
    </row>
    <row r="57" spans="1:13" ht="41.25" customHeight="1" x14ac:dyDescent="0.25">
      <c r="A57" s="21">
        <v>45</v>
      </c>
      <c r="B57" s="29" t="s">
        <v>19</v>
      </c>
      <c r="C57" s="23">
        <v>9</v>
      </c>
      <c r="D57" s="23">
        <v>696</v>
      </c>
      <c r="E57" s="23" t="s">
        <v>10</v>
      </c>
      <c r="F57" s="23">
        <v>310</v>
      </c>
      <c r="G57" s="22" t="s">
        <v>69</v>
      </c>
      <c r="H57" s="22">
        <v>156</v>
      </c>
      <c r="I57" s="23"/>
      <c r="J57" s="23"/>
      <c r="K57" s="23">
        <f t="shared" si="0"/>
        <v>154</v>
      </c>
      <c r="L57" s="27"/>
      <c r="M57" s="45" t="str">
        <f t="shared" si="1"/>
        <v>LUK</v>
      </c>
    </row>
    <row r="58" spans="1:13" ht="41.25" customHeight="1" x14ac:dyDescent="0.25">
      <c r="A58" s="21">
        <v>46</v>
      </c>
      <c r="B58" s="29" t="s">
        <v>64</v>
      </c>
      <c r="C58" s="23">
        <v>9</v>
      </c>
      <c r="D58" s="23">
        <v>695</v>
      </c>
      <c r="E58" s="23" t="s">
        <v>10</v>
      </c>
      <c r="F58" s="23">
        <v>469</v>
      </c>
      <c r="G58" s="22" t="s">
        <v>69</v>
      </c>
      <c r="H58" s="22">
        <v>295</v>
      </c>
      <c r="I58" s="23"/>
      <c r="J58" s="26"/>
      <c r="K58" s="23">
        <f t="shared" si="0"/>
        <v>174</v>
      </c>
      <c r="L58" s="27"/>
      <c r="M58" s="45" t="str">
        <f t="shared" si="1"/>
        <v>LUK</v>
      </c>
    </row>
    <row r="59" spans="1:13" ht="41.25" customHeight="1" x14ac:dyDescent="0.25">
      <c r="A59" s="21" t="s">
        <v>106</v>
      </c>
      <c r="B59" s="29" t="s">
        <v>66</v>
      </c>
      <c r="C59" s="23">
        <v>9</v>
      </c>
      <c r="D59" s="23" t="s">
        <v>108</v>
      </c>
      <c r="E59" s="23" t="s">
        <v>88</v>
      </c>
      <c r="F59" s="23">
        <v>2018</v>
      </c>
      <c r="G59" s="22" t="s">
        <v>69</v>
      </c>
      <c r="H59" s="22">
        <v>731</v>
      </c>
      <c r="I59" s="23"/>
      <c r="J59" s="23"/>
      <c r="K59" s="23">
        <f t="shared" ref="K59:K60" si="9">F59-H59</f>
        <v>1287</v>
      </c>
      <c r="L59" s="27"/>
      <c r="M59" s="45"/>
    </row>
    <row r="60" spans="1:13" ht="41.25" customHeight="1" x14ac:dyDescent="0.25">
      <c r="A60" s="21" t="s">
        <v>107</v>
      </c>
      <c r="B60" s="29" t="s">
        <v>103</v>
      </c>
      <c r="C60" s="23">
        <v>9</v>
      </c>
      <c r="D60" s="23" t="s">
        <v>109</v>
      </c>
      <c r="E60" s="23" t="s">
        <v>88</v>
      </c>
      <c r="F60" s="23">
        <v>1511</v>
      </c>
      <c r="G60" s="22" t="s">
        <v>69</v>
      </c>
      <c r="H60" s="22">
        <v>648</v>
      </c>
      <c r="I60" s="23"/>
      <c r="J60" s="23"/>
      <c r="K60" s="23">
        <f t="shared" si="9"/>
        <v>863</v>
      </c>
      <c r="L60" s="27"/>
      <c r="M60" s="45"/>
    </row>
    <row r="61" spans="1:13" ht="41.25" customHeight="1" x14ac:dyDescent="0.25">
      <c r="A61" s="21">
        <v>48</v>
      </c>
      <c r="B61" s="29" t="s">
        <v>64</v>
      </c>
      <c r="C61" s="23">
        <v>9</v>
      </c>
      <c r="D61" s="23">
        <v>661</v>
      </c>
      <c r="E61" s="23" t="s">
        <v>10</v>
      </c>
      <c r="F61" s="23">
        <v>543</v>
      </c>
      <c r="G61" s="22" t="s">
        <v>69</v>
      </c>
      <c r="H61" s="22">
        <v>459</v>
      </c>
      <c r="I61" s="23"/>
      <c r="J61" s="23"/>
      <c r="K61" s="23">
        <f t="shared" si="0"/>
        <v>84</v>
      </c>
      <c r="L61" s="27"/>
      <c r="M61" s="45" t="str">
        <f t="shared" si="1"/>
        <v>LUK</v>
      </c>
    </row>
    <row r="62" spans="1:13" ht="45" customHeight="1" x14ac:dyDescent="0.25">
      <c r="A62" s="21">
        <v>49</v>
      </c>
      <c r="B62" s="29" t="s">
        <v>64</v>
      </c>
      <c r="C62" s="23">
        <v>9</v>
      </c>
      <c r="D62" s="23">
        <v>660</v>
      </c>
      <c r="E62" s="23" t="s">
        <v>10</v>
      </c>
      <c r="F62" s="23">
        <v>404</v>
      </c>
      <c r="G62" s="22" t="s">
        <v>69</v>
      </c>
      <c r="H62" s="22">
        <v>237</v>
      </c>
      <c r="I62" s="23"/>
      <c r="J62" s="23"/>
      <c r="K62" s="23">
        <f t="shared" si="0"/>
        <v>167</v>
      </c>
      <c r="L62" s="27"/>
      <c r="M62" s="45" t="str">
        <f t="shared" si="1"/>
        <v>LUK</v>
      </c>
    </row>
    <row r="63" spans="1:13" ht="45" customHeight="1" x14ac:dyDescent="0.25">
      <c r="A63" s="21">
        <v>50</v>
      </c>
      <c r="B63" s="29" t="s">
        <v>94</v>
      </c>
      <c r="C63" s="23">
        <v>9</v>
      </c>
      <c r="D63" s="23">
        <v>566</v>
      </c>
      <c r="E63" s="23" t="s">
        <v>6</v>
      </c>
      <c r="F63" s="23">
        <v>2991</v>
      </c>
      <c r="G63" s="22" t="s">
        <v>69</v>
      </c>
      <c r="H63" s="22">
        <v>991</v>
      </c>
      <c r="I63" s="23"/>
      <c r="J63" s="23"/>
      <c r="K63" s="23">
        <f t="shared" si="0"/>
        <v>2000</v>
      </c>
      <c r="L63" s="27"/>
      <c r="M63" s="45" t="str">
        <f t="shared" si="1"/>
        <v>CLN</v>
      </c>
    </row>
    <row r="64" spans="1:13" ht="45" customHeight="1" x14ac:dyDescent="0.25">
      <c r="A64" s="21">
        <v>51</v>
      </c>
      <c r="B64" s="29" t="s">
        <v>19</v>
      </c>
      <c r="C64" s="23">
        <v>9</v>
      </c>
      <c r="D64" s="23">
        <v>566</v>
      </c>
      <c r="E64" s="23" t="s">
        <v>17</v>
      </c>
      <c r="F64" s="23">
        <v>2991</v>
      </c>
      <c r="G64" s="22" t="s">
        <v>69</v>
      </c>
      <c r="H64" s="22">
        <v>239</v>
      </c>
      <c r="I64" s="23"/>
      <c r="J64" s="23"/>
      <c r="K64" s="23">
        <f t="shared" si="0"/>
        <v>2752</v>
      </c>
      <c r="L64" s="27"/>
      <c r="M64" s="45" t="str">
        <f t="shared" si="1"/>
        <v>DCS</v>
      </c>
    </row>
    <row r="65" spans="1:13" ht="45" customHeight="1" x14ac:dyDescent="0.25">
      <c r="A65" s="21">
        <v>52</v>
      </c>
      <c r="B65" s="29" t="s">
        <v>75</v>
      </c>
      <c r="C65" s="23">
        <v>9</v>
      </c>
      <c r="D65" s="23">
        <v>612</v>
      </c>
      <c r="E65" s="23" t="s">
        <v>15</v>
      </c>
      <c r="F65" s="23">
        <v>150</v>
      </c>
      <c r="G65" s="22" t="s">
        <v>38</v>
      </c>
      <c r="H65" s="22">
        <v>50</v>
      </c>
      <c r="I65" s="23"/>
      <c r="J65" s="23"/>
      <c r="K65" s="23">
        <f t="shared" si="0"/>
        <v>100</v>
      </c>
      <c r="L65" s="27"/>
      <c r="M65" s="45" t="str">
        <f t="shared" si="1"/>
        <v>LUC</v>
      </c>
    </row>
    <row r="66" spans="1:13" ht="45" customHeight="1" x14ac:dyDescent="0.25">
      <c r="A66" s="21">
        <v>53</v>
      </c>
      <c r="B66" s="29" t="s">
        <v>75</v>
      </c>
      <c r="C66" s="23">
        <v>9</v>
      </c>
      <c r="D66" s="23">
        <v>569</v>
      </c>
      <c r="E66" s="23" t="s">
        <v>15</v>
      </c>
      <c r="F66" s="23">
        <v>104</v>
      </c>
      <c r="G66" s="22" t="s">
        <v>38</v>
      </c>
      <c r="H66" s="22">
        <v>86</v>
      </c>
      <c r="I66" s="23"/>
      <c r="J66" s="23"/>
      <c r="K66" s="23">
        <f t="shared" si="0"/>
        <v>18</v>
      </c>
      <c r="L66" s="27"/>
      <c r="M66" s="45" t="str">
        <f t="shared" si="1"/>
        <v>LUC</v>
      </c>
    </row>
    <row r="67" spans="1:13" ht="45" customHeight="1" x14ac:dyDescent="0.25">
      <c r="A67" s="21">
        <v>54</v>
      </c>
      <c r="B67" s="29" t="s">
        <v>75</v>
      </c>
      <c r="C67" s="23">
        <v>9</v>
      </c>
      <c r="D67" s="23">
        <v>571</v>
      </c>
      <c r="E67" s="23" t="s">
        <v>15</v>
      </c>
      <c r="F67" s="23">
        <v>386</v>
      </c>
      <c r="G67" s="22" t="s">
        <v>38</v>
      </c>
      <c r="H67" s="22">
        <v>94</v>
      </c>
      <c r="I67" s="23"/>
      <c r="J67" s="23"/>
      <c r="K67" s="23">
        <f t="shared" si="0"/>
        <v>292</v>
      </c>
      <c r="L67" s="27"/>
      <c r="M67" s="45" t="str">
        <f t="shared" si="1"/>
        <v>LUC</v>
      </c>
    </row>
    <row r="68" spans="1:13" ht="45" customHeight="1" x14ac:dyDescent="0.25">
      <c r="A68" s="21">
        <v>55</v>
      </c>
      <c r="B68" s="29" t="s">
        <v>75</v>
      </c>
      <c r="C68" s="23">
        <v>9</v>
      </c>
      <c r="D68" s="23">
        <v>570</v>
      </c>
      <c r="E68" s="23" t="s">
        <v>15</v>
      </c>
      <c r="F68" s="23">
        <v>160</v>
      </c>
      <c r="G68" s="22" t="s">
        <v>38</v>
      </c>
      <c r="H68" s="22">
        <v>10</v>
      </c>
      <c r="I68" s="23"/>
      <c r="J68" s="23"/>
      <c r="K68" s="23">
        <f t="shared" si="0"/>
        <v>150</v>
      </c>
      <c r="L68" s="27"/>
      <c r="M68" s="45" t="str">
        <f t="shared" si="1"/>
        <v>LUC</v>
      </c>
    </row>
    <row r="69" spans="1:13" ht="45" customHeight="1" x14ac:dyDescent="0.25">
      <c r="A69" s="21">
        <v>56</v>
      </c>
      <c r="B69" s="29" t="s">
        <v>75</v>
      </c>
      <c r="C69" s="23">
        <v>9</v>
      </c>
      <c r="D69" s="23">
        <v>565</v>
      </c>
      <c r="E69" s="23" t="s">
        <v>15</v>
      </c>
      <c r="F69" s="23">
        <v>197</v>
      </c>
      <c r="G69" s="22" t="s">
        <v>38</v>
      </c>
      <c r="H69" s="22">
        <v>185</v>
      </c>
      <c r="I69" s="23"/>
      <c r="J69" s="23"/>
      <c r="K69" s="23">
        <f t="shared" si="0"/>
        <v>12</v>
      </c>
      <c r="L69" s="27"/>
      <c r="M69" s="45" t="str">
        <f t="shared" si="1"/>
        <v>LUC</v>
      </c>
    </row>
    <row r="70" spans="1:13" ht="45" customHeight="1" x14ac:dyDescent="0.25">
      <c r="A70" s="21">
        <v>57</v>
      </c>
      <c r="B70" s="29" t="s">
        <v>75</v>
      </c>
      <c r="C70" s="23">
        <v>9</v>
      </c>
      <c r="D70" s="23">
        <v>564</v>
      </c>
      <c r="E70" s="23" t="s">
        <v>15</v>
      </c>
      <c r="F70" s="23">
        <v>316</v>
      </c>
      <c r="G70" s="22" t="s">
        <v>38</v>
      </c>
      <c r="H70" s="22">
        <v>121</v>
      </c>
      <c r="I70" s="23"/>
      <c r="J70" s="23"/>
      <c r="K70" s="23">
        <f t="shared" si="0"/>
        <v>195</v>
      </c>
      <c r="L70" s="27"/>
      <c r="M70" s="45" t="str">
        <f t="shared" si="1"/>
        <v>LUC</v>
      </c>
    </row>
    <row r="71" spans="1:13" ht="45" customHeight="1" x14ac:dyDescent="0.25">
      <c r="A71" s="21">
        <v>58</v>
      </c>
      <c r="B71" s="29" t="s">
        <v>58</v>
      </c>
      <c r="C71" s="23">
        <v>9</v>
      </c>
      <c r="D71" s="23">
        <v>433</v>
      </c>
      <c r="E71" s="23" t="s">
        <v>68</v>
      </c>
      <c r="F71" s="23">
        <v>1682</v>
      </c>
      <c r="G71" s="22" t="s">
        <v>69</v>
      </c>
      <c r="H71" s="22">
        <v>76</v>
      </c>
      <c r="I71" s="23"/>
      <c r="J71" s="23"/>
      <c r="K71" s="23">
        <f t="shared" si="0"/>
        <v>1606</v>
      </c>
      <c r="L71" s="27"/>
      <c r="M71" s="45" t="str">
        <f t="shared" si="1"/>
        <v>ONT</v>
      </c>
    </row>
    <row r="72" spans="1:13" ht="45" customHeight="1" x14ac:dyDescent="0.25">
      <c r="A72" s="21">
        <v>59</v>
      </c>
      <c r="B72" s="29" t="s">
        <v>75</v>
      </c>
      <c r="C72" s="23">
        <v>9</v>
      </c>
      <c r="D72" s="23">
        <v>563</v>
      </c>
      <c r="E72" s="23" t="s">
        <v>15</v>
      </c>
      <c r="F72" s="23">
        <v>420</v>
      </c>
      <c r="G72" s="22" t="s">
        <v>38</v>
      </c>
      <c r="H72" s="22">
        <v>275</v>
      </c>
      <c r="I72" s="23"/>
      <c r="J72" s="23"/>
      <c r="K72" s="23">
        <f t="shared" si="0"/>
        <v>145</v>
      </c>
      <c r="L72" s="27"/>
      <c r="M72" s="45" t="str">
        <f t="shared" si="1"/>
        <v>LUC</v>
      </c>
    </row>
    <row r="73" spans="1:13" ht="45" customHeight="1" x14ac:dyDescent="0.25">
      <c r="A73" s="21">
        <v>60</v>
      </c>
      <c r="B73" s="29" t="s">
        <v>61</v>
      </c>
      <c r="C73" s="23">
        <v>9</v>
      </c>
      <c r="D73" s="23">
        <v>514</v>
      </c>
      <c r="E73" s="23" t="s">
        <v>15</v>
      </c>
      <c r="F73" s="23">
        <v>596</v>
      </c>
      <c r="G73" s="22" t="s">
        <v>43</v>
      </c>
      <c r="H73" s="22">
        <v>245</v>
      </c>
      <c r="I73" s="23"/>
      <c r="J73" s="23"/>
      <c r="K73" s="23">
        <f t="shared" si="0"/>
        <v>351</v>
      </c>
      <c r="L73" s="27"/>
      <c r="M73" s="45" t="str">
        <f t="shared" si="1"/>
        <v>LUC</v>
      </c>
    </row>
    <row r="74" spans="1:13" ht="45" customHeight="1" x14ac:dyDescent="0.25">
      <c r="A74" s="21">
        <v>61</v>
      </c>
      <c r="B74" s="29" t="s">
        <v>61</v>
      </c>
      <c r="C74" s="23">
        <v>9</v>
      </c>
      <c r="D74" s="23">
        <v>506</v>
      </c>
      <c r="E74" s="23" t="s">
        <v>15</v>
      </c>
      <c r="F74" s="23">
        <v>469</v>
      </c>
      <c r="G74" s="22" t="s">
        <v>43</v>
      </c>
      <c r="H74" s="22">
        <v>340</v>
      </c>
      <c r="I74" s="23"/>
      <c r="J74" s="23"/>
      <c r="K74" s="23">
        <f t="shared" si="0"/>
        <v>129</v>
      </c>
      <c r="L74" s="27"/>
      <c r="M74" s="45" t="str">
        <f t="shared" si="1"/>
        <v>LUC</v>
      </c>
    </row>
    <row r="75" spans="1:13" ht="45" customHeight="1" x14ac:dyDescent="0.25">
      <c r="A75" s="21">
        <v>62</v>
      </c>
      <c r="B75" s="29" t="s">
        <v>19</v>
      </c>
      <c r="C75" s="23">
        <v>9</v>
      </c>
      <c r="D75" s="23">
        <v>878</v>
      </c>
      <c r="E75" s="23" t="s">
        <v>7</v>
      </c>
      <c r="F75" s="23">
        <v>1255</v>
      </c>
      <c r="G75" s="22" t="s">
        <v>69</v>
      </c>
      <c r="H75" s="22">
        <v>23</v>
      </c>
      <c r="I75" s="23"/>
      <c r="J75" s="23"/>
      <c r="K75" s="23">
        <f t="shared" si="0"/>
        <v>1232</v>
      </c>
      <c r="L75" s="27"/>
      <c r="M75" s="45" t="str">
        <f t="shared" si="1"/>
        <v>DGT</v>
      </c>
    </row>
    <row r="76" spans="1:13" ht="45" customHeight="1" x14ac:dyDescent="0.25">
      <c r="A76" s="21">
        <v>63</v>
      </c>
      <c r="B76" s="29" t="s">
        <v>61</v>
      </c>
      <c r="C76" s="23">
        <v>9</v>
      </c>
      <c r="D76" s="23">
        <v>505</v>
      </c>
      <c r="E76" s="23" t="s">
        <v>15</v>
      </c>
      <c r="F76" s="23">
        <v>569</v>
      </c>
      <c r="G76" s="22" t="s">
        <v>43</v>
      </c>
      <c r="H76" s="22">
        <v>396</v>
      </c>
      <c r="I76" s="23"/>
      <c r="J76" s="23"/>
      <c r="K76" s="23">
        <f t="shared" si="0"/>
        <v>173</v>
      </c>
      <c r="L76" s="27"/>
      <c r="M76" s="45" t="str">
        <f t="shared" si="1"/>
        <v>LUC</v>
      </c>
    </row>
    <row r="77" spans="1:13" ht="45" customHeight="1" x14ac:dyDescent="0.25">
      <c r="A77" s="21">
        <v>64</v>
      </c>
      <c r="B77" s="29" t="s">
        <v>61</v>
      </c>
      <c r="C77" s="23">
        <v>9</v>
      </c>
      <c r="D77" s="23">
        <v>434</v>
      </c>
      <c r="E77" s="23" t="s">
        <v>15</v>
      </c>
      <c r="F77" s="23">
        <v>561</v>
      </c>
      <c r="G77" s="22" t="s">
        <v>43</v>
      </c>
      <c r="H77" s="22">
        <v>366</v>
      </c>
      <c r="I77" s="23"/>
      <c r="J77" s="23"/>
      <c r="K77" s="23">
        <f t="shared" si="0"/>
        <v>195</v>
      </c>
      <c r="L77" s="27"/>
      <c r="M77" s="45" t="str">
        <f t="shared" si="1"/>
        <v>LUC</v>
      </c>
    </row>
    <row r="78" spans="1:13" ht="45" customHeight="1" x14ac:dyDescent="0.25">
      <c r="A78" s="21">
        <v>65</v>
      </c>
      <c r="B78" s="29" t="s">
        <v>93</v>
      </c>
      <c r="C78" s="23">
        <v>9</v>
      </c>
      <c r="D78" s="23">
        <v>361</v>
      </c>
      <c r="E78" s="23" t="s">
        <v>6</v>
      </c>
      <c r="F78" s="23">
        <v>1011</v>
      </c>
      <c r="G78" s="22" t="s">
        <v>69</v>
      </c>
      <c r="H78" s="22">
        <v>114</v>
      </c>
      <c r="I78" s="23"/>
      <c r="J78" s="23"/>
      <c r="K78" s="23">
        <f t="shared" ref="K78:K141" si="10">F78-H78</f>
        <v>897</v>
      </c>
      <c r="L78" s="27"/>
      <c r="M78" s="45" t="str">
        <f t="shared" si="1"/>
        <v>CLN</v>
      </c>
    </row>
    <row r="79" spans="1:13" ht="45" customHeight="1" x14ac:dyDescent="0.25">
      <c r="A79" s="21">
        <v>66</v>
      </c>
      <c r="B79" s="29" t="s">
        <v>76</v>
      </c>
      <c r="C79" s="23">
        <v>9</v>
      </c>
      <c r="D79" s="23">
        <v>422</v>
      </c>
      <c r="E79" s="23" t="s">
        <v>15</v>
      </c>
      <c r="F79" s="23">
        <v>731</v>
      </c>
      <c r="G79" s="22" t="s">
        <v>41</v>
      </c>
      <c r="H79" s="22">
        <v>220</v>
      </c>
      <c r="I79" s="23"/>
      <c r="J79" s="23"/>
      <c r="K79" s="23">
        <f t="shared" si="10"/>
        <v>511</v>
      </c>
      <c r="L79" s="27"/>
      <c r="M79" s="45" t="str">
        <f t="shared" ref="M79:M142" si="11">IF(E79="ONT+CLN","CLN",IF(E79="ODT+CLN","CLN",E79))</f>
        <v>LUC</v>
      </c>
    </row>
    <row r="80" spans="1:13" ht="45" customHeight="1" x14ac:dyDescent="0.25">
      <c r="A80" s="21">
        <v>67</v>
      </c>
      <c r="B80" s="29" t="s">
        <v>76</v>
      </c>
      <c r="C80" s="23">
        <v>9</v>
      </c>
      <c r="D80" s="23">
        <v>422</v>
      </c>
      <c r="E80" s="23" t="s">
        <v>15</v>
      </c>
      <c r="F80" s="23">
        <v>731</v>
      </c>
      <c r="G80" s="22" t="s">
        <v>41</v>
      </c>
      <c r="H80" s="22">
        <v>128</v>
      </c>
      <c r="I80" s="23"/>
      <c r="J80" s="23"/>
      <c r="K80" s="23">
        <f t="shared" si="10"/>
        <v>603</v>
      </c>
      <c r="L80" s="27"/>
      <c r="M80" s="45" t="str">
        <f t="shared" si="11"/>
        <v>LUC</v>
      </c>
    </row>
    <row r="81" spans="1:18" ht="45" customHeight="1" x14ac:dyDescent="0.25">
      <c r="A81" s="21">
        <v>68</v>
      </c>
      <c r="B81" s="29" t="s">
        <v>19</v>
      </c>
      <c r="C81" s="23">
        <v>9</v>
      </c>
      <c r="D81" s="23">
        <v>880</v>
      </c>
      <c r="E81" s="23" t="s">
        <v>7</v>
      </c>
      <c r="F81" s="23">
        <v>112</v>
      </c>
      <c r="G81" s="22" t="s">
        <v>69</v>
      </c>
      <c r="H81" s="22">
        <v>7</v>
      </c>
      <c r="I81" s="23"/>
      <c r="J81" s="23"/>
      <c r="K81" s="23">
        <f t="shared" si="10"/>
        <v>105</v>
      </c>
      <c r="L81" s="27"/>
      <c r="M81" s="45" t="str">
        <f t="shared" si="11"/>
        <v>DGT</v>
      </c>
    </row>
    <row r="82" spans="1:18" ht="45" customHeight="1" x14ac:dyDescent="0.25">
      <c r="A82" s="21">
        <v>69</v>
      </c>
      <c r="B82" s="29" t="s">
        <v>19</v>
      </c>
      <c r="C82" s="23">
        <v>9</v>
      </c>
      <c r="D82" s="23">
        <v>880</v>
      </c>
      <c r="E82" s="23" t="s">
        <v>7</v>
      </c>
      <c r="F82" s="23">
        <v>112</v>
      </c>
      <c r="G82" s="22" t="s">
        <v>69</v>
      </c>
      <c r="H82" s="22">
        <v>45</v>
      </c>
      <c r="I82" s="23"/>
      <c r="J82" s="23"/>
      <c r="K82" s="23">
        <f t="shared" si="10"/>
        <v>67</v>
      </c>
      <c r="L82" s="27"/>
      <c r="M82" s="45" t="str">
        <f t="shared" si="11"/>
        <v>DGT</v>
      </c>
    </row>
    <row r="83" spans="1:18" ht="45" customHeight="1" x14ac:dyDescent="0.25">
      <c r="A83" s="24">
        <v>70</v>
      </c>
      <c r="B83" s="29" t="s">
        <v>19</v>
      </c>
      <c r="C83" s="23">
        <v>9</v>
      </c>
      <c r="D83" s="23">
        <v>880</v>
      </c>
      <c r="E83" s="23" t="s">
        <v>7</v>
      </c>
      <c r="F83" s="23">
        <v>112</v>
      </c>
      <c r="G83" s="22" t="s">
        <v>69</v>
      </c>
      <c r="H83" s="22">
        <v>12</v>
      </c>
      <c r="I83" s="23"/>
      <c r="J83" s="22"/>
      <c r="K83" s="23">
        <f t="shared" si="10"/>
        <v>100</v>
      </c>
      <c r="L83" s="27"/>
      <c r="M83" s="45" t="str">
        <f t="shared" si="11"/>
        <v>DGT</v>
      </c>
      <c r="N83" s="3"/>
      <c r="O83" s="3"/>
      <c r="P83" s="3"/>
      <c r="Q83" s="3"/>
      <c r="R83" s="3"/>
    </row>
    <row r="84" spans="1:18" ht="45" customHeight="1" x14ac:dyDescent="0.25">
      <c r="A84" s="24">
        <v>71</v>
      </c>
      <c r="B84" s="29" t="s">
        <v>76</v>
      </c>
      <c r="C84" s="23">
        <v>9</v>
      </c>
      <c r="D84" s="23">
        <v>435</v>
      </c>
      <c r="E84" s="23" t="s">
        <v>15</v>
      </c>
      <c r="F84" s="23">
        <v>1053</v>
      </c>
      <c r="G84" s="22" t="s">
        <v>41</v>
      </c>
      <c r="H84" s="22">
        <v>186</v>
      </c>
      <c r="I84" s="23"/>
      <c r="J84" s="22"/>
      <c r="K84" s="23">
        <f t="shared" si="10"/>
        <v>867</v>
      </c>
      <c r="L84" s="27"/>
      <c r="M84" s="45" t="str">
        <f t="shared" si="11"/>
        <v>LUC</v>
      </c>
    </row>
    <row r="85" spans="1:18" ht="45" customHeight="1" x14ac:dyDescent="0.25">
      <c r="A85" s="21">
        <v>72</v>
      </c>
      <c r="B85" s="29" t="s">
        <v>19</v>
      </c>
      <c r="C85" s="23">
        <v>9</v>
      </c>
      <c r="D85" s="23">
        <v>885</v>
      </c>
      <c r="E85" s="23" t="s">
        <v>7</v>
      </c>
      <c r="F85" s="23">
        <v>12960</v>
      </c>
      <c r="G85" s="22" t="s">
        <v>69</v>
      </c>
      <c r="H85" s="22">
        <v>61</v>
      </c>
      <c r="I85" s="23"/>
      <c r="J85" s="23"/>
      <c r="K85" s="23">
        <f t="shared" si="10"/>
        <v>12899</v>
      </c>
      <c r="L85" s="27"/>
      <c r="M85" s="45" t="str">
        <f t="shared" si="11"/>
        <v>DGT</v>
      </c>
    </row>
    <row r="86" spans="1:18" ht="45" customHeight="1" x14ac:dyDescent="0.25">
      <c r="A86" s="21">
        <v>73</v>
      </c>
      <c r="B86" s="29" t="s">
        <v>19</v>
      </c>
      <c r="C86" s="23">
        <v>9</v>
      </c>
      <c r="D86" s="23">
        <v>885</v>
      </c>
      <c r="E86" s="23" t="s">
        <v>7</v>
      </c>
      <c r="F86" s="23">
        <v>12960</v>
      </c>
      <c r="G86" s="22" t="s">
        <v>69</v>
      </c>
      <c r="H86" s="22">
        <v>65</v>
      </c>
      <c r="I86" s="23"/>
      <c r="J86" s="23"/>
      <c r="K86" s="23">
        <f t="shared" si="10"/>
        <v>12895</v>
      </c>
      <c r="L86" s="27"/>
      <c r="M86" s="45" t="str">
        <f t="shared" si="11"/>
        <v>DGT</v>
      </c>
    </row>
    <row r="87" spans="1:18" ht="45" customHeight="1" x14ac:dyDescent="0.25">
      <c r="A87" s="21">
        <v>74</v>
      </c>
      <c r="B87" s="29" t="s">
        <v>76</v>
      </c>
      <c r="C87" s="23">
        <v>9</v>
      </c>
      <c r="D87" s="23">
        <v>421</v>
      </c>
      <c r="E87" s="23" t="s">
        <v>15</v>
      </c>
      <c r="F87" s="23">
        <v>204</v>
      </c>
      <c r="G87" s="22" t="s">
        <v>40</v>
      </c>
      <c r="H87" s="22">
        <v>201</v>
      </c>
      <c r="I87" s="23"/>
      <c r="J87" s="23"/>
      <c r="K87" s="23">
        <f t="shared" si="10"/>
        <v>3</v>
      </c>
      <c r="L87" s="27"/>
      <c r="M87" s="45" t="str">
        <f t="shared" si="11"/>
        <v>LUC</v>
      </c>
    </row>
    <row r="88" spans="1:18" ht="45" customHeight="1" x14ac:dyDescent="0.25">
      <c r="A88" s="24">
        <v>75</v>
      </c>
      <c r="B88" s="29" t="s">
        <v>76</v>
      </c>
      <c r="C88" s="23">
        <v>9</v>
      </c>
      <c r="D88" s="23">
        <v>362</v>
      </c>
      <c r="E88" s="23" t="s">
        <v>15</v>
      </c>
      <c r="F88" s="23">
        <v>112</v>
      </c>
      <c r="G88" s="22" t="s">
        <v>40</v>
      </c>
      <c r="H88" s="22">
        <v>82</v>
      </c>
      <c r="I88" s="23"/>
      <c r="J88" s="22"/>
      <c r="K88" s="23">
        <f t="shared" si="10"/>
        <v>30</v>
      </c>
      <c r="L88" s="27"/>
      <c r="M88" s="45" t="str">
        <f t="shared" si="11"/>
        <v>LUC</v>
      </c>
    </row>
    <row r="89" spans="1:18" ht="45" customHeight="1" x14ac:dyDescent="0.25">
      <c r="A89" s="24">
        <v>76</v>
      </c>
      <c r="B89" s="29" t="s">
        <v>66</v>
      </c>
      <c r="C89" s="23">
        <v>9</v>
      </c>
      <c r="D89" s="23">
        <v>363</v>
      </c>
      <c r="E89" s="23" t="s">
        <v>15</v>
      </c>
      <c r="F89" s="23">
        <v>553</v>
      </c>
      <c r="G89" s="22" t="s">
        <v>69</v>
      </c>
      <c r="H89" s="22">
        <v>261</v>
      </c>
      <c r="I89" s="23"/>
      <c r="J89" s="22"/>
      <c r="K89" s="23">
        <f t="shared" si="10"/>
        <v>292</v>
      </c>
      <c r="L89" s="27"/>
      <c r="M89" s="45" t="str">
        <f t="shared" si="11"/>
        <v>LUC</v>
      </c>
    </row>
    <row r="90" spans="1:18" ht="45" customHeight="1" x14ac:dyDescent="0.25">
      <c r="A90" s="24">
        <v>77</v>
      </c>
      <c r="B90" s="29" t="s">
        <v>76</v>
      </c>
      <c r="C90" s="23">
        <v>9</v>
      </c>
      <c r="D90" s="23">
        <v>419</v>
      </c>
      <c r="E90" s="23" t="s">
        <v>15</v>
      </c>
      <c r="F90" s="23">
        <v>209</v>
      </c>
      <c r="G90" s="22" t="s">
        <v>40</v>
      </c>
      <c r="H90" s="22">
        <v>200</v>
      </c>
      <c r="I90" s="23"/>
      <c r="J90" s="22"/>
      <c r="K90" s="23">
        <f t="shared" si="10"/>
        <v>9</v>
      </c>
      <c r="L90" s="27"/>
      <c r="M90" s="45" t="str">
        <f t="shared" si="11"/>
        <v>LUC</v>
      </c>
    </row>
    <row r="91" spans="1:18" ht="45" customHeight="1" x14ac:dyDescent="0.25">
      <c r="A91" s="21">
        <v>78</v>
      </c>
      <c r="B91" s="29" t="s">
        <v>76</v>
      </c>
      <c r="C91" s="23">
        <v>9</v>
      </c>
      <c r="D91" s="23">
        <v>420</v>
      </c>
      <c r="E91" s="23" t="s">
        <v>15</v>
      </c>
      <c r="F91" s="23">
        <v>112</v>
      </c>
      <c r="G91" s="22" t="s">
        <v>40</v>
      </c>
      <c r="H91" s="22">
        <v>8</v>
      </c>
      <c r="I91" s="23"/>
      <c r="J91" s="23"/>
      <c r="K91" s="23">
        <f t="shared" si="10"/>
        <v>104</v>
      </c>
      <c r="L91" s="27"/>
      <c r="M91" s="45" t="str">
        <f t="shared" si="11"/>
        <v>LUC</v>
      </c>
    </row>
    <row r="92" spans="1:18" ht="45" customHeight="1" x14ac:dyDescent="0.25">
      <c r="A92" s="21">
        <v>79</v>
      </c>
      <c r="B92" s="29" t="s">
        <v>77</v>
      </c>
      <c r="C92" s="23">
        <v>9</v>
      </c>
      <c r="D92" s="23">
        <v>418</v>
      </c>
      <c r="E92" s="23" t="s">
        <v>15</v>
      </c>
      <c r="F92" s="23">
        <v>115</v>
      </c>
      <c r="G92" s="22" t="s">
        <v>42</v>
      </c>
      <c r="H92" s="22">
        <v>10</v>
      </c>
      <c r="I92" s="23"/>
      <c r="J92" s="23"/>
      <c r="K92" s="23">
        <f t="shared" si="10"/>
        <v>105</v>
      </c>
      <c r="L92" s="27"/>
      <c r="M92" s="45" t="str">
        <f t="shared" si="11"/>
        <v>LUC</v>
      </c>
    </row>
    <row r="93" spans="1:18" ht="45" customHeight="1" x14ac:dyDescent="0.25">
      <c r="A93" s="21">
        <v>80</v>
      </c>
      <c r="B93" s="29" t="s">
        <v>66</v>
      </c>
      <c r="C93" s="23">
        <v>9</v>
      </c>
      <c r="D93" s="23">
        <v>348</v>
      </c>
      <c r="E93" s="23" t="s">
        <v>15</v>
      </c>
      <c r="F93" s="23">
        <v>252</v>
      </c>
      <c r="G93" s="22" t="s">
        <v>69</v>
      </c>
      <c r="H93" s="22">
        <v>1</v>
      </c>
      <c r="I93" s="23"/>
      <c r="J93" s="23"/>
      <c r="K93" s="23">
        <f t="shared" si="10"/>
        <v>251</v>
      </c>
      <c r="L93" s="27"/>
      <c r="M93" s="45" t="str">
        <f t="shared" si="11"/>
        <v>LUC</v>
      </c>
    </row>
    <row r="94" spans="1:18" ht="45" customHeight="1" x14ac:dyDescent="0.25">
      <c r="A94" s="21">
        <v>81</v>
      </c>
      <c r="B94" s="29" t="s">
        <v>77</v>
      </c>
      <c r="C94" s="23">
        <v>9</v>
      </c>
      <c r="D94" s="23">
        <v>417</v>
      </c>
      <c r="E94" s="23" t="s">
        <v>15</v>
      </c>
      <c r="F94" s="23">
        <v>172</v>
      </c>
      <c r="G94" s="22" t="s">
        <v>42</v>
      </c>
      <c r="H94" s="22">
        <v>160</v>
      </c>
      <c r="I94" s="23"/>
      <c r="J94" s="23"/>
      <c r="K94" s="23">
        <f t="shared" si="10"/>
        <v>12</v>
      </c>
      <c r="L94" s="27"/>
      <c r="M94" s="45" t="str">
        <f t="shared" si="11"/>
        <v>LUC</v>
      </c>
    </row>
    <row r="95" spans="1:18" ht="45" customHeight="1" x14ac:dyDescent="0.25">
      <c r="A95" s="21">
        <v>82</v>
      </c>
      <c r="B95" s="29" t="s">
        <v>66</v>
      </c>
      <c r="C95" s="23">
        <v>9</v>
      </c>
      <c r="D95" s="23">
        <v>364</v>
      </c>
      <c r="E95" s="23" t="s">
        <v>15</v>
      </c>
      <c r="F95" s="23">
        <v>677</v>
      </c>
      <c r="G95" s="22" t="s">
        <v>69</v>
      </c>
      <c r="H95" s="22">
        <v>667</v>
      </c>
      <c r="I95" s="23"/>
      <c r="J95" s="23"/>
      <c r="K95" s="23">
        <f t="shared" si="10"/>
        <v>10</v>
      </c>
      <c r="L95" s="27"/>
      <c r="M95" s="45" t="str">
        <f t="shared" si="11"/>
        <v>LUC</v>
      </c>
    </row>
    <row r="96" spans="1:18" ht="45" customHeight="1" x14ac:dyDescent="0.25">
      <c r="A96" s="21">
        <v>83</v>
      </c>
      <c r="B96" s="29" t="s">
        <v>66</v>
      </c>
      <c r="C96" s="23">
        <v>9</v>
      </c>
      <c r="D96" s="23">
        <v>347</v>
      </c>
      <c r="E96" s="23" t="s">
        <v>15</v>
      </c>
      <c r="F96" s="23">
        <v>742</v>
      </c>
      <c r="G96" s="22" t="s">
        <v>69</v>
      </c>
      <c r="H96" s="22">
        <v>221</v>
      </c>
      <c r="I96" s="23"/>
      <c r="J96" s="23"/>
      <c r="K96" s="23">
        <f t="shared" si="10"/>
        <v>521</v>
      </c>
      <c r="L96" s="27"/>
      <c r="M96" s="45" t="str">
        <f t="shared" si="11"/>
        <v>LUC</v>
      </c>
    </row>
    <row r="97" spans="1:18" ht="45" customHeight="1" x14ac:dyDescent="0.25">
      <c r="A97" s="21">
        <v>84</v>
      </c>
      <c r="B97" s="29" t="s">
        <v>77</v>
      </c>
      <c r="C97" s="23">
        <v>9</v>
      </c>
      <c r="D97" s="23">
        <v>415</v>
      </c>
      <c r="E97" s="23" t="s">
        <v>15</v>
      </c>
      <c r="F97" s="23">
        <v>136</v>
      </c>
      <c r="G97" s="22" t="s">
        <v>42</v>
      </c>
      <c r="H97" s="22">
        <v>75</v>
      </c>
      <c r="I97" s="23"/>
      <c r="J97" s="23"/>
      <c r="K97" s="23">
        <f t="shared" si="10"/>
        <v>61</v>
      </c>
      <c r="L97" s="27"/>
      <c r="M97" s="45" t="str">
        <f t="shared" si="11"/>
        <v>LUC</v>
      </c>
    </row>
    <row r="98" spans="1:18" ht="45" customHeight="1" x14ac:dyDescent="0.25">
      <c r="A98" s="21">
        <v>85</v>
      </c>
      <c r="B98" s="29" t="s">
        <v>78</v>
      </c>
      <c r="C98" s="23">
        <v>9</v>
      </c>
      <c r="D98" s="23">
        <v>414</v>
      </c>
      <c r="E98" s="23" t="s">
        <v>15</v>
      </c>
      <c r="F98" s="23">
        <v>508</v>
      </c>
      <c r="G98" s="22" t="s">
        <v>69</v>
      </c>
      <c r="H98" s="22">
        <v>152</v>
      </c>
      <c r="I98" s="23"/>
      <c r="J98" s="23"/>
      <c r="K98" s="23">
        <f t="shared" si="10"/>
        <v>356</v>
      </c>
      <c r="L98" s="27"/>
      <c r="M98" s="45" t="str">
        <f t="shared" si="11"/>
        <v>LUC</v>
      </c>
    </row>
    <row r="99" spans="1:18" ht="45" customHeight="1" x14ac:dyDescent="0.25">
      <c r="A99" s="21">
        <v>86</v>
      </c>
      <c r="B99" s="29" t="s">
        <v>78</v>
      </c>
      <c r="C99" s="23">
        <v>9</v>
      </c>
      <c r="D99" s="23">
        <v>296</v>
      </c>
      <c r="E99" s="23" t="s">
        <v>15</v>
      </c>
      <c r="F99" s="23">
        <v>792</v>
      </c>
      <c r="G99" s="22" t="s">
        <v>69</v>
      </c>
      <c r="H99" s="22">
        <v>20</v>
      </c>
      <c r="I99" s="23"/>
      <c r="J99" s="23"/>
      <c r="K99" s="23">
        <f t="shared" si="10"/>
        <v>772</v>
      </c>
      <c r="L99" s="27"/>
      <c r="M99" s="45" t="str">
        <f t="shared" si="11"/>
        <v>LUC</v>
      </c>
    </row>
    <row r="100" spans="1:18" ht="45" customHeight="1" x14ac:dyDescent="0.25">
      <c r="A100" s="21">
        <v>87</v>
      </c>
      <c r="B100" s="29" t="s">
        <v>66</v>
      </c>
      <c r="C100" s="23">
        <v>9</v>
      </c>
      <c r="D100" s="23">
        <v>413</v>
      </c>
      <c r="E100" s="23" t="s">
        <v>15</v>
      </c>
      <c r="F100" s="23">
        <v>295</v>
      </c>
      <c r="G100" s="22" t="s">
        <v>69</v>
      </c>
      <c r="H100" s="22">
        <v>64</v>
      </c>
      <c r="I100" s="23"/>
      <c r="J100" s="23"/>
      <c r="K100" s="23">
        <f t="shared" si="10"/>
        <v>231</v>
      </c>
      <c r="L100" s="27"/>
      <c r="M100" s="45" t="str">
        <f t="shared" si="11"/>
        <v>LUC</v>
      </c>
    </row>
    <row r="101" spans="1:18" ht="45" customHeight="1" x14ac:dyDescent="0.25">
      <c r="A101" s="21">
        <v>88</v>
      </c>
      <c r="B101" s="29" t="s">
        <v>19</v>
      </c>
      <c r="C101" s="23">
        <v>9</v>
      </c>
      <c r="D101" s="23">
        <v>346</v>
      </c>
      <c r="E101" s="23" t="s">
        <v>17</v>
      </c>
      <c r="F101" s="23">
        <v>55</v>
      </c>
      <c r="G101" s="22" t="s">
        <v>69</v>
      </c>
      <c r="H101" s="22">
        <v>54</v>
      </c>
      <c r="I101" s="23"/>
      <c r="J101" s="23"/>
      <c r="K101" s="23">
        <f t="shared" si="10"/>
        <v>1</v>
      </c>
      <c r="L101" s="27"/>
      <c r="M101" s="45" t="str">
        <f t="shared" si="11"/>
        <v>DCS</v>
      </c>
    </row>
    <row r="102" spans="1:18" ht="45" customHeight="1" x14ac:dyDescent="0.25">
      <c r="A102" s="21">
        <v>89</v>
      </c>
      <c r="B102" s="29" t="s">
        <v>78</v>
      </c>
      <c r="C102" s="23">
        <v>9</v>
      </c>
      <c r="D102" s="23">
        <v>345</v>
      </c>
      <c r="E102" s="23" t="s">
        <v>15</v>
      </c>
      <c r="F102" s="23">
        <v>587</v>
      </c>
      <c r="G102" s="22" t="s">
        <v>69</v>
      </c>
      <c r="H102" s="22">
        <v>376</v>
      </c>
      <c r="I102" s="23"/>
      <c r="J102" s="23"/>
      <c r="K102" s="23">
        <f t="shared" si="10"/>
        <v>211</v>
      </c>
      <c r="L102" s="27"/>
      <c r="M102" s="45" t="str">
        <f t="shared" si="11"/>
        <v>LUC</v>
      </c>
    </row>
    <row r="103" spans="1:18" ht="45" customHeight="1" x14ac:dyDescent="0.25">
      <c r="A103" s="21">
        <v>90</v>
      </c>
      <c r="B103" s="29" t="s">
        <v>78</v>
      </c>
      <c r="C103" s="23">
        <v>9</v>
      </c>
      <c r="D103" s="23">
        <v>365</v>
      </c>
      <c r="E103" s="23" t="s">
        <v>15</v>
      </c>
      <c r="F103" s="23">
        <v>107</v>
      </c>
      <c r="G103" s="22" t="s">
        <v>69</v>
      </c>
      <c r="H103" s="22">
        <v>24</v>
      </c>
      <c r="I103" s="23"/>
      <c r="J103" s="23"/>
      <c r="K103" s="23">
        <f t="shared" si="10"/>
        <v>83</v>
      </c>
      <c r="L103" s="27"/>
      <c r="M103" s="45" t="str">
        <f t="shared" si="11"/>
        <v>LUC</v>
      </c>
    </row>
    <row r="104" spans="1:18" ht="45" customHeight="1" x14ac:dyDescent="0.25">
      <c r="A104" s="21">
        <v>91</v>
      </c>
      <c r="B104" s="29" t="s">
        <v>78</v>
      </c>
      <c r="C104" s="23">
        <v>9</v>
      </c>
      <c r="D104" s="23">
        <v>366</v>
      </c>
      <c r="E104" s="23" t="s">
        <v>15</v>
      </c>
      <c r="F104" s="23">
        <v>84</v>
      </c>
      <c r="G104" s="22" t="s">
        <v>69</v>
      </c>
      <c r="H104" s="22">
        <v>58</v>
      </c>
      <c r="I104" s="23"/>
      <c r="J104" s="23"/>
      <c r="K104" s="23">
        <f t="shared" si="10"/>
        <v>26</v>
      </c>
      <c r="L104" s="27"/>
      <c r="M104" s="45" t="str">
        <f t="shared" si="11"/>
        <v>LUC</v>
      </c>
    </row>
    <row r="105" spans="1:18" ht="45" customHeight="1" x14ac:dyDescent="0.25">
      <c r="A105" s="24">
        <v>92</v>
      </c>
      <c r="B105" s="29" t="s">
        <v>78</v>
      </c>
      <c r="C105" s="23">
        <v>9</v>
      </c>
      <c r="D105" s="23">
        <v>344</v>
      </c>
      <c r="E105" s="23" t="s">
        <v>15</v>
      </c>
      <c r="F105" s="23">
        <v>107</v>
      </c>
      <c r="G105" s="22" t="s">
        <v>69</v>
      </c>
      <c r="H105" s="22">
        <v>107</v>
      </c>
      <c r="I105" s="23"/>
      <c r="J105" s="22"/>
      <c r="K105" s="23">
        <f t="shared" si="10"/>
        <v>0</v>
      </c>
      <c r="L105" s="27"/>
      <c r="M105" s="45" t="str">
        <f t="shared" si="11"/>
        <v>LUC</v>
      </c>
    </row>
    <row r="106" spans="1:18" ht="45" customHeight="1" x14ac:dyDescent="0.25">
      <c r="A106" s="21">
        <v>93</v>
      </c>
      <c r="B106" s="29" t="s">
        <v>78</v>
      </c>
      <c r="C106" s="23">
        <v>9</v>
      </c>
      <c r="D106" s="23">
        <v>368</v>
      </c>
      <c r="E106" s="23" t="s">
        <v>15</v>
      </c>
      <c r="F106" s="23">
        <v>95</v>
      </c>
      <c r="G106" s="22" t="s">
        <v>69</v>
      </c>
      <c r="H106" s="22">
        <v>76</v>
      </c>
      <c r="I106" s="23"/>
      <c r="J106" s="23"/>
      <c r="K106" s="23">
        <f t="shared" si="10"/>
        <v>19</v>
      </c>
      <c r="L106" s="27"/>
      <c r="M106" s="45" t="str">
        <f t="shared" si="11"/>
        <v>LUC</v>
      </c>
    </row>
    <row r="107" spans="1:18" ht="45" customHeight="1" x14ac:dyDescent="0.25">
      <c r="A107" s="21">
        <v>94</v>
      </c>
      <c r="B107" s="29" t="s">
        <v>79</v>
      </c>
      <c r="C107" s="23">
        <v>9</v>
      </c>
      <c r="D107" s="23">
        <v>343</v>
      </c>
      <c r="E107" s="23" t="s">
        <v>15</v>
      </c>
      <c r="F107" s="23">
        <v>245</v>
      </c>
      <c r="G107" s="22" t="s">
        <v>69</v>
      </c>
      <c r="H107" s="22">
        <v>191</v>
      </c>
      <c r="I107" s="23"/>
      <c r="J107" s="23"/>
      <c r="K107" s="23">
        <f t="shared" si="10"/>
        <v>54</v>
      </c>
      <c r="L107" s="27"/>
      <c r="M107" s="45" t="str">
        <f t="shared" si="11"/>
        <v>LUC</v>
      </c>
    </row>
    <row r="108" spans="1:18" ht="45" customHeight="1" x14ac:dyDescent="0.25">
      <c r="A108" s="24">
        <v>95</v>
      </c>
      <c r="B108" s="29" t="s">
        <v>79</v>
      </c>
      <c r="C108" s="23">
        <v>9</v>
      </c>
      <c r="D108" s="23">
        <v>342</v>
      </c>
      <c r="E108" s="23" t="s">
        <v>15</v>
      </c>
      <c r="F108" s="23">
        <v>173</v>
      </c>
      <c r="G108" s="22" t="s">
        <v>69</v>
      </c>
      <c r="H108" s="22">
        <v>173</v>
      </c>
      <c r="I108" s="23"/>
      <c r="J108" s="22"/>
      <c r="K108" s="23">
        <f t="shared" si="10"/>
        <v>0</v>
      </c>
      <c r="L108" s="27"/>
      <c r="M108" s="45" t="str">
        <f t="shared" si="11"/>
        <v>LUC</v>
      </c>
      <c r="N108" s="3"/>
      <c r="O108" s="3"/>
      <c r="P108" s="3"/>
      <c r="Q108" s="3"/>
      <c r="R108" s="3"/>
    </row>
    <row r="109" spans="1:18" ht="45" customHeight="1" x14ac:dyDescent="0.25">
      <c r="A109" s="24">
        <v>96</v>
      </c>
      <c r="B109" s="29" t="s">
        <v>19</v>
      </c>
      <c r="C109" s="23">
        <v>9</v>
      </c>
      <c r="D109" s="23">
        <v>341</v>
      </c>
      <c r="E109" s="23" t="s">
        <v>17</v>
      </c>
      <c r="F109" s="23">
        <v>99</v>
      </c>
      <c r="G109" s="22" t="s">
        <v>69</v>
      </c>
      <c r="H109" s="22">
        <v>56</v>
      </c>
      <c r="I109" s="23"/>
      <c r="J109" s="22"/>
      <c r="K109" s="23">
        <f t="shared" si="10"/>
        <v>43</v>
      </c>
      <c r="L109" s="27"/>
      <c r="M109" s="45" t="str">
        <f t="shared" si="11"/>
        <v>DCS</v>
      </c>
      <c r="N109" s="3"/>
      <c r="O109" s="3"/>
      <c r="P109" s="3"/>
      <c r="Q109" s="3"/>
      <c r="R109" s="3"/>
    </row>
    <row r="110" spans="1:18" ht="45" customHeight="1" x14ac:dyDescent="0.25">
      <c r="A110" s="21">
        <v>97</v>
      </c>
      <c r="B110" s="29" t="s">
        <v>80</v>
      </c>
      <c r="C110" s="23">
        <v>9</v>
      </c>
      <c r="D110" s="23">
        <v>300</v>
      </c>
      <c r="E110" s="23" t="s">
        <v>15</v>
      </c>
      <c r="F110" s="23">
        <v>839</v>
      </c>
      <c r="G110" s="22" t="s">
        <v>69</v>
      </c>
      <c r="H110" s="22">
        <v>142</v>
      </c>
      <c r="I110" s="23"/>
      <c r="J110" s="23"/>
      <c r="K110" s="23">
        <f t="shared" si="10"/>
        <v>697</v>
      </c>
      <c r="L110" s="27"/>
      <c r="M110" s="45" t="str">
        <f t="shared" si="11"/>
        <v>LUC</v>
      </c>
    </row>
    <row r="111" spans="1:18" ht="45" customHeight="1" x14ac:dyDescent="0.25">
      <c r="A111" s="21">
        <v>98</v>
      </c>
      <c r="B111" s="29" t="s">
        <v>79</v>
      </c>
      <c r="C111" s="23">
        <v>9</v>
      </c>
      <c r="D111" s="23">
        <v>340</v>
      </c>
      <c r="E111" s="23" t="s">
        <v>15</v>
      </c>
      <c r="F111" s="23">
        <v>284</v>
      </c>
      <c r="G111" s="22" t="s">
        <v>69</v>
      </c>
      <c r="H111" s="22">
        <v>252</v>
      </c>
      <c r="I111" s="23"/>
      <c r="J111" s="23"/>
      <c r="K111" s="23">
        <f t="shared" si="10"/>
        <v>32</v>
      </c>
      <c r="L111" s="27"/>
      <c r="M111" s="45" t="str">
        <f t="shared" si="11"/>
        <v>LUC</v>
      </c>
    </row>
    <row r="112" spans="1:18" ht="45" customHeight="1" x14ac:dyDescent="0.25">
      <c r="A112" s="21">
        <v>99</v>
      </c>
      <c r="B112" s="29" t="s">
        <v>80</v>
      </c>
      <c r="C112" s="23">
        <v>9</v>
      </c>
      <c r="D112" s="23">
        <v>301</v>
      </c>
      <c r="E112" s="23" t="s">
        <v>15</v>
      </c>
      <c r="F112" s="23">
        <v>346</v>
      </c>
      <c r="G112" s="22" t="s">
        <v>69</v>
      </c>
      <c r="H112" s="22">
        <v>118</v>
      </c>
      <c r="I112" s="23"/>
      <c r="J112" s="26"/>
      <c r="K112" s="23">
        <f t="shared" si="10"/>
        <v>228</v>
      </c>
      <c r="L112" s="27"/>
      <c r="M112" s="45" t="str">
        <f t="shared" si="11"/>
        <v>LUC</v>
      </c>
    </row>
    <row r="113" spans="1:13" ht="45" customHeight="1" x14ac:dyDescent="0.25">
      <c r="A113" s="21">
        <v>100</v>
      </c>
      <c r="B113" s="29" t="s">
        <v>19</v>
      </c>
      <c r="C113" s="23">
        <v>9</v>
      </c>
      <c r="D113" s="23">
        <v>339</v>
      </c>
      <c r="E113" s="23" t="s">
        <v>17</v>
      </c>
      <c r="F113" s="23">
        <v>62</v>
      </c>
      <c r="G113" s="22" t="s">
        <v>69</v>
      </c>
      <c r="H113" s="22">
        <v>58</v>
      </c>
      <c r="I113" s="23"/>
      <c r="J113" s="23"/>
      <c r="K113" s="23">
        <f t="shared" si="10"/>
        <v>4</v>
      </c>
      <c r="L113" s="27"/>
      <c r="M113" s="45" t="str">
        <f t="shared" si="11"/>
        <v>DCS</v>
      </c>
    </row>
    <row r="114" spans="1:13" ht="45" customHeight="1" x14ac:dyDescent="0.25">
      <c r="A114" s="21">
        <v>101</v>
      </c>
      <c r="B114" s="29" t="s">
        <v>80</v>
      </c>
      <c r="C114" s="23">
        <v>9</v>
      </c>
      <c r="D114" s="23">
        <v>302</v>
      </c>
      <c r="E114" s="23" t="s">
        <v>15</v>
      </c>
      <c r="F114" s="23">
        <v>38</v>
      </c>
      <c r="G114" s="22" t="s">
        <v>69</v>
      </c>
      <c r="H114" s="22">
        <v>38</v>
      </c>
      <c r="I114" s="23"/>
      <c r="J114" s="23"/>
      <c r="K114" s="23">
        <f t="shared" si="10"/>
        <v>0</v>
      </c>
      <c r="L114" s="27"/>
      <c r="M114" s="45" t="str">
        <f t="shared" si="11"/>
        <v>LUC</v>
      </c>
    </row>
    <row r="115" spans="1:13" ht="45" customHeight="1" x14ac:dyDescent="0.25">
      <c r="A115" s="21">
        <v>102</v>
      </c>
      <c r="B115" s="29" t="s">
        <v>19</v>
      </c>
      <c r="C115" s="23">
        <v>9</v>
      </c>
      <c r="D115" s="23">
        <v>875</v>
      </c>
      <c r="E115" s="23" t="s">
        <v>7</v>
      </c>
      <c r="F115" s="23">
        <v>1662</v>
      </c>
      <c r="G115" s="22" t="s">
        <v>69</v>
      </c>
      <c r="H115" s="22">
        <v>62</v>
      </c>
      <c r="I115" s="23"/>
      <c r="J115" s="23"/>
      <c r="K115" s="23">
        <f t="shared" si="10"/>
        <v>1600</v>
      </c>
      <c r="L115" s="27"/>
      <c r="M115" s="45" t="str">
        <f t="shared" si="11"/>
        <v>DGT</v>
      </c>
    </row>
    <row r="116" spans="1:13" ht="45" customHeight="1" x14ac:dyDescent="0.25">
      <c r="A116" s="21">
        <v>103</v>
      </c>
      <c r="B116" s="29" t="s">
        <v>19</v>
      </c>
      <c r="C116" s="23">
        <v>9</v>
      </c>
      <c r="D116" s="23">
        <v>875</v>
      </c>
      <c r="E116" s="23" t="s">
        <v>7</v>
      </c>
      <c r="F116" s="23">
        <v>1662</v>
      </c>
      <c r="G116" s="22" t="s">
        <v>69</v>
      </c>
      <c r="H116" s="22">
        <v>191</v>
      </c>
      <c r="I116" s="23"/>
      <c r="J116" s="23"/>
      <c r="K116" s="23">
        <f t="shared" si="10"/>
        <v>1471</v>
      </c>
      <c r="L116" s="27"/>
      <c r="M116" s="45" t="str">
        <f t="shared" si="11"/>
        <v>DGT</v>
      </c>
    </row>
    <row r="117" spans="1:13" ht="45" customHeight="1" x14ac:dyDescent="0.25">
      <c r="A117" s="21">
        <v>104</v>
      </c>
      <c r="B117" s="29" t="s">
        <v>19</v>
      </c>
      <c r="C117" s="23">
        <v>9</v>
      </c>
      <c r="D117" s="23">
        <v>875</v>
      </c>
      <c r="E117" s="23" t="s">
        <v>7</v>
      </c>
      <c r="F117" s="23">
        <v>1662</v>
      </c>
      <c r="G117" s="22" t="s">
        <v>69</v>
      </c>
      <c r="H117" s="22">
        <v>9</v>
      </c>
      <c r="I117" s="23"/>
      <c r="J117" s="23"/>
      <c r="K117" s="23">
        <f t="shared" si="10"/>
        <v>1653</v>
      </c>
      <c r="L117" s="27"/>
      <c r="M117" s="45" t="str">
        <f t="shared" si="11"/>
        <v>DGT</v>
      </c>
    </row>
    <row r="118" spans="1:13" ht="45" customHeight="1" x14ac:dyDescent="0.25">
      <c r="A118" s="21">
        <v>105</v>
      </c>
      <c r="B118" s="29" t="s">
        <v>19</v>
      </c>
      <c r="C118" s="23">
        <v>9</v>
      </c>
      <c r="D118" s="23">
        <v>875</v>
      </c>
      <c r="E118" s="23" t="s">
        <v>7</v>
      </c>
      <c r="F118" s="23">
        <v>1662</v>
      </c>
      <c r="G118" s="22" t="s">
        <v>69</v>
      </c>
      <c r="H118" s="22">
        <v>24</v>
      </c>
      <c r="I118" s="23"/>
      <c r="J118" s="23"/>
      <c r="K118" s="23">
        <f t="shared" si="10"/>
        <v>1638</v>
      </c>
      <c r="L118" s="27"/>
      <c r="M118" s="45" t="str">
        <f t="shared" si="11"/>
        <v>DGT</v>
      </c>
    </row>
    <row r="119" spans="1:13" ht="45" customHeight="1" x14ac:dyDescent="0.25">
      <c r="A119" s="21">
        <v>106</v>
      </c>
      <c r="B119" s="29" t="s">
        <v>80</v>
      </c>
      <c r="C119" s="23">
        <v>9</v>
      </c>
      <c r="D119" s="23">
        <v>251</v>
      </c>
      <c r="E119" s="23" t="s">
        <v>89</v>
      </c>
      <c r="F119" s="23">
        <v>1164</v>
      </c>
      <c r="G119" s="22" t="s">
        <v>69</v>
      </c>
      <c r="H119" s="22">
        <v>13</v>
      </c>
      <c r="I119" s="23"/>
      <c r="J119" s="23"/>
      <c r="K119" s="23">
        <f t="shared" si="10"/>
        <v>1151</v>
      </c>
      <c r="L119" s="27"/>
      <c r="M119" s="45" t="str">
        <f t="shared" si="11"/>
        <v>LNC</v>
      </c>
    </row>
    <row r="120" spans="1:13" ht="45" customHeight="1" x14ac:dyDescent="0.25">
      <c r="A120" s="21">
        <v>107</v>
      </c>
      <c r="B120" s="29" t="s">
        <v>80</v>
      </c>
      <c r="C120" s="23">
        <v>9</v>
      </c>
      <c r="D120" s="23">
        <v>303</v>
      </c>
      <c r="E120" s="23" t="s">
        <v>15</v>
      </c>
      <c r="F120" s="23">
        <v>44</v>
      </c>
      <c r="G120" s="22" t="s">
        <v>69</v>
      </c>
      <c r="H120" s="22">
        <v>7</v>
      </c>
      <c r="I120" s="23"/>
      <c r="J120" s="23"/>
      <c r="K120" s="23">
        <f t="shared" si="10"/>
        <v>37</v>
      </c>
      <c r="L120" s="27"/>
      <c r="M120" s="45" t="str">
        <f t="shared" si="11"/>
        <v>LUC</v>
      </c>
    </row>
    <row r="121" spans="1:13" ht="45" customHeight="1" x14ac:dyDescent="0.25">
      <c r="A121" s="21">
        <v>108</v>
      </c>
      <c r="B121" s="29" t="s">
        <v>81</v>
      </c>
      <c r="C121" s="23">
        <v>9</v>
      </c>
      <c r="D121" s="23">
        <v>338</v>
      </c>
      <c r="E121" s="23" t="s">
        <v>15</v>
      </c>
      <c r="F121" s="23">
        <v>121</v>
      </c>
      <c r="G121" s="22" t="s">
        <v>46</v>
      </c>
      <c r="H121" s="22">
        <v>81</v>
      </c>
      <c r="I121" s="23"/>
      <c r="J121" s="23"/>
      <c r="K121" s="23">
        <f t="shared" si="10"/>
        <v>40</v>
      </c>
      <c r="L121" s="27"/>
      <c r="M121" s="45" t="s">
        <v>6</v>
      </c>
    </row>
    <row r="122" spans="1:13" ht="45" customHeight="1" x14ac:dyDescent="0.25">
      <c r="A122" s="21">
        <v>109</v>
      </c>
      <c r="B122" s="29" t="s">
        <v>80</v>
      </c>
      <c r="C122" s="23">
        <v>9</v>
      </c>
      <c r="D122" s="23">
        <v>304</v>
      </c>
      <c r="E122" s="23" t="s">
        <v>72</v>
      </c>
      <c r="F122" s="23">
        <v>98</v>
      </c>
      <c r="G122" s="22" t="s">
        <v>69</v>
      </c>
      <c r="H122" s="22">
        <v>82</v>
      </c>
      <c r="I122" s="23"/>
      <c r="J122" s="23"/>
      <c r="K122" s="23">
        <f t="shared" si="10"/>
        <v>16</v>
      </c>
      <c r="L122" s="27"/>
      <c r="M122" s="45" t="str">
        <f t="shared" si="11"/>
        <v>BHK</v>
      </c>
    </row>
    <row r="123" spans="1:13" ht="45" customHeight="1" x14ac:dyDescent="0.25">
      <c r="A123" s="21">
        <v>110</v>
      </c>
      <c r="B123" s="29" t="s">
        <v>19</v>
      </c>
      <c r="C123" s="23">
        <v>9</v>
      </c>
      <c r="D123" s="23">
        <v>876</v>
      </c>
      <c r="E123" s="23" t="s">
        <v>7</v>
      </c>
      <c r="F123" s="23">
        <v>181</v>
      </c>
      <c r="G123" s="22" t="s">
        <v>69</v>
      </c>
      <c r="H123" s="22">
        <v>31</v>
      </c>
      <c r="I123" s="23"/>
      <c r="J123" s="23"/>
      <c r="K123" s="23">
        <f t="shared" si="10"/>
        <v>150</v>
      </c>
      <c r="L123" s="27"/>
      <c r="M123" s="45" t="str">
        <f t="shared" si="11"/>
        <v>DGT</v>
      </c>
    </row>
    <row r="124" spans="1:13" ht="45" customHeight="1" x14ac:dyDescent="0.25">
      <c r="A124" s="21">
        <v>111</v>
      </c>
      <c r="B124" s="29" t="s">
        <v>81</v>
      </c>
      <c r="C124" s="23">
        <v>9</v>
      </c>
      <c r="D124" s="23">
        <v>337</v>
      </c>
      <c r="E124" s="23" t="s">
        <v>15</v>
      </c>
      <c r="F124" s="23">
        <v>279</v>
      </c>
      <c r="G124" s="22" t="s">
        <v>46</v>
      </c>
      <c r="H124" s="22">
        <v>20</v>
      </c>
      <c r="I124" s="23"/>
      <c r="J124" s="23"/>
      <c r="K124" s="23">
        <f t="shared" si="10"/>
        <v>259</v>
      </c>
      <c r="L124" s="27"/>
      <c r="M124" s="45" t="str">
        <f t="shared" si="11"/>
        <v>LUC</v>
      </c>
    </row>
    <row r="125" spans="1:13" ht="45" customHeight="1" x14ac:dyDescent="0.25">
      <c r="A125" s="21">
        <v>112</v>
      </c>
      <c r="B125" s="29" t="s">
        <v>128</v>
      </c>
      <c r="C125" s="23">
        <v>9</v>
      </c>
      <c r="D125" s="23">
        <v>203</v>
      </c>
      <c r="E125" s="23" t="s">
        <v>88</v>
      </c>
      <c r="F125" s="23">
        <v>4356</v>
      </c>
      <c r="G125" s="22" t="s">
        <v>69</v>
      </c>
      <c r="H125" s="22">
        <v>169</v>
      </c>
      <c r="I125" s="23"/>
      <c r="J125" s="23"/>
      <c r="K125" s="23">
        <f t="shared" si="10"/>
        <v>4187</v>
      </c>
      <c r="L125" s="27"/>
      <c r="M125" s="45" t="str">
        <f t="shared" si="11"/>
        <v>LNK</v>
      </c>
    </row>
    <row r="126" spans="1:13" ht="45" customHeight="1" x14ac:dyDescent="0.25">
      <c r="A126" s="21">
        <v>113</v>
      </c>
      <c r="B126" s="29" t="s">
        <v>81</v>
      </c>
      <c r="C126" s="23">
        <v>9</v>
      </c>
      <c r="D126" s="23">
        <v>336</v>
      </c>
      <c r="E126" s="23" t="s">
        <v>15</v>
      </c>
      <c r="F126" s="23">
        <v>273</v>
      </c>
      <c r="G126" s="22" t="s">
        <v>46</v>
      </c>
      <c r="H126" s="22">
        <v>70</v>
      </c>
      <c r="I126" s="23"/>
      <c r="J126" s="23"/>
      <c r="K126" s="23">
        <f t="shared" si="10"/>
        <v>203</v>
      </c>
      <c r="L126" s="27"/>
      <c r="M126" s="45" t="str">
        <f t="shared" si="11"/>
        <v>LUC</v>
      </c>
    </row>
    <row r="127" spans="1:13" ht="45" customHeight="1" x14ac:dyDescent="0.25">
      <c r="A127" s="21">
        <v>114</v>
      </c>
      <c r="B127" s="29" t="s">
        <v>81</v>
      </c>
      <c r="C127" s="23">
        <v>9</v>
      </c>
      <c r="D127" s="23">
        <v>305</v>
      </c>
      <c r="E127" s="23" t="s">
        <v>15</v>
      </c>
      <c r="F127" s="23">
        <v>142</v>
      </c>
      <c r="G127" s="22" t="s">
        <v>46</v>
      </c>
      <c r="H127" s="22">
        <v>56</v>
      </c>
      <c r="I127" s="23"/>
      <c r="J127" s="23"/>
      <c r="K127" s="23">
        <f t="shared" si="10"/>
        <v>86</v>
      </c>
      <c r="L127" s="27"/>
      <c r="M127" s="45" t="str">
        <f t="shared" si="11"/>
        <v>LUC</v>
      </c>
    </row>
    <row r="128" spans="1:13" ht="45" customHeight="1" x14ac:dyDescent="0.25">
      <c r="A128" s="21">
        <v>115</v>
      </c>
      <c r="B128" s="29" t="s">
        <v>81</v>
      </c>
      <c r="C128" s="23">
        <v>9</v>
      </c>
      <c r="D128" s="23">
        <v>306</v>
      </c>
      <c r="E128" s="23" t="s">
        <v>15</v>
      </c>
      <c r="F128" s="23">
        <v>151</v>
      </c>
      <c r="G128" s="22" t="s">
        <v>46</v>
      </c>
      <c r="H128" s="22">
        <v>151</v>
      </c>
      <c r="I128" s="23"/>
      <c r="J128" s="23"/>
      <c r="K128" s="23">
        <f t="shared" si="10"/>
        <v>0</v>
      </c>
      <c r="L128" s="27"/>
      <c r="M128" s="45" t="str">
        <f t="shared" si="11"/>
        <v>LUC</v>
      </c>
    </row>
    <row r="129" spans="1:13" ht="45" customHeight="1" x14ac:dyDescent="0.25">
      <c r="A129" s="21">
        <v>116</v>
      </c>
      <c r="B129" s="29" t="s">
        <v>81</v>
      </c>
      <c r="C129" s="23">
        <v>9</v>
      </c>
      <c r="D129" s="23">
        <v>307</v>
      </c>
      <c r="E129" s="23" t="s">
        <v>15</v>
      </c>
      <c r="F129" s="23">
        <v>213</v>
      </c>
      <c r="G129" s="22" t="s">
        <v>46</v>
      </c>
      <c r="H129" s="22">
        <v>28</v>
      </c>
      <c r="I129" s="23"/>
      <c r="J129" s="23"/>
      <c r="K129" s="23">
        <f t="shared" si="10"/>
        <v>185</v>
      </c>
      <c r="L129" s="27"/>
      <c r="M129" s="45" t="str">
        <f t="shared" si="11"/>
        <v>LUC</v>
      </c>
    </row>
    <row r="130" spans="1:13" ht="45" customHeight="1" x14ac:dyDescent="0.25">
      <c r="A130" s="21">
        <v>117</v>
      </c>
      <c r="B130" s="29" t="s">
        <v>81</v>
      </c>
      <c r="C130" s="23">
        <v>9</v>
      </c>
      <c r="D130" s="23">
        <v>308</v>
      </c>
      <c r="E130" s="23" t="s">
        <v>15</v>
      </c>
      <c r="F130" s="23">
        <v>626</v>
      </c>
      <c r="G130" s="22" t="s">
        <v>46</v>
      </c>
      <c r="H130" s="22">
        <v>469</v>
      </c>
      <c r="I130" s="23"/>
      <c r="J130" s="23"/>
      <c r="K130" s="23">
        <f t="shared" si="10"/>
        <v>157</v>
      </c>
      <c r="L130" s="27"/>
      <c r="M130" s="45" t="str">
        <f t="shared" si="11"/>
        <v>LUC</v>
      </c>
    </row>
    <row r="131" spans="1:13" ht="45" customHeight="1" x14ac:dyDescent="0.25">
      <c r="A131" s="21">
        <v>118</v>
      </c>
      <c r="B131" s="29" t="s">
        <v>81</v>
      </c>
      <c r="C131" s="23">
        <v>9</v>
      </c>
      <c r="D131" s="23">
        <v>275</v>
      </c>
      <c r="E131" s="23" t="s">
        <v>15</v>
      </c>
      <c r="F131" s="23">
        <v>225</v>
      </c>
      <c r="G131" s="22" t="s">
        <v>46</v>
      </c>
      <c r="H131" s="22">
        <v>73</v>
      </c>
      <c r="I131" s="23"/>
      <c r="J131" s="23"/>
      <c r="K131" s="23">
        <f t="shared" si="10"/>
        <v>152</v>
      </c>
      <c r="L131" s="27"/>
      <c r="M131" s="45" t="str">
        <f t="shared" si="11"/>
        <v>LUC</v>
      </c>
    </row>
    <row r="132" spans="1:13" ht="45" customHeight="1" x14ac:dyDescent="0.25">
      <c r="A132" s="21">
        <v>119</v>
      </c>
      <c r="B132" s="29" t="s">
        <v>82</v>
      </c>
      <c r="C132" s="23">
        <v>9</v>
      </c>
      <c r="D132" s="23">
        <v>274</v>
      </c>
      <c r="E132" s="23" t="s">
        <v>15</v>
      </c>
      <c r="F132" s="23">
        <v>273</v>
      </c>
      <c r="G132" s="22" t="s">
        <v>55</v>
      </c>
      <c r="H132" s="22">
        <v>235</v>
      </c>
      <c r="I132" s="23"/>
      <c r="J132" s="23"/>
      <c r="K132" s="23">
        <f t="shared" si="10"/>
        <v>38</v>
      </c>
      <c r="L132" s="27"/>
      <c r="M132" s="45" t="str">
        <f t="shared" si="11"/>
        <v>LUC</v>
      </c>
    </row>
    <row r="133" spans="1:13" ht="45" customHeight="1" x14ac:dyDescent="0.25">
      <c r="A133" s="21">
        <v>120</v>
      </c>
      <c r="B133" s="29" t="s">
        <v>82</v>
      </c>
      <c r="C133" s="23">
        <v>9</v>
      </c>
      <c r="D133" s="23">
        <v>253</v>
      </c>
      <c r="E133" s="23" t="s">
        <v>15</v>
      </c>
      <c r="F133" s="23">
        <v>212</v>
      </c>
      <c r="G133" s="22" t="s">
        <v>55</v>
      </c>
      <c r="H133" s="22">
        <v>1</v>
      </c>
      <c r="I133" s="23"/>
      <c r="J133" s="23"/>
      <c r="K133" s="23">
        <f t="shared" si="10"/>
        <v>211</v>
      </c>
      <c r="L133" s="27"/>
      <c r="M133" s="45" t="str">
        <f t="shared" si="11"/>
        <v>LUC</v>
      </c>
    </row>
    <row r="134" spans="1:13" ht="45" customHeight="1" x14ac:dyDescent="0.25">
      <c r="A134" s="21">
        <v>121</v>
      </c>
      <c r="B134" s="29" t="s">
        <v>63</v>
      </c>
      <c r="C134" s="23">
        <v>9</v>
      </c>
      <c r="D134" s="23">
        <v>309</v>
      </c>
      <c r="E134" s="23" t="s">
        <v>15</v>
      </c>
      <c r="F134" s="23">
        <v>49</v>
      </c>
      <c r="G134" s="22" t="s">
        <v>44</v>
      </c>
      <c r="H134" s="22">
        <v>23</v>
      </c>
      <c r="I134" s="23"/>
      <c r="J134" s="23"/>
      <c r="K134" s="23">
        <f t="shared" si="10"/>
        <v>26</v>
      </c>
      <c r="L134" s="27"/>
      <c r="M134" s="45" t="str">
        <f t="shared" si="11"/>
        <v>LUC</v>
      </c>
    </row>
    <row r="135" spans="1:13" ht="45" customHeight="1" x14ac:dyDescent="0.25">
      <c r="A135" s="21">
        <v>122</v>
      </c>
      <c r="B135" s="29" t="s">
        <v>63</v>
      </c>
      <c r="C135" s="23">
        <v>9</v>
      </c>
      <c r="D135" s="23">
        <v>310</v>
      </c>
      <c r="E135" s="23" t="s">
        <v>15</v>
      </c>
      <c r="F135" s="23">
        <v>250</v>
      </c>
      <c r="G135" s="22" t="s">
        <v>44</v>
      </c>
      <c r="H135" s="22">
        <v>63</v>
      </c>
      <c r="I135" s="23"/>
      <c r="J135" s="23"/>
      <c r="K135" s="23">
        <f t="shared" si="10"/>
        <v>187</v>
      </c>
      <c r="L135" s="27"/>
      <c r="M135" s="45" t="str">
        <f t="shared" si="11"/>
        <v>LUC</v>
      </c>
    </row>
    <row r="136" spans="1:13" ht="45" customHeight="1" x14ac:dyDescent="0.25">
      <c r="A136" s="21">
        <v>123</v>
      </c>
      <c r="B136" s="29" t="s">
        <v>82</v>
      </c>
      <c r="C136" s="23">
        <v>9</v>
      </c>
      <c r="D136" s="23">
        <v>254</v>
      </c>
      <c r="E136" s="23" t="s">
        <v>15</v>
      </c>
      <c r="F136" s="23">
        <v>148</v>
      </c>
      <c r="G136" s="22" t="s">
        <v>55</v>
      </c>
      <c r="H136" s="22">
        <v>47</v>
      </c>
      <c r="I136" s="23"/>
      <c r="J136" s="23"/>
      <c r="K136" s="23">
        <f t="shared" si="10"/>
        <v>101</v>
      </c>
      <c r="L136" s="27"/>
      <c r="M136" s="45" t="str">
        <f t="shared" si="11"/>
        <v>LUC</v>
      </c>
    </row>
    <row r="137" spans="1:13" ht="45" customHeight="1" x14ac:dyDescent="0.25">
      <c r="A137" s="21">
        <v>124</v>
      </c>
      <c r="B137" s="29" t="s">
        <v>82</v>
      </c>
      <c r="C137" s="23">
        <v>9</v>
      </c>
      <c r="D137" s="23">
        <v>273</v>
      </c>
      <c r="E137" s="23" t="s">
        <v>15</v>
      </c>
      <c r="F137" s="23">
        <v>172</v>
      </c>
      <c r="G137" s="22" t="s">
        <v>55</v>
      </c>
      <c r="H137" s="22">
        <v>172</v>
      </c>
      <c r="I137" s="23"/>
      <c r="J137" s="23"/>
      <c r="K137" s="23">
        <f t="shared" si="10"/>
        <v>0</v>
      </c>
      <c r="L137" s="27"/>
      <c r="M137" s="45" t="str">
        <f t="shared" si="11"/>
        <v>LUC</v>
      </c>
    </row>
    <row r="138" spans="1:13" ht="45" customHeight="1" x14ac:dyDescent="0.25">
      <c r="A138" s="21">
        <v>125</v>
      </c>
      <c r="B138" s="29" t="s">
        <v>63</v>
      </c>
      <c r="C138" s="23">
        <v>9</v>
      </c>
      <c r="D138" s="23">
        <v>311</v>
      </c>
      <c r="E138" s="23" t="s">
        <v>15</v>
      </c>
      <c r="F138" s="23">
        <v>357</v>
      </c>
      <c r="G138" s="22" t="s">
        <v>44</v>
      </c>
      <c r="H138" s="22">
        <v>25</v>
      </c>
      <c r="I138" s="23"/>
      <c r="J138" s="23"/>
      <c r="K138" s="23">
        <f t="shared" si="10"/>
        <v>332</v>
      </c>
      <c r="L138" s="27"/>
      <c r="M138" s="45" t="str">
        <f t="shared" si="11"/>
        <v>LUC</v>
      </c>
    </row>
    <row r="139" spans="1:13" ht="45" customHeight="1" x14ac:dyDescent="0.25">
      <c r="A139" s="21">
        <v>126</v>
      </c>
      <c r="B139" s="29" t="s">
        <v>82</v>
      </c>
      <c r="C139" s="23">
        <v>9</v>
      </c>
      <c r="D139" s="23">
        <v>255</v>
      </c>
      <c r="E139" s="23" t="s">
        <v>15</v>
      </c>
      <c r="F139" s="23">
        <v>157</v>
      </c>
      <c r="G139" s="22" t="s">
        <v>55</v>
      </c>
      <c r="H139" s="22">
        <v>75</v>
      </c>
      <c r="I139" s="23"/>
      <c r="J139" s="23"/>
      <c r="K139" s="23">
        <f t="shared" si="10"/>
        <v>82</v>
      </c>
      <c r="L139" s="27"/>
      <c r="M139" s="45" t="str">
        <f t="shared" si="11"/>
        <v>LUC</v>
      </c>
    </row>
    <row r="140" spans="1:13" ht="45" customHeight="1" x14ac:dyDescent="0.25">
      <c r="A140" s="21">
        <v>127</v>
      </c>
      <c r="B140" s="29" t="s">
        <v>82</v>
      </c>
      <c r="C140" s="23">
        <v>9</v>
      </c>
      <c r="D140" s="23">
        <v>272</v>
      </c>
      <c r="E140" s="23" t="s">
        <v>15</v>
      </c>
      <c r="F140" s="23">
        <v>154</v>
      </c>
      <c r="G140" s="22" t="s">
        <v>55</v>
      </c>
      <c r="H140" s="22">
        <v>154</v>
      </c>
      <c r="I140" s="23"/>
      <c r="J140" s="23"/>
      <c r="K140" s="23">
        <f t="shared" si="10"/>
        <v>0</v>
      </c>
      <c r="L140" s="27"/>
      <c r="M140" s="45" t="str">
        <f t="shared" si="11"/>
        <v>LUC</v>
      </c>
    </row>
    <row r="141" spans="1:13" ht="45" customHeight="1" x14ac:dyDescent="0.25">
      <c r="A141" s="21">
        <v>128</v>
      </c>
      <c r="B141" s="29" t="s">
        <v>82</v>
      </c>
      <c r="C141" s="23">
        <v>9</v>
      </c>
      <c r="D141" s="23">
        <v>256</v>
      </c>
      <c r="E141" s="23" t="s">
        <v>15</v>
      </c>
      <c r="F141" s="23">
        <v>118</v>
      </c>
      <c r="G141" s="22" t="s">
        <v>55</v>
      </c>
      <c r="H141" s="22">
        <v>17</v>
      </c>
      <c r="I141" s="23"/>
      <c r="J141" s="23"/>
      <c r="K141" s="23">
        <f t="shared" si="10"/>
        <v>101</v>
      </c>
      <c r="L141" s="27"/>
      <c r="M141" s="45" t="str">
        <f t="shared" si="11"/>
        <v>LUC</v>
      </c>
    </row>
    <row r="142" spans="1:13" ht="45" customHeight="1" x14ac:dyDescent="0.25">
      <c r="A142" s="21">
        <v>129</v>
      </c>
      <c r="B142" s="29" t="s">
        <v>82</v>
      </c>
      <c r="C142" s="23">
        <v>9</v>
      </c>
      <c r="D142" s="23">
        <v>271</v>
      </c>
      <c r="E142" s="23" t="s">
        <v>15</v>
      </c>
      <c r="F142" s="23">
        <v>198</v>
      </c>
      <c r="G142" s="22" t="s">
        <v>55</v>
      </c>
      <c r="H142" s="22">
        <v>184</v>
      </c>
      <c r="I142" s="23"/>
      <c r="J142" s="23"/>
      <c r="K142" s="23">
        <f t="shared" ref="K142:K170" si="12">F142-H142</f>
        <v>14</v>
      </c>
      <c r="L142" s="27"/>
      <c r="M142" s="45" t="str">
        <f t="shared" si="11"/>
        <v>LUC</v>
      </c>
    </row>
    <row r="143" spans="1:13" ht="45" customHeight="1" x14ac:dyDescent="0.25">
      <c r="A143" s="21">
        <v>130</v>
      </c>
      <c r="B143" s="29" t="s">
        <v>82</v>
      </c>
      <c r="C143" s="23">
        <v>9</v>
      </c>
      <c r="D143" s="23">
        <v>257</v>
      </c>
      <c r="E143" s="23" t="s">
        <v>15</v>
      </c>
      <c r="F143" s="23">
        <v>101</v>
      </c>
      <c r="G143" s="22" t="s">
        <v>55</v>
      </c>
      <c r="H143" s="22">
        <v>49</v>
      </c>
      <c r="I143" s="23"/>
      <c r="J143" s="23"/>
      <c r="K143" s="23">
        <f t="shared" si="12"/>
        <v>52</v>
      </c>
      <c r="L143" s="27"/>
      <c r="M143" s="45" t="str">
        <f t="shared" ref="M143:M170" si="13">IF(E143="ONT+CLN","CLN",IF(E143="ODT+CLN","CLN",E143))</f>
        <v>LUC</v>
      </c>
    </row>
    <row r="144" spans="1:13" ht="45" customHeight="1" x14ac:dyDescent="0.25">
      <c r="A144" s="21">
        <v>131</v>
      </c>
      <c r="B144" s="29" t="s">
        <v>63</v>
      </c>
      <c r="C144" s="23">
        <v>9</v>
      </c>
      <c r="D144" s="23">
        <v>269</v>
      </c>
      <c r="E144" s="23" t="s">
        <v>89</v>
      </c>
      <c r="F144" s="23">
        <v>2147</v>
      </c>
      <c r="G144" s="22" t="s">
        <v>45</v>
      </c>
      <c r="H144" s="22">
        <v>627</v>
      </c>
      <c r="I144" s="23"/>
      <c r="J144" s="23"/>
      <c r="K144" s="23">
        <f t="shared" si="12"/>
        <v>1520</v>
      </c>
      <c r="L144" s="27"/>
      <c r="M144" s="45" t="str">
        <f t="shared" si="13"/>
        <v>LNC</v>
      </c>
    </row>
    <row r="145" spans="1:13" ht="45" customHeight="1" x14ac:dyDescent="0.25">
      <c r="A145" s="21">
        <v>132</v>
      </c>
      <c r="B145" s="29" t="s">
        <v>19</v>
      </c>
      <c r="C145" s="23">
        <v>9</v>
      </c>
      <c r="D145" s="23">
        <v>874</v>
      </c>
      <c r="E145" s="23" t="s">
        <v>7</v>
      </c>
      <c r="F145" s="23">
        <v>82</v>
      </c>
      <c r="G145" s="22" t="s">
        <v>69</v>
      </c>
      <c r="H145" s="22">
        <v>31</v>
      </c>
      <c r="I145" s="23"/>
      <c r="J145" s="23"/>
      <c r="K145" s="23">
        <f t="shared" si="12"/>
        <v>51</v>
      </c>
      <c r="L145" s="27"/>
      <c r="M145" s="45" t="str">
        <f t="shared" si="13"/>
        <v>DGT</v>
      </c>
    </row>
    <row r="146" spans="1:13" ht="45" customHeight="1" x14ac:dyDescent="0.25">
      <c r="A146" s="21">
        <v>133</v>
      </c>
      <c r="B146" s="29" t="s">
        <v>63</v>
      </c>
      <c r="C146" s="23">
        <v>9</v>
      </c>
      <c r="D146" s="23">
        <v>270</v>
      </c>
      <c r="E146" s="23" t="s">
        <v>15</v>
      </c>
      <c r="F146" s="23">
        <v>85</v>
      </c>
      <c r="G146" s="22" t="s">
        <v>44</v>
      </c>
      <c r="H146" s="22">
        <v>55</v>
      </c>
      <c r="I146" s="23"/>
      <c r="J146" s="23"/>
      <c r="K146" s="23">
        <f t="shared" si="12"/>
        <v>30</v>
      </c>
      <c r="L146" s="27"/>
      <c r="M146" s="45" t="str">
        <f t="shared" si="13"/>
        <v>LUC</v>
      </c>
    </row>
    <row r="147" spans="1:13" ht="45" customHeight="1" x14ac:dyDescent="0.25">
      <c r="A147" s="21">
        <v>134</v>
      </c>
      <c r="B147" s="29" t="s">
        <v>63</v>
      </c>
      <c r="C147" s="23">
        <v>9</v>
      </c>
      <c r="D147" s="23">
        <v>258</v>
      </c>
      <c r="E147" s="23" t="s">
        <v>15</v>
      </c>
      <c r="F147" s="23">
        <v>126</v>
      </c>
      <c r="G147" s="22" t="s">
        <v>44</v>
      </c>
      <c r="H147" s="22">
        <v>117</v>
      </c>
      <c r="I147" s="23"/>
      <c r="J147" s="23"/>
      <c r="K147" s="23">
        <f t="shared" si="12"/>
        <v>9</v>
      </c>
      <c r="L147" s="27"/>
      <c r="M147" s="45" t="str">
        <f t="shared" si="13"/>
        <v>LUC</v>
      </c>
    </row>
    <row r="148" spans="1:13" ht="45" customHeight="1" x14ac:dyDescent="0.25">
      <c r="A148" s="21">
        <v>135</v>
      </c>
      <c r="B148" s="29" t="s">
        <v>65</v>
      </c>
      <c r="C148" s="23">
        <v>9</v>
      </c>
      <c r="D148" s="23">
        <v>224</v>
      </c>
      <c r="E148" s="23" t="s">
        <v>15</v>
      </c>
      <c r="F148" s="23">
        <v>369</v>
      </c>
      <c r="G148" s="22" t="s">
        <v>54</v>
      </c>
      <c r="H148" s="22">
        <v>63</v>
      </c>
      <c r="I148" s="23"/>
      <c r="J148" s="23"/>
      <c r="K148" s="23">
        <f t="shared" si="12"/>
        <v>306</v>
      </c>
      <c r="L148" s="27"/>
      <c r="M148" s="45" t="str">
        <f t="shared" si="13"/>
        <v>LUC</v>
      </c>
    </row>
    <row r="149" spans="1:13" ht="45" customHeight="1" x14ac:dyDescent="0.25">
      <c r="A149" s="21">
        <v>136</v>
      </c>
      <c r="B149" s="29" t="s">
        <v>65</v>
      </c>
      <c r="C149" s="23">
        <v>9</v>
      </c>
      <c r="D149" s="23">
        <v>223</v>
      </c>
      <c r="E149" s="23" t="s">
        <v>15</v>
      </c>
      <c r="F149" s="23">
        <v>321</v>
      </c>
      <c r="G149" s="22" t="s">
        <v>54</v>
      </c>
      <c r="H149" s="22">
        <v>4</v>
      </c>
      <c r="I149" s="23"/>
      <c r="J149" s="23"/>
      <c r="K149" s="23">
        <f t="shared" si="12"/>
        <v>317</v>
      </c>
      <c r="L149" s="27"/>
      <c r="M149" s="45" t="str">
        <f t="shared" si="13"/>
        <v>LUC</v>
      </c>
    </row>
    <row r="150" spans="1:13" ht="45" customHeight="1" x14ac:dyDescent="0.25">
      <c r="A150" s="21">
        <v>137</v>
      </c>
      <c r="B150" s="29" t="s">
        <v>65</v>
      </c>
      <c r="C150" s="23">
        <v>9</v>
      </c>
      <c r="D150" s="23">
        <v>212</v>
      </c>
      <c r="E150" s="23" t="s">
        <v>15</v>
      </c>
      <c r="F150" s="23">
        <v>473</v>
      </c>
      <c r="G150" s="22" t="s">
        <v>54</v>
      </c>
      <c r="H150" s="22">
        <v>83</v>
      </c>
      <c r="I150" s="23"/>
      <c r="J150" s="23"/>
      <c r="K150" s="23">
        <f t="shared" si="12"/>
        <v>390</v>
      </c>
      <c r="L150" s="27"/>
      <c r="M150" s="45" t="str">
        <f t="shared" si="13"/>
        <v>LUC</v>
      </c>
    </row>
    <row r="151" spans="1:13" ht="45" customHeight="1" x14ac:dyDescent="0.25">
      <c r="A151" s="21">
        <v>138</v>
      </c>
      <c r="B151" s="29" t="s">
        <v>65</v>
      </c>
      <c r="C151" s="23">
        <v>9</v>
      </c>
      <c r="D151" s="23">
        <v>259</v>
      </c>
      <c r="E151" s="23" t="s">
        <v>15</v>
      </c>
      <c r="F151" s="23">
        <v>105</v>
      </c>
      <c r="G151" s="22" t="s">
        <v>54</v>
      </c>
      <c r="H151" s="22">
        <v>105</v>
      </c>
      <c r="I151" s="23"/>
      <c r="J151" s="23"/>
      <c r="K151" s="23">
        <f t="shared" si="12"/>
        <v>0</v>
      </c>
      <c r="L151" s="27"/>
      <c r="M151" s="45" t="str">
        <f t="shared" si="13"/>
        <v>LUC</v>
      </c>
    </row>
    <row r="152" spans="1:13" ht="45" customHeight="1" x14ac:dyDescent="0.25">
      <c r="A152" s="21">
        <v>139</v>
      </c>
      <c r="B152" s="29" t="s">
        <v>60</v>
      </c>
      <c r="C152" s="23">
        <v>9</v>
      </c>
      <c r="D152" s="23">
        <v>313</v>
      </c>
      <c r="E152" s="23" t="s">
        <v>89</v>
      </c>
      <c r="F152" s="23">
        <v>882</v>
      </c>
      <c r="G152" s="22" t="s">
        <v>69</v>
      </c>
      <c r="H152" s="22">
        <v>32</v>
      </c>
      <c r="I152" s="23"/>
      <c r="J152" s="23"/>
      <c r="K152" s="23">
        <f t="shared" si="12"/>
        <v>850</v>
      </c>
      <c r="L152" s="27"/>
      <c r="M152" s="45" t="str">
        <f t="shared" si="13"/>
        <v>LNC</v>
      </c>
    </row>
    <row r="153" spans="1:13" ht="45" customHeight="1" x14ac:dyDescent="0.25">
      <c r="A153" s="21">
        <v>140</v>
      </c>
      <c r="B153" s="29" t="s">
        <v>83</v>
      </c>
      <c r="C153" s="23">
        <v>9</v>
      </c>
      <c r="D153" s="23">
        <v>260</v>
      </c>
      <c r="E153" s="23" t="s">
        <v>15</v>
      </c>
      <c r="F153" s="23">
        <v>219</v>
      </c>
      <c r="G153" s="22" t="s">
        <v>51</v>
      </c>
      <c r="H153" s="22">
        <v>96</v>
      </c>
      <c r="I153" s="23"/>
      <c r="J153" s="23"/>
      <c r="K153" s="23">
        <f t="shared" si="12"/>
        <v>123</v>
      </c>
      <c r="L153" s="27"/>
      <c r="M153" s="45" t="str">
        <f t="shared" si="13"/>
        <v>LUC</v>
      </c>
    </row>
    <row r="154" spans="1:13" ht="45" customHeight="1" x14ac:dyDescent="0.25">
      <c r="A154" s="21">
        <v>141</v>
      </c>
      <c r="B154" s="29" t="s">
        <v>65</v>
      </c>
      <c r="C154" s="23">
        <v>9</v>
      </c>
      <c r="D154" s="23">
        <v>222</v>
      </c>
      <c r="E154" s="23" t="s">
        <v>15</v>
      </c>
      <c r="F154" s="23">
        <v>96</v>
      </c>
      <c r="G154" s="22" t="s">
        <v>54</v>
      </c>
      <c r="H154" s="22">
        <v>89</v>
      </c>
      <c r="I154" s="23"/>
      <c r="J154" s="23"/>
      <c r="K154" s="23">
        <f t="shared" si="12"/>
        <v>7</v>
      </c>
      <c r="L154" s="27"/>
      <c r="M154" s="45" t="str">
        <f t="shared" si="13"/>
        <v>LUC</v>
      </c>
    </row>
    <row r="155" spans="1:13" ht="45" customHeight="1" x14ac:dyDescent="0.25">
      <c r="A155" s="21">
        <v>142</v>
      </c>
      <c r="B155" s="29" t="s">
        <v>83</v>
      </c>
      <c r="C155" s="23">
        <v>9</v>
      </c>
      <c r="D155" s="23">
        <v>261</v>
      </c>
      <c r="E155" s="23" t="s">
        <v>15</v>
      </c>
      <c r="F155" s="23">
        <v>125</v>
      </c>
      <c r="G155" s="22" t="s">
        <v>51</v>
      </c>
      <c r="H155" s="22">
        <v>124</v>
      </c>
      <c r="I155" s="23"/>
      <c r="J155" s="23"/>
      <c r="K155" s="23">
        <f t="shared" si="12"/>
        <v>1</v>
      </c>
      <c r="L155" s="27"/>
      <c r="M155" s="45" t="str">
        <f t="shared" si="13"/>
        <v>LUC</v>
      </c>
    </row>
    <row r="156" spans="1:13" ht="45" customHeight="1" x14ac:dyDescent="0.25">
      <c r="A156" s="21">
        <v>143</v>
      </c>
      <c r="B156" s="29" t="s">
        <v>83</v>
      </c>
      <c r="C156" s="23">
        <v>9</v>
      </c>
      <c r="D156" s="23">
        <v>221</v>
      </c>
      <c r="E156" s="23" t="s">
        <v>15</v>
      </c>
      <c r="F156" s="23">
        <v>125</v>
      </c>
      <c r="G156" s="22" t="s">
        <v>52</v>
      </c>
      <c r="H156" s="22">
        <v>125</v>
      </c>
      <c r="I156" s="23"/>
      <c r="J156" s="23"/>
      <c r="K156" s="23">
        <f t="shared" si="12"/>
        <v>0</v>
      </c>
      <c r="L156" s="27"/>
      <c r="M156" s="45" t="str">
        <f t="shared" si="13"/>
        <v>LUC</v>
      </c>
    </row>
    <row r="157" spans="1:13" ht="45" customHeight="1" x14ac:dyDescent="0.25">
      <c r="A157" s="21">
        <v>144</v>
      </c>
      <c r="B157" s="29" t="s">
        <v>83</v>
      </c>
      <c r="C157" s="23">
        <v>9</v>
      </c>
      <c r="D157" s="23">
        <v>220</v>
      </c>
      <c r="E157" s="23" t="s">
        <v>15</v>
      </c>
      <c r="F157" s="23">
        <v>193</v>
      </c>
      <c r="G157" s="22" t="s">
        <v>51</v>
      </c>
      <c r="H157" s="22">
        <v>156</v>
      </c>
      <c r="I157" s="23"/>
      <c r="J157" s="23"/>
      <c r="K157" s="23">
        <f t="shared" si="12"/>
        <v>37</v>
      </c>
      <c r="L157" s="27"/>
      <c r="M157" s="45" t="str">
        <f t="shared" si="13"/>
        <v>LUC</v>
      </c>
    </row>
    <row r="158" spans="1:13" ht="45" customHeight="1" x14ac:dyDescent="0.25">
      <c r="A158" s="21">
        <v>145</v>
      </c>
      <c r="B158" s="29" t="s">
        <v>84</v>
      </c>
      <c r="C158" s="23">
        <v>9</v>
      </c>
      <c r="D158" s="23">
        <v>215</v>
      </c>
      <c r="E158" s="23" t="s">
        <v>15</v>
      </c>
      <c r="F158" s="23">
        <v>331</v>
      </c>
      <c r="G158" s="22" t="s">
        <v>47</v>
      </c>
      <c r="H158" s="22">
        <v>21</v>
      </c>
      <c r="I158" s="23"/>
      <c r="J158" s="23"/>
      <c r="K158" s="23">
        <f t="shared" si="12"/>
        <v>310</v>
      </c>
      <c r="L158" s="27"/>
      <c r="M158" s="45" t="str">
        <f t="shared" si="13"/>
        <v>LUC</v>
      </c>
    </row>
    <row r="159" spans="1:13" ht="45" customHeight="1" x14ac:dyDescent="0.25">
      <c r="A159" s="21">
        <v>146</v>
      </c>
      <c r="B159" s="29" t="s">
        <v>60</v>
      </c>
      <c r="C159" s="23">
        <v>9</v>
      </c>
      <c r="D159" s="23">
        <v>262</v>
      </c>
      <c r="E159" s="23" t="s">
        <v>15</v>
      </c>
      <c r="F159" s="23">
        <v>689</v>
      </c>
      <c r="G159" s="22" t="s">
        <v>69</v>
      </c>
      <c r="H159" s="22">
        <v>21</v>
      </c>
      <c r="I159" s="23"/>
      <c r="J159" s="23"/>
      <c r="K159" s="23">
        <f t="shared" si="12"/>
        <v>668</v>
      </c>
      <c r="L159" s="27"/>
      <c r="M159" s="45" t="str">
        <f t="shared" si="13"/>
        <v>LUC</v>
      </c>
    </row>
    <row r="160" spans="1:13" ht="45" customHeight="1" x14ac:dyDescent="0.25">
      <c r="A160" s="21">
        <v>147</v>
      </c>
      <c r="B160" s="29" t="s">
        <v>60</v>
      </c>
      <c r="C160" s="23">
        <v>9</v>
      </c>
      <c r="D160" s="23">
        <v>219</v>
      </c>
      <c r="E160" s="23" t="s">
        <v>15</v>
      </c>
      <c r="F160" s="23">
        <v>233</v>
      </c>
      <c r="G160" s="22" t="s">
        <v>69</v>
      </c>
      <c r="H160" s="22">
        <v>227</v>
      </c>
      <c r="I160" s="23"/>
      <c r="J160" s="23"/>
      <c r="K160" s="23">
        <f t="shared" si="12"/>
        <v>6</v>
      </c>
      <c r="L160" s="27"/>
      <c r="M160" s="45" t="str">
        <f t="shared" si="13"/>
        <v>LUC</v>
      </c>
    </row>
    <row r="161" spans="1:18" ht="45" customHeight="1" x14ac:dyDescent="0.25">
      <c r="A161" s="21">
        <v>148</v>
      </c>
      <c r="B161" s="29" t="s">
        <v>84</v>
      </c>
      <c r="C161" s="23">
        <v>9</v>
      </c>
      <c r="D161" s="23">
        <v>218</v>
      </c>
      <c r="E161" s="23" t="s">
        <v>15</v>
      </c>
      <c r="F161" s="23">
        <v>164</v>
      </c>
      <c r="G161" s="22" t="s">
        <v>47</v>
      </c>
      <c r="H161" s="22">
        <v>164</v>
      </c>
      <c r="I161" s="23"/>
      <c r="J161" s="23"/>
      <c r="K161" s="23">
        <f t="shared" si="12"/>
        <v>0</v>
      </c>
      <c r="L161" s="27"/>
      <c r="M161" s="45" t="str">
        <f t="shared" si="13"/>
        <v>LUC</v>
      </c>
    </row>
    <row r="162" spans="1:18" ht="45" customHeight="1" x14ac:dyDescent="0.25">
      <c r="A162" s="21">
        <v>149</v>
      </c>
      <c r="B162" s="29" t="s">
        <v>60</v>
      </c>
      <c r="C162" s="23">
        <v>9</v>
      </c>
      <c r="D162" s="23">
        <v>177</v>
      </c>
      <c r="E162" s="23" t="s">
        <v>68</v>
      </c>
      <c r="F162" s="23">
        <v>3000</v>
      </c>
      <c r="G162" s="22" t="s">
        <v>69</v>
      </c>
      <c r="H162" s="22">
        <v>75</v>
      </c>
      <c r="I162" s="23"/>
      <c r="J162" s="23"/>
      <c r="K162" s="23">
        <f t="shared" si="12"/>
        <v>2925</v>
      </c>
      <c r="L162" s="27"/>
      <c r="M162" s="45" t="str">
        <f t="shared" si="13"/>
        <v>ONT</v>
      </c>
    </row>
    <row r="163" spans="1:18" ht="45" customHeight="1" x14ac:dyDescent="0.25">
      <c r="A163" s="21">
        <v>150</v>
      </c>
      <c r="B163" s="29" t="s">
        <v>83</v>
      </c>
      <c r="C163" s="23">
        <v>9</v>
      </c>
      <c r="D163" s="23">
        <v>217</v>
      </c>
      <c r="E163" s="23" t="s">
        <v>68</v>
      </c>
      <c r="F163" s="23">
        <v>3021</v>
      </c>
      <c r="G163" s="22" t="s">
        <v>50</v>
      </c>
      <c r="H163" s="22">
        <v>1109</v>
      </c>
      <c r="I163" s="23"/>
      <c r="J163" s="23"/>
      <c r="K163" s="23">
        <f t="shared" si="12"/>
        <v>1912</v>
      </c>
      <c r="L163" s="27"/>
      <c r="M163" s="45" t="str">
        <f t="shared" si="13"/>
        <v>ONT</v>
      </c>
    </row>
    <row r="164" spans="1:18" ht="45" customHeight="1" x14ac:dyDescent="0.25">
      <c r="A164" s="24">
        <v>151</v>
      </c>
      <c r="B164" s="29" t="s">
        <v>83</v>
      </c>
      <c r="C164" s="23">
        <v>9</v>
      </c>
      <c r="D164" s="23">
        <v>216</v>
      </c>
      <c r="E164" s="23" t="s">
        <v>89</v>
      </c>
      <c r="F164" s="23">
        <v>5968</v>
      </c>
      <c r="G164" s="22" t="s">
        <v>49</v>
      </c>
      <c r="H164" s="22">
        <v>1708</v>
      </c>
      <c r="I164" s="23"/>
      <c r="J164" s="23"/>
      <c r="K164" s="23">
        <f t="shared" si="12"/>
        <v>4260</v>
      </c>
      <c r="L164" s="27"/>
      <c r="M164" s="45" t="str">
        <f t="shared" si="13"/>
        <v>LNC</v>
      </c>
    </row>
    <row r="165" spans="1:18" ht="45" customHeight="1" x14ac:dyDescent="0.25">
      <c r="A165" s="24">
        <v>152</v>
      </c>
      <c r="B165" s="29" t="s">
        <v>60</v>
      </c>
      <c r="C165" s="23">
        <v>9</v>
      </c>
      <c r="D165" s="23">
        <v>126</v>
      </c>
      <c r="E165" s="23" t="s">
        <v>89</v>
      </c>
      <c r="F165" s="23">
        <v>10770</v>
      </c>
      <c r="G165" s="22" t="s">
        <v>69</v>
      </c>
      <c r="H165" s="22">
        <v>62</v>
      </c>
      <c r="I165" s="23"/>
      <c r="J165" s="23"/>
      <c r="K165" s="23">
        <f t="shared" si="12"/>
        <v>10708</v>
      </c>
      <c r="L165" s="27"/>
      <c r="M165" s="45" t="str">
        <f t="shared" si="13"/>
        <v>LNC</v>
      </c>
      <c r="N165" s="3"/>
      <c r="O165" s="3"/>
      <c r="P165" s="3"/>
      <c r="Q165" s="3"/>
      <c r="R165" s="3"/>
    </row>
    <row r="166" spans="1:18" ht="45" customHeight="1" x14ac:dyDescent="0.25">
      <c r="A166" s="24">
        <v>153</v>
      </c>
      <c r="B166" s="29" t="s">
        <v>130</v>
      </c>
      <c r="C166" s="23">
        <v>1</v>
      </c>
      <c r="D166" s="23">
        <v>99</v>
      </c>
      <c r="E166" s="23" t="s">
        <v>67</v>
      </c>
      <c r="F166" s="23">
        <v>102416</v>
      </c>
      <c r="G166" s="22" t="s">
        <v>34</v>
      </c>
      <c r="H166" s="22">
        <v>1432</v>
      </c>
      <c r="I166" s="23"/>
      <c r="J166" s="23"/>
      <c r="K166" s="23">
        <f t="shared" si="12"/>
        <v>100984</v>
      </c>
      <c r="L166" s="27"/>
      <c r="M166" s="45" t="str">
        <f t="shared" si="13"/>
        <v>RPH</v>
      </c>
      <c r="N166" s="3"/>
      <c r="O166" s="3"/>
      <c r="P166" s="3"/>
      <c r="Q166" s="3"/>
      <c r="R166" s="3"/>
    </row>
    <row r="167" spans="1:18" ht="45" customHeight="1" x14ac:dyDescent="0.25">
      <c r="A167" s="24">
        <v>154</v>
      </c>
      <c r="B167" s="29" t="s">
        <v>85</v>
      </c>
      <c r="C167" s="23">
        <v>9</v>
      </c>
      <c r="D167" s="23">
        <v>178</v>
      </c>
      <c r="E167" s="23" t="s">
        <v>89</v>
      </c>
      <c r="F167" s="23">
        <v>2588</v>
      </c>
      <c r="G167" s="22" t="s">
        <v>48</v>
      </c>
      <c r="H167" s="22">
        <v>1264</v>
      </c>
      <c r="I167" s="23"/>
      <c r="J167" s="23"/>
      <c r="K167" s="23">
        <f t="shared" si="12"/>
        <v>1324</v>
      </c>
      <c r="L167" s="27"/>
      <c r="M167" s="45" t="str">
        <f t="shared" si="13"/>
        <v>LNC</v>
      </c>
    </row>
    <row r="168" spans="1:18" ht="45" customHeight="1" x14ac:dyDescent="0.25">
      <c r="A168" s="24">
        <v>155</v>
      </c>
      <c r="B168" s="29" t="s">
        <v>19</v>
      </c>
      <c r="C168" s="23">
        <v>9</v>
      </c>
      <c r="D168" s="23">
        <v>879</v>
      </c>
      <c r="E168" s="23" t="s">
        <v>20</v>
      </c>
      <c r="F168" s="23">
        <v>19746</v>
      </c>
      <c r="G168" s="22" t="s">
        <v>69</v>
      </c>
      <c r="H168" s="22">
        <v>477</v>
      </c>
      <c r="I168" s="23"/>
      <c r="J168" s="23"/>
      <c r="K168" s="23">
        <f t="shared" si="12"/>
        <v>19269</v>
      </c>
      <c r="L168" s="27"/>
      <c r="M168" s="45" t="str">
        <f t="shared" si="13"/>
        <v>SON</v>
      </c>
      <c r="N168" s="3"/>
      <c r="O168" s="3"/>
      <c r="P168" s="3"/>
      <c r="Q168" s="3"/>
      <c r="R168" s="3"/>
    </row>
    <row r="169" spans="1:18" ht="45" customHeight="1" x14ac:dyDescent="0.25">
      <c r="A169" s="24">
        <v>156</v>
      </c>
      <c r="B169" s="29" t="s">
        <v>19</v>
      </c>
      <c r="C169" s="23">
        <v>9</v>
      </c>
      <c r="D169" s="23">
        <v>879</v>
      </c>
      <c r="E169" s="23" t="s">
        <v>20</v>
      </c>
      <c r="F169" s="23">
        <v>19746</v>
      </c>
      <c r="G169" s="22" t="s">
        <v>69</v>
      </c>
      <c r="H169" s="22">
        <v>742</v>
      </c>
      <c r="I169" s="23"/>
      <c r="J169" s="23"/>
      <c r="K169" s="23">
        <f t="shared" si="12"/>
        <v>19004</v>
      </c>
      <c r="L169" s="27"/>
      <c r="M169" s="45" t="str">
        <f t="shared" si="13"/>
        <v>SON</v>
      </c>
      <c r="N169" s="3"/>
      <c r="O169" s="3"/>
      <c r="P169" s="3"/>
      <c r="Q169" s="3"/>
      <c r="R169" s="3"/>
    </row>
    <row r="170" spans="1:18" ht="45" customHeight="1" x14ac:dyDescent="0.25">
      <c r="A170" s="24">
        <v>157</v>
      </c>
      <c r="B170" s="29" t="s">
        <v>19</v>
      </c>
      <c r="C170" s="23">
        <v>9</v>
      </c>
      <c r="D170" s="23">
        <v>879</v>
      </c>
      <c r="E170" s="23" t="s">
        <v>20</v>
      </c>
      <c r="F170" s="23">
        <v>19746</v>
      </c>
      <c r="G170" s="22" t="s">
        <v>69</v>
      </c>
      <c r="H170" s="22">
        <v>30</v>
      </c>
      <c r="I170" s="23"/>
      <c r="J170" s="23"/>
      <c r="K170" s="23">
        <f t="shared" si="12"/>
        <v>19716</v>
      </c>
      <c r="L170" s="27"/>
      <c r="M170" s="45" t="str">
        <f t="shared" si="13"/>
        <v>SON</v>
      </c>
      <c r="N170" s="3"/>
      <c r="O170" s="3"/>
      <c r="P170" s="3"/>
      <c r="Q170" s="3"/>
      <c r="R170" s="3"/>
    </row>
    <row r="171" spans="1:18" ht="32.25" customHeight="1" x14ac:dyDescent="0.25">
      <c r="A171" s="46"/>
      <c r="B171" s="47" t="s">
        <v>23</v>
      </c>
      <c r="C171" s="46"/>
      <c r="D171" s="46"/>
      <c r="E171" s="48"/>
      <c r="F171" s="49">
        <f>SUM(F6:F170)</f>
        <v>383162</v>
      </c>
      <c r="G171" s="49"/>
      <c r="H171" s="49">
        <f>SUM(H6:H170)</f>
        <v>36110</v>
      </c>
      <c r="I171" s="49">
        <f>SUM(I6:I170)</f>
        <v>0</v>
      </c>
      <c r="J171" s="49">
        <f>SUM(J6:J170)</f>
        <v>0</v>
      </c>
      <c r="K171" s="49">
        <f>SUM(K6:K170)</f>
        <v>347052</v>
      </c>
      <c r="L171" s="50"/>
      <c r="M171" s="45"/>
    </row>
    <row r="172" spans="1:18" x14ac:dyDescent="0.25">
      <c r="A172" s="51" t="s">
        <v>26</v>
      </c>
      <c r="B172" s="52" t="s">
        <v>27</v>
      </c>
      <c r="C172" s="52"/>
      <c r="D172" s="52"/>
      <c r="E172" s="52"/>
      <c r="F172" s="53" t="s">
        <v>28</v>
      </c>
      <c r="G172" s="54"/>
      <c r="H172" s="54"/>
      <c r="I172" s="54"/>
      <c r="J172" s="54"/>
      <c r="K172" s="54"/>
      <c r="L172" s="54"/>
      <c r="M172" s="45"/>
    </row>
    <row r="173" spans="1:18" x14ac:dyDescent="0.25">
      <c r="A173" s="55" t="s">
        <v>29</v>
      </c>
      <c r="B173" s="56" t="s">
        <v>30</v>
      </c>
      <c r="C173" s="57"/>
      <c r="D173" s="57"/>
      <c r="E173" s="57"/>
      <c r="F173" s="57" t="s">
        <v>31</v>
      </c>
      <c r="G173" s="58"/>
      <c r="H173" s="58"/>
      <c r="I173" s="58"/>
      <c r="J173" s="58"/>
      <c r="K173" s="58"/>
      <c r="L173" s="58"/>
      <c r="M173" s="45"/>
    </row>
    <row r="174" spans="1:18" x14ac:dyDescent="0.25">
      <c r="A174" s="59"/>
      <c r="B174" s="47" t="s">
        <v>11</v>
      </c>
      <c r="C174" s="60" t="s">
        <v>12</v>
      </c>
      <c r="D174" s="60"/>
      <c r="E174" s="60"/>
      <c r="F174" s="61"/>
      <c r="G174" s="62" t="s">
        <v>13</v>
      </c>
      <c r="H174" s="62"/>
      <c r="I174" s="63"/>
      <c r="J174" s="62" t="s">
        <v>14</v>
      </c>
      <c r="K174" s="62"/>
      <c r="L174" s="64"/>
      <c r="M174" s="45"/>
    </row>
    <row r="175" spans="1:18" x14ac:dyDescent="0.25">
      <c r="A175" s="5"/>
      <c r="B175" s="5"/>
      <c r="C175" s="32"/>
      <c r="D175" s="32"/>
      <c r="E175" s="32"/>
      <c r="F175" s="4"/>
      <c r="G175" s="4"/>
      <c r="H175" s="4"/>
      <c r="I175" s="7"/>
      <c r="J175" s="7"/>
      <c r="K175" s="8"/>
      <c r="L175" s="6"/>
    </row>
    <row r="176" spans="1:18" x14ac:dyDescent="0.25">
      <c r="A176" s="5"/>
      <c r="B176" s="5"/>
      <c r="C176" s="19"/>
      <c r="D176" s="19"/>
      <c r="E176" s="19"/>
      <c r="F176" s="4"/>
      <c r="G176" s="4"/>
      <c r="H176" s="4"/>
      <c r="I176" s="7"/>
      <c r="J176" s="7"/>
      <c r="K176" s="8"/>
      <c r="L176" s="6"/>
    </row>
    <row r="177" spans="1:12" x14ac:dyDescent="0.25">
      <c r="A177" s="9"/>
      <c r="B177" s="10"/>
      <c r="C177" s="11"/>
      <c r="D177" s="9"/>
      <c r="E177" s="12"/>
      <c r="F177" s="13"/>
      <c r="G177" s="13"/>
      <c r="H177" s="13"/>
      <c r="I177" s="9"/>
      <c r="J177" s="11"/>
      <c r="K177" s="14"/>
      <c r="L177" s="15"/>
    </row>
    <row r="178" spans="1:12" x14ac:dyDescent="0.25">
      <c r="A178" s="9"/>
      <c r="B178" s="10"/>
      <c r="C178" s="11"/>
      <c r="D178" s="9"/>
      <c r="E178" s="12"/>
      <c r="F178" s="9"/>
      <c r="G178" s="9"/>
      <c r="H178" s="9"/>
      <c r="I178" s="11"/>
      <c r="J178" s="11"/>
      <c r="K178" s="14"/>
      <c r="L178" s="15"/>
    </row>
    <row r="179" spans="1:12" x14ac:dyDescent="0.25">
      <c r="A179" s="9"/>
      <c r="B179" s="10"/>
      <c r="C179" s="11"/>
      <c r="D179" s="9"/>
      <c r="E179" s="12"/>
      <c r="F179" s="9"/>
      <c r="G179" s="9"/>
      <c r="H179" s="9"/>
      <c r="I179" s="11"/>
      <c r="J179" s="11"/>
      <c r="K179" s="14"/>
      <c r="L179" s="15"/>
    </row>
    <row r="180" spans="1:12" x14ac:dyDescent="0.25">
      <c r="A180" s="16"/>
      <c r="B180" s="17" t="s">
        <v>32</v>
      </c>
      <c r="C180" s="33" t="s">
        <v>33</v>
      </c>
      <c r="D180" s="33"/>
      <c r="E180" s="33"/>
      <c r="F180" s="31"/>
      <c r="G180" s="34" t="s">
        <v>71</v>
      </c>
      <c r="H180" s="34"/>
      <c r="I180" s="18"/>
      <c r="J180" s="34" t="s">
        <v>90</v>
      </c>
      <c r="K180" s="34"/>
      <c r="L180" s="1"/>
    </row>
  </sheetData>
  <mergeCells count="23">
    <mergeCell ref="A1:L1"/>
    <mergeCell ref="A2:L2"/>
    <mergeCell ref="A3:A5"/>
    <mergeCell ref="B3:B5"/>
    <mergeCell ref="C3:C5"/>
    <mergeCell ref="D3:D5"/>
    <mergeCell ref="E3:E5"/>
    <mergeCell ref="F3:F5"/>
    <mergeCell ref="G3:G5"/>
    <mergeCell ref="H3:J4"/>
    <mergeCell ref="K3:K5"/>
    <mergeCell ref="L3:L5"/>
    <mergeCell ref="C175:E175"/>
    <mergeCell ref="C180:E180"/>
    <mergeCell ref="G180:H180"/>
    <mergeCell ref="J180:K180"/>
    <mergeCell ref="B172:E172"/>
    <mergeCell ref="F172:L172"/>
    <mergeCell ref="B173:E173"/>
    <mergeCell ref="F173:L173"/>
    <mergeCell ref="C174:E174"/>
    <mergeCell ref="G174:H174"/>
    <mergeCell ref="J174:K174"/>
  </mergeCells>
  <pageMargins left="0.7" right="0.7" top="0.75" bottom="0.75" header="0.3" footer="0.3"/>
  <pageSetup paperSize="9" scale="80" fitToHeight="0" orientation="landscape" r:id="rId1"/>
  <rowBreaks count="2" manualBreakCount="2">
    <brk id="15" max="11" man="1"/>
    <brk id="21" max="11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DS</vt:lpstr>
      <vt:lpstr>DS!Print_Area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2023-03-31T03:43:37Z</dcterms:modified>
</cp:coreProperties>
</file>