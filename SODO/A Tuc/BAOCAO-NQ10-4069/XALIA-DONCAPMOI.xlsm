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0640" windowHeight="11760"/>
  </bookViews>
  <sheets>
    <sheet name="Baocao (2)" sheetId="16" r:id="rId1"/>
  </sheets>
  <definedNames>
    <definedName name="_xlnm._FilterDatabase" localSheetId="0" hidden="1">'Baocao (2)'!$A$1:$I$114</definedName>
    <definedName name="_xlnm.Print_Area" localSheetId="0">'Baocao (2)'!$A$1:$I$113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4" i="16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2" i="16"/>
</calcChain>
</file>

<file path=xl/sharedStrings.xml><?xml version="1.0" encoding="utf-8"?>
<sst xmlns="http://schemas.openxmlformats.org/spreadsheetml/2006/main" count="389" uniqueCount="120">
  <si>
    <t>Số tờ</t>
  </si>
  <si>
    <t>Số thửa</t>
  </si>
  <si>
    <t>Diện tích</t>
  </si>
  <si>
    <t>NHK</t>
  </si>
  <si>
    <t>Hồ Cu Lai</t>
  </si>
  <si>
    <t>Hồ Cu Tanh</t>
  </si>
  <si>
    <t>Hồ Cu Tria</t>
  </si>
  <si>
    <t>Hồ Ku Cưa</t>
  </si>
  <si>
    <t>Hồ Thế Hùng</t>
  </si>
  <si>
    <t>Hồ Thị Del</t>
  </si>
  <si>
    <t>Hồ Thị Dinh</t>
  </si>
  <si>
    <t>Hồ Thị Ê</t>
  </si>
  <si>
    <t>Hồ Thị Hà</t>
  </si>
  <si>
    <t>Hồ Thị Khương</t>
  </si>
  <si>
    <t>Hồ Thị Kỉa</t>
  </si>
  <si>
    <t>Hồ Thị Lịch</t>
  </si>
  <si>
    <t>Hồ Thị Mộc</t>
  </si>
  <si>
    <t>Hồ Thị Phởi</t>
  </si>
  <si>
    <t>Hồ Thị Thang</t>
  </si>
  <si>
    <t>Hồ Văn Ban</t>
  </si>
  <si>
    <t>Hồ Văn Chang</t>
  </si>
  <si>
    <t>Hồ Văn Châu</t>
  </si>
  <si>
    <t>Hồ Văn Chiêm</t>
  </si>
  <si>
    <t>Hồ Văn Chiến</t>
  </si>
  <si>
    <t>Hồ Văn Chiếp</t>
  </si>
  <si>
    <t>Hồ Văn Chon</t>
  </si>
  <si>
    <t>Hồ Văn Chung</t>
  </si>
  <si>
    <t>Hồ Văn Cớc</t>
  </si>
  <si>
    <t>Hồ Văn Đáp</t>
  </si>
  <si>
    <t>Hồ Văn Dế</t>
  </si>
  <si>
    <t>Hồ Văn Diệu</t>
  </si>
  <si>
    <t>Hồ Văn Đức</t>
  </si>
  <si>
    <t>Hồ Văn Đum</t>
  </si>
  <si>
    <t>Hồ Văn Dương</t>
  </si>
  <si>
    <t>Hồ Văn Ép</t>
  </si>
  <si>
    <t>Hồ Văn Hồi</t>
  </si>
  <si>
    <t>Hồ Văn Hơn</t>
  </si>
  <si>
    <t>Hồ Văn Hùng</t>
  </si>
  <si>
    <t>Hồ Văn Hữu</t>
  </si>
  <si>
    <t>Hồ Văn Kế</t>
  </si>
  <si>
    <t>Hồ Văn Khang</t>
  </si>
  <si>
    <t>Hồ Văn Khen</t>
  </si>
  <si>
    <t>Hồ Văn Khiết</t>
  </si>
  <si>
    <t>Hồ Văn Khinh</t>
  </si>
  <si>
    <t>Hồ Văn Khối</t>
  </si>
  <si>
    <t>Hồ Văn Không</t>
  </si>
  <si>
    <t>Hồ Văn Khư</t>
  </si>
  <si>
    <t>Hồ Văn Khưa</t>
  </si>
  <si>
    <t>Hồ Văn Khưm</t>
  </si>
  <si>
    <t>Hồ Văn Kiều</t>
  </si>
  <si>
    <t>Hồ Văn Lửa</t>
  </si>
  <si>
    <t>Hồ Văn Mác</t>
  </si>
  <si>
    <t>Hồ Văn Moa</t>
  </si>
  <si>
    <t>Hồ Văn Moài</t>
  </si>
  <si>
    <t>Hồ Văn Muôn</t>
  </si>
  <si>
    <t>Hồ Văn Ngưm</t>
  </si>
  <si>
    <t>Hồ Văn Niên</t>
  </si>
  <si>
    <t>Hồ Văn Oanh</t>
  </si>
  <si>
    <t>Hồ Văn Quan</t>
  </si>
  <si>
    <t>Hồ Văn Thái</t>
  </si>
  <si>
    <t>Hồ Văn Thăng</t>
  </si>
  <si>
    <t>Hồ Văn Thanh</t>
  </si>
  <si>
    <t>Hồ Văn Thi</t>
  </si>
  <si>
    <t>Hồ Văn Thiên</t>
  </si>
  <si>
    <t>Hồ Văn Thiết</t>
  </si>
  <si>
    <t>Hồ Văn Thủy</t>
  </si>
  <si>
    <t>Hồ Văn VêR</t>
  </si>
  <si>
    <t>Hồ Văn Vói</t>
  </si>
  <si>
    <t>Hồ Văn Vương</t>
  </si>
  <si>
    <t>Hồ Văn Xiên</t>
  </si>
  <si>
    <t>Hồ Xuân Lâm</t>
  </si>
  <si>
    <t>Tu Pông Chùy</t>
  </si>
  <si>
    <t>STT</t>
  </si>
  <si>
    <t>A Máy</t>
  </si>
  <si>
    <t>Kỳ Nơi</t>
  </si>
  <si>
    <t>A Quan</t>
  </si>
  <si>
    <t>A Xói Hang</t>
  </si>
  <si>
    <t>Lý do không đủ điều kiện</t>
  </si>
  <si>
    <t>A Xóc Lìa</t>
  </si>
  <si>
    <t>A Xau</t>
  </si>
  <si>
    <t xml:space="preserve"> A Xói Hang</t>
  </si>
  <si>
    <t>A Môr</t>
  </si>
  <si>
    <t xml:space="preserve"> A Môr</t>
  </si>
  <si>
    <t>A Rông</t>
  </si>
  <si>
    <t xml:space="preserve"> Kỳ Tăng</t>
  </si>
  <si>
    <t>Tăng Cô Hang</t>
  </si>
  <si>
    <t>Kỳ Tăng</t>
  </si>
  <si>
    <t>Địa chỉ thửa đất</t>
  </si>
  <si>
    <t xml:space="preserve"> A Quan</t>
  </si>
  <si>
    <t>Côn Xuôi (Hồ Văn Com)</t>
  </si>
  <si>
    <t xml:space="preserve"> A Rông</t>
  </si>
  <si>
    <t xml:space="preserve"> A Máy</t>
  </si>
  <si>
    <t>Hồ Thị Hia (Hồ Văn Minh)</t>
  </si>
  <si>
    <t>MĐSD</t>
  </si>
  <si>
    <t>Có 02 thửa đất nên loại 01 thửa</t>
  </si>
  <si>
    <t>Có 03 thửa đất nên loại 02 thửa</t>
  </si>
  <si>
    <t>Có 04 thửa đất nên loại 03 thửa</t>
  </si>
  <si>
    <t>Tên chủ sử dụng đất không khớp</t>
  </si>
  <si>
    <t>Chồng lấn thửa 13 GCN số BD770289</t>
  </si>
  <si>
    <t>Có 05 thửa đất nên loại 04 thửa</t>
  </si>
  <si>
    <t>Có 03 thửa đất nên loại 01 thửa</t>
  </si>
  <si>
    <t>Chồng lên thửa 02 GCN số BD770430</t>
  </si>
  <si>
    <t>Chồng lên thửa 17 BD679483</t>
  </si>
  <si>
    <t>Hồ Văn Hồi (Hồ Thị Êm) (Hồ Văn Hồi)</t>
  </si>
  <si>
    <t>Chồng lấn thửa 166,167,171 GCN số AO865637,AO865692,AO865681</t>
  </si>
  <si>
    <t>Đã được cấp GCN số AO865708</t>
  </si>
  <si>
    <t>Số TT hộ gia đình</t>
  </si>
  <si>
    <t>Họ và tên</t>
  </si>
  <si>
    <t>Đã cấp GCN số AO865692</t>
  </si>
  <si>
    <t>Đã cấp GCN số BD770554</t>
  </si>
  <si>
    <t>Chồng pháp lý thửa 14 GCN số BD 770433</t>
  </si>
  <si>
    <t>Chồng pháp lý thửa 110 GCN số BD679945</t>
  </si>
  <si>
    <t>Chồng pháp lý thửa 02 GCN số BD 679682</t>
  </si>
  <si>
    <t>Chồng pháp lý thửa 02 GCN số BD 770499</t>
  </si>
  <si>
    <t>Đã được cấp GCN số BD679314</t>
  </si>
  <si>
    <t>Đã được cấp GCN số BD679359</t>
  </si>
  <si>
    <t>Đã được cấp GCN số AO865695</t>
  </si>
  <si>
    <t>Đã được cấp GCN số AO865627</t>
  </si>
  <si>
    <t>Chồng lên thửa 31 GCN số BD770480</t>
  </si>
  <si>
    <t>Chồng lấn thửa 11 GCN số BD770239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</si>
</sst>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Times New Roman"/>
      <family val="2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3" fillId="0" borderId="0"/>
    <xf numFmtId="0" fontId="4" fillId="0" borderId="0"/>
    <xf numFmtId="0" fontId="5" fillId="0" borderId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</cellXfs>
  <cellStyles count="5">
    <cellStyle name="Normal" xfId="0" builtinId="0"/>
    <cellStyle name="Normal 2" xfId="2"/>
    <cellStyle name="Normal 3" xfId="1"/>
    <cellStyle name="Normal 4" xfId="3"/>
    <cellStyle name="Normal 5" xfId="4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14"/>
  <sheetViews>
    <sheetView tabSelected="1" view="pageBreakPreview" topLeftCell="A100" zoomScaleNormal="100" zoomScaleSheetLayoutView="100" workbookViewId="0">
      <selection activeCell="E6" sqref="E6"/>
    </sheetView>
  </sheetViews>
  <sheetFormatPr defaultRowHeight="15.75" x14ac:dyDescent="0.25"/>
  <cols>
    <col min="1" max="1" width="4.85546875" style="1" bestFit="1" customWidth="1"/>
    <col min="2" max="2" width="26.42578125" style="1" customWidth="1"/>
    <col min="3" max="3" width="23.42578125" style="7" bestFit="1" customWidth="1"/>
    <col min="4" max="4" width="17.28515625" style="1" bestFit="1" customWidth="1"/>
    <col min="5" max="5" width="16.42578125" style="1" bestFit="1" customWidth="1"/>
    <col min="6" max="6" width="8.42578125" style="1" bestFit="1" customWidth="1"/>
    <col min="7" max="7" width="9.5703125" style="1" bestFit="1" customWidth="1"/>
    <col min="8" max="8" width="8" style="1" bestFit="1" customWidth="1"/>
    <col min="9" max="9" width="37.5703125" style="7" bestFit="1" customWidth="1"/>
    <col min="10" max="16384" width="9.140625" style="1"/>
  </cols>
  <sheetData>
    <row r="1" spans="1:9" s="2" customFormat="1" x14ac:dyDescent="0.25">
      <c r="A1" s="3" t="s">
        <v>72</v>
      </c>
      <c r="B1" s="6" t="s">
        <v>106</v>
      </c>
      <c r="C1" s="6" t="s">
        <v>107</v>
      </c>
      <c r="D1" s="3" t="s">
        <v>87</v>
      </c>
      <c r="E1" s="3" t="s">
        <v>0</v>
      </c>
      <c r="F1" s="3" t="s">
        <v>1</v>
      </c>
      <c r="G1" s="3" t="s">
        <v>2</v>
      </c>
      <c r="H1" s="3" t="s">
        <v>93</v>
      </c>
      <c r="I1" s="8" t="s">
        <v>77</v>
      </c>
    </row>
    <row r="2" spans="1:9" x14ac:dyDescent="0.25">
      <c r="A2" s="4">
        <f>IF(D2&lt;&gt;"", SUBTOTAL(3, $D$2:D2), "")</f>
        <v>1</v>
      </c>
      <c r="B2" s="5">
        <v>1</v>
      </c>
      <c r="C2" s="5" t="s">
        <v>4</v>
      </c>
      <c r="D2" s="4" t="s">
        <v>73</v>
      </c>
      <c r="E2" s="4">
        <v>22</v>
      </c>
      <c r="F2" s="4">
        <v>22</v>
      </c>
      <c r="G2" s="4">
        <v>5636</v>
      </c>
      <c r="H2" s="4" t="s">
        <v>3</v>
      </c>
      <c r="I2" s="5" t="s">
        <v>98</v>
      </c>
    </row>
    <row r="3" spans="1:9" x14ac:dyDescent="0.25">
      <c r="A3" s="4">
        <f>IF(D3&lt;&gt;"", SUBTOTAL(3, $D$2:D3), "")</f>
        <v>2</v>
      </c>
      <c r="B3" s="9">
        <v>2</v>
      </c>
      <c r="C3" s="9" t="s">
        <v>5</v>
      </c>
      <c r="D3" s="4" t="s">
        <v>73</v>
      </c>
      <c r="E3" s="4">
        <v>21</v>
      </c>
      <c r="F3" s="4">
        <v>61</v>
      </c>
      <c r="G3" s="4">
        <v>14713</v>
      </c>
      <c r="H3" s="4" t="s">
        <v>3</v>
      </c>
      <c r="I3" s="5" t="s">
        <v>95</v>
      </c>
    </row>
    <row r="4" spans="1:9" x14ac:dyDescent="0.25">
      <c r="A4" s="4">
        <f>IF(D4&lt;&gt;"", SUBTOTAL(3, $D$2:D4), "")</f>
        <v>3</v>
      </c>
      <c r="B4" s="9"/>
      <c r="C4" s="9"/>
      <c r="D4" s="4" t="s">
        <v>73</v>
      </c>
      <c r="E4" s="4">
        <v>21</v>
      </c>
      <c r="F4" s="4">
        <v>62</v>
      </c>
      <c r="G4" s="4">
        <v>12240</v>
      </c>
      <c r="H4" s="4" t="s">
        <v>3</v>
      </c>
      <c r="I4" s="5" t="s">
        <v>95</v>
      </c>
    </row>
    <row r="5" spans="1:9" x14ac:dyDescent="0.25">
      <c r="A5" s="4">
        <f>IF(D5&lt;&gt;"", SUBTOTAL(3, $D$2:D5), "")</f>
        <v>4</v>
      </c>
      <c r="B5" s="5">
        <v>3</v>
      </c>
      <c r="C5" s="5" t="s">
        <v>9</v>
      </c>
      <c r="D5" s="4" t="s">
        <v>73</v>
      </c>
      <c r="E5" s="4">
        <v>21</v>
      </c>
      <c r="F5" s="4">
        <v>68</v>
      </c>
      <c r="G5" s="4">
        <v>15126</v>
      </c>
      <c r="H5" s="4" t="s">
        <v>3</v>
      </c>
      <c r="I5" s="5"/>
    </row>
    <row r="6" spans="1:9" x14ac:dyDescent="0.25">
      <c r="A6" s="4">
        <f>IF(D6&lt;&gt;"", SUBTOTAL(3, $D$2:D6), "")</f>
        <v>5</v>
      </c>
      <c r="B6" s="9">
        <v>4</v>
      </c>
      <c r="C6" s="9" t="s">
        <v>15</v>
      </c>
      <c r="D6" s="4" t="s">
        <v>73</v>
      </c>
      <c r="E6" s="4">
        <v>21</v>
      </c>
      <c r="F6" s="4">
        <v>83</v>
      </c>
      <c r="G6" s="4">
        <v>5917</v>
      </c>
      <c r="H6" s="4" t="s">
        <v>3</v>
      </c>
      <c r="I6" s="5" t="s">
        <v>95</v>
      </c>
    </row>
    <row r="7" spans="1:9" x14ac:dyDescent="0.25">
      <c r="A7" s="4">
        <f>IF(D7&lt;&gt;"", SUBTOTAL(3, $D$2:D7), "")</f>
        <v>6</v>
      </c>
      <c r="B7" s="9"/>
      <c r="C7" s="9"/>
      <c r="D7" s="4" t="s">
        <v>73</v>
      </c>
      <c r="E7" s="4">
        <v>21</v>
      </c>
      <c r="F7" s="4">
        <v>84</v>
      </c>
      <c r="G7" s="4">
        <v>3911</v>
      </c>
      <c r="H7" s="4" t="s">
        <v>3</v>
      </c>
      <c r="I7" s="5" t="s">
        <v>95</v>
      </c>
    </row>
    <row r="8" spans="1:9" x14ac:dyDescent="0.25">
      <c r="A8" s="4">
        <f>IF(D8&lt;&gt;"", SUBTOTAL(3, $D$2:D8), "")</f>
        <v>7</v>
      </c>
      <c r="B8" s="9"/>
      <c r="C8" s="9"/>
      <c r="D8" s="4" t="s">
        <v>73</v>
      </c>
      <c r="E8" s="4">
        <v>21</v>
      </c>
      <c r="F8" s="4">
        <v>85</v>
      </c>
      <c r="G8" s="4">
        <v>17141</v>
      </c>
      <c r="H8" s="4" t="s">
        <v>3</v>
      </c>
      <c r="I8" s="5" t="s">
        <v>95</v>
      </c>
    </row>
    <row r="9" spans="1:9" x14ac:dyDescent="0.25">
      <c r="A9" s="4">
        <f>IF(D9&lt;&gt;"", SUBTOTAL(3, $D$2:D9), "")</f>
        <v>8</v>
      </c>
      <c r="B9" s="9">
        <v>5</v>
      </c>
      <c r="C9" s="9" t="s">
        <v>16</v>
      </c>
      <c r="D9" s="4" t="s">
        <v>73</v>
      </c>
      <c r="E9" s="4">
        <v>21</v>
      </c>
      <c r="F9" s="4">
        <v>86</v>
      </c>
      <c r="G9" s="4">
        <v>8170</v>
      </c>
      <c r="H9" s="4" t="s">
        <v>3</v>
      </c>
      <c r="I9" s="5" t="s">
        <v>95</v>
      </c>
    </row>
    <row r="10" spans="1:9" x14ac:dyDescent="0.25">
      <c r="A10" s="4">
        <f>IF(D10&lt;&gt;"", SUBTOTAL(3, $D$2:D10), "")</f>
        <v>9</v>
      </c>
      <c r="B10" s="9"/>
      <c r="C10" s="9"/>
      <c r="D10" s="4" t="s">
        <v>73</v>
      </c>
      <c r="E10" s="4">
        <v>21</v>
      </c>
      <c r="F10" s="4">
        <v>87</v>
      </c>
      <c r="G10" s="4">
        <v>9745</v>
      </c>
      <c r="H10" s="4" t="s">
        <v>3</v>
      </c>
      <c r="I10" s="5" t="s">
        <v>95</v>
      </c>
    </row>
    <row r="11" spans="1:9" x14ac:dyDescent="0.25">
      <c r="A11" s="4">
        <f>IF(D11&lt;&gt;"", SUBTOTAL(3, $D$2:D11), "")</f>
        <v>10</v>
      </c>
      <c r="B11" s="9">
        <v>6</v>
      </c>
      <c r="C11" s="9" t="s">
        <v>30</v>
      </c>
      <c r="D11" s="4" t="s">
        <v>73</v>
      </c>
      <c r="E11" s="4">
        <v>21</v>
      </c>
      <c r="F11" s="4">
        <v>125</v>
      </c>
      <c r="G11" s="4">
        <v>9149</v>
      </c>
      <c r="H11" s="4" t="s">
        <v>3</v>
      </c>
      <c r="I11" s="5" t="s">
        <v>95</v>
      </c>
    </row>
    <row r="12" spans="1:9" x14ac:dyDescent="0.25">
      <c r="A12" s="4">
        <f>IF(D12&lt;&gt;"", SUBTOTAL(3, $D$2:D12), "")</f>
        <v>11</v>
      </c>
      <c r="B12" s="9"/>
      <c r="C12" s="9"/>
      <c r="D12" s="4" t="s">
        <v>73</v>
      </c>
      <c r="E12" s="4">
        <v>21</v>
      </c>
      <c r="F12" s="4">
        <v>126</v>
      </c>
      <c r="G12" s="4">
        <v>9151</v>
      </c>
      <c r="H12" s="4" t="s">
        <v>3</v>
      </c>
      <c r="I12" s="5" t="s">
        <v>95</v>
      </c>
    </row>
    <row r="13" spans="1:9" x14ac:dyDescent="0.25">
      <c r="A13" s="4">
        <f>IF(D13&lt;&gt;"", SUBTOTAL(3, $D$2:D13), "")</f>
        <v>12</v>
      </c>
      <c r="B13" s="9"/>
      <c r="C13" s="9"/>
      <c r="D13" s="4" t="s">
        <v>73</v>
      </c>
      <c r="E13" s="4">
        <v>21</v>
      </c>
      <c r="F13" s="4">
        <v>127</v>
      </c>
      <c r="G13" s="4">
        <v>5024</v>
      </c>
      <c r="H13" s="4" t="s">
        <v>3</v>
      </c>
      <c r="I13" s="5" t="s">
        <v>95</v>
      </c>
    </row>
    <row r="14" spans="1:9" x14ac:dyDescent="0.25">
      <c r="A14" s="4">
        <f>IF(D14&lt;&gt;"", SUBTOTAL(3, $D$2:D14), "")</f>
        <v>13</v>
      </c>
      <c r="B14" s="9">
        <v>7</v>
      </c>
      <c r="C14" s="9" t="s">
        <v>34</v>
      </c>
      <c r="D14" s="4" t="s">
        <v>73</v>
      </c>
      <c r="E14" s="4">
        <v>21</v>
      </c>
      <c r="F14" s="4">
        <v>133</v>
      </c>
      <c r="G14" s="4">
        <v>26490</v>
      </c>
      <c r="H14" s="4" t="s">
        <v>3</v>
      </c>
      <c r="I14" s="5" t="s">
        <v>95</v>
      </c>
    </row>
    <row r="15" spans="1:9" x14ac:dyDescent="0.25">
      <c r="A15" s="4">
        <f>IF(D15&lt;&gt;"", SUBTOTAL(3, $D$2:D15), "")</f>
        <v>14</v>
      </c>
      <c r="B15" s="9"/>
      <c r="C15" s="9"/>
      <c r="D15" s="4" t="s">
        <v>73</v>
      </c>
      <c r="E15" s="4">
        <v>21</v>
      </c>
      <c r="F15" s="4">
        <v>134</v>
      </c>
      <c r="G15" s="4">
        <v>6891</v>
      </c>
      <c r="H15" s="4" t="s">
        <v>3</v>
      </c>
      <c r="I15" s="5" t="s">
        <v>95</v>
      </c>
    </row>
    <row r="16" spans="1:9" x14ac:dyDescent="0.25">
      <c r="A16" s="4">
        <f>IF(D16&lt;&gt;"", SUBTOTAL(3, $D$2:D16), "")</f>
        <v>15</v>
      </c>
      <c r="B16" s="9"/>
      <c r="C16" s="9"/>
      <c r="D16" s="4" t="s">
        <v>73</v>
      </c>
      <c r="E16" s="4">
        <v>21</v>
      </c>
      <c r="F16" s="4">
        <v>135</v>
      </c>
      <c r="G16" s="4">
        <v>36590</v>
      </c>
      <c r="H16" s="4" t="s">
        <v>3</v>
      </c>
      <c r="I16" s="5" t="s">
        <v>95</v>
      </c>
    </row>
    <row r="17" spans="1:9" x14ac:dyDescent="0.25">
      <c r="A17" s="4">
        <f>IF(D17&lt;&gt;"", SUBTOTAL(3, $D$2:D17), "")</f>
        <v>16</v>
      </c>
      <c r="B17" s="5">
        <v>8</v>
      </c>
      <c r="C17" s="5" t="s">
        <v>36</v>
      </c>
      <c r="D17" s="4" t="s">
        <v>73</v>
      </c>
      <c r="E17" s="4">
        <v>21</v>
      </c>
      <c r="F17" s="4">
        <v>145</v>
      </c>
      <c r="G17" s="4">
        <v>2824</v>
      </c>
      <c r="H17" s="4" t="s">
        <v>3</v>
      </c>
      <c r="I17" s="5"/>
    </row>
    <row r="18" spans="1:9" x14ac:dyDescent="0.25">
      <c r="A18" s="4">
        <f>IF(D18&lt;&gt;"", SUBTOTAL(3, $D$2:D18), "")</f>
        <v>17</v>
      </c>
      <c r="B18" s="9">
        <v>9</v>
      </c>
      <c r="C18" s="9" t="s">
        <v>39</v>
      </c>
      <c r="D18" s="4" t="s">
        <v>73</v>
      </c>
      <c r="E18" s="4">
        <v>21</v>
      </c>
      <c r="F18" s="4">
        <v>150</v>
      </c>
      <c r="G18" s="4">
        <v>7258</v>
      </c>
      <c r="H18" s="4" t="s">
        <v>3</v>
      </c>
      <c r="I18" s="5" t="s">
        <v>95</v>
      </c>
    </row>
    <row r="19" spans="1:9" x14ac:dyDescent="0.25">
      <c r="A19" s="4">
        <f>IF(D19&lt;&gt;"", SUBTOTAL(3, $D$2:D19), "")</f>
        <v>18</v>
      </c>
      <c r="B19" s="9"/>
      <c r="C19" s="9"/>
      <c r="D19" s="4" t="s">
        <v>73</v>
      </c>
      <c r="E19" s="4">
        <v>21</v>
      </c>
      <c r="F19" s="4">
        <v>151</v>
      </c>
      <c r="G19" s="4">
        <v>11823</v>
      </c>
      <c r="H19" s="4" t="s">
        <v>3</v>
      </c>
      <c r="I19" s="5" t="s">
        <v>95</v>
      </c>
    </row>
    <row r="20" spans="1:9" x14ac:dyDescent="0.25">
      <c r="A20" s="4">
        <f>IF(D20&lt;&gt;"", SUBTOTAL(3, $D$2:D20), "")</f>
        <v>19</v>
      </c>
      <c r="B20" s="9"/>
      <c r="C20" s="9"/>
      <c r="D20" s="4" t="s">
        <v>73</v>
      </c>
      <c r="E20" s="4">
        <v>21</v>
      </c>
      <c r="F20" s="4">
        <v>152</v>
      </c>
      <c r="G20" s="4">
        <v>4680</v>
      </c>
      <c r="H20" s="4" t="s">
        <v>3</v>
      </c>
      <c r="I20" s="5" t="s">
        <v>95</v>
      </c>
    </row>
    <row r="21" spans="1:9" x14ac:dyDescent="0.25">
      <c r="A21" s="4">
        <f>IF(D21&lt;&gt;"", SUBTOTAL(3, $D$2:D21), "")</f>
        <v>20</v>
      </c>
      <c r="B21" s="9">
        <v>10</v>
      </c>
      <c r="C21" s="9" t="s">
        <v>41</v>
      </c>
      <c r="D21" s="4" t="s">
        <v>73</v>
      </c>
      <c r="E21" s="4">
        <v>21</v>
      </c>
      <c r="F21" s="4">
        <v>157</v>
      </c>
      <c r="G21" s="4">
        <v>5223</v>
      </c>
      <c r="H21" s="4" t="s">
        <v>3</v>
      </c>
      <c r="I21" s="5" t="s">
        <v>95</v>
      </c>
    </row>
    <row r="22" spans="1:9" x14ac:dyDescent="0.25">
      <c r="A22" s="4">
        <f>IF(D22&lt;&gt;"", SUBTOTAL(3, $D$2:D22), "")</f>
        <v>21</v>
      </c>
      <c r="B22" s="9"/>
      <c r="C22" s="9"/>
      <c r="D22" s="4" t="s">
        <v>73</v>
      </c>
      <c r="E22" s="4">
        <v>21</v>
      </c>
      <c r="F22" s="4">
        <v>159</v>
      </c>
      <c r="G22" s="4">
        <v>3403</v>
      </c>
      <c r="H22" s="4" t="s">
        <v>3</v>
      </c>
      <c r="I22" s="5" t="s">
        <v>95</v>
      </c>
    </row>
    <row r="23" spans="1:9" x14ac:dyDescent="0.25">
      <c r="A23" s="4">
        <f>IF(D23&lt;&gt;"", SUBTOTAL(3, $D$2:D23), "")</f>
        <v>22</v>
      </c>
      <c r="B23" s="9">
        <v>11</v>
      </c>
      <c r="C23" s="9" t="s">
        <v>42</v>
      </c>
      <c r="D23" s="4" t="s">
        <v>73</v>
      </c>
      <c r="E23" s="4">
        <v>21</v>
      </c>
      <c r="F23" s="4">
        <v>160</v>
      </c>
      <c r="G23" s="4">
        <v>6134</v>
      </c>
      <c r="H23" s="4" t="s">
        <v>3</v>
      </c>
      <c r="I23" s="5" t="s">
        <v>95</v>
      </c>
    </row>
    <row r="24" spans="1:9" x14ac:dyDescent="0.25">
      <c r="A24" s="4">
        <f>IF(D24&lt;&gt;"", SUBTOTAL(3, $D$2:D24), "")</f>
        <v>23</v>
      </c>
      <c r="B24" s="9"/>
      <c r="C24" s="9"/>
      <c r="D24" s="4" t="s">
        <v>73</v>
      </c>
      <c r="E24" s="4">
        <v>21</v>
      </c>
      <c r="F24" s="4">
        <v>161</v>
      </c>
      <c r="G24" s="4">
        <v>12699</v>
      </c>
      <c r="H24" s="4" t="s">
        <v>3</v>
      </c>
      <c r="I24" s="5" t="s">
        <v>95</v>
      </c>
    </row>
    <row r="25" spans="1:9" x14ac:dyDescent="0.25">
      <c r="A25" s="4">
        <f>IF(D25&lt;&gt;"", SUBTOTAL(3, $D$2:D25), "")</f>
        <v>24</v>
      </c>
      <c r="B25" s="9"/>
      <c r="C25" s="9"/>
      <c r="D25" s="4" t="s">
        <v>73</v>
      </c>
      <c r="E25" s="4">
        <v>21</v>
      </c>
      <c r="F25" s="4">
        <v>162</v>
      </c>
      <c r="G25" s="4">
        <v>16603</v>
      </c>
      <c r="H25" s="4" t="s">
        <v>3</v>
      </c>
      <c r="I25" s="5" t="s">
        <v>95</v>
      </c>
    </row>
    <row r="26" spans="1:9" x14ac:dyDescent="0.25">
      <c r="A26" s="4">
        <f>IF(D26&lt;&gt;"", SUBTOTAL(3, $D$2:D26), "")</f>
        <v>25</v>
      </c>
      <c r="B26" s="9">
        <v>12</v>
      </c>
      <c r="C26" s="9" t="s">
        <v>48</v>
      </c>
      <c r="D26" s="4" t="s">
        <v>73</v>
      </c>
      <c r="E26" s="4">
        <v>21</v>
      </c>
      <c r="F26" s="4">
        <v>182</v>
      </c>
      <c r="G26" s="4">
        <v>5395</v>
      </c>
      <c r="H26" s="4" t="s">
        <v>3</v>
      </c>
      <c r="I26" s="5" t="s">
        <v>95</v>
      </c>
    </row>
    <row r="27" spans="1:9" x14ac:dyDescent="0.25">
      <c r="A27" s="4">
        <f>IF(D27&lt;&gt;"", SUBTOTAL(3, $D$2:D27), "")</f>
        <v>26</v>
      </c>
      <c r="B27" s="9"/>
      <c r="C27" s="9"/>
      <c r="D27" s="4" t="s">
        <v>73</v>
      </c>
      <c r="E27" s="4">
        <v>21</v>
      </c>
      <c r="F27" s="4">
        <v>183</v>
      </c>
      <c r="G27" s="4">
        <v>7194</v>
      </c>
      <c r="H27" s="4" t="s">
        <v>3</v>
      </c>
      <c r="I27" s="5" t="s">
        <v>95</v>
      </c>
    </row>
    <row r="28" spans="1:9" x14ac:dyDescent="0.25">
      <c r="A28" s="4">
        <f>IF(D28&lt;&gt;"", SUBTOTAL(3, $D$2:D28), "")</f>
        <v>27</v>
      </c>
      <c r="B28" s="9">
        <v>13</v>
      </c>
      <c r="C28" s="9" t="s">
        <v>54</v>
      </c>
      <c r="D28" s="4" t="s">
        <v>73</v>
      </c>
      <c r="E28" s="4">
        <v>21</v>
      </c>
      <c r="F28" s="4">
        <v>197</v>
      </c>
      <c r="G28" s="4">
        <v>13396</v>
      </c>
      <c r="H28" s="4" t="s">
        <v>3</v>
      </c>
      <c r="I28" s="5" t="s">
        <v>95</v>
      </c>
    </row>
    <row r="29" spans="1:9" x14ac:dyDescent="0.25">
      <c r="A29" s="4">
        <f>IF(D29&lt;&gt;"", SUBTOTAL(3, $D$2:D29), "")</f>
        <v>28</v>
      </c>
      <c r="B29" s="9"/>
      <c r="C29" s="9"/>
      <c r="D29" s="4" t="s">
        <v>73</v>
      </c>
      <c r="E29" s="4">
        <v>21</v>
      </c>
      <c r="F29" s="4">
        <v>198</v>
      </c>
      <c r="G29" s="4">
        <v>4280</v>
      </c>
      <c r="H29" s="4" t="s">
        <v>3</v>
      </c>
      <c r="I29" s="5" t="s">
        <v>95</v>
      </c>
    </row>
    <row r="30" spans="1:9" x14ac:dyDescent="0.25">
      <c r="A30" s="4">
        <f>IF(D30&lt;&gt;"", SUBTOTAL(3, $D$2:D30), "")</f>
        <v>29</v>
      </c>
      <c r="B30" s="9">
        <v>14</v>
      </c>
      <c r="C30" s="9" t="s">
        <v>61</v>
      </c>
      <c r="D30" s="4" t="s">
        <v>73</v>
      </c>
      <c r="E30" s="4">
        <v>21</v>
      </c>
      <c r="F30" s="4">
        <v>223</v>
      </c>
      <c r="G30" s="4">
        <v>4096</v>
      </c>
      <c r="H30" s="4" t="s">
        <v>3</v>
      </c>
      <c r="I30" s="5" t="s">
        <v>95</v>
      </c>
    </row>
    <row r="31" spans="1:9" x14ac:dyDescent="0.25">
      <c r="A31" s="4">
        <f>IF(D31&lt;&gt;"", SUBTOTAL(3, $D$2:D31), "")</f>
        <v>30</v>
      </c>
      <c r="B31" s="9"/>
      <c r="C31" s="9"/>
      <c r="D31" s="4" t="s">
        <v>73</v>
      </c>
      <c r="E31" s="4">
        <v>21</v>
      </c>
      <c r="F31" s="4">
        <v>224</v>
      </c>
      <c r="G31" s="4">
        <v>9294</v>
      </c>
      <c r="H31" s="4" t="s">
        <v>3</v>
      </c>
      <c r="I31" s="5" t="s">
        <v>95</v>
      </c>
    </row>
    <row r="32" spans="1:9" x14ac:dyDescent="0.25">
      <c r="A32" s="4">
        <f>IF(D32&lt;&gt;"", SUBTOTAL(3, $D$2:D32), "")</f>
        <v>31</v>
      </c>
      <c r="B32" s="5">
        <v>15</v>
      </c>
      <c r="C32" s="5" t="s">
        <v>65</v>
      </c>
      <c r="D32" s="4" t="s">
        <v>73</v>
      </c>
      <c r="E32" s="4">
        <v>21</v>
      </c>
      <c r="F32" s="4">
        <v>233</v>
      </c>
      <c r="G32" s="4">
        <v>19045</v>
      </c>
      <c r="H32" s="4" t="s">
        <v>3</v>
      </c>
      <c r="I32" s="5"/>
    </row>
    <row r="33" spans="1:9" x14ac:dyDescent="0.25">
      <c r="A33" s="4">
        <f>IF(D33&lt;&gt;"", SUBTOTAL(3, $D$2:D33), "")</f>
        <v>32</v>
      </c>
      <c r="B33" s="5">
        <v>16</v>
      </c>
      <c r="C33" s="5" t="s">
        <v>10</v>
      </c>
      <c r="D33" s="4" t="s">
        <v>75</v>
      </c>
      <c r="E33" s="4">
        <v>21</v>
      </c>
      <c r="F33" s="4">
        <v>68</v>
      </c>
      <c r="G33" s="4">
        <v>3699</v>
      </c>
      <c r="H33" s="4" t="s">
        <v>3</v>
      </c>
      <c r="I33" s="5"/>
    </row>
    <row r="34" spans="1:9" x14ac:dyDescent="0.25">
      <c r="A34" s="4">
        <f>IF(D34&lt;&gt;"", SUBTOTAL(3, $D$2:D34), "")</f>
        <v>33</v>
      </c>
      <c r="B34" s="9">
        <v>17</v>
      </c>
      <c r="C34" s="9" t="s">
        <v>33</v>
      </c>
      <c r="D34" s="4" t="s">
        <v>75</v>
      </c>
      <c r="E34" s="4">
        <v>21</v>
      </c>
      <c r="F34" s="4">
        <v>132</v>
      </c>
      <c r="G34" s="4">
        <v>11540</v>
      </c>
      <c r="H34" s="4" t="s">
        <v>3</v>
      </c>
      <c r="I34" s="5" t="s">
        <v>99</v>
      </c>
    </row>
    <row r="35" spans="1:9" x14ac:dyDescent="0.25">
      <c r="A35" s="4">
        <f>IF(D35&lt;&gt;"", SUBTOTAL(3, $D$2:D35), "")</f>
        <v>34</v>
      </c>
      <c r="B35" s="9"/>
      <c r="C35" s="9"/>
      <c r="D35" s="4" t="s">
        <v>75</v>
      </c>
      <c r="E35" s="4">
        <v>21</v>
      </c>
      <c r="F35" s="4">
        <v>70</v>
      </c>
      <c r="G35" s="4">
        <v>8887</v>
      </c>
      <c r="H35" s="4" t="s">
        <v>3</v>
      </c>
      <c r="I35" s="5" t="s">
        <v>99</v>
      </c>
    </row>
    <row r="36" spans="1:9" x14ac:dyDescent="0.25">
      <c r="A36" s="4">
        <f>IF(D36&lt;&gt;"", SUBTOTAL(3, $D$2:D36), "")</f>
        <v>35</v>
      </c>
      <c r="B36" s="9"/>
      <c r="C36" s="9"/>
      <c r="D36" s="4" t="s">
        <v>75</v>
      </c>
      <c r="E36" s="4">
        <v>21</v>
      </c>
      <c r="F36" s="4">
        <v>71</v>
      </c>
      <c r="G36" s="4">
        <v>13915</v>
      </c>
      <c r="H36" s="4" t="s">
        <v>3</v>
      </c>
      <c r="I36" s="5" t="s">
        <v>99</v>
      </c>
    </row>
    <row r="37" spans="1:9" x14ac:dyDescent="0.25">
      <c r="A37" s="4">
        <f>IF(D37&lt;&gt;"", SUBTOTAL(3, $D$2:D37), "")</f>
        <v>36</v>
      </c>
      <c r="B37" s="9"/>
      <c r="C37" s="9"/>
      <c r="D37" s="4" t="s">
        <v>75</v>
      </c>
      <c r="E37" s="4">
        <v>21</v>
      </c>
      <c r="F37" s="4">
        <v>72</v>
      </c>
      <c r="G37" s="4">
        <v>11043</v>
      </c>
      <c r="H37" s="4" t="s">
        <v>3</v>
      </c>
      <c r="I37" s="5" t="s">
        <v>99</v>
      </c>
    </row>
    <row r="38" spans="1:9" x14ac:dyDescent="0.25">
      <c r="A38" s="4">
        <f>IF(D38&lt;&gt;"", SUBTOTAL(3, $D$2:D38), "")</f>
        <v>37</v>
      </c>
      <c r="B38" s="5">
        <v>18</v>
      </c>
      <c r="C38" s="5" t="s">
        <v>50</v>
      </c>
      <c r="D38" s="4" t="s">
        <v>83</v>
      </c>
      <c r="E38" s="4">
        <v>21</v>
      </c>
      <c r="F38" s="4">
        <v>191</v>
      </c>
      <c r="G38" s="4">
        <v>18950</v>
      </c>
      <c r="H38" s="4" t="s">
        <v>3</v>
      </c>
      <c r="I38" s="5"/>
    </row>
    <row r="39" spans="1:9" x14ac:dyDescent="0.25">
      <c r="A39" s="4">
        <f>IF(D39&lt;&gt;"", SUBTOTAL(3, $D$2:D39), "")</f>
        <v>38</v>
      </c>
      <c r="B39" s="5">
        <v>19</v>
      </c>
      <c r="C39" s="5" t="s">
        <v>32</v>
      </c>
      <c r="D39" s="4" t="s">
        <v>79</v>
      </c>
      <c r="E39" s="4">
        <v>33</v>
      </c>
      <c r="F39" s="4">
        <v>5</v>
      </c>
      <c r="G39" s="4">
        <v>9588</v>
      </c>
      <c r="H39" s="4" t="s">
        <v>3</v>
      </c>
      <c r="I39" s="5" t="s">
        <v>101</v>
      </c>
    </row>
    <row r="40" spans="1:9" x14ac:dyDescent="0.25">
      <c r="A40" s="4">
        <f>IF(D40&lt;&gt;"", SUBTOTAL(3, $D$2:D40), "")</f>
        <v>39</v>
      </c>
      <c r="B40" s="5">
        <v>20</v>
      </c>
      <c r="C40" s="5" t="s">
        <v>19</v>
      </c>
      <c r="D40" s="4" t="s">
        <v>78</v>
      </c>
      <c r="E40" s="4">
        <v>14</v>
      </c>
      <c r="F40" s="4">
        <v>27</v>
      </c>
      <c r="G40" s="4">
        <v>11025</v>
      </c>
      <c r="H40" s="4" t="s">
        <v>3</v>
      </c>
      <c r="I40" s="5" t="s">
        <v>102</v>
      </c>
    </row>
    <row r="41" spans="1:9" x14ac:dyDescent="0.25">
      <c r="A41" s="4">
        <f>IF(D41&lt;&gt;"", SUBTOTAL(3, $D$2:D41), "")</f>
        <v>40</v>
      </c>
      <c r="B41" s="5">
        <v>21</v>
      </c>
      <c r="C41" s="5" t="s">
        <v>51</v>
      </c>
      <c r="D41" s="4" t="s">
        <v>76</v>
      </c>
      <c r="E41" s="4">
        <v>8</v>
      </c>
      <c r="F41" s="4">
        <v>210</v>
      </c>
      <c r="G41" s="4">
        <v>4483</v>
      </c>
      <c r="H41" s="4" t="s">
        <v>3</v>
      </c>
      <c r="I41" s="5"/>
    </row>
    <row r="42" spans="1:9" x14ac:dyDescent="0.25">
      <c r="A42" s="4">
        <f>IF(D42&lt;&gt;"", SUBTOTAL(3, $D$2:D42), "")</f>
        <v>41</v>
      </c>
      <c r="B42" s="5">
        <v>22</v>
      </c>
      <c r="C42" s="5" t="s">
        <v>6</v>
      </c>
      <c r="D42" s="4" t="s">
        <v>74</v>
      </c>
      <c r="E42" s="4">
        <v>1</v>
      </c>
      <c r="F42" s="4">
        <v>167</v>
      </c>
      <c r="G42" s="4">
        <v>3672</v>
      </c>
      <c r="H42" s="4" t="s">
        <v>3</v>
      </c>
      <c r="I42" s="5" t="s">
        <v>108</v>
      </c>
    </row>
    <row r="43" spans="1:9" x14ac:dyDescent="0.25">
      <c r="A43" s="4">
        <f>IF(D43&lt;&gt;"", SUBTOTAL(3, $D$2:D43), "")</f>
        <v>42</v>
      </c>
      <c r="B43" s="5">
        <v>23</v>
      </c>
      <c r="C43" s="5" t="s">
        <v>17</v>
      </c>
      <c r="D43" s="4" t="s">
        <v>74</v>
      </c>
      <c r="E43" s="4">
        <v>1</v>
      </c>
      <c r="F43" s="4">
        <v>6</v>
      </c>
      <c r="G43" s="4">
        <v>6517</v>
      </c>
      <c r="H43" s="4" t="s">
        <v>3</v>
      </c>
      <c r="I43" s="5"/>
    </row>
    <row r="44" spans="1:9" x14ac:dyDescent="0.25">
      <c r="A44" s="4">
        <f>IF(D44&lt;&gt;"", SUBTOTAL(3, $D$2:D44), "")</f>
        <v>43</v>
      </c>
      <c r="B44" s="9">
        <v>24</v>
      </c>
      <c r="C44" s="9" t="s">
        <v>11</v>
      </c>
      <c r="D44" s="4" t="s">
        <v>86</v>
      </c>
      <c r="E44" s="4">
        <v>21</v>
      </c>
      <c r="F44" s="4">
        <v>70</v>
      </c>
      <c r="G44" s="4">
        <v>12571</v>
      </c>
      <c r="H44" s="4" t="s">
        <v>3</v>
      </c>
      <c r="I44" s="5" t="s">
        <v>100</v>
      </c>
    </row>
    <row r="45" spans="1:9" x14ac:dyDescent="0.25">
      <c r="A45" s="4">
        <f>IF(D45&lt;&gt;"", SUBTOTAL(3, $D$2:D45), "")</f>
        <v>44</v>
      </c>
      <c r="B45" s="9"/>
      <c r="C45" s="9"/>
      <c r="D45" s="4" t="s">
        <v>86</v>
      </c>
      <c r="E45" s="4">
        <v>21</v>
      </c>
      <c r="F45" s="4">
        <v>71</v>
      </c>
      <c r="G45" s="4">
        <v>7637</v>
      </c>
      <c r="H45" s="4" t="s">
        <v>3</v>
      </c>
      <c r="I45" s="5" t="s">
        <v>100</v>
      </c>
    </row>
    <row r="46" spans="1:9" ht="31.5" x14ac:dyDescent="0.25">
      <c r="A46" s="4">
        <f>IF(D46&lt;&gt;"", SUBTOTAL(3, $D$2:D46), "")</f>
        <v>45</v>
      </c>
      <c r="B46" s="5">
        <v>25</v>
      </c>
      <c r="C46" s="5" t="s">
        <v>103</v>
      </c>
      <c r="D46" s="4" t="s">
        <v>86</v>
      </c>
      <c r="E46" s="4">
        <v>21</v>
      </c>
      <c r="F46" s="4">
        <v>72</v>
      </c>
      <c r="G46" s="4">
        <v>17247</v>
      </c>
      <c r="H46" s="4" t="s">
        <v>3</v>
      </c>
      <c r="I46" s="5" t="s">
        <v>94</v>
      </c>
    </row>
    <row r="47" spans="1:9" x14ac:dyDescent="0.25">
      <c r="A47" s="4">
        <f>IF(D47&lt;&gt;"", SUBTOTAL(3, $D$2:D47), "")</f>
        <v>46</v>
      </c>
      <c r="B47" s="5">
        <v>26</v>
      </c>
      <c r="C47" s="5" t="s">
        <v>20</v>
      </c>
      <c r="D47" s="4" t="s">
        <v>86</v>
      </c>
      <c r="E47" s="4">
        <v>21</v>
      </c>
      <c r="F47" s="4">
        <v>102</v>
      </c>
      <c r="G47" s="4">
        <v>6352</v>
      </c>
      <c r="H47" s="4" t="s">
        <v>3</v>
      </c>
      <c r="I47" s="5"/>
    </row>
    <row r="48" spans="1:9" x14ac:dyDescent="0.25">
      <c r="A48" s="4">
        <f>IF(D48&lt;&gt;"", SUBTOTAL(3, $D$2:D48), "")</f>
        <v>47</v>
      </c>
      <c r="B48" s="9">
        <v>27</v>
      </c>
      <c r="C48" s="9" t="s">
        <v>25</v>
      </c>
      <c r="D48" s="4" t="s">
        <v>86</v>
      </c>
      <c r="E48" s="4">
        <v>21</v>
      </c>
      <c r="F48" s="4">
        <v>114</v>
      </c>
      <c r="G48" s="4">
        <v>11270</v>
      </c>
      <c r="H48" s="4" t="s">
        <v>3</v>
      </c>
      <c r="I48" s="5"/>
    </row>
    <row r="49" spans="1:9" x14ac:dyDescent="0.25">
      <c r="A49" s="4">
        <f>IF(D49&lt;&gt;"", SUBTOTAL(3, $D$2:D49), "")</f>
        <v>48</v>
      </c>
      <c r="B49" s="9"/>
      <c r="C49" s="9"/>
      <c r="D49" s="4" t="s">
        <v>86</v>
      </c>
      <c r="E49" s="4">
        <v>21</v>
      </c>
      <c r="F49" s="4">
        <v>115</v>
      </c>
      <c r="G49" s="4">
        <v>26358</v>
      </c>
      <c r="H49" s="4" t="s">
        <v>3</v>
      </c>
      <c r="I49" s="5" t="s">
        <v>97</v>
      </c>
    </row>
    <row r="50" spans="1:9" x14ac:dyDescent="0.25">
      <c r="A50" s="4">
        <f>IF(D50&lt;&gt;"", SUBTOTAL(3, $D$2:D50), "")</f>
        <v>49</v>
      </c>
      <c r="B50" s="9">
        <v>28</v>
      </c>
      <c r="C50" s="9" t="s">
        <v>89</v>
      </c>
      <c r="D50" s="4" t="s">
        <v>86</v>
      </c>
      <c r="E50" s="4">
        <v>33</v>
      </c>
      <c r="F50" s="4">
        <v>12</v>
      </c>
      <c r="G50" s="4">
        <v>9487</v>
      </c>
      <c r="H50" s="4" t="s">
        <v>3</v>
      </c>
      <c r="I50" s="5" t="s">
        <v>109</v>
      </c>
    </row>
    <row r="51" spans="1:9" x14ac:dyDescent="0.25">
      <c r="A51" s="4">
        <f>IF(D51&lt;&gt;"", SUBTOTAL(3, $D$2:D51), "")</f>
        <v>50</v>
      </c>
      <c r="B51" s="9"/>
      <c r="C51" s="9"/>
      <c r="D51" s="4" t="s">
        <v>86</v>
      </c>
      <c r="E51" s="4">
        <v>21</v>
      </c>
      <c r="F51" s="4">
        <v>121</v>
      </c>
      <c r="G51" s="4">
        <v>11402</v>
      </c>
      <c r="H51" s="4" t="s">
        <v>3</v>
      </c>
      <c r="I51" s="5"/>
    </row>
    <row r="52" spans="1:9" x14ac:dyDescent="0.25">
      <c r="A52" s="4">
        <f>IF(D52&lt;&gt;"", SUBTOTAL(3, $D$2:D52), "")</f>
        <v>51</v>
      </c>
      <c r="B52" s="9">
        <v>29</v>
      </c>
      <c r="C52" s="9" t="s">
        <v>29</v>
      </c>
      <c r="D52" s="4" t="s">
        <v>86</v>
      </c>
      <c r="E52" s="4">
        <v>21</v>
      </c>
      <c r="F52" s="4">
        <v>123</v>
      </c>
      <c r="G52" s="4">
        <v>1705</v>
      </c>
      <c r="H52" s="4" t="s">
        <v>3</v>
      </c>
      <c r="I52" s="5"/>
    </row>
    <row r="53" spans="1:9" x14ac:dyDescent="0.25">
      <c r="A53" s="4">
        <f>IF(D53&lt;&gt;"", SUBTOTAL(3, $D$2:D53), "")</f>
        <v>52</v>
      </c>
      <c r="B53" s="9"/>
      <c r="C53" s="9"/>
      <c r="D53" s="4" t="s">
        <v>86</v>
      </c>
      <c r="E53" s="4">
        <v>21</v>
      </c>
      <c r="F53" s="4">
        <v>124</v>
      </c>
      <c r="G53" s="4">
        <v>8766</v>
      </c>
      <c r="H53" s="4" t="s">
        <v>3</v>
      </c>
      <c r="I53" s="5"/>
    </row>
    <row r="54" spans="1:9" x14ac:dyDescent="0.25">
      <c r="A54" s="4">
        <f>IF(D54&lt;&gt;"", SUBTOTAL(3, $D$2:D54), "")</f>
        <v>53</v>
      </c>
      <c r="B54" s="5">
        <v>30</v>
      </c>
      <c r="C54" s="5" t="s">
        <v>45</v>
      </c>
      <c r="D54" s="4" t="s">
        <v>86</v>
      </c>
      <c r="E54" s="4">
        <v>21</v>
      </c>
      <c r="F54" s="4">
        <v>170</v>
      </c>
      <c r="G54" s="4">
        <v>7810</v>
      </c>
      <c r="H54" s="4" t="s">
        <v>3</v>
      </c>
      <c r="I54" s="5"/>
    </row>
    <row r="55" spans="1:9" x14ac:dyDescent="0.25">
      <c r="A55" s="4">
        <f>IF(D55&lt;&gt;"", SUBTOTAL(3, $D$2:D55), "")</f>
        <v>54</v>
      </c>
      <c r="B55" s="5">
        <v>31</v>
      </c>
      <c r="C55" s="5" t="s">
        <v>64</v>
      </c>
      <c r="D55" s="4" t="s">
        <v>86</v>
      </c>
      <c r="E55" s="4">
        <v>21</v>
      </c>
      <c r="F55" s="4">
        <v>229</v>
      </c>
      <c r="G55" s="4">
        <v>5084</v>
      </c>
      <c r="H55" s="4" t="s">
        <v>3</v>
      </c>
      <c r="I55" s="5"/>
    </row>
    <row r="56" spans="1:9" x14ac:dyDescent="0.25">
      <c r="A56" s="4">
        <f>IF(D56&lt;&gt;"", SUBTOTAL(3, $D$2:D56), "")</f>
        <v>55</v>
      </c>
      <c r="B56" s="5">
        <v>32</v>
      </c>
      <c r="C56" s="5" t="s">
        <v>68</v>
      </c>
      <c r="D56" s="4" t="s">
        <v>85</v>
      </c>
      <c r="E56" s="4">
        <v>21</v>
      </c>
      <c r="F56" s="4">
        <v>242</v>
      </c>
      <c r="G56" s="4">
        <v>4876</v>
      </c>
      <c r="H56" s="4" t="s">
        <v>3</v>
      </c>
      <c r="I56" s="5"/>
    </row>
    <row r="57" spans="1:9" x14ac:dyDescent="0.25">
      <c r="A57" s="4">
        <f>IF(D57&lt;&gt;"", SUBTOTAL(3, $D$2:D57), "")</f>
        <v>56</v>
      </c>
      <c r="B57" s="9">
        <v>33</v>
      </c>
      <c r="C57" s="9" t="s">
        <v>7</v>
      </c>
      <c r="D57" s="4" t="s">
        <v>91</v>
      </c>
      <c r="E57" s="4">
        <v>21</v>
      </c>
      <c r="F57" s="4">
        <v>63</v>
      </c>
      <c r="G57" s="4">
        <v>7913</v>
      </c>
      <c r="H57" s="4" t="s">
        <v>3</v>
      </c>
      <c r="I57" s="5" t="s">
        <v>95</v>
      </c>
    </row>
    <row r="58" spans="1:9" x14ac:dyDescent="0.25">
      <c r="A58" s="4">
        <f>IF(D58&lt;&gt;"", SUBTOTAL(3, $D$2:D58), "")</f>
        <v>57</v>
      </c>
      <c r="B58" s="9"/>
      <c r="C58" s="9"/>
      <c r="D58" s="4" t="s">
        <v>91</v>
      </c>
      <c r="E58" s="4">
        <v>21</v>
      </c>
      <c r="F58" s="4">
        <v>64</v>
      </c>
      <c r="G58" s="4">
        <v>5219</v>
      </c>
      <c r="H58" s="4" t="s">
        <v>3</v>
      </c>
      <c r="I58" s="5" t="s">
        <v>95</v>
      </c>
    </row>
    <row r="59" spans="1:9" x14ac:dyDescent="0.25">
      <c r="A59" s="4">
        <f>IF(D59&lt;&gt;"", SUBTOTAL(3, $D$2:D59), "")</f>
        <v>58</v>
      </c>
      <c r="B59" s="9">
        <v>34</v>
      </c>
      <c r="C59" s="9" t="s">
        <v>13</v>
      </c>
      <c r="D59" s="4" t="s">
        <v>91</v>
      </c>
      <c r="E59" s="4">
        <v>21</v>
      </c>
      <c r="F59" s="4">
        <v>79</v>
      </c>
      <c r="G59" s="4">
        <v>9667</v>
      </c>
      <c r="H59" s="4" t="s">
        <v>3</v>
      </c>
      <c r="I59" s="5" t="s">
        <v>95</v>
      </c>
    </row>
    <row r="60" spans="1:9" x14ac:dyDescent="0.25">
      <c r="A60" s="4">
        <f>IF(D60&lt;&gt;"", SUBTOTAL(3, $D$2:D60), "")</f>
        <v>59</v>
      </c>
      <c r="B60" s="9"/>
      <c r="C60" s="9"/>
      <c r="D60" s="4" t="s">
        <v>91</v>
      </c>
      <c r="E60" s="4">
        <v>21</v>
      </c>
      <c r="F60" s="4">
        <v>80</v>
      </c>
      <c r="G60" s="4">
        <v>13907</v>
      </c>
      <c r="H60" s="4" t="s">
        <v>3</v>
      </c>
      <c r="I60" s="5" t="s">
        <v>95</v>
      </c>
    </row>
    <row r="61" spans="1:9" x14ac:dyDescent="0.25">
      <c r="A61" s="4">
        <f>IF(D61&lt;&gt;"", SUBTOTAL(3, $D$2:D61), "")</f>
        <v>60</v>
      </c>
      <c r="B61" s="5">
        <v>35</v>
      </c>
      <c r="C61" s="5" t="s">
        <v>40</v>
      </c>
      <c r="D61" s="4" t="s">
        <v>91</v>
      </c>
      <c r="E61" s="4">
        <v>21</v>
      </c>
      <c r="F61" s="4">
        <v>153</v>
      </c>
      <c r="G61" s="4">
        <v>7804</v>
      </c>
      <c r="H61" s="4" t="s">
        <v>3</v>
      </c>
      <c r="I61" s="5" t="s">
        <v>94</v>
      </c>
    </row>
    <row r="62" spans="1:9" x14ac:dyDescent="0.25">
      <c r="A62" s="4">
        <f>IF(D62&lt;&gt;"", SUBTOTAL(3, $D$2:D62), "")</f>
        <v>61</v>
      </c>
      <c r="B62" s="9">
        <v>36</v>
      </c>
      <c r="C62" s="9" t="s">
        <v>57</v>
      </c>
      <c r="D62" s="4" t="s">
        <v>91</v>
      </c>
      <c r="E62" s="4">
        <v>22</v>
      </c>
      <c r="F62" s="4">
        <v>14</v>
      </c>
      <c r="G62" s="4">
        <v>7934</v>
      </c>
      <c r="H62" s="4" t="s">
        <v>3</v>
      </c>
      <c r="I62" s="5" t="s">
        <v>119</v>
      </c>
    </row>
    <row r="63" spans="1:9" x14ac:dyDescent="0.25">
      <c r="A63" s="4">
        <f>IF(D63&lt;&gt;"", SUBTOTAL(3, $D$2:D63), "")</f>
        <v>62</v>
      </c>
      <c r="B63" s="9"/>
      <c r="C63" s="9"/>
      <c r="D63" s="4" t="s">
        <v>91</v>
      </c>
      <c r="E63" s="4">
        <v>21</v>
      </c>
      <c r="F63" s="4">
        <v>208</v>
      </c>
      <c r="G63" s="4">
        <v>27215</v>
      </c>
      <c r="H63" s="4" t="s">
        <v>3</v>
      </c>
      <c r="I63" s="5"/>
    </row>
    <row r="64" spans="1:9" x14ac:dyDescent="0.25">
      <c r="A64" s="4">
        <f>IF(D64&lt;&gt;"", SUBTOTAL(3, $D$2:D64), "")</f>
        <v>63</v>
      </c>
      <c r="B64" s="9">
        <v>37</v>
      </c>
      <c r="C64" s="9" t="s">
        <v>62</v>
      </c>
      <c r="D64" s="4" t="s">
        <v>91</v>
      </c>
      <c r="E64" s="4">
        <v>32</v>
      </c>
      <c r="F64" s="4">
        <v>119</v>
      </c>
      <c r="G64" s="4">
        <v>6114</v>
      </c>
      <c r="H64" s="4" t="s">
        <v>3</v>
      </c>
      <c r="I64" s="5" t="s">
        <v>100</v>
      </c>
    </row>
    <row r="65" spans="1:9" x14ac:dyDescent="0.25">
      <c r="A65" s="4">
        <f>IF(D65&lt;&gt;"", SUBTOTAL(3, $D$2:D65), "")</f>
        <v>64</v>
      </c>
      <c r="B65" s="9"/>
      <c r="C65" s="9"/>
      <c r="D65" s="4" t="s">
        <v>91</v>
      </c>
      <c r="E65" s="4">
        <v>33</v>
      </c>
      <c r="F65" s="4">
        <v>6</v>
      </c>
      <c r="G65" s="4">
        <v>5752</v>
      </c>
      <c r="H65" s="4" t="s">
        <v>3</v>
      </c>
      <c r="I65" s="5" t="s">
        <v>95</v>
      </c>
    </row>
    <row r="66" spans="1:9" x14ac:dyDescent="0.25">
      <c r="A66" s="4">
        <f>IF(D66&lt;&gt;"", SUBTOTAL(3, $D$2:D66), "")</f>
        <v>65</v>
      </c>
      <c r="B66" s="9">
        <v>38</v>
      </c>
      <c r="C66" s="9" t="s">
        <v>60</v>
      </c>
      <c r="D66" s="4" t="s">
        <v>91</v>
      </c>
      <c r="E66" s="4">
        <v>21</v>
      </c>
      <c r="F66" s="4">
        <v>220</v>
      </c>
      <c r="G66" s="4">
        <v>11197</v>
      </c>
      <c r="H66" s="4" t="s">
        <v>3</v>
      </c>
      <c r="I66" s="5" t="s">
        <v>95</v>
      </c>
    </row>
    <row r="67" spans="1:9" x14ac:dyDescent="0.25">
      <c r="A67" s="4">
        <f>IF(D67&lt;&gt;"", SUBTOTAL(3, $D$2:D67), "")</f>
        <v>66</v>
      </c>
      <c r="B67" s="9"/>
      <c r="C67" s="9"/>
      <c r="D67" s="4" t="s">
        <v>91</v>
      </c>
      <c r="E67" s="4">
        <v>21</v>
      </c>
      <c r="F67" s="4">
        <v>221</v>
      </c>
      <c r="G67" s="4">
        <v>4587</v>
      </c>
      <c r="H67" s="4" t="s">
        <v>3</v>
      </c>
      <c r="I67" s="5" t="s">
        <v>95</v>
      </c>
    </row>
    <row r="68" spans="1:9" x14ac:dyDescent="0.25">
      <c r="A68" s="4">
        <f>IF(D68&lt;&gt;"", SUBTOTAL(3, $D$2:D68), "")</f>
        <v>67</v>
      </c>
      <c r="B68" s="9">
        <v>39</v>
      </c>
      <c r="C68" s="9" t="s">
        <v>37</v>
      </c>
      <c r="D68" s="4" t="s">
        <v>91</v>
      </c>
      <c r="E68" s="4">
        <v>21</v>
      </c>
      <c r="F68" s="4">
        <v>146</v>
      </c>
      <c r="G68" s="4">
        <v>7264</v>
      </c>
      <c r="H68" s="4" t="s">
        <v>3</v>
      </c>
      <c r="I68" s="5" t="s">
        <v>95</v>
      </c>
    </row>
    <row r="69" spans="1:9" x14ac:dyDescent="0.25">
      <c r="A69" s="4">
        <f>IF(D69&lt;&gt;"", SUBTOTAL(3, $D$2:D69), "")</f>
        <v>68</v>
      </c>
      <c r="B69" s="9"/>
      <c r="C69" s="9"/>
      <c r="D69" s="4" t="s">
        <v>91</v>
      </c>
      <c r="E69" s="4">
        <v>21</v>
      </c>
      <c r="F69" s="4">
        <v>147</v>
      </c>
      <c r="G69" s="4">
        <v>4738</v>
      </c>
      <c r="H69" s="4" t="s">
        <v>3</v>
      </c>
      <c r="I69" s="5" t="s">
        <v>95</v>
      </c>
    </row>
    <row r="70" spans="1:9" x14ac:dyDescent="0.25">
      <c r="A70" s="4">
        <f>IF(D70&lt;&gt;"", SUBTOTAL(3, $D$2:D70), "")</f>
        <v>69</v>
      </c>
      <c r="B70" s="5">
        <v>40</v>
      </c>
      <c r="C70" s="5" t="s">
        <v>71</v>
      </c>
      <c r="D70" s="4" t="s">
        <v>82</v>
      </c>
      <c r="E70" s="4">
        <v>21</v>
      </c>
      <c r="F70" s="4">
        <v>251</v>
      </c>
      <c r="G70" s="4">
        <v>6469</v>
      </c>
      <c r="H70" s="4" t="s">
        <v>3</v>
      </c>
      <c r="I70" s="5"/>
    </row>
    <row r="71" spans="1:9" x14ac:dyDescent="0.25">
      <c r="A71" s="4">
        <f>IF(D71&lt;&gt;"", SUBTOTAL(3, $D$2:D71), "")</f>
        <v>70</v>
      </c>
      <c r="B71" s="5">
        <v>41</v>
      </c>
      <c r="C71" s="5" t="s">
        <v>14</v>
      </c>
      <c r="D71" s="4" t="s">
        <v>88</v>
      </c>
      <c r="E71" s="4">
        <v>21</v>
      </c>
      <c r="F71" s="4">
        <v>82</v>
      </c>
      <c r="G71" s="4">
        <v>14524</v>
      </c>
      <c r="H71" s="4" t="s">
        <v>3</v>
      </c>
      <c r="I71" s="5" t="s">
        <v>94</v>
      </c>
    </row>
    <row r="72" spans="1:9" x14ac:dyDescent="0.25">
      <c r="A72" s="4">
        <f>IF(D72&lt;&gt;"", SUBTOTAL(3, $D$2:D72), "")</f>
        <v>71</v>
      </c>
      <c r="B72" s="9">
        <v>42</v>
      </c>
      <c r="C72" s="9" t="s">
        <v>22</v>
      </c>
      <c r="D72" s="4" t="s">
        <v>88</v>
      </c>
      <c r="E72" s="4">
        <v>21</v>
      </c>
      <c r="F72" s="4">
        <v>105</v>
      </c>
      <c r="G72" s="4">
        <v>2993</v>
      </c>
      <c r="H72" s="4" t="s">
        <v>3</v>
      </c>
      <c r="I72" s="5" t="s">
        <v>95</v>
      </c>
    </row>
    <row r="73" spans="1:9" x14ac:dyDescent="0.25">
      <c r="A73" s="4">
        <f>IF(D73&lt;&gt;"", SUBTOTAL(3, $D$2:D73), "")</f>
        <v>72</v>
      </c>
      <c r="B73" s="9"/>
      <c r="C73" s="9"/>
      <c r="D73" s="4" t="s">
        <v>88</v>
      </c>
      <c r="E73" s="4">
        <v>21</v>
      </c>
      <c r="F73" s="4">
        <v>69</v>
      </c>
      <c r="G73" s="4">
        <v>5865</v>
      </c>
      <c r="H73" s="4" t="s">
        <v>3</v>
      </c>
      <c r="I73" s="5" t="s">
        <v>95</v>
      </c>
    </row>
    <row r="74" spans="1:9" ht="31.5" x14ac:dyDescent="0.25">
      <c r="A74" s="4">
        <f>IF(D74&lt;&gt;"", SUBTOTAL(3, $D$2:D74), "")</f>
        <v>73</v>
      </c>
      <c r="B74" s="5">
        <v>43</v>
      </c>
      <c r="C74" s="5" t="s">
        <v>27</v>
      </c>
      <c r="D74" s="4" t="s">
        <v>88</v>
      </c>
      <c r="E74" s="4">
        <v>32</v>
      </c>
      <c r="F74" s="4">
        <v>52</v>
      </c>
      <c r="G74" s="4">
        <v>11176</v>
      </c>
      <c r="H74" s="4" t="s">
        <v>3</v>
      </c>
      <c r="I74" s="5" t="s">
        <v>110</v>
      </c>
    </row>
    <row r="75" spans="1:9" x14ac:dyDescent="0.25">
      <c r="A75" s="4">
        <f>IF(D75&lt;&gt;"", SUBTOTAL(3, $D$2:D75), "")</f>
        <v>74</v>
      </c>
      <c r="B75" s="5">
        <v>44</v>
      </c>
      <c r="C75" s="5" t="s">
        <v>35</v>
      </c>
      <c r="D75" s="4" t="s">
        <v>88</v>
      </c>
      <c r="E75" s="4">
        <v>21</v>
      </c>
      <c r="F75" s="4">
        <v>143</v>
      </c>
      <c r="G75" s="4">
        <v>10614</v>
      </c>
      <c r="H75" s="4" t="s">
        <v>3</v>
      </c>
      <c r="I75" s="5"/>
    </row>
    <row r="76" spans="1:9" x14ac:dyDescent="0.25">
      <c r="A76" s="4">
        <f>IF(D76&lt;&gt;"", SUBTOTAL(3, $D$2:D76), "")</f>
        <v>75</v>
      </c>
      <c r="B76" s="5">
        <v>45</v>
      </c>
      <c r="C76" s="5" t="s">
        <v>49</v>
      </c>
      <c r="D76" s="4" t="s">
        <v>88</v>
      </c>
      <c r="E76" s="4">
        <v>21</v>
      </c>
      <c r="F76" s="4">
        <v>74</v>
      </c>
      <c r="G76" s="4">
        <v>4352</v>
      </c>
      <c r="H76" s="4" t="s">
        <v>3</v>
      </c>
      <c r="I76" s="5" t="s">
        <v>94</v>
      </c>
    </row>
    <row r="77" spans="1:9" x14ac:dyDescent="0.25">
      <c r="A77" s="4">
        <f>IF(D77&lt;&gt;"", SUBTOTAL(3, $D$2:D77), "")</f>
        <v>76</v>
      </c>
      <c r="B77" s="5">
        <v>46</v>
      </c>
      <c r="C77" s="5" t="s">
        <v>59</v>
      </c>
      <c r="D77" s="4" t="s">
        <v>88</v>
      </c>
      <c r="E77" s="4">
        <v>21</v>
      </c>
      <c r="F77" s="4">
        <v>76</v>
      </c>
      <c r="G77" s="4">
        <v>7672</v>
      </c>
      <c r="H77" s="4" t="s">
        <v>3</v>
      </c>
      <c r="I77" s="5"/>
    </row>
    <row r="78" spans="1:9" x14ac:dyDescent="0.25">
      <c r="A78" s="4">
        <f>IF(D78&lt;&gt;"", SUBTOTAL(3, $D$2:D78), "")</f>
        <v>77</v>
      </c>
      <c r="B78" s="5">
        <v>47</v>
      </c>
      <c r="C78" s="5" t="s">
        <v>66</v>
      </c>
      <c r="D78" s="4" t="s">
        <v>88</v>
      </c>
      <c r="E78" s="4">
        <v>21</v>
      </c>
      <c r="F78" s="4">
        <v>236</v>
      </c>
      <c r="G78" s="4">
        <v>8046</v>
      </c>
      <c r="H78" s="4" t="s">
        <v>3</v>
      </c>
      <c r="I78" s="5" t="s">
        <v>94</v>
      </c>
    </row>
    <row r="79" spans="1:9" x14ac:dyDescent="0.25">
      <c r="A79" s="4">
        <f>IF(D79&lt;&gt;"", SUBTOTAL(3, $D$2:D79), "")</f>
        <v>78</v>
      </c>
      <c r="B79" s="5">
        <v>48</v>
      </c>
      <c r="C79" s="5" t="s">
        <v>26</v>
      </c>
      <c r="D79" s="4" t="s">
        <v>90</v>
      </c>
      <c r="E79" s="4">
        <v>21</v>
      </c>
      <c r="F79" s="4">
        <v>230</v>
      </c>
      <c r="G79" s="4">
        <v>7015</v>
      </c>
      <c r="H79" s="4" t="s">
        <v>3</v>
      </c>
      <c r="I79" s="5"/>
    </row>
    <row r="80" spans="1:9" ht="31.5" x14ac:dyDescent="0.25">
      <c r="A80" s="4">
        <f>IF(D80&lt;&gt;"", SUBTOTAL(3, $D$2:D80), "")</f>
        <v>79</v>
      </c>
      <c r="B80" s="5">
        <v>49</v>
      </c>
      <c r="C80" s="5" t="s">
        <v>52</v>
      </c>
      <c r="D80" s="4" t="s">
        <v>80</v>
      </c>
      <c r="E80" s="4">
        <v>36</v>
      </c>
      <c r="F80" s="4">
        <v>116</v>
      </c>
      <c r="G80" s="4">
        <v>2119</v>
      </c>
      <c r="H80" s="4" t="s">
        <v>3</v>
      </c>
      <c r="I80" s="5" t="s">
        <v>111</v>
      </c>
    </row>
    <row r="81" spans="1:9" x14ac:dyDescent="0.25">
      <c r="A81" s="4">
        <f>IF(D81&lt;&gt;"", SUBTOTAL(3, $D$2:D81), "")</f>
        <v>80</v>
      </c>
      <c r="B81" s="9">
        <v>50</v>
      </c>
      <c r="C81" s="9" t="s">
        <v>24</v>
      </c>
      <c r="D81" s="4" t="s">
        <v>84</v>
      </c>
      <c r="E81" s="4">
        <v>21</v>
      </c>
      <c r="F81" s="4">
        <v>107</v>
      </c>
      <c r="G81" s="4">
        <v>6979</v>
      </c>
      <c r="H81" s="4" t="s">
        <v>3</v>
      </c>
      <c r="I81" s="5" t="s">
        <v>96</v>
      </c>
    </row>
    <row r="82" spans="1:9" x14ac:dyDescent="0.25">
      <c r="A82" s="4">
        <f>IF(D82&lt;&gt;"", SUBTOTAL(3, $D$2:D82), "")</f>
        <v>81</v>
      </c>
      <c r="B82" s="9"/>
      <c r="C82" s="9"/>
      <c r="D82" s="4" t="s">
        <v>84</v>
      </c>
      <c r="E82" s="4">
        <v>21</v>
      </c>
      <c r="F82" s="4">
        <v>109</v>
      </c>
      <c r="G82" s="4">
        <v>3686</v>
      </c>
      <c r="H82" s="4" t="s">
        <v>3</v>
      </c>
      <c r="I82" s="5" t="s">
        <v>96</v>
      </c>
    </row>
    <row r="83" spans="1:9" x14ac:dyDescent="0.25">
      <c r="A83" s="4">
        <f>IF(D83&lt;&gt;"", SUBTOTAL(3, $D$2:D83), "")</f>
        <v>82</v>
      </c>
      <c r="B83" s="9"/>
      <c r="C83" s="9"/>
      <c r="D83" s="4" t="s">
        <v>84</v>
      </c>
      <c r="E83" s="4">
        <v>21</v>
      </c>
      <c r="F83" s="4">
        <v>110</v>
      </c>
      <c r="G83" s="4">
        <v>1672</v>
      </c>
      <c r="H83" s="4" t="s">
        <v>3</v>
      </c>
      <c r="I83" s="5" t="s">
        <v>96</v>
      </c>
    </row>
    <row r="84" spans="1:9" x14ac:dyDescent="0.25">
      <c r="A84" s="4">
        <f>IF(D84&lt;&gt;"", SUBTOTAL(3, $D$2:D84), "")</f>
        <v>83</v>
      </c>
      <c r="B84" s="9">
        <v>51</v>
      </c>
      <c r="C84" s="9" t="s">
        <v>46</v>
      </c>
      <c r="D84" s="4" t="s">
        <v>84</v>
      </c>
      <c r="E84" s="4">
        <v>21</v>
      </c>
      <c r="F84" s="4">
        <v>171</v>
      </c>
      <c r="G84" s="4">
        <v>3186</v>
      </c>
      <c r="H84" s="4" t="s">
        <v>3</v>
      </c>
      <c r="I84" s="5" t="s">
        <v>99</v>
      </c>
    </row>
    <row r="85" spans="1:9" x14ac:dyDescent="0.25">
      <c r="A85" s="4">
        <f>IF(D85&lt;&gt;"", SUBTOTAL(3, $D$2:D85), "")</f>
        <v>84</v>
      </c>
      <c r="B85" s="9"/>
      <c r="C85" s="9"/>
      <c r="D85" s="4" t="s">
        <v>84</v>
      </c>
      <c r="E85" s="4">
        <v>21</v>
      </c>
      <c r="F85" s="4">
        <v>173</v>
      </c>
      <c r="G85" s="4">
        <v>2547</v>
      </c>
      <c r="H85" s="4" t="s">
        <v>3</v>
      </c>
      <c r="I85" s="5" t="s">
        <v>99</v>
      </c>
    </row>
    <row r="86" spans="1:9" x14ac:dyDescent="0.25">
      <c r="A86" s="4">
        <f>IF(D86&lt;&gt;"", SUBTOTAL(3, $D$2:D86), "")</f>
        <v>85</v>
      </c>
      <c r="B86" s="9"/>
      <c r="C86" s="9"/>
      <c r="D86" s="4" t="s">
        <v>84</v>
      </c>
      <c r="E86" s="4">
        <v>21</v>
      </c>
      <c r="F86" s="4">
        <v>174</v>
      </c>
      <c r="G86" s="4">
        <v>11112</v>
      </c>
      <c r="H86" s="4" t="s">
        <v>3</v>
      </c>
      <c r="I86" s="5" t="s">
        <v>99</v>
      </c>
    </row>
    <row r="87" spans="1:9" x14ac:dyDescent="0.25">
      <c r="A87" s="4">
        <f>IF(D87&lt;&gt;"", SUBTOTAL(3, $D$2:D87), "")</f>
        <v>86</v>
      </c>
      <c r="B87" s="9"/>
      <c r="C87" s="9"/>
      <c r="D87" s="4" t="s">
        <v>84</v>
      </c>
      <c r="E87" s="4">
        <v>21</v>
      </c>
      <c r="F87" s="4">
        <v>176</v>
      </c>
      <c r="G87" s="4">
        <v>18329</v>
      </c>
      <c r="H87" s="4" t="s">
        <v>3</v>
      </c>
      <c r="I87" s="5" t="s">
        <v>99</v>
      </c>
    </row>
    <row r="88" spans="1:9" x14ac:dyDescent="0.25">
      <c r="A88" s="4">
        <f>IF(D88&lt;&gt;"", SUBTOTAL(3, $D$2:D88), "")</f>
        <v>87</v>
      </c>
      <c r="B88" s="5">
        <v>52</v>
      </c>
      <c r="C88" s="5" t="s">
        <v>55</v>
      </c>
      <c r="D88" s="4" t="s">
        <v>84</v>
      </c>
      <c r="E88" s="4">
        <v>21</v>
      </c>
      <c r="F88" s="4">
        <v>201</v>
      </c>
      <c r="G88" s="4">
        <v>10400</v>
      </c>
      <c r="H88" s="4" t="s">
        <v>3</v>
      </c>
      <c r="I88" s="5"/>
    </row>
    <row r="89" spans="1:9" x14ac:dyDescent="0.25">
      <c r="A89" s="4">
        <f>IF(D89&lt;&gt;"", SUBTOTAL(3, $D$2:D89), "")</f>
        <v>88</v>
      </c>
      <c r="B89" s="5">
        <v>53</v>
      </c>
      <c r="C89" s="5" t="s">
        <v>70</v>
      </c>
      <c r="D89" s="4" t="s">
        <v>84</v>
      </c>
      <c r="E89" s="4">
        <v>28</v>
      </c>
      <c r="F89" s="4">
        <v>149</v>
      </c>
      <c r="G89" s="4">
        <v>7824</v>
      </c>
      <c r="H89" s="4" t="s">
        <v>3</v>
      </c>
      <c r="I89" s="5" t="s">
        <v>118</v>
      </c>
    </row>
    <row r="90" spans="1:9" ht="31.5" x14ac:dyDescent="0.25">
      <c r="A90" s="4">
        <f>IF(D90&lt;&gt;"", SUBTOTAL(3, $D$2:D90), "")</f>
        <v>89</v>
      </c>
      <c r="B90" s="5">
        <v>54</v>
      </c>
      <c r="C90" s="5" t="s">
        <v>21</v>
      </c>
      <c r="D90" s="4" t="s">
        <v>84</v>
      </c>
      <c r="E90" s="4">
        <v>1</v>
      </c>
      <c r="F90" s="4">
        <v>2</v>
      </c>
      <c r="G90" s="4">
        <v>3777</v>
      </c>
      <c r="H90" s="4" t="s">
        <v>3</v>
      </c>
      <c r="I90" s="5" t="s">
        <v>104</v>
      </c>
    </row>
    <row r="91" spans="1:9" x14ac:dyDescent="0.25">
      <c r="A91" s="4">
        <f>IF(D91&lt;&gt;"", SUBTOTAL(3, $D$2:D91), "")</f>
        <v>90</v>
      </c>
      <c r="B91" s="10">
        <v>55</v>
      </c>
      <c r="C91" s="10" t="s">
        <v>63</v>
      </c>
      <c r="D91" s="4" t="s">
        <v>84</v>
      </c>
      <c r="E91" s="4">
        <v>21</v>
      </c>
      <c r="F91" s="4">
        <v>226</v>
      </c>
      <c r="G91" s="4">
        <v>6911</v>
      </c>
      <c r="H91" s="4" t="s">
        <v>3</v>
      </c>
      <c r="I91" s="5" t="s">
        <v>100</v>
      </c>
    </row>
    <row r="92" spans="1:9" x14ac:dyDescent="0.25">
      <c r="A92" s="4">
        <f>IF(D92&lt;&gt;"", SUBTOTAL(3, $D$2:D92), "")</f>
        <v>91</v>
      </c>
      <c r="B92" s="11"/>
      <c r="C92" s="11"/>
      <c r="D92" s="4" t="s">
        <v>84</v>
      </c>
      <c r="E92" s="4">
        <v>21</v>
      </c>
      <c r="F92" s="4">
        <v>227</v>
      </c>
      <c r="G92" s="4">
        <v>8079</v>
      </c>
      <c r="H92" s="4" t="s">
        <v>3</v>
      </c>
      <c r="I92" s="5" t="s">
        <v>100</v>
      </c>
    </row>
    <row r="93" spans="1:9" x14ac:dyDescent="0.25">
      <c r="A93" s="4">
        <f>IF(D93&lt;&gt;"", SUBTOTAL(3, $D$2:D93), "")</f>
        <v>92</v>
      </c>
      <c r="B93" s="5">
        <v>56</v>
      </c>
      <c r="C93" s="5" t="s">
        <v>63</v>
      </c>
      <c r="D93" s="4" t="s">
        <v>74</v>
      </c>
      <c r="E93" s="4">
        <v>1</v>
      </c>
      <c r="F93" s="4">
        <v>234</v>
      </c>
      <c r="G93" s="4">
        <v>2028</v>
      </c>
      <c r="H93" s="4" t="s">
        <v>3</v>
      </c>
      <c r="I93" s="5" t="s">
        <v>105</v>
      </c>
    </row>
    <row r="94" spans="1:9" x14ac:dyDescent="0.25">
      <c r="A94" s="4">
        <f>IF(D94&lt;&gt;"", SUBTOTAL(3, $D$2:D94), "")</f>
        <v>93</v>
      </c>
      <c r="B94" s="9">
        <v>57</v>
      </c>
      <c r="C94" s="9" t="s">
        <v>47</v>
      </c>
      <c r="D94" s="4" t="s">
        <v>73</v>
      </c>
      <c r="E94" s="4">
        <v>21</v>
      </c>
      <c r="F94" s="4">
        <v>178</v>
      </c>
      <c r="G94" s="4">
        <v>6472</v>
      </c>
      <c r="H94" s="4" t="s">
        <v>3</v>
      </c>
      <c r="I94" s="5" t="s">
        <v>96</v>
      </c>
    </row>
    <row r="95" spans="1:9" x14ac:dyDescent="0.25">
      <c r="A95" s="4">
        <f>IF(D95&lt;&gt;"", SUBTOTAL(3, $D$2:D95), "")</f>
        <v>94</v>
      </c>
      <c r="B95" s="9"/>
      <c r="C95" s="9"/>
      <c r="D95" s="4" t="s">
        <v>73</v>
      </c>
      <c r="E95" s="4">
        <v>21</v>
      </c>
      <c r="F95" s="4">
        <v>179</v>
      </c>
      <c r="G95" s="4">
        <v>10813</v>
      </c>
      <c r="H95" s="4" t="s">
        <v>3</v>
      </c>
      <c r="I95" s="5" t="s">
        <v>96</v>
      </c>
    </row>
    <row r="96" spans="1:9" x14ac:dyDescent="0.25">
      <c r="A96" s="4">
        <f>IF(D96&lt;&gt;"", SUBTOTAL(3, $D$2:D96), "")</f>
        <v>95</v>
      </c>
      <c r="B96" s="9"/>
      <c r="C96" s="9"/>
      <c r="D96" s="4" t="s">
        <v>73</v>
      </c>
      <c r="E96" s="4">
        <v>21</v>
      </c>
      <c r="F96" s="4">
        <v>180</v>
      </c>
      <c r="G96" s="4">
        <v>7786</v>
      </c>
      <c r="H96" s="4" t="s">
        <v>3</v>
      </c>
      <c r="I96" s="5" t="s">
        <v>96</v>
      </c>
    </row>
    <row r="97" spans="1:9" x14ac:dyDescent="0.25">
      <c r="A97" s="4">
        <f>IF(D97&lt;&gt;"", SUBTOTAL(3, $D$2:D97), "")</f>
        <v>96</v>
      </c>
      <c r="B97" s="5">
        <v>58</v>
      </c>
      <c r="C97" s="5" t="s">
        <v>58</v>
      </c>
      <c r="D97" s="4" t="s">
        <v>73</v>
      </c>
      <c r="E97" s="4">
        <v>21</v>
      </c>
      <c r="F97" s="4">
        <v>216</v>
      </c>
      <c r="G97" s="4">
        <v>16737</v>
      </c>
      <c r="H97" s="4" t="s">
        <v>3</v>
      </c>
      <c r="I97" s="5"/>
    </row>
    <row r="98" spans="1:9" x14ac:dyDescent="0.25">
      <c r="A98" s="4">
        <f>IF(D98&lt;&gt;"", SUBTOTAL(3, $D$2:D98), "")</f>
        <v>97</v>
      </c>
      <c r="B98" s="5">
        <v>59</v>
      </c>
      <c r="C98" s="5" t="s">
        <v>44</v>
      </c>
      <c r="D98" s="4" t="s">
        <v>81</v>
      </c>
      <c r="E98" s="4">
        <v>21</v>
      </c>
      <c r="F98" s="4">
        <v>169</v>
      </c>
      <c r="G98" s="4">
        <v>14540</v>
      </c>
      <c r="H98" s="4" t="s">
        <v>3</v>
      </c>
      <c r="I98" s="5"/>
    </row>
    <row r="99" spans="1:9" x14ac:dyDescent="0.25">
      <c r="A99" s="4">
        <f>IF(D99&lt;&gt;"", SUBTOTAL(3, $D$2:D99), "")</f>
        <v>98</v>
      </c>
      <c r="B99" s="5">
        <v>60</v>
      </c>
      <c r="C99" s="5" t="s">
        <v>56</v>
      </c>
      <c r="D99" s="4" t="s">
        <v>81</v>
      </c>
      <c r="E99" s="4">
        <v>21</v>
      </c>
      <c r="F99" s="4">
        <v>205</v>
      </c>
      <c r="G99" s="4">
        <v>11493</v>
      </c>
      <c r="H99" s="4" t="s">
        <v>3</v>
      </c>
      <c r="I99" s="5"/>
    </row>
    <row r="100" spans="1:9" x14ac:dyDescent="0.25">
      <c r="A100" s="4">
        <f>IF(D100&lt;&gt;"", SUBTOTAL(3, $D$2:D100), "")</f>
        <v>99</v>
      </c>
      <c r="B100" s="5">
        <v>61</v>
      </c>
      <c r="C100" s="5" t="s">
        <v>12</v>
      </c>
      <c r="D100" s="4" t="s">
        <v>75</v>
      </c>
      <c r="E100" s="4">
        <v>21</v>
      </c>
      <c r="F100" s="4">
        <v>74</v>
      </c>
      <c r="G100" s="4">
        <v>13882</v>
      </c>
      <c r="H100" s="4" t="s">
        <v>3</v>
      </c>
      <c r="I100" s="5" t="s">
        <v>94</v>
      </c>
    </row>
    <row r="101" spans="1:9" x14ac:dyDescent="0.25">
      <c r="A101" s="4">
        <f>IF(D101&lt;&gt;"", SUBTOTAL(3, $D$2:D101), "")</f>
        <v>100</v>
      </c>
      <c r="B101" s="5">
        <v>62</v>
      </c>
      <c r="C101" s="5" t="s">
        <v>31</v>
      </c>
      <c r="D101" s="4" t="s">
        <v>83</v>
      </c>
      <c r="E101" s="4">
        <v>1</v>
      </c>
      <c r="F101" s="4">
        <v>204</v>
      </c>
      <c r="G101" s="4">
        <v>4276</v>
      </c>
      <c r="H101" s="4" t="s">
        <v>3</v>
      </c>
      <c r="I101" s="5" t="s">
        <v>116</v>
      </c>
    </row>
    <row r="102" spans="1:9" x14ac:dyDescent="0.25">
      <c r="A102" s="4">
        <f>IF(D102&lt;&gt;"", SUBTOTAL(3, $D$2:D102), "")</f>
        <v>101</v>
      </c>
      <c r="B102" s="5">
        <v>63</v>
      </c>
      <c r="C102" s="5" t="s">
        <v>38</v>
      </c>
      <c r="D102" s="4" t="s">
        <v>83</v>
      </c>
      <c r="E102" s="4">
        <v>8</v>
      </c>
      <c r="F102" s="4">
        <v>244</v>
      </c>
      <c r="G102" s="4">
        <v>5208</v>
      </c>
      <c r="H102" s="4" t="s">
        <v>3</v>
      </c>
      <c r="I102" s="5" t="s">
        <v>94</v>
      </c>
    </row>
    <row r="103" spans="1:9" ht="31.5" x14ac:dyDescent="0.25">
      <c r="A103" s="4">
        <f>IF(D103&lt;&gt;"", SUBTOTAL(3, $D$2:D103), "")</f>
        <v>102</v>
      </c>
      <c r="B103" s="5">
        <v>64</v>
      </c>
      <c r="C103" s="5" t="s">
        <v>18</v>
      </c>
      <c r="D103" s="4" t="s">
        <v>79</v>
      </c>
      <c r="E103" s="4">
        <v>29</v>
      </c>
      <c r="F103" s="4">
        <v>40</v>
      </c>
      <c r="G103" s="4">
        <v>5918</v>
      </c>
      <c r="H103" s="4" t="s">
        <v>3</v>
      </c>
      <c r="I103" s="5" t="s">
        <v>113</v>
      </c>
    </row>
    <row r="104" spans="1:9" x14ac:dyDescent="0.25">
      <c r="A104" s="4">
        <f>IF(D104&lt;&gt;"", SUBTOTAL(3, $D$2:D104), "")</f>
        <v>103</v>
      </c>
      <c r="B104" s="5">
        <v>65</v>
      </c>
      <c r="C104" s="5" t="s">
        <v>28</v>
      </c>
      <c r="D104" s="4" t="s">
        <v>79</v>
      </c>
      <c r="E104" s="4">
        <v>7</v>
      </c>
      <c r="F104" s="4">
        <v>32</v>
      </c>
      <c r="G104" s="4">
        <v>3136</v>
      </c>
      <c r="H104" s="4" t="s">
        <v>3</v>
      </c>
      <c r="I104" s="5" t="s">
        <v>114</v>
      </c>
    </row>
    <row r="105" spans="1:9" x14ac:dyDescent="0.25">
      <c r="A105" s="4">
        <f>IF(D105&lt;&gt;"", SUBTOTAL(3, $D$2:D105), "")</f>
        <v>104</v>
      </c>
      <c r="B105" s="9">
        <v>66</v>
      </c>
      <c r="C105" s="9" t="s">
        <v>92</v>
      </c>
      <c r="D105" s="4" t="s">
        <v>79</v>
      </c>
      <c r="E105" s="4">
        <v>21</v>
      </c>
      <c r="F105" s="4">
        <v>195</v>
      </c>
      <c r="G105" s="4">
        <v>10616</v>
      </c>
      <c r="H105" s="4" t="s">
        <v>3</v>
      </c>
      <c r="I105" s="5"/>
    </row>
    <row r="106" spans="1:9" x14ac:dyDescent="0.25">
      <c r="A106" s="4">
        <f>IF(D106&lt;&gt;"", SUBTOTAL(3, $D$2:D106), "")</f>
        <v>105</v>
      </c>
      <c r="B106" s="9"/>
      <c r="C106" s="9"/>
      <c r="D106" s="4" t="s">
        <v>79</v>
      </c>
      <c r="E106" s="4">
        <v>8</v>
      </c>
      <c r="F106" s="4">
        <v>83</v>
      </c>
      <c r="G106" s="4">
        <v>3693</v>
      </c>
      <c r="H106" s="4" t="s">
        <v>3</v>
      </c>
      <c r="I106" s="5" t="s">
        <v>115</v>
      </c>
    </row>
    <row r="107" spans="1:9" x14ac:dyDescent="0.25">
      <c r="A107" s="4">
        <f>IF(D107&lt;&gt;"", SUBTOTAL(3, $D$2:D107), "")</f>
        <v>106</v>
      </c>
      <c r="B107" s="5">
        <v>67</v>
      </c>
      <c r="C107" s="5" t="s">
        <v>23</v>
      </c>
      <c r="D107" s="4" t="s">
        <v>79</v>
      </c>
      <c r="E107" s="4">
        <v>21</v>
      </c>
      <c r="F107" s="4">
        <v>106</v>
      </c>
      <c r="G107" s="4">
        <v>7931</v>
      </c>
      <c r="H107" s="4" t="s">
        <v>3</v>
      </c>
      <c r="I107" s="5"/>
    </row>
    <row r="108" spans="1:9" ht="31.5" x14ac:dyDescent="0.25">
      <c r="A108" s="4">
        <f>IF(D108&lt;&gt;"", SUBTOTAL(3, $D$2:D108), "")</f>
        <v>107</v>
      </c>
      <c r="B108" s="5">
        <v>68</v>
      </c>
      <c r="C108" s="5" t="s">
        <v>53</v>
      </c>
      <c r="D108" s="4" t="s">
        <v>78</v>
      </c>
      <c r="E108" s="4">
        <v>16</v>
      </c>
      <c r="F108" s="4">
        <v>47</v>
      </c>
      <c r="G108" s="4">
        <v>3989</v>
      </c>
      <c r="H108" s="4" t="s">
        <v>3</v>
      </c>
      <c r="I108" s="5" t="s">
        <v>112</v>
      </c>
    </row>
    <row r="109" spans="1:9" x14ac:dyDescent="0.25">
      <c r="A109" s="4">
        <f>IF(D109&lt;&gt;"", SUBTOTAL(3, $D$2:D109), "")</f>
        <v>108</v>
      </c>
      <c r="B109" s="5">
        <v>69</v>
      </c>
      <c r="C109" s="5" t="s">
        <v>69</v>
      </c>
      <c r="D109" s="4" t="s">
        <v>74</v>
      </c>
      <c r="E109" s="4">
        <v>21</v>
      </c>
      <c r="F109" s="4">
        <v>243</v>
      </c>
      <c r="G109" s="4">
        <v>9126</v>
      </c>
      <c r="H109" s="4" t="s">
        <v>3</v>
      </c>
      <c r="I109" s="5"/>
    </row>
    <row r="110" spans="1:9" x14ac:dyDescent="0.25">
      <c r="A110" s="4">
        <f>IF(D110&lt;&gt;"", SUBTOTAL(3, $D$2:D110), "")</f>
        <v>109</v>
      </c>
      <c r="B110" s="5">
        <v>70</v>
      </c>
      <c r="C110" s="5" t="s">
        <v>8</v>
      </c>
      <c r="D110" s="4" t="s">
        <v>74</v>
      </c>
      <c r="E110" s="4">
        <v>1</v>
      </c>
      <c r="F110" s="4">
        <v>88</v>
      </c>
      <c r="G110" s="4">
        <v>6895</v>
      </c>
      <c r="H110" s="4" t="s">
        <v>3</v>
      </c>
      <c r="I110" s="5" t="s">
        <v>117</v>
      </c>
    </row>
    <row r="111" spans="1:9" x14ac:dyDescent="0.25">
      <c r="A111" s="4">
        <f>IF(D111&lt;&gt;"", SUBTOTAL(3, $D$2:D111), "")</f>
        <v>110</v>
      </c>
      <c r="B111" s="9">
        <v>71</v>
      </c>
      <c r="C111" s="9" t="s">
        <v>43</v>
      </c>
      <c r="D111" s="4" t="s">
        <v>86</v>
      </c>
      <c r="E111" s="4">
        <v>21</v>
      </c>
      <c r="F111" s="4">
        <v>163</v>
      </c>
      <c r="G111" s="4">
        <v>10831</v>
      </c>
      <c r="H111" s="4" t="s">
        <v>3</v>
      </c>
      <c r="I111" s="5" t="s">
        <v>94</v>
      </c>
    </row>
    <row r="112" spans="1:9" x14ac:dyDescent="0.25">
      <c r="A112" s="4">
        <f>IF(D112&lt;&gt;"", SUBTOTAL(3, $D$2:D112), "")</f>
        <v>111</v>
      </c>
      <c r="B112" s="9"/>
      <c r="C112" s="9"/>
      <c r="D112" s="4" t="s">
        <v>86</v>
      </c>
      <c r="E112" s="4">
        <v>21</v>
      </c>
      <c r="F112" s="4">
        <v>165</v>
      </c>
      <c r="G112" s="4">
        <v>3672</v>
      </c>
      <c r="H112" s="4" t="s">
        <v>3</v>
      </c>
      <c r="I112" s="5" t="s">
        <v>94</v>
      </c>
    </row>
    <row r="113" spans="1:9" x14ac:dyDescent="0.25">
      <c r="A113" s="4">
        <f>IF(D113&lt;&gt;"", SUBTOTAL(3, $D$2:D113), "")</f>
        <v>112</v>
      </c>
      <c r="B113" s="5">
        <v>72</v>
      </c>
      <c r="C113" s="5" t="s">
        <v>67</v>
      </c>
      <c r="D113" s="4" t="s">
        <v>86</v>
      </c>
      <c r="E113" s="4">
        <v>21</v>
      </c>
      <c r="F113" s="4">
        <v>240</v>
      </c>
      <c r="G113" s="4">
        <v>10971</v>
      </c>
      <c r="H113" s="4" t="s">
        <v>3</v>
      </c>
      <c r="I113" s="5"/>
    </row>
    <row r="114" spans="1:9" x14ac:dyDescent="0.25">
      <c r="I114" s="7">
        <f>COUNTIF(I2:I113,"*")</f>
        <v>84</v>
      </c>
    </row>
  </sheetData>
  <mergeCells count="58">
    <mergeCell ref="C34:C37"/>
    <mergeCell ref="C3:C4"/>
    <mergeCell ref="C6:C8"/>
    <mergeCell ref="C9:C10"/>
    <mergeCell ref="C11:C13"/>
    <mergeCell ref="C14:C16"/>
    <mergeCell ref="C18:C20"/>
    <mergeCell ref="C21:C22"/>
    <mergeCell ref="C23:C25"/>
    <mergeCell ref="C26:C27"/>
    <mergeCell ref="C28:C29"/>
    <mergeCell ref="C30:C31"/>
    <mergeCell ref="C81:C83"/>
    <mergeCell ref="C44:C45"/>
    <mergeCell ref="C48:C49"/>
    <mergeCell ref="C50:C51"/>
    <mergeCell ref="C52:C53"/>
    <mergeCell ref="C57:C58"/>
    <mergeCell ref="C59:C60"/>
    <mergeCell ref="C62:C63"/>
    <mergeCell ref="C64:C65"/>
    <mergeCell ref="C66:C67"/>
    <mergeCell ref="C68:C69"/>
    <mergeCell ref="C72:C73"/>
    <mergeCell ref="B3:B4"/>
    <mergeCell ref="B6:B8"/>
    <mergeCell ref="B9:B10"/>
    <mergeCell ref="B11:B13"/>
    <mergeCell ref="B14:B16"/>
    <mergeCell ref="C84:C87"/>
    <mergeCell ref="C94:C96"/>
    <mergeCell ref="C105:C106"/>
    <mergeCell ref="C111:C112"/>
    <mergeCell ref="C91:C92"/>
    <mergeCell ref="B57:B58"/>
    <mergeCell ref="B18:B20"/>
    <mergeCell ref="B21:B22"/>
    <mergeCell ref="B23:B25"/>
    <mergeCell ref="B26:B27"/>
    <mergeCell ref="B28:B29"/>
    <mergeCell ref="B30:B31"/>
    <mergeCell ref="B34:B37"/>
    <mergeCell ref="B44:B45"/>
    <mergeCell ref="B48:B49"/>
    <mergeCell ref="B50:B51"/>
    <mergeCell ref="B52:B53"/>
    <mergeCell ref="B111:B112"/>
    <mergeCell ref="B59:B60"/>
    <mergeCell ref="B62:B63"/>
    <mergeCell ref="B64:B65"/>
    <mergeCell ref="B66:B67"/>
    <mergeCell ref="B68:B69"/>
    <mergeCell ref="B72:B73"/>
    <mergeCell ref="B81:B83"/>
    <mergeCell ref="B84:B87"/>
    <mergeCell ref="B94:B96"/>
    <mergeCell ref="B105:B106"/>
    <mergeCell ref="B91:B92"/>
  </mergeCells>
  <conditionalFormatting sqref="E1:E1048576">
    <cfRule type="cellIs" dxfId="0" priority="1" operator="equal">
      <formula>21</formula>
    </cfRule>
  </conditionalFormatting>
  <pageMargins left="0.70866141732283472" right="0.70866141732283472" top="0.74803149606299213" bottom="0.74803149606299213" header="0.31496062992125984" footer="0.31496062992125984"/>
  <pageSetup paperSize="9" scale="70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Baocao (2)</vt:lpstr>
      <vt:lpstr>'Baocao (2)'!Print_Area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TRUONGSINH</dc:creator>
  <cp:lastModifiedBy>BAOTIN</cp:lastModifiedBy>
  <cp:lastPrinted>2024-08-10T03:29:15Z</cp:lastPrinted>
  <dcterms:created xsi:type="dcterms:W3CDTF">2024-07-16T04:10:45Z</dcterms:created>
  <dcterms:modified xsi:type="dcterms:W3CDTF">2024-08-11T03:29:01Z</dcterms:modified>
</cp:coreProperties>
</file>