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11.GitHub\DATA-SINH\"/>
    </mc:Choice>
  </mc:AlternateContent>
  <bookViews>
    <workbookView xWindow="0" yWindow="0" windowWidth="28800" windowHeight="12435"/>
  </bookViews>
  <sheets>
    <sheet name="Baocao (2)" sheetId="16" r:id="rId1"/>
    <sheet name="TONG SX" sheetId="17" r:id="rId2"/>
    <sheet name="BC_SINH" sheetId="1" r:id="rId3"/>
    <sheet name="Baocao" sheetId="15" r:id="rId4"/>
    <sheet name="Sản xuất cấp huyên" sheetId="14" r:id="rId5"/>
    <sheet name="Sheet3" sheetId="13" r:id="rId6"/>
    <sheet name="Đất sản xuất" sheetId="12" r:id="rId7"/>
    <sheet name="DSCKXA" sheetId="11" r:id="rId8"/>
    <sheet name="KeKhaiDangKy" sheetId="10" r:id="rId9"/>
    <sheet name="4069" sheetId="9" r:id="rId10"/>
    <sheet name="NQ10" sheetId="8" r:id="rId11"/>
    <sheet name="KODUDK" sheetId="2" r:id="rId12"/>
    <sheet name="KO DU ĐK NQ10" sheetId="3" r:id="rId13"/>
    <sheet name="KO DU ĐK 4069" sheetId="4" r:id="rId14"/>
    <sheet name="Sheet2" sheetId="5" r:id="rId15"/>
    <sheet name="Sheet1 (2)" sheetId="6" r:id="rId16"/>
    <sheet name="Ra Po" sheetId="7" r:id="rId17"/>
  </sheets>
  <definedNames>
    <definedName name="_xlnm._FilterDatabase" localSheetId="3" hidden="1">Baocao!$A$1:$O$1</definedName>
    <definedName name="_xlnm._FilterDatabase" localSheetId="0" hidden="1">'Baocao (2)'!$A$1:$I$114</definedName>
    <definedName name="_xlnm._FilterDatabase" localSheetId="2" hidden="1">BC_SINH!$A$1:$T$242</definedName>
    <definedName name="_xlnm._FilterDatabase" localSheetId="7" hidden="1">DSCKXA!$A$1:$K$73</definedName>
    <definedName name="_xlnm._FilterDatabase" localSheetId="8" hidden="1">KeKhaiDangKy!$A$1:$XCN$1</definedName>
    <definedName name="_xlnm._FilterDatabase" localSheetId="11" hidden="1">KODUDK!$A$4:$H$7</definedName>
    <definedName name="_xlnm._FilterDatabase" localSheetId="16" hidden="1">'Ra Po'!$A$4:$H$7</definedName>
    <definedName name="_xlnm._FilterDatabase" localSheetId="5" hidden="1">Sheet3!$A$1:$R$1</definedName>
    <definedName name="_xlnm._FilterDatabase" localSheetId="1" hidden="1">'TONG SX'!$A$1:$G$1</definedName>
    <definedName name="_xlnm.Print_Area" localSheetId="0">'Baocao (2)'!$A$1:$I$113</definedName>
    <definedName name="_xlnm.Print_Area" localSheetId="2">BC_SINH!$A$1:$I$242</definedName>
    <definedName name="_xlnm.Print_Area" localSheetId="11">KODUDK!$A$1:$H$14</definedName>
    <definedName name="_xlnm.Print_Area" localSheetId="16">'Ra Po'!$A$1:$H$14</definedName>
    <definedName name="_xlnm.Print_Titles" localSheetId="11">KODUDK!$4:$7</definedName>
    <definedName name="_xlnm.Print_Titles" localSheetId="16">'Ra Po'!$4:$7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4" i="16" l="1"/>
  <c r="A363" i="17" l="1"/>
  <c r="A361" i="17"/>
  <c r="A371" i="17"/>
  <c r="A362" i="17"/>
  <c r="A364" i="17"/>
  <c r="A356" i="17"/>
  <c r="A359" i="17"/>
  <c r="A372" i="17"/>
  <c r="A355" i="17"/>
  <c r="A307" i="17"/>
  <c r="A291" i="17"/>
  <c r="A315" i="17"/>
  <c r="A286" i="17"/>
  <c r="A318" i="17"/>
  <c r="A322" i="17"/>
  <c r="A296" i="17"/>
  <c r="A295" i="17"/>
  <c r="A312" i="17"/>
  <c r="A284" i="17"/>
  <c r="A297" i="17"/>
  <c r="A328" i="17"/>
  <c r="A323" i="17"/>
  <c r="A306" i="17"/>
  <c r="A327" i="17"/>
  <c r="A308" i="17"/>
  <c r="A326" i="17"/>
  <c r="A303" i="17"/>
  <c r="A288" i="17"/>
  <c r="A321" i="17"/>
  <c r="A300" i="17"/>
  <c r="A302" i="17"/>
  <c r="A289" i="17"/>
  <c r="A319" i="17"/>
  <c r="A193" i="17"/>
  <c r="A224" i="17"/>
  <c r="A211" i="17"/>
  <c r="A189" i="17"/>
  <c r="A185" i="17"/>
  <c r="A194" i="17"/>
  <c r="A197" i="17"/>
  <c r="A184" i="17"/>
  <c r="A191" i="17"/>
  <c r="A190" i="17"/>
  <c r="A198" i="17"/>
  <c r="A228" i="17"/>
  <c r="A199" i="17"/>
  <c r="A219" i="17"/>
  <c r="A220" i="17"/>
  <c r="A213" i="17"/>
  <c r="A210" i="17"/>
  <c r="A186" i="17"/>
  <c r="A209" i="17"/>
  <c r="A247" i="17"/>
  <c r="A255" i="17"/>
  <c r="A230" i="17"/>
  <c r="A229" i="17"/>
  <c r="A249" i="17"/>
  <c r="A250" i="17"/>
  <c r="A253" i="17"/>
  <c r="A235" i="17"/>
  <c r="A242" i="17"/>
  <c r="A238" i="17"/>
  <c r="A231" i="17"/>
  <c r="A256" i="17"/>
  <c r="A278" i="17"/>
  <c r="A266" i="17"/>
  <c r="A274" i="17"/>
  <c r="A272" i="17"/>
  <c r="A276" i="17"/>
  <c r="A273" i="17"/>
  <c r="A267" i="17"/>
  <c r="A277" i="17"/>
  <c r="A281" i="17"/>
  <c r="A275" i="17"/>
  <c r="A271" i="17"/>
  <c r="A332" i="17"/>
  <c r="A331" i="17"/>
  <c r="A335" i="17"/>
  <c r="A347" i="17"/>
  <c r="A338" i="17"/>
  <c r="A346" i="17"/>
  <c r="A340" i="17"/>
  <c r="A353" i="17"/>
  <c r="A354" i="17"/>
  <c r="A342" i="17"/>
  <c r="A348" i="17"/>
  <c r="A341" i="17"/>
  <c r="A334" i="17"/>
  <c r="A351" i="17"/>
  <c r="A330" i="17"/>
  <c r="A329" i="17"/>
  <c r="A339" i="17"/>
  <c r="A344" i="17"/>
  <c r="A343" i="17"/>
  <c r="A336" i="17"/>
  <c r="A337" i="17"/>
  <c r="A349" i="17"/>
  <c r="A350" i="17"/>
  <c r="A159" i="17"/>
  <c r="A160" i="17"/>
  <c r="A179" i="17"/>
  <c r="A182" i="17"/>
  <c r="A170" i="17"/>
  <c r="A175" i="17"/>
  <c r="A174" i="17"/>
  <c r="A140" i="17"/>
  <c r="A145" i="17"/>
  <c r="A153" i="17"/>
  <c r="A148" i="17"/>
  <c r="A149" i="17"/>
  <c r="A151" i="17"/>
  <c r="A144" i="17"/>
  <c r="A142" i="17"/>
  <c r="A136" i="17"/>
  <c r="A150" i="17"/>
  <c r="A139" i="17"/>
  <c r="A137" i="17"/>
  <c r="A146" i="17"/>
  <c r="A143" i="17"/>
  <c r="A157" i="17"/>
  <c r="A158" i="17"/>
  <c r="A135" i="17"/>
  <c r="A156" i="17"/>
  <c r="A134" i="17"/>
  <c r="A154" i="17"/>
  <c r="A152" i="17"/>
  <c r="A155" i="17"/>
  <c r="A147" i="17"/>
  <c r="A138" i="17"/>
  <c r="A103" i="17"/>
  <c r="A87" i="17"/>
  <c r="A93" i="17"/>
  <c r="A104" i="17"/>
  <c r="A67" i="17"/>
  <c r="A101" i="17"/>
  <c r="A77" i="17"/>
  <c r="A80" i="17"/>
  <c r="A84" i="17"/>
  <c r="A82" i="17"/>
  <c r="A91" i="17"/>
  <c r="A98" i="17"/>
  <c r="A72" i="17"/>
  <c r="A74" i="17"/>
  <c r="A86" i="17"/>
  <c r="A75" i="17"/>
  <c r="A100" i="17"/>
  <c r="A94" i="17"/>
  <c r="A83" i="17"/>
  <c r="A99" i="17"/>
  <c r="A71" i="17"/>
  <c r="A79" i="17"/>
  <c r="A96" i="17"/>
  <c r="A95" i="17"/>
  <c r="A78" i="17"/>
  <c r="A73" i="17"/>
  <c r="A70" i="17"/>
  <c r="A102" i="17"/>
  <c r="A69" i="17"/>
  <c r="A92" i="17"/>
  <c r="A76" i="17"/>
  <c r="A88" i="17"/>
  <c r="A68" i="17"/>
  <c r="A133" i="17"/>
  <c r="A126" i="17"/>
  <c r="A127" i="17"/>
  <c r="A122" i="17"/>
  <c r="A106" i="17"/>
  <c r="A109" i="17"/>
  <c r="A31" i="17"/>
  <c r="A19" i="17"/>
  <c r="A30" i="17"/>
  <c r="A29" i="17"/>
  <c r="A27" i="17"/>
  <c r="A26" i="17"/>
  <c r="A141" i="17"/>
  <c r="A22" i="17"/>
  <c r="A25" i="17"/>
  <c r="A21" i="17"/>
  <c r="A20" i="17"/>
  <c r="A24" i="17"/>
  <c r="A28" i="17"/>
  <c r="A23" i="17"/>
  <c r="A65" i="17"/>
  <c r="A56" i="17"/>
  <c r="A345" i="17"/>
  <c r="A60" i="17"/>
  <c r="A58" i="17"/>
  <c r="A51" i="17"/>
  <c r="A57" i="17"/>
  <c r="A59" i="17"/>
  <c r="A66" i="17"/>
  <c r="A55" i="17"/>
  <c r="A53" i="17"/>
  <c r="A52" i="17"/>
  <c r="A61" i="17"/>
  <c r="A352" i="17"/>
  <c r="A64" i="17"/>
  <c r="A54" i="17"/>
  <c r="A63" i="17"/>
  <c r="A333" i="17"/>
  <c r="A50" i="17"/>
  <c r="A62" i="17"/>
  <c r="A35" i="17"/>
  <c r="A34" i="17"/>
  <c r="A33" i="17"/>
  <c r="A32" i="17"/>
  <c r="A178" i="17"/>
  <c r="A177" i="17"/>
  <c r="A168" i="17"/>
  <c r="A172" i="17"/>
  <c r="A167" i="17"/>
  <c r="A166" i="17"/>
  <c r="A164" i="17"/>
  <c r="A180" i="17"/>
  <c r="A165" i="17"/>
  <c r="A173" i="17"/>
  <c r="A176" i="17"/>
  <c r="A169" i="17"/>
  <c r="A161" i="17"/>
  <c r="A163" i="17"/>
  <c r="A171" i="17"/>
  <c r="A181" i="17"/>
  <c r="A183" i="17"/>
  <c r="A162" i="17"/>
  <c r="A18" i="17"/>
  <c r="A17" i="17"/>
  <c r="A121" i="17"/>
  <c r="A117" i="17"/>
  <c r="A111" i="17"/>
  <c r="A113" i="17"/>
  <c r="A123" i="17"/>
  <c r="A118" i="17"/>
  <c r="A128" i="17"/>
  <c r="A114" i="17"/>
  <c r="A132" i="17"/>
  <c r="A116" i="17"/>
  <c r="A119" i="17"/>
  <c r="A129" i="17"/>
  <c r="A107" i="17"/>
  <c r="A105" i="17"/>
  <c r="A131" i="17"/>
  <c r="A110" i="17"/>
  <c r="A108" i="17"/>
  <c r="A125" i="17"/>
  <c r="A112" i="17"/>
  <c r="A120" i="17"/>
  <c r="A130" i="17"/>
  <c r="A124" i="17"/>
  <c r="A115" i="17"/>
  <c r="A14" i="17"/>
  <c r="A6" i="17"/>
  <c r="A15" i="17"/>
  <c r="A97" i="17"/>
  <c r="A16" i="17"/>
  <c r="A5" i="17"/>
  <c r="A13" i="17"/>
  <c r="A7" i="17"/>
  <c r="A11" i="17"/>
  <c r="A8" i="17"/>
  <c r="A4" i="17"/>
  <c r="A81" i="17"/>
  <c r="A12" i="17"/>
  <c r="A10" i="17"/>
  <c r="A89" i="17"/>
  <c r="A85" i="17"/>
  <c r="A9" i="17"/>
  <c r="A90" i="17"/>
  <c r="A3" i="17"/>
  <c r="A2" i="17"/>
  <c r="A357" i="17"/>
  <c r="A366" i="17"/>
  <c r="A375" i="17"/>
  <c r="A358" i="17"/>
  <c r="A374" i="17"/>
  <c r="A369" i="17"/>
  <c r="A376" i="17"/>
  <c r="A373" i="17"/>
  <c r="A367" i="17"/>
  <c r="A368" i="17"/>
  <c r="A378" i="17"/>
  <c r="A365" i="17"/>
  <c r="A360" i="17"/>
  <c r="A370" i="17"/>
  <c r="A45" i="17"/>
  <c r="A42" i="17"/>
  <c r="A264" i="17"/>
  <c r="A46" i="17"/>
  <c r="A41" i="17"/>
  <c r="A282" i="17"/>
  <c r="A279" i="17"/>
  <c r="A44" i="17"/>
  <c r="A43" i="17"/>
  <c r="A47" i="17"/>
  <c r="A40" i="17"/>
  <c r="A268" i="17"/>
  <c r="A280" i="17"/>
  <c r="A262" i="17"/>
  <c r="A269" i="17"/>
  <c r="A270" i="17"/>
  <c r="A265" i="17"/>
  <c r="A263" i="17"/>
  <c r="A48" i="17"/>
  <c r="A49" i="17"/>
  <c r="A317" i="17"/>
  <c r="A301" i="17"/>
  <c r="A320" i="17"/>
  <c r="A298" i="17"/>
  <c r="A325" i="17"/>
  <c r="A314" i="17"/>
  <c r="A316" i="17"/>
  <c r="A293" i="17"/>
  <c r="A304" i="17"/>
  <c r="A292" i="17"/>
  <c r="A309" i="17"/>
  <c r="A310" i="17"/>
  <c r="A305" i="17"/>
  <c r="A287" i="17"/>
  <c r="A313" i="17"/>
  <c r="A299" i="17"/>
  <c r="A294" i="17"/>
  <c r="A285" i="17"/>
  <c r="A283" i="17"/>
  <c r="A311" i="17"/>
  <c r="A324" i="17"/>
  <c r="A290" i="17"/>
  <c r="A38" i="17"/>
  <c r="A37" i="17"/>
  <c r="A36" i="17"/>
  <c r="A39" i="17"/>
  <c r="A188" i="17"/>
  <c r="A222" i="17"/>
  <c r="A200" i="17"/>
  <c r="A223" i="17"/>
  <c r="A221" i="17"/>
  <c r="A196" i="17"/>
  <c r="A207" i="17"/>
  <c r="A201" i="17"/>
  <c r="A206" i="17"/>
  <c r="A208" i="17"/>
  <c r="A217" i="17"/>
  <c r="A216" i="17"/>
  <c r="A215" i="17"/>
  <c r="A195" i="17"/>
  <c r="A205" i="17"/>
  <c r="A187" i="17"/>
  <c r="A212" i="17"/>
  <c r="A227" i="17"/>
  <c r="A225" i="17"/>
  <c r="A214" i="17"/>
  <c r="A218" i="17"/>
  <c r="A192" i="17"/>
  <c r="A204" i="17"/>
  <c r="A226" i="17"/>
  <c r="A203" i="17"/>
  <c r="A202" i="17"/>
  <c r="A254" i="17"/>
  <c r="A236" i="17"/>
  <c r="A261" i="17"/>
  <c r="A241" i="17"/>
  <c r="A258" i="17"/>
  <c r="A240" i="17"/>
  <c r="A243" i="17"/>
  <c r="A245" i="17"/>
  <c r="A259" i="17"/>
  <c r="A252" i="17"/>
  <c r="A237" i="17"/>
  <c r="A244" i="17"/>
  <c r="A239" i="17"/>
  <c r="A232" i="17"/>
  <c r="A251" i="17"/>
  <c r="A233" i="17"/>
  <c r="A234" i="17"/>
  <c r="A257" i="17"/>
  <c r="A260" i="17"/>
  <c r="A246" i="17"/>
  <c r="A248" i="17"/>
  <c r="A377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2" i="16"/>
  <c r="A3" i="15" l="1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2" i="15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" i="1"/>
  <c r="D178" i="14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" i="1"/>
  <c r="D217" i="12"/>
  <c r="K3" i="10" l="1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21" i="10"/>
  <c r="K222" i="10"/>
  <c r="K223" i="10"/>
  <c r="K224" i="10"/>
  <c r="K225" i="10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4" i="10"/>
  <c r="K315" i="10"/>
  <c r="K316" i="10"/>
  <c r="K317" i="10"/>
  <c r="K318" i="10"/>
  <c r="K319" i="10"/>
  <c r="K320" i="10"/>
  <c r="K321" i="10"/>
  <c r="K322" i="10"/>
  <c r="K323" i="10"/>
  <c r="K324" i="10"/>
  <c r="K325" i="10"/>
  <c r="K326" i="10"/>
  <c r="K327" i="10"/>
  <c r="K328" i="10"/>
  <c r="K329" i="10"/>
  <c r="K330" i="10"/>
  <c r="K331" i="10"/>
  <c r="K332" i="10"/>
  <c r="K333" i="10"/>
  <c r="K334" i="10"/>
  <c r="K335" i="10"/>
  <c r="K336" i="10"/>
  <c r="K337" i="10"/>
  <c r="K338" i="10"/>
  <c r="K339" i="10"/>
  <c r="K340" i="10"/>
  <c r="K341" i="10"/>
  <c r="K342" i="10"/>
  <c r="K343" i="10"/>
  <c r="K344" i="10"/>
  <c r="K345" i="10"/>
  <c r="K346" i="10"/>
  <c r="K347" i="10"/>
  <c r="K348" i="10"/>
  <c r="K349" i="10"/>
  <c r="K350" i="10"/>
  <c r="K351" i="10"/>
  <c r="K352" i="10"/>
  <c r="K353" i="10"/>
  <c r="K354" i="10"/>
  <c r="K355" i="10"/>
  <c r="K356" i="10"/>
  <c r="K357" i="10"/>
  <c r="K358" i="10"/>
  <c r="K359" i="10"/>
  <c r="K360" i="10"/>
  <c r="K361" i="10"/>
  <c r="K362" i="10"/>
  <c r="K363" i="10"/>
  <c r="K364" i="10"/>
  <c r="K365" i="10"/>
  <c r="K366" i="10"/>
  <c r="K367" i="10"/>
  <c r="K368" i="10"/>
  <c r="K369" i="10"/>
  <c r="K370" i="10"/>
  <c r="K371" i="10"/>
  <c r="K372" i="10"/>
  <c r="K373" i="10"/>
  <c r="K374" i="10"/>
  <c r="K375" i="10"/>
  <c r="K376" i="10"/>
  <c r="K377" i="10"/>
  <c r="K378" i="10"/>
  <c r="K379" i="10"/>
  <c r="K380" i="10"/>
  <c r="K381" i="10"/>
  <c r="K382" i="10"/>
  <c r="K383" i="10"/>
  <c r="K384" i="10"/>
  <c r="K385" i="10"/>
  <c r="K386" i="10"/>
  <c r="K387" i="10"/>
  <c r="K388" i="10"/>
  <c r="K389" i="10"/>
  <c r="K390" i="10"/>
  <c r="K391" i="10"/>
  <c r="K392" i="10"/>
  <c r="K393" i="10"/>
  <c r="K394" i="10"/>
  <c r="K395" i="10"/>
  <c r="K396" i="10"/>
  <c r="K397" i="10"/>
  <c r="K398" i="10"/>
  <c r="K399" i="10"/>
  <c r="K400" i="10"/>
  <c r="K401" i="10"/>
  <c r="K402" i="10"/>
  <c r="K403" i="10"/>
  <c r="K404" i="10"/>
  <c r="K405" i="10"/>
  <c r="K406" i="10"/>
  <c r="K407" i="10"/>
  <c r="K408" i="10"/>
  <c r="K409" i="10"/>
  <c r="K410" i="10"/>
  <c r="K411" i="10"/>
  <c r="K412" i="10"/>
  <c r="K413" i="10"/>
  <c r="K414" i="10"/>
  <c r="K415" i="10"/>
  <c r="K416" i="10"/>
  <c r="K417" i="10"/>
  <c r="K418" i="10"/>
  <c r="K419" i="10"/>
  <c r="K420" i="10"/>
  <c r="K421" i="10"/>
  <c r="K422" i="10"/>
  <c r="K423" i="10"/>
  <c r="K424" i="10"/>
  <c r="K425" i="10"/>
  <c r="K426" i="10"/>
  <c r="K427" i="10"/>
  <c r="K428" i="10"/>
  <c r="K429" i="10"/>
  <c r="K430" i="10"/>
  <c r="K431" i="10"/>
  <c r="K432" i="10"/>
  <c r="K433" i="10"/>
  <c r="K434" i="10"/>
  <c r="K435" i="10"/>
  <c r="K436" i="10"/>
  <c r="K437" i="10"/>
  <c r="K438" i="10"/>
  <c r="K439" i="10"/>
  <c r="K440" i="10"/>
  <c r="K441" i="10"/>
  <c r="K442" i="10"/>
  <c r="K443" i="10"/>
  <c r="K444" i="10"/>
  <c r="K445" i="10"/>
  <c r="K446" i="10"/>
  <c r="K447" i="10"/>
  <c r="K448" i="10"/>
  <c r="K449" i="10"/>
  <c r="K450" i="10"/>
  <c r="K451" i="10"/>
  <c r="K452" i="10"/>
  <c r="K453" i="10"/>
  <c r="K454" i="10"/>
  <c r="K455" i="10"/>
  <c r="K456" i="10"/>
  <c r="K457" i="10"/>
  <c r="K458" i="10"/>
  <c r="K459" i="10"/>
  <c r="K460" i="10"/>
  <c r="K461" i="10"/>
  <c r="K462" i="10"/>
  <c r="K463" i="10"/>
  <c r="K464" i="10"/>
  <c r="K465" i="10"/>
  <c r="K466" i="10"/>
  <c r="K467" i="10"/>
  <c r="K468" i="10"/>
  <c r="K469" i="10"/>
  <c r="K470" i="10"/>
  <c r="K471" i="10"/>
  <c r="K472" i="10"/>
  <c r="K473" i="10"/>
  <c r="K474" i="10"/>
  <c r="K475" i="10"/>
  <c r="K476" i="10"/>
  <c r="K477" i="10"/>
  <c r="K478" i="10"/>
  <c r="K479" i="10"/>
  <c r="K480" i="10"/>
  <c r="K481" i="10"/>
  <c r="K482" i="10"/>
  <c r="K483" i="10"/>
  <c r="K484" i="10"/>
  <c r="K485" i="10"/>
  <c r="K486" i="10"/>
  <c r="K487" i="10"/>
  <c r="K488" i="10"/>
  <c r="K489" i="10"/>
  <c r="K490" i="10"/>
  <c r="K491" i="10"/>
  <c r="K492" i="10"/>
  <c r="K493" i="10"/>
  <c r="K494" i="10"/>
  <c r="K495" i="10"/>
  <c r="K496" i="10"/>
  <c r="K497" i="10"/>
  <c r="K498" i="10"/>
  <c r="K499" i="10"/>
  <c r="K500" i="10"/>
  <c r="K501" i="10"/>
  <c r="K502" i="10"/>
  <c r="K503" i="10"/>
  <c r="K504" i="10"/>
  <c r="K505" i="10"/>
  <c r="K506" i="10"/>
  <c r="K507" i="10"/>
  <c r="K508" i="10"/>
  <c r="K509" i="10"/>
  <c r="K510" i="10"/>
  <c r="K511" i="10"/>
  <c r="K512" i="10"/>
  <c r="K513" i="10"/>
  <c r="K514" i="10"/>
  <c r="K515" i="10"/>
  <c r="K516" i="10"/>
  <c r="K517" i="10"/>
  <c r="K518" i="10"/>
  <c r="K519" i="10"/>
  <c r="K520" i="10"/>
  <c r="K521" i="10"/>
  <c r="K522" i="10"/>
  <c r="K523" i="10"/>
  <c r="K524" i="10"/>
  <c r="K525" i="10"/>
  <c r="K526" i="10"/>
  <c r="K527" i="10"/>
  <c r="K528" i="10"/>
  <c r="K529" i="10"/>
  <c r="K530" i="10"/>
  <c r="K531" i="10"/>
  <c r="K532" i="10"/>
  <c r="K533" i="10"/>
  <c r="K534" i="10"/>
  <c r="K535" i="10"/>
  <c r="K536" i="10"/>
  <c r="K537" i="10"/>
  <c r="K538" i="10"/>
  <c r="K539" i="10"/>
  <c r="K540" i="10"/>
  <c r="K541" i="10"/>
  <c r="K542" i="10"/>
  <c r="K543" i="10"/>
  <c r="K544" i="10"/>
  <c r="K545" i="10"/>
  <c r="K546" i="10"/>
  <c r="K547" i="10"/>
  <c r="K548" i="10"/>
  <c r="K549" i="10"/>
  <c r="K550" i="10"/>
  <c r="K551" i="10"/>
  <c r="K552" i="10"/>
  <c r="K553" i="10"/>
  <c r="K554" i="10"/>
  <c r="K555" i="10"/>
  <c r="K556" i="10"/>
  <c r="K557" i="10"/>
  <c r="K558" i="10"/>
  <c r="K559" i="10"/>
  <c r="K560" i="10"/>
  <c r="K561" i="10"/>
  <c r="K562" i="10"/>
  <c r="K563" i="10"/>
  <c r="K564" i="10"/>
  <c r="K565" i="10"/>
  <c r="K566" i="10"/>
  <c r="K567" i="10"/>
  <c r="K568" i="10"/>
  <c r="K569" i="10"/>
  <c r="K570" i="10"/>
  <c r="K571" i="10"/>
  <c r="K572" i="10"/>
  <c r="K573" i="10"/>
  <c r="K574" i="10"/>
  <c r="K575" i="10"/>
  <c r="K576" i="10"/>
  <c r="K577" i="10"/>
  <c r="K578" i="10"/>
  <c r="K579" i="10"/>
  <c r="K580" i="10"/>
  <c r="K581" i="10"/>
  <c r="K582" i="10"/>
  <c r="K583" i="10"/>
  <c r="K584" i="10"/>
  <c r="K585" i="10"/>
  <c r="K586" i="10"/>
  <c r="K587" i="10"/>
  <c r="K588" i="10"/>
  <c r="K589" i="10"/>
  <c r="K590" i="10"/>
  <c r="K591" i="10"/>
  <c r="K592" i="10"/>
  <c r="K593" i="10"/>
  <c r="K594" i="10"/>
  <c r="K595" i="10"/>
  <c r="K596" i="10"/>
  <c r="K597" i="10"/>
  <c r="K598" i="10"/>
  <c r="K599" i="10"/>
  <c r="K600" i="10"/>
  <c r="K601" i="10"/>
  <c r="K602" i="10"/>
  <c r="K603" i="10"/>
  <c r="K604" i="10"/>
  <c r="K605" i="10"/>
  <c r="K606" i="10"/>
  <c r="K607" i="10"/>
  <c r="K608" i="10"/>
  <c r="K609" i="10"/>
  <c r="K610" i="10"/>
  <c r="K611" i="10"/>
  <c r="K612" i="10"/>
  <c r="K613" i="10"/>
  <c r="K614" i="10"/>
  <c r="K615" i="10"/>
  <c r="K616" i="10"/>
  <c r="K617" i="10"/>
  <c r="K618" i="10"/>
  <c r="K619" i="10"/>
  <c r="K620" i="10"/>
  <c r="K621" i="10"/>
  <c r="K622" i="10"/>
  <c r="K623" i="10"/>
  <c r="K624" i="10"/>
  <c r="K625" i="10"/>
  <c r="K626" i="10"/>
  <c r="K627" i="10"/>
  <c r="K628" i="10"/>
  <c r="K629" i="10"/>
  <c r="K630" i="10"/>
  <c r="K631" i="10"/>
  <c r="K632" i="10"/>
  <c r="K633" i="10"/>
  <c r="K634" i="10"/>
  <c r="K635" i="10"/>
  <c r="K636" i="10"/>
  <c r="K637" i="10"/>
  <c r="K638" i="10"/>
  <c r="K639" i="10"/>
  <c r="K640" i="10"/>
  <c r="K641" i="10"/>
  <c r="K642" i="10"/>
  <c r="K643" i="10"/>
  <c r="K644" i="10"/>
  <c r="K645" i="10"/>
  <c r="K646" i="10"/>
  <c r="K647" i="10"/>
  <c r="K648" i="10"/>
  <c r="K649" i="10"/>
  <c r="K650" i="10"/>
  <c r="K651" i="10"/>
  <c r="K652" i="10"/>
  <c r="K653" i="10"/>
  <c r="K654" i="10"/>
  <c r="K655" i="10"/>
  <c r="K656" i="10"/>
  <c r="K657" i="10"/>
  <c r="K658" i="10"/>
  <c r="K659" i="10"/>
  <c r="K660" i="10"/>
  <c r="K661" i="10"/>
  <c r="K662" i="10"/>
  <c r="K663" i="10"/>
  <c r="K664" i="10"/>
  <c r="K665" i="10"/>
  <c r="K666" i="10"/>
  <c r="K667" i="10"/>
  <c r="K668" i="10"/>
  <c r="K669" i="10"/>
  <c r="K670" i="10"/>
  <c r="K671" i="10"/>
  <c r="K672" i="10"/>
  <c r="K673" i="10"/>
  <c r="K674" i="10"/>
  <c r="K675" i="10"/>
  <c r="K676" i="10"/>
  <c r="K677" i="10"/>
  <c r="K678" i="10"/>
  <c r="K679" i="10"/>
  <c r="K680" i="10"/>
  <c r="K681" i="10"/>
  <c r="K682" i="10"/>
  <c r="K683" i="10"/>
  <c r="K684" i="10"/>
  <c r="K685" i="10"/>
  <c r="K686" i="10"/>
  <c r="K687" i="10"/>
  <c r="K688" i="10"/>
  <c r="K689" i="10"/>
  <c r="K690" i="10"/>
  <c r="K691" i="10"/>
  <c r="K692" i="10"/>
  <c r="K693" i="10"/>
  <c r="K694" i="10"/>
  <c r="K695" i="10"/>
  <c r="K696" i="10"/>
  <c r="K697" i="10"/>
  <c r="K698" i="10"/>
  <c r="K699" i="10"/>
  <c r="K700" i="10"/>
  <c r="K701" i="10"/>
  <c r="K702" i="10"/>
  <c r="K703" i="10"/>
  <c r="K704" i="10"/>
  <c r="K705" i="10"/>
  <c r="K706" i="10"/>
  <c r="K707" i="10"/>
  <c r="K708" i="10"/>
  <c r="K709" i="10"/>
  <c r="K710" i="10"/>
  <c r="K711" i="10"/>
  <c r="K712" i="10"/>
  <c r="K713" i="10"/>
  <c r="K714" i="10"/>
  <c r="K715" i="10"/>
  <c r="K716" i="10"/>
  <c r="K717" i="10"/>
  <c r="K718" i="10"/>
  <c r="K719" i="10"/>
  <c r="K720" i="10"/>
  <c r="K721" i="10"/>
  <c r="K722" i="10"/>
  <c r="K723" i="10"/>
  <c r="K724" i="10"/>
  <c r="K725" i="10"/>
  <c r="K726" i="10"/>
  <c r="K727" i="10"/>
  <c r="K728" i="10"/>
  <c r="K729" i="10"/>
  <c r="K730" i="10"/>
  <c r="K731" i="10"/>
  <c r="K732" i="10"/>
  <c r="K733" i="10"/>
  <c r="K734" i="10"/>
  <c r="K735" i="10"/>
  <c r="K736" i="10"/>
  <c r="K737" i="10"/>
  <c r="K738" i="10"/>
  <c r="K739" i="10"/>
  <c r="K740" i="10"/>
  <c r="K741" i="10"/>
  <c r="K742" i="10"/>
  <c r="K743" i="10"/>
  <c r="K744" i="10"/>
  <c r="K745" i="10"/>
  <c r="K746" i="10"/>
  <c r="K747" i="10"/>
  <c r="K748" i="10"/>
  <c r="K749" i="10"/>
  <c r="K750" i="10"/>
  <c r="K751" i="10"/>
  <c r="K752" i="10"/>
  <c r="K753" i="10"/>
  <c r="K754" i="10"/>
  <c r="K755" i="10"/>
  <c r="K756" i="10"/>
  <c r="K757" i="10"/>
  <c r="K758" i="10"/>
  <c r="K759" i="10"/>
  <c r="K760" i="10"/>
  <c r="K761" i="10"/>
  <c r="K762" i="10"/>
  <c r="K763" i="10"/>
  <c r="K764" i="10"/>
  <c r="K765" i="10"/>
  <c r="K766" i="10"/>
  <c r="K767" i="10"/>
  <c r="K768" i="10"/>
  <c r="K769" i="10"/>
  <c r="K770" i="10"/>
  <c r="K771" i="10"/>
  <c r="K772" i="10"/>
  <c r="K773" i="10"/>
  <c r="K774" i="10"/>
  <c r="K775" i="10"/>
  <c r="K776" i="10"/>
  <c r="K777" i="10"/>
  <c r="K778" i="10"/>
  <c r="K779" i="10"/>
  <c r="K780" i="10"/>
  <c r="K781" i="10"/>
  <c r="K782" i="10"/>
  <c r="K783" i="10"/>
  <c r="K784" i="10"/>
  <c r="K785" i="10"/>
  <c r="K786" i="10"/>
  <c r="K787" i="10"/>
  <c r="K788" i="10"/>
  <c r="K789" i="10"/>
  <c r="K790" i="10"/>
  <c r="K791" i="10"/>
  <c r="K792" i="10"/>
  <c r="K793" i="10"/>
  <c r="K794" i="10"/>
  <c r="K795" i="10"/>
  <c r="K796" i="10"/>
  <c r="K797" i="10"/>
  <c r="K798" i="10"/>
  <c r="K799" i="10"/>
  <c r="K800" i="10"/>
  <c r="K801" i="10"/>
  <c r="K802" i="10"/>
  <c r="K803" i="10"/>
  <c r="K804" i="10"/>
  <c r="K805" i="10"/>
  <c r="K806" i="10"/>
  <c r="K807" i="10"/>
  <c r="K808" i="10"/>
  <c r="K809" i="10"/>
  <c r="K810" i="10"/>
  <c r="K811" i="10"/>
  <c r="K812" i="10"/>
  <c r="K813" i="10"/>
  <c r="K814" i="10"/>
  <c r="K815" i="10"/>
  <c r="K816" i="10"/>
  <c r="K817" i="10"/>
  <c r="K818" i="10"/>
  <c r="K819" i="10"/>
  <c r="K820" i="10"/>
  <c r="K821" i="10"/>
  <c r="K822" i="10"/>
  <c r="K823" i="10"/>
  <c r="K824" i="10"/>
  <c r="K825" i="10"/>
  <c r="K826" i="10"/>
  <c r="K827" i="10"/>
  <c r="K828" i="10"/>
  <c r="K829" i="10"/>
  <c r="K830" i="10"/>
  <c r="K831" i="10"/>
  <c r="K832" i="10"/>
  <c r="K833" i="10"/>
  <c r="K834" i="10"/>
  <c r="K835" i="10"/>
  <c r="K836" i="10"/>
  <c r="K837" i="10"/>
  <c r="K838" i="10"/>
  <c r="K839" i="10"/>
  <c r="K840" i="10"/>
  <c r="K841" i="10"/>
  <c r="K842" i="10"/>
  <c r="K843" i="10"/>
  <c r="K844" i="10"/>
  <c r="K845" i="10"/>
  <c r="K846" i="10"/>
  <c r="K847" i="10"/>
  <c r="K848" i="10"/>
  <c r="K849" i="10"/>
  <c r="K850" i="10"/>
  <c r="K851" i="10"/>
  <c r="K852" i="10"/>
  <c r="K853" i="10"/>
  <c r="K854" i="10"/>
  <c r="K855" i="10"/>
  <c r="K856" i="10"/>
  <c r="K857" i="10"/>
  <c r="K858" i="10"/>
  <c r="K859" i="10"/>
  <c r="K860" i="10"/>
  <c r="K861" i="10"/>
  <c r="K862" i="10"/>
  <c r="K863" i="10"/>
  <c r="K864" i="10"/>
  <c r="K865" i="10"/>
  <c r="K866" i="10"/>
  <c r="K867" i="10"/>
  <c r="K868" i="10"/>
  <c r="K869" i="10"/>
  <c r="K870" i="10"/>
  <c r="K871" i="10"/>
  <c r="K872" i="10"/>
  <c r="K873" i="10"/>
  <c r="K874" i="10"/>
  <c r="K875" i="10"/>
  <c r="K876" i="10"/>
  <c r="K877" i="10"/>
  <c r="K878" i="10"/>
  <c r="K879" i="10"/>
  <c r="K880" i="10"/>
  <c r="K881" i="10"/>
  <c r="K882" i="10"/>
  <c r="K883" i="10"/>
  <c r="K884" i="10"/>
  <c r="K885" i="10"/>
  <c r="K886" i="10"/>
  <c r="K887" i="10"/>
  <c r="K888" i="10"/>
  <c r="K889" i="10"/>
  <c r="K890" i="10"/>
  <c r="K891" i="10"/>
  <c r="K892" i="10"/>
  <c r="K893" i="10"/>
  <c r="K894" i="10"/>
  <c r="K895" i="10"/>
  <c r="K896" i="10"/>
  <c r="K897" i="10"/>
  <c r="K898" i="10"/>
  <c r="K899" i="10"/>
  <c r="K900" i="10"/>
  <c r="K901" i="10"/>
  <c r="K902" i="10"/>
  <c r="K903" i="10"/>
  <c r="K904" i="10"/>
  <c r="K905" i="10"/>
  <c r="K906" i="10"/>
  <c r="K907" i="10"/>
  <c r="K908" i="10"/>
  <c r="K909" i="10"/>
  <c r="K910" i="10"/>
  <c r="K911" i="10"/>
  <c r="K912" i="10"/>
  <c r="K913" i="10"/>
  <c r="K914" i="10"/>
  <c r="K915" i="10"/>
  <c r="K916" i="10"/>
  <c r="K917" i="10"/>
  <c r="K918" i="10"/>
  <c r="K919" i="10"/>
  <c r="K920" i="10"/>
  <c r="K921" i="10"/>
  <c r="K922" i="10"/>
  <c r="K923" i="10"/>
  <c r="K924" i="10"/>
  <c r="K925" i="10"/>
  <c r="K926" i="10"/>
  <c r="K927" i="10"/>
  <c r="K928" i="10"/>
  <c r="K929" i="10"/>
  <c r="K930" i="10"/>
  <c r="K931" i="10"/>
  <c r="K932" i="10"/>
  <c r="K933" i="10"/>
  <c r="K934" i="10"/>
  <c r="K935" i="10"/>
  <c r="K936" i="10"/>
  <c r="K937" i="10"/>
  <c r="K938" i="10"/>
  <c r="K939" i="10"/>
  <c r="K940" i="10"/>
  <c r="K941" i="10"/>
  <c r="K942" i="10"/>
  <c r="K943" i="10"/>
  <c r="K944" i="10"/>
  <c r="K945" i="10"/>
  <c r="K946" i="10"/>
  <c r="K947" i="10"/>
  <c r="K948" i="10"/>
  <c r="K949" i="10"/>
  <c r="K950" i="10"/>
  <c r="K951" i="10"/>
  <c r="K952" i="10"/>
  <c r="K953" i="10"/>
  <c r="K954" i="10"/>
  <c r="K955" i="10"/>
  <c r="K956" i="10"/>
  <c r="K957" i="10"/>
  <c r="K958" i="10"/>
  <c r="K959" i="10"/>
  <c r="K960" i="10"/>
  <c r="K961" i="10"/>
  <c r="K962" i="10"/>
  <c r="K963" i="10"/>
  <c r="K964" i="10"/>
  <c r="K965" i="10"/>
  <c r="K966" i="10"/>
  <c r="K967" i="10"/>
  <c r="K968" i="10"/>
  <c r="K969" i="10"/>
  <c r="K970" i="10"/>
  <c r="K971" i="10"/>
  <c r="K972" i="10"/>
  <c r="K973" i="10"/>
  <c r="K974" i="10"/>
  <c r="K975" i="10"/>
  <c r="K976" i="10"/>
  <c r="K977" i="10"/>
  <c r="K978" i="10"/>
  <c r="K979" i="10"/>
  <c r="K980" i="10"/>
  <c r="K981" i="10"/>
  <c r="K982" i="10"/>
  <c r="K983" i="10"/>
  <c r="K984" i="10"/>
  <c r="K985" i="10"/>
  <c r="K986" i="10"/>
  <c r="K987" i="10"/>
  <c r="K988" i="10"/>
  <c r="K989" i="10"/>
  <c r="K990" i="10"/>
  <c r="K991" i="10"/>
  <c r="K992" i="10"/>
  <c r="K993" i="10"/>
  <c r="K994" i="10"/>
  <c r="K995" i="10"/>
  <c r="K996" i="10"/>
  <c r="K997" i="10"/>
  <c r="K998" i="10"/>
  <c r="K999" i="10"/>
  <c r="K1000" i="10"/>
  <c r="K1001" i="10"/>
  <c r="K1002" i="10"/>
  <c r="K1003" i="10"/>
  <c r="K1004" i="10"/>
  <c r="K1005" i="10"/>
  <c r="K1006" i="10"/>
  <c r="K1007" i="10"/>
  <c r="K1008" i="10"/>
  <c r="K1009" i="10"/>
  <c r="K1010" i="10"/>
  <c r="K1011" i="10"/>
  <c r="K1012" i="10"/>
  <c r="K1013" i="10"/>
  <c r="K1014" i="10"/>
  <c r="K1015" i="10"/>
  <c r="K1016" i="10"/>
  <c r="K1017" i="10"/>
  <c r="K1018" i="10"/>
  <c r="K1019" i="10"/>
  <c r="K1020" i="10"/>
  <c r="K1021" i="10"/>
  <c r="K1022" i="10"/>
  <c r="K1023" i="10"/>
  <c r="K1024" i="10"/>
  <c r="K1025" i="10"/>
  <c r="K1026" i="10"/>
  <c r="K1027" i="10"/>
  <c r="K1028" i="10"/>
  <c r="K1029" i="10"/>
  <c r="K1030" i="10"/>
  <c r="K1031" i="10"/>
  <c r="K1032" i="10"/>
  <c r="K1033" i="10"/>
  <c r="K1034" i="10"/>
  <c r="K1035" i="10"/>
  <c r="K1036" i="10"/>
  <c r="K1037" i="10"/>
  <c r="K1038" i="10"/>
  <c r="K1039" i="10"/>
  <c r="K1040" i="10"/>
  <c r="K1041" i="10"/>
  <c r="K1042" i="10"/>
  <c r="K1043" i="10"/>
  <c r="K1044" i="10"/>
  <c r="K1045" i="10"/>
  <c r="K1046" i="10"/>
  <c r="K1047" i="10"/>
  <c r="K1048" i="10"/>
  <c r="K1049" i="10"/>
  <c r="K1050" i="10"/>
  <c r="K1051" i="10"/>
  <c r="K1052" i="10"/>
  <c r="K1053" i="10"/>
  <c r="K1054" i="10"/>
  <c r="K1055" i="10"/>
  <c r="K1056" i="10"/>
  <c r="K1057" i="10"/>
  <c r="K1058" i="10"/>
  <c r="K1059" i="10"/>
  <c r="K1060" i="10"/>
  <c r="K1061" i="10"/>
  <c r="K1062" i="10"/>
  <c r="K1063" i="10"/>
  <c r="K1064" i="10"/>
  <c r="K1065" i="10"/>
  <c r="K1066" i="10"/>
  <c r="K1067" i="10"/>
  <c r="K1068" i="10"/>
  <c r="K1069" i="10"/>
  <c r="K1070" i="10"/>
  <c r="K1071" i="10"/>
  <c r="K1072" i="10"/>
  <c r="K1073" i="10"/>
  <c r="K1074" i="10"/>
  <c r="K1075" i="10"/>
  <c r="K1076" i="10"/>
  <c r="K1077" i="10"/>
  <c r="K1078" i="10"/>
  <c r="K1079" i="10"/>
  <c r="K1080" i="10"/>
  <c r="K1081" i="10"/>
  <c r="K1082" i="10"/>
  <c r="K1083" i="10"/>
  <c r="K1084" i="10"/>
  <c r="K1085" i="10"/>
  <c r="K1086" i="10"/>
  <c r="K1087" i="10"/>
  <c r="K1088" i="10"/>
  <c r="K1089" i="10"/>
  <c r="K1090" i="10"/>
  <c r="K1091" i="10"/>
  <c r="K1092" i="10"/>
  <c r="K1093" i="10"/>
  <c r="K1094" i="10"/>
  <c r="K1095" i="10"/>
  <c r="K1096" i="10"/>
  <c r="K1097" i="10"/>
  <c r="K1098" i="10"/>
  <c r="K1099" i="10"/>
  <c r="K1100" i="10"/>
  <c r="K1101" i="10"/>
  <c r="K1102" i="10"/>
  <c r="K1103" i="10"/>
  <c r="K1104" i="10"/>
  <c r="K1105" i="10"/>
  <c r="K1106" i="10"/>
  <c r="K1107" i="10"/>
  <c r="K1108" i="10"/>
  <c r="K1109" i="10"/>
  <c r="K1110" i="10"/>
  <c r="K1111" i="10"/>
  <c r="K1112" i="10"/>
  <c r="K1113" i="10"/>
  <c r="K1114" i="10"/>
  <c r="K1115" i="10"/>
  <c r="K1116" i="10"/>
  <c r="K1117" i="10"/>
  <c r="K1118" i="10"/>
  <c r="K1119" i="10"/>
  <c r="K1120" i="10"/>
  <c r="K1121" i="10"/>
  <c r="K1122" i="10"/>
  <c r="K1123" i="10"/>
  <c r="K1124" i="10"/>
  <c r="K1125" i="10"/>
  <c r="K1126" i="10"/>
  <c r="K1127" i="10"/>
  <c r="K1128" i="10"/>
  <c r="K1129" i="10"/>
  <c r="K1130" i="10"/>
  <c r="K1131" i="10"/>
  <c r="K1132" i="10"/>
  <c r="K1133" i="10"/>
  <c r="K1134" i="10"/>
  <c r="K1135" i="10"/>
  <c r="K1136" i="10"/>
  <c r="K1137" i="10"/>
  <c r="K1138" i="10"/>
  <c r="K1139" i="10"/>
  <c r="K1140" i="10"/>
  <c r="K1141" i="10"/>
  <c r="K1142" i="10"/>
  <c r="K1143" i="10"/>
  <c r="K1144" i="10"/>
  <c r="K1145" i="10"/>
  <c r="K1146" i="10"/>
  <c r="K1147" i="10"/>
  <c r="K1148" i="10"/>
  <c r="K1149" i="10"/>
  <c r="K1150" i="10"/>
  <c r="K1151" i="10"/>
  <c r="K1152" i="10"/>
  <c r="K1153" i="10"/>
  <c r="K1154" i="10"/>
  <c r="K1155" i="10"/>
  <c r="K1156" i="10"/>
  <c r="K1157" i="10"/>
  <c r="K1158" i="10"/>
  <c r="K1159" i="10"/>
  <c r="K1160" i="10"/>
  <c r="K1161" i="10"/>
  <c r="K1162" i="10"/>
  <c r="K1163" i="10"/>
  <c r="K1164" i="10"/>
  <c r="K1165" i="10"/>
  <c r="K1166" i="10"/>
  <c r="K1167" i="10"/>
  <c r="K1168" i="10"/>
  <c r="K1169" i="10"/>
  <c r="K1170" i="10"/>
  <c r="K1171" i="10"/>
  <c r="K1172" i="10"/>
  <c r="K1173" i="10"/>
  <c r="K1174" i="10"/>
  <c r="K1175" i="10"/>
  <c r="K1176" i="10"/>
  <c r="K1177" i="10"/>
  <c r="K1178" i="10"/>
  <c r="K1179" i="10"/>
  <c r="K1180" i="10"/>
  <c r="K1181" i="10"/>
  <c r="K1182" i="10"/>
  <c r="K1183" i="10"/>
  <c r="K1184" i="10"/>
  <c r="K1185" i="10"/>
  <c r="K1186" i="10"/>
  <c r="K1187" i="10"/>
  <c r="K1188" i="10"/>
  <c r="K1189" i="10"/>
  <c r="K1190" i="10"/>
  <c r="K1191" i="10"/>
  <c r="K1192" i="10"/>
  <c r="K1193" i="10"/>
  <c r="K1194" i="10"/>
  <c r="K1195" i="10"/>
  <c r="K1196" i="10"/>
  <c r="K1197" i="10"/>
  <c r="K1198" i="10"/>
  <c r="K1199" i="10"/>
  <c r="K1200" i="10"/>
  <c r="K1201" i="10"/>
  <c r="K1202" i="10"/>
  <c r="K1203" i="10"/>
  <c r="K1204" i="10"/>
  <c r="K1205" i="10"/>
  <c r="K1206" i="10"/>
  <c r="K1207" i="10"/>
  <c r="K1208" i="10"/>
  <c r="K1209" i="10"/>
  <c r="K1210" i="10"/>
  <c r="K1211" i="10"/>
  <c r="K1212" i="10"/>
  <c r="K1213" i="10"/>
  <c r="K1214" i="10"/>
  <c r="K1215" i="10"/>
  <c r="K1216" i="10"/>
  <c r="K1217" i="10"/>
  <c r="K1218" i="10"/>
  <c r="K1219" i="10"/>
  <c r="K1220" i="10"/>
  <c r="K1221" i="10"/>
  <c r="K1222" i="10"/>
  <c r="K1223" i="10"/>
  <c r="K1224" i="10"/>
  <c r="K1225" i="10"/>
  <c r="K1226" i="10"/>
  <c r="K1227" i="10"/>
  <c r="K1228" i="10"/>
  <c r="K1229" i="10"/>
  <c r="K1230" i="10"/>
  <c r="K1231" i="10"/>
  <c r="K1232" i="10"/>
  <c r="K1233" i="10"/>
  <c r="K1234" i="10"/>
  <c r="K1235" i="10"/>
  <c r="K1236" i="10"/>
  <c r="K1237" i="10"/>
  <c r="K1238" i="10"/>
  <c r="K1239" i="10"/>
  <c r="K1240" i="10"/>
  <c r="K1241" i="10"/>
  <c r="K1242" i="10"/>
  <c r="K1243" i="10"/>
  <c r="K1244" i="10"/>
  <c r="K1245" i="10"/>
  <c r="K1246" i="10"/>
  <c r="K1247" i="10"/>
  <c r="K1248" i="10"/>
  <c r="K1249" i="10"/>
  <c r="K1250" i="10"/>
  <c r="K1251" i="10"/>
  <c r="K1252" i="10"/>
  <c r="K1253" i="10"/>
  <c r="K1254" i="10"/>
  <c r="K1255" i="10"/>
  <c r="K1256" i="10"/>
  <c r="K1257" i="10"/>
  <c r="K1258" i="10"/>
  <c r="K1259" i="10"/>
  <c r="K1260" i="10"/>
  <c r="K1261" i="10"/>
  <c r="K1262" i="10"/>
  <c r="K1263" i="10"/>
  <c r="K1264" i="10"/>
  <c r="K1265" i="10"/>
  <c r="K1266" i="10"/>
  <c r="K1267" i="10"/>
  <c r="K1268" i="10"/>
  <c r="K1269" i="10"/>
  <c r="K1270" i="10"/>
  <c r="K1271" i="10"/>
  <c r="K1272" i="10"/>
  <c r="K1273" i="10"/>
  <c r="K1274" i="10"/>
  <c r="K1275" i="10"/>
  <c r="K1276" i="10"/>
  <c r="K1277" i="10"/>
  <c r="K1278" i="10"/>
  <c r="K1279" i="10"/>
  <c r="K1280" i="10"/>
  <c r="K1281" i="10"/>
  <c r="K1282" i="10"/>
  <c r="K1283" i="10"/>
  <c r="K1284" i="10"/>
  <c r="K1285" i="10"/>
  <c r="K1286" i="10"/>
  <c r="K1287" i="10"/>
  <c r="K1288" i="10"/>
  <c r="K1289" i="10"/>
  <c r="K1290" i="10"/>
  <c r="K1291" i="10"/>
  <c r="K1292" i="10"/>
  <c r="K1293" i="10"/>
  <c r="K1294" i="10"/>
  <c r="K1295" i="10"/>
  <c r="K1296" i="10"/>
  <c r="K1297" i="10"/>
  <c r="K1298" i="10"/>
  <c r="K1299" i="10"/>
  <c r="K1300" i="10"/>
  <c r="K1301" i="10"/>
  <c r="K1302" i="10"/>
  <c r="K1303" i="10"/>
  <c r="K1304" i="10"/>
  <c r="K1305" i="10"/>
  <c r="K1306" i="10"/>
  <c r="K1307" i="10"/>
  <c r="K1308" i="10"/>
  <c r="K1309" i="10"/>
  <c r="K1310" i="10"/>
  <c r="K1311" i="10"/>
  <c r="K1312" i="10"/>
  <c r="K1313" i="10"/>
  <c r="K1314" i="10"/>
  <c r="K1315" i="10"/>
  <c r="K1316" i="10"/>
  <c r="K1317" i="10"/>
  <c r="K1318" i="10"/>
  <c r="K1319" i="10"/>
  <c r="K1320" i="10"/>
  <c r="K1321" i="10"/>
  <c r="K1322" i="10"/>
  <c r="K1323" i="10"/>
  <c r="K1324" i="10"/>
  <c r="K1325" i="10"/>
  <c r="K1326" i="10"/>
  <c r="K1327" i="10"/>
  <c r="K1328" i="10"/>
  <c r="K1329" i="10"/>
  <c r="K1330" i="10"/>
  <c r="K1331" i="10"/>
  <c r="K1332" i="10"/>
  <c r="K1333" i="10"/>
  <c r="K1334" i="10"/>
  <c r="K1335" i="10"/>
  <c r="K1336" i="10"/>
  <c r="K1337" i="10"/>
  <c r="K1338" i="10"/>
  <c r="K1339" i="10"/>
  <c r="K1340" i="10"/>
  <c r="K1341" i="10"/>
  <c r="K1342" i="10"/>
  <c r="K1343" i="10"/>
  <c r="K1344" i="10"/>
  <c r="K1345" i="10"/>
  <c r="K1346" i="10"/>
  <c r="K1347" i="10"/>
  <c r="K1348" i="10"/>
  <c r="K1349" i="10"/>
  <c r="K1350" i="10"/>
  <c r="K1351" i="10"/>
  <c r="K1352" i="10"/>
  <c r="K1353" i="10"/>
  <c r="K1354" i="10"/>
  <c r="K1355" i="10"/>
  <c r="K1356" i="10"/>
  <c r="K1357" i="10"/>
  <c r="K1358" i="10"/>
  <c r="K1359" i="10"/>
  <c r="K1360" i="10"/>
  <c r="K1361" i="10"/>
  <c r="K1362" i="10"/>
  <c r="K1363" i="10"/>
  <c r="K1364" i="10"/>
  <c r="K1365" i="10"/>
  <c r="K1366" i="10"/>
  <c r="K1367" i="10"/>
  <c r="K1368" i="10"/>
  <c r="K1369" i="10"/>
  <c r="K1370" i="10"/>
  <c r="K1371" i="10"/>
  <c r="K1372" i="10"/>
  <c r="K1373" i="10"/>
  <c r="K1374" i="10"/>
  <c r="K1375" i="10"/>
  <c r="K1376" i="10"/>
  <c r="K1377" i="10"/>
  <c r="K1378" i="10"/>
  <c r="K1379" i="10"/>
  <c r="K1380" i="10"/>
  <c r="K1381" i="10"/>
  <c r="K1382" i="10"/>
  <c r="K1383" i="10"/>
  <c r="K1384" i="10"/>
  <c r="K1385" i="10"/>
  <c r="K1386" i="10"/>
  <c r="K1387" i="10"/>
  <c r="K1388" i="10"/>
  <c r="K1389" i="10"/>
  <c r="K1390" i="10"/>
  <c r="K1391" i="10"/>
  <c r="K1392" i="10"/>
  <c r="K1393" i="10"/>
  <c r="K1394" i="10"/>
  <c r="K1395" i="10"/>
  <c r="K1396" i="10"/>
  <c r="K1397" i="10"/>
  <c r="K1398" i="10"/>
  <c r="K1399" i="10"/>
  <c r="K1400" i="10"/>
  <c r="K1401" i="10"/>
  <c r="K1402" i="10"/>
  <c r="K1403" i="10"/>
  <c r="K1404" i="10"/>
  <c r="K1405" i="10"/>
  <c r="K1406" i="10"/>
  <c r="K1407" i="10"/>
  <c r="K1408" i="10"/>
  <c r="K1409" i="10"/>
  <c r="K1410" i="10"/>
  <c r="K1411" i="10"/>
  <c r="K1412" i="10"/>
  <c r="K1413" i="10"/>
  <c r="K1414" i="10"/>
  <c r="K1415" i="10"/>
  <c r="K1416" i="10"/>
  <c r="K1417" i="10"/>
  <c r="K1418" i="10"/>
  <c r="K1419" i="10"/>
  <c r="K1420" i="10"/>
  <c r="K1421" i="10"/>
  <c r="K1422" i="10"/>
  <c r="K1423" i="10"/>
  <c r="K1424" i="10"/>
  <c r="K1425" i="10"/>
  <c r="K1426" i="10"/>
  <c r="K1427" i="10"/>
  <c r="K1428" i="10"/>
  <c r="K1429" i="10"/>
  <c r="K1430" i="10"/>
  <c r="K1431" i="10"/>
  <c r="K1432" i="10"/>
  <c r="K1433" i="10"/>
  <c r="K1434" i="10"/>
  <c r="K1435" i="10"/>
  <c r="K1436" i="10"/>
  <c r="K1437" i="10"/>
  <c r="K1438" i="10"/>
  <c r="K1439" i="10"/>
  <c r="K1440" i="10"/>
  <c r="K1441" i="10"/>
  <c r="K1442" i="10"/>
  <c r="K1443" i="10"/>
  <c r="K1444" i="10"/>
  <c r="K1445" i="10"/>
  <c r="K1446" i="10"/>
  <c r="K1447" i="10"/>
  <c r="K1448" i="10"/>
  <c r="K1449" i="10"/>
  <c r="K1450" i="10"/>
  <c r="K1451" i="10"/>
  <c r="K1452" i="10"/>
  <c r="K1453" i="10"/>
  <c r="K1454" i="10"/>
  <c r="K1455" i="10"/>
  <c r="K1456" i="10"/>
  <c r="K1457" i="10"/>
  <c r="K1458" i="10"/>
  <c r="K1459" i="10"/>
  <c r="K1460" i="10"/>
  <c r="K1461" i="10"/>
  <c r="K1462" i="10"/>
  <c r="K1463" i="10"/>
  <c r="K1464" i="10"/>
  <c r="K1465" i="10"/>
  <c r="K1466" i="10"/>
  <c r="K1467" i="10"/>
  <c r="K1468" i="10"/>
  <c r="K1469" i="10"/>
  <c r="K1470" i="10"/>
  <c r="K1471" i="10"/>
  <c r="K1472" i="10"/>
  <c r="K1473" i="10"/>
  <c r="K1474" i="10"/>
  <c r="K1475" i="10"/>
  <c r="K1476" i="10"/>
  <c r="K1477" i="10"/>
  <c r="K1478" i="10"/>
  <c r="K1479" i="10"/>
  <c r="K1480" i="10"/>
  <c r="K1481" i="10"/>
  <c r="K1482" i="10"/>
  <c r="K1483" i="10"/>
  <c r="K1484" i="10"/>
  <c r="K1485" i="10"/>
  <c r="K1486" i="10"/>
  <c r="K1487" i="10"/>
  <c r="K1488" i="10"/>
  <c r="K1489" i="10"/>
  <c r="K1490" i="10"/>
  <c r="K1491" i="10"/>
  <c r="K1492" i="10"/>
  <c r="K1493" i="10"/>
  <c r="K1494" i="10"/>
  <c r="K1495" i="10"/>
  <c r="K1496" i="10"/>
  <c r="K1497" i="10"/>
  <c r="K1498" i="10"/>
  <c r="K1499" i="10"/>
  <c r="K1500" i="10"/>
  <c r="K1501" i="10"/>
  <c r="K1502" i="10"/>
  <c r="K1503" i="10"/>
  <c r="K1504" i="10"/>
  <c r="K1505" i="10"/>
  <c r="K1506" i="10"/>
  <c r="K1507" i="10"/>
  <c r="K1508" i="10"/>
  <c r="K1509" i="10"/>
  <c r="K1510" i="10"/>
  <c r="K1511" i="10"/>
  <c r="K1512" i="10"/>
  <c r="K1513" i="10"/>
  <c r="K1514" i="10"/>
  <c r="K1515" i="10"/>
  <c r="K1516" i="10"/>
  <c r="K1517" i="10"/>
  <c r="K1518" i="10"/>
  <c r="K1519" i="10"/>
  <c r="K1520" i="10"/>
  <c r="K1521" i="10"/>
  <c r="K1522" i="10"/>
  <c r="K1523" i="10"/>
  <c r="K1524" i="10"/>
  <c r="K1525" i="10"/>
  <c r="K1526" i="10"/>
  <c r="K1527" i="10"/>
  <c r="K1528" i="10"/>
  <c r="K1529" i="10"/>
  <c r="K1530" i="10"/>
  <c r="K1531" i="10"/>
  <c r="K1532" i="10"/>
  <c r="K1533" i="10"/>
  <c r="K1534" i="10"/>
  <c r="K1535" i="10"/>
  <c r="K1536" i="10"/>
  <c r="K1537" i="10"/>
  <c r="K1538" i="10"/>
  <c r="K1539" i="10"/>
  <c r="K1540" i="10"/>
  <c r="K1541" i="10"/>
  <c r="K1542" i="10"/>
  <c r="K1543" i="10"/>
  <c r="K1544" i="10"/>
  <c r="K1545" i="10"/>
  <c r="K1546" i="10"/>
  <c r="K1547" i="10"/>
  <c r="K1548" i="10"/>
  <c r="K1549" i="10"/>
  <c r="K1550" i="10"/>
  <c r="K1551" i="10"/>
  <c r="K1552" i="10"/>
  <c r="K1553" i="10"/>
  <c r="K1554" i="10"/>
  <c r="K1555" i="10"/>
  <c r="K1556" i="10"/>
  <c r="K1557" i="10"/>
  <c r="K1558" i="10"/>
  <c r="K1559" i="10"/>
  <c r="K1560" i="10"/>
  <c r="K1561" i="10"/>
  <c r="K1562" i="10"/>
  <c r="K1563" i="10"/>
  <c r="K1564" i="10"/>
  <c r="K1565" i="10"/>
  <c r="K1566" i="10"/>
  <c r="K1567" i="10"/>
  <c r="K1568" i="10"/>
  <c r="K1569" i="10"/>
  <c r="K1570" i="10"/>
  <c r="K1571" i="10"/>
  <c r="K1572" i="10"/>
  <c r="K1573" i="10"/>
  <c r="K1574" i="10"/>
  <c r="K1575" i="10"/>
  <c r="K1576" i="10"/>
  <c r="K1577" i="10"/>
  <c r="K1578" i="10"/>
  <c r="K1579" i="10"/>
  <c r="K1580" i="10"/>
  <c r="K1581" i="10"/>
  <c r="K1582" i="10"/>
  <c r="K1583" i="10"/>
  <c r="K1584" i="10"/>
  <c r="K1585" i="10"/>
  <c r="K1586" i="10"/>
  <c r="K1587" i="10"/>
  <c r="K1588" i="10"/>
  <c r="K1589" i="10"/>
  <c r="K1590" i="10"/>
  <c r="K1591" i="10"/>
  <c r="K1592" i="10"/>
  <c r="K1593" i="10"/>
  <c r="K1594" i="10"/>
  <c r="K1595" i="10"/>
  <c r="K1596" i="10"/>
  <c r="K1597" i="10"/>
  <c r="K1598" i="10"/>
  <c r="K1599" i="10"/>
  <c r="K1600" i="10"/>
  <c r="K1601" i="10"/>
  <c r="K1602" i="10"/>
  <c r="K1603" i="10"/>
  <c r="K1604" i="10"/>
  <c r="K1605" i="10"/>
  <c r="K1606" i="10"/>
  <c r="K1607" i="10"/>
  <c r="K1608" i="10"/>
  <c r="K1609" i="10"/>
  <c r="K1610" i="10"/>
  <c r="K1611" i="10"/>
  <c r="K1612" i="10"/>
  <c r="K1613" i="10"/>
  <c r="K1614" i="10"/>
  <c r="K1615" i="10"/>
  <c r="K1616" i="10"/>
  <c r="K1617" i="10"/>
  <c r="K1618" i="10"/>
  <c r="K1619" i="10"/>
  <c r="K1620" i="10"/>
  <c r="K1621" i="10"/>
  <c r="K1622" i="10"/>
  <c r="K1623" i="10"/>
  <c r="K1624" i="10"/>
  <c r="K1625" i="10"/>
  <c r="K1626" i="10"/>
  <c r="K1627" i="10"/>
  <c r="K1628" i="10"/>
  <c r="K1629" i="10"/>
  <c r="K1630" i="10"/>
  <c r="K1631" i="10"/>
  <c r="K1632" i="10"/>
  <c r="K1633" i="10"/>
  <c r="K1634" i="10"/>
  <c r="K1635" i="10"/>
  <c r="K1636" i="10"/>
  <c r="K1637" i="10"/>
  <c r="K1638" i="10"/>
  <c r="K1639" i="10"/>
  <c r="K1640" i="10"/>
  <c r="K1641" i="10"/>
  <c r="K1642" i="10"/>
  <c r="K1643" i="10"/>
  <c r="K1644" i="10"/>
  <c r="K1645" i="10"/>
  <c r="K1646" i="10"/>
  <c r="K1647" i="10"/>
  <c r="K1648" i="10"/>
  <c r="K1649" i="10"/>
  <c r="K1650" i="10"/>
  <c r="K1651" i="10"/>
  <c r="K1652" i="10"/>
  <c r="K1653" i="10"/>
  <c r="K1654" i="10"/>
  <c r="K1655" i="10"/>
  <c r="K1656" i="10"/>
  <c r="K1657" i="10"/>
  <c r="K1658" i="10"/>
  <c r="K1659" i="10"/>
  <c r="K1660" i="10"/>
  <c r="K1661" i="10"/>
  <c r="K1662" i="10"/>
  <c r="K1663" i="10"/>
  <c r="K1664" i="10"/>
  <c r="K1665" i="10"/>
  <c r="K1666" i="10"/>
  <c r="K1667" i="10"/>
  <c r="K1668" i="10"/>
  <c r="K1669" i="10"/>
  <c r="K1670" i="10"/>
  <c r="K1671" i="10"/>
  <c r="K1672" i="10"/>
  <c r="K1673" i="10"/>
  <c r="K1674" i="10"/>
  <c r="K1675" i="10"/>
  <c r="K1676" i="10"/>
  <c r="K1677" i="10"/>
  <c r="K1678" i="10"/>
  <c r="K1679" i="10"/>
  <c r="K1680" i="10"/>
  <c r="K1681" i="10"/>
  <c r="K1682" i="10"/>
  <c r="K1683" i="10"/>
  <c r="K1684" i="10"/>
  <c r="K1685" i="10"/>
  <c r="K1686" i="10"/>
  <c r="K1687" i="10"/>
  <c r="K1688" i="10"/>
  <c r="K1689" i="10"/>
  <c r="K1690" i="10"/>
  <c r="K1691" i="10"/>
  <c r="K1692" i="10"/>
  <c r="K1693" i="10"/>
  <c r="K1694" i="10"/>
  <c r="K1695" i="10"/>
  <c r="K1696" i="10"/>
  <c r="K1697" i="10"/>
  <c r="K1698" i="10"/>
  <c r="K1699" i="10"/>
  <c r="K1700" i="10"/>
  <c r="K1701" i="10"/>
  <c r="K1702" i="10"/>
  <c r="K1703" i="10"/>
  <c r="K1704" i="10"/>
  <c r="K1705" i="10"/>
  <c r="K1706" i="10"/>
  <c r="K1707" i="10"/>
  <c r="K1708" i="10"/>
  <c r="K1709" i="10"/>
  <c r="K1710" i="10"/>
  <c r="K1711" i="10"/>
  <c r="K1712" i="10"/>
  <c r="K1713" i="10"/>
  <c r="K1714" i="10"/>
  <c r="K1715" i="10"/>
  <c r="K1716" i="10"/>
  <c r="K1717" i="10"/>
  <c r="K1718" i="10"/>
  <c r="K1719" i="10"/>
  <c r="K1720" i="10"/>
  <c r="K1721" i="10"/>
  <c r="K1722" i="10"/>
  <c r="K1723" i="10"/>
  <c r="K1724" i="10"/>
  <c r="K1725" i="10"/>
  <c r="K1726" i="10"/>
  <c r="K1727" i="10"/>
  <c r="K1728" i="10"/>
  <c r="K1729" i="10"/>
  <c r="K1730" i="10"/>
  <c r="K1731" i="10"/>
  <c r="K1732" i="10"/>
  <c r="K1733" i="10"/>
  <c r="K1734" i="10"/>
  <c r="K1735" i="10"/>
  <c r="K1736" i="10"/>
  <c r="K1737" i="10"/>
  <c r="K1738" i="10"/>
  <c r="K1739" i="10"/>
  <c r="K1740" i="10"/>
  <c r="K1741" i="10"/>
  <c r="K1742" i="10"/>
  <c r="K1743" i="10"/>
  <c r="K1744" i="10"/>
  <c r="K1745" i="10"/>
  <c r="K1746" i="10"/>
  <c r="K1747" i="10"/>
  <c r="K1748" i="10"/>
  <c r="K1749" i="10"/>
  <c r="K1750" i="10"/>
  <c r="K1751" i="10"/>
  <c r="K1752" i="10"/>
  <c r="K1753" i="10"/>
  <c r="K1754" i="10"/>
  <c r="K1755" i="10"/>
  <c r="K1756" i="10"/>
  <c r="K1757" i="10"/>
  <c r="K1758" i="10"/>
  <c r="K1759" i="10"/>
  <c r="K1760" i="10"/>
  <c r="K1761" i="10"/>
  <c r="K1762" i="10"/>
  <c r="K1763" i="10"/>
  <c r="K1764" i="10"/>
  <c r="K1765" i="10"/>
  <c r="K1766" i="10"/>
  <c r="K1767" i="10"/>
  <c r="K1768" i="10"/>
  <c r="K1769" i="10"/>
  <c r="K1770" i="10"/>
  <c r="K1771" i="10"/>
  <c r="K1772" i="10"/>
  <c r="K1773" i="10"/>
  <c r="K1774" i="10"/>
  <c r="K1775" i="10"/>
  <c r="K1776" i="10"/>
  <c r="K1777" i="10"/>
  <c r="K1778" i="10"/>
  <c r="K1779" i="10"/>
  <c r="K1780" i="10"/>
  <c r="K1781" i="10"/>
  <c r="K1782" i="10"/>
  <c r="K1783" i="10"/>
  <c r="K1784" i="10"/>
  <c r="K1785" i="10"/>
  <c r="K1786" i="10"/>
  <c r="K1787" i="10"/>
  <c r="K1788" i="10"/>
  <c r="K1789" i="10"/>
  <c r="K1790" i="10"/>
  <c r="K1791" i="10"/>
  <c r="K1792" i="10"/>
  <c r="K1793" i="10"/>
  <c r="K1794" i="10"/>
  <c r="K1795" i="10"/>
  <c r="K1796" i="10"/>
  <c r="K1797" i="10"/>
  <c r="K1798" i="10"/>
  <c r="K1799" i="10"/>
  <c r="K1800" i="10"/>
  <c r="K1801" i="10"/>
  <c r="K1802" i="10"/>
  <c r="K1803" i="10"/>
  <c r="K1804" i="10"/>
  <c r="K1805" i="10"/>
  <c r="K1806" i="10"/>
  <c r="K1807" i="10"/>
  <c r="K1808" i="10"/>
  <c r="K1809" i="10"/>
  <c r="K1810" i="10"/>
  <c r="K1811" i="10"/>
  <c r="K1812" i="10"/>
  <c r="K1813" i="10"/>
  <c r="K1814" i="10"/>
  <c r="K1815" i="10"/>
  <c r="K1816" i="10"/>
  <c r="K1817" i="10"/>
  <c r="K1818" i="10"/>
  <c r="K1819" i="10"/>
  <c r="K1820" i="10"/>
  <c r="K1821" i="10"/>
  <c r="K1822" i="10"/>
  <c r="K1823" i="10"/>
  <c r="K1824" i="10"/>
  <c r="K1825" i="10"/>
  <c r="K1826" i="10"/>
  <c r="K1827" i="10"/>
  <c r="K1828" i="10"/>
  <c r="K1829" i="10"/>
  <c r="K1830" i="10"/>
  <c r="K1831" i="10"/>
  <c r="K1832" i="10"/>
  <c r="K1833" i="10"/>
  <c r="K1834" i="10"/>
  <c r="K1835" i="10"/>
  <c r="K1836" i="10"/>
  <c r="K1837" i="10"/>
  <c r="K1838" i="10"/>
  <c r="K1839" i="10"/>
  <c r="K1840" i="10"/>
  <c r="K1841" i="10"/>
  <c r="K1842" i="10"/>
  <c r="K1843" i="10"/>
  <c r="K1844" i="10"/>
  <c r="K1845" i="10"/>
  <c r="K1846" i="10"/>
  <c r="K1847" i="10"/>
  <c r="K1848" i="10"/>
  <c r="K1849" i="10"/>
  <c r="K1850" i="10"/>
  <c r="K1851" i="10"/>
  <c r="K1852" i="10"/>
  <c r="K1853" i="10"/>
  <c r="K1854" i="10"/>
  <c r="K1855" i="10"/>
  <c r="K1856" i="10"/>
  <c r="K1857" i="10"/>
  <c r="K1858" i="10"/>
  <c r="K1859" i="10"/>
  <c r="K1860" i="10"/>
  <c r="K1861" i="10"/>
  <c r="K1862" i="10"/>
  <c r="K1863" i="10"/>
  <c r="K1864" i="10"/>
  <c r="K1865" i="10"/>
  <c r="K1866" i="10"/>
  <c r="K1867" i="10"/>
  <c r="K1868" i="10"/>
  <c r="K1869" i="10"/>
  <c r="K1870" i="10"/>
  <c r="K1871" i="10"/>
  <c r="K1872" i="10"/>
  <c r="K1873" i="10"/>
  <c r="K1874" i="10"/>
  <c r="K1875" i="10"/>
  <c r="K1876" i="10"/>
  <c r="K1877" i="10"/>
  <c r="K1878" i="10"/>
  <c r="K1879" i="10"/>
  <c r="K1880" i="10"/>
  <c r="K1881" i="10"/>
  <c r="K1882" i="10"/>
  <c r="K1883" i="10"/>
  <c r="K1884" i="10"/>
  <c r="K1885" i="10"/>
  <c r="K1886" i="10"/>
  <c r="K1887" i="10"/>
  <c r="K1888" i="10"/>
  <c r="K1889" i="10"/>
  <c r="K1890" i="10"/>
  <c r="K1891" i="10"/>
  <c r="K1892" i="10"/>
  <c r="K1893" i="10"/>
  <c r="K1894" i="10"/>
  <c r="K1895" i="10"/>
  <c r="K1896" i="10"/>
  <c r="K1897" i="10"/>
  <c r="K1898" i="10"/>
  <c r="K1899" i="10"/>
  <c r="K1900" i="10"/>
  <c r="K1901" i="10"/>
  <c r="K1902" i="10"/>
  <c r="K1903" i="10"/>
  <c r="K1904" i="10"/>
  <c r="K1905" i="10"/>
  <c r="K1906" i="10"/>
  <c r="K1907" i="10"/>
  <c r="K1908" i="10"/>
  <c r="K1909" i="10"/>
  <c r="K1910" i="10"/>
  <c r="K1911" i="10"/>
  <c r="K1912" i="10"/>
  <c r="K1913" i="10"/>
  <c r="K1914" i="10"/>
  <c r="K1915" i="10"/>
  <c r="K1916" i="10"/>
  <c r="K1917" i="10"/>
  <c r="K1918" i="10"/>
  <c r="K1919" i="10"/>
  <c r="K1920" i="10"/>
  <c r="K1921" i="10"/>
  <c r="K1922" i="10"/>
  <c r="K1923" i="10"/>
  <c r="K1924" i="10"/>
  <c r="K1925" i="10"/>
  <c r="K1926" i="10"/>
  <c r="K1927" i="10"/>
  <c r="K1928" i="10"/>
  <c r="K1929" i="10"/>
  <c r="K1930" i="10"/>
  <c r="K1931" i="10"/>
  <c r="K1932" i="10"/>
  <c r="K1933" i="10"/>
  <c r="K1934" i="10"/>
  <c r="K1935" i="10"/>
  <c r="K1936" i="10"/>
  <c r="K1937" i="10"/>
  <c r="K1938" i="10"/>
  <c r="K1939" i="10"/>
  <c r="K1940" i="10"/>
  <c r="K1941" i="10"/>
  <c r="K1942" i="10"/>
  <c r="K1943" i="10"/>
  <c r="K1944" i="10"/>
  <c r="K1945" i="10"/>
  <c r="K1946" i="10"/>
  <c r="K1947" i="10"/>
  <c r="K1948" i="10"/>
  <c r="K1949" i="10"/>
  <c r="K1950" i="10"/>
  <c r="K1951" i="10"/>
  <c r="K1952" i="10"/>
  <c r="K1953" i="10"/>
  <c r="K1954" i="10"/>
  <c r="K1955" i="10"/>
  <c r="K1956" i="10"/>
  <c r="K1957" i="10"/>
  <c r="K1958" i="10"/>
  <c r="K1959" i="10"/>
  <c r="K1960" i="10"/>
  <c r="K1961" i="10"/>
  <c r="K1962" i="10"/>
  <c r="K1963" i="10"/>
  <c r="K1964" i="10"/>
  <c r="K1965" i="10"/>
  <c r="K1966" i="10"/>
  <c r="K1967" i="10"/>
  <c r="K1968" i="10"/>
  <c r="K1969" i="10"/>
  <c r="K1970" i="10"/>
  <c r="K1971" i="10"/>
  <c r="K1972" i="10"/>
  <c r="K1973" i="10"/>
  <c r="K1974" i="10"/>
  <c r="K1975" i="10"/>
  <c r="K1976" i="10"/>
  <c r="K1977" i="10"/>
  <c r="K1978" i="10"/>
  <c r="K1979" i="10"/>
  <c r="K1980" i="10"/>
  <c r="K1981" i="10"/>
  <c r="K1982" i="10"/>
  <c r="K1983" i="10"/>
  <c r="K1984" i="10"/>
  <c r="K1985" i="10"/>
  <c r="K1986" i="10"/>
  <c r="K1987" i="10"/>
  <c r="K1988" i="10"/>
  <c r="K1989" i="10"/>
  <c r="K1990" i="10"/>
  <c r="K1991" i="10"/>
  <c r="K1992" i="10"/>
  <c r="K1993" i="10"/>
  <c r="K1994" i="10"/>
  <c r="K1995" i="10"/>
  <c r="K1996" i="10"/>
  <c r="K1997" i="10"/>
  <c r="K1998" i="10"/>
  <c r="K1999" i="10"/>
  <c r="K2000" i="10"/>
  <c r="K2001" i="10"/>
  <c r="K2002" i="10"/>
  <c r="K2003" i="10"/>
  <c r="K2004" i="10"/>
  <c r="K2005" i="10"/>
  <c r="K2006" i="10"/>
  <c r="K2007" i="10"/>
  <c r="K2008" i="10"/>
  <c r="K2009" i="10"/>
  <c r="K2010" i="10"/>
  <c r="K2011" i="10"/>
  <c r="K2012" i="10"/>
  <c r="K2013" i="10"/>
  <c r="K2014" i="10"/>
  <c r="K2015" i="10"/>
  <c r="K2016" i="10"/>
  <c r="K2017" i="10"/>
  <c r="K2018" i="10"/>
  <c r="K2019" i="10"/>
  <c r="K2020" i="10"/>
  <c r="K2021" i="10"/>
  <c r="K2022" i="10"/>
  <c r="K2023" i="10"/>
  <c r="K2024" i="10"/>
  <c r="K2025" i="10"/>
  <c r="K2026" i="10"/>
  <c r="K2027" i="10"/>
  <c r="K2028" i="10"/>
  <c r="K2029" i="10"/>
  <c r="K2030" i="10"/>
  <c r="K2031" i="10"/>
  <c r="K2032" i="10"/>
  <c r="K2033" i="10"/>
  <c r="K2034" i="10"/>
  <c r="K2035" i="10"/>
  <c r="K2036" i="10"/>
  <c r="K2037" i="10"/>
  <c r="K2038" i="10"/>
  <c r="K2039" i="10"/>
  <c r="K2040" i="10"/>
  <c r="K2041" i="10"/>
  <c r="K2042" i="10"/>
  <c r="K2043" i="10"/>
  <c r="K2044" i="10"/>
  <c r="K2045" i="10"/>
  <c r="K2046" i="10"/>
  <c r="K2047" i="10"/>
  <c r="K2048" i="10"/>
  <c r="K2049" i="10"/>
  <c r="K2050" i="10"/>
  <c r="K2051" i="10"/>
  <c r="K2052" i="10"/>
  <c r="K2053" i="10"/>
  <c r="K2054" i="10"/>
  <c r="K2055" i="10"/>
  <c r="K2056" i="10"/>
  <c r="K2057" i="10"/>
  <c r="K2058" i="10"/>
  <c r="K2059" i="10"/>
  <c r="K2060" i="10"/>
  <c r="K2061" i="10"/>
  <c r="K2062" i="10"/>
  <c r="K2063" i="10"/>
  <c r="K2064" i="10"/>
  <c r="K2065" i="10"/>
  <c r="K2066" i="10"/>
  <c r="K2067" i="10"/>
  <c r="K2068" i="10"/>
  <c r="K2069" i="10"/>
  <c r="K2070" i="10"/>
  <c r="K2071" i="10"/>
  <c r="K2072" i="10"/>
  <c r="K2073" i="10"/>
  <c r="K2074" i="10"/>
  <c r="K2075" i="10"/>
  <c r="K2076" i="10"/>
  <c r="K2077" i="10"/>
  <c r="K2078" i="10"/>
  <c r="K2079" i="10"/>
  <c r="K2080" i="10"/>
  <c r="K2081" i="10"/>
  <c r="K2082" i="10"/>
  <c r="K2083" i="10"/>
  <c r="K2084" i="10"/>
  <c r="K2085" i="10"/>
  <c r="K2086" i="10"/>
  <c r="K2087" i="10"/>
  <c r="K2088" i="10"/>
  <c r="K2089" i="10"/>
  <c r="K2090" i="10"/>
  <c r="K2091" i="10"/>
  <c r="K2092" i="10"/>
  <c r="K2093" i="10"/>
  <c r="K2094" i="10"/>
  <c r="K2095" i="10"/>
  <c r="K2096" i="10"/>
  <c r="K2097" i="10"/>
  <c r="K2098" i="10"/>
  <c r="K2099" i="10"/>
  <c r="K2100" i="10"/>
  <c r="K2101" i="10"/>
  <c r="K2102" i="10"/>
  <c r="K2103" i="10"/>
  <c r="K2104" i="10"/>
  <c r="K2105" i="10"/>
  <c r="K2106" i="10"/>
  <c r="K2107" i="10"/>
  <c r="K2108" i="10"/>
  <c r="K2109" i="10"/>
  <c r="K2110" i="10"/>
  <c r="K2111" i="10"/>
  <c r="K2112" i="10"/>
  <c r="K2113" i="10"/>
  <c r="K2114" i="10"/>
  <c r="K2115" i="10"/>
  <c r="K2116" i="10"/>
  <c r="K2117" i="10"/>
  <c r="K2118" i="10"/>
  <c r="K2119" i="10"/>
  <c r="K2120" i="10"/>
  <c r="K2121" i="10"/>
  <c r="K2122" i="10"/>
  <c r="K2123" i="10"/>
  <c r="K2124" i="10"/>
  <c r="K2125" i="10"/>
  <c r="K2126" i="10"/>
  <c r="K2127" i="10"/>
  <c r="K2128" i="10"/>
  <c r="K2129" i="10"/>
  <c r="K2130" i="10"/>
  <c r="K2131" i="10"/>
  <c r="K2132" i="10"/>
  <c r="K2133" i="10"/>
  <c r="K2134" i="10"/>
  <c r="K2135" i="10"/>
  <c r="K2136" i="10"/>
  <c r="K2137" i="10"/>
  <c r="K2138" i="10"/>
  <c r="K2139" i="10"/>
  <c r="K2140" i="10"/>
  <c r="K2141" i="10"/>
  <c r="K2142" i="10"/>
  <c r="K2143" i="10"/>
  <c r="K2144" i="10"/>
  <c r="K2145" i="10"/>
  <c r="K2146" i="10"/>
  <c r="K2147" i="10"/>
  <c r="K2148" i="10"/>
  <c r="K2149" i="10"/>
  <c r="K2150" i="10"/>
  <c r="K2151" i="10"/>
  <c r="K2152" i="10"/>
  <c r="K2153" i="10"/>
  <c r="K2154" i="10"/>
  <c r="K2155" i="10"/>
  <c r="K2156" i="10"/>
  <c r="K2157" i="10"/>
  <c r="K2158" i="10"/>
  <c r="K2159" i="10"/>
  <c r="K2160" i="10"/>
  <c r="K2161" i="10"/>
  <c r="K2162" i="10"/>
  <c r="K2163" i="10"/>
  <c r="K2164" i="10"/>
  <c r="K2165" i="10"/>
  <c r="K2166" i="10"/>
  <c r="K2167" i="10"/>
  <c r="K2168" i="10"/>
  <c r="K2169" i="10"/>
  <c r="K2170" i="10"/>
  <c r="K2171" i="10"/>
  <c r="K2172" i="10"/>
  <c r="K2173" i="10"/>
  <c r="K2174" i="10"/>
  <c r="K2175" i="10"/>
  <c r="K2176" i="10"/>
  <c r="K2177" i="10"/>
  <c r="K2178" i="10"/>
  <c r="K2179" i="10"/>
  <c r="K2180" i="10"/>
  <c r="K2181" i="10"/>
  <c r="K2182" i="10"/>
  <c r="K2183" i="10"/>
  <c r="K2184" i="10"/>
  <c r="K2185" i="10"/>
  <c r="K2186" i="10"/>
  <c r="K2187" i="10"/>
  <c r="K2188" i="10"/>
  <c r="K2189" i="10"/>
  <c r="K2190" i="10"/>
  <c r="K2191" i="10"/>
  <c r="K2192" i="10"/>
  <c r="K2193" i="10"/>
  <c r="K2194" i="10"/>
  <c r="K2195" i="10"/>
  <c r="K2196" i="10"/>
  <c r="K2197" i="10"/>
  <c r="K2198" i="10"/>
  <c r="K2199" i="10"/>
  <c r="K2200" i="10"/>
  <c r="K2201" i="10"/>
  <c r="K2202" i="10"/>
  <c r="K2203" i="10"/>
  <c r="K2204" i="10"/>
  <c r="K2205" i="10"/>
  <c r="K2206" i="10"/>
  <c r="K2207" i="10"/>
  <c r="K2208" i="10"/>
  <c r="K2209" i="10"/>
  <c r="K2210" i="10"/>
  <c r="K2211" i="10"/>
  <c r="K2212" i="10"/>
  <c r="K2213" i="10"/>
  <c r="K2214" i="10"/>
  <c r="K2215" i="10"/>
  <c r="K2216" i="10"/>
  <c r="K2217" i="10"/>
  <c r="K2218" i="10"/>
  <c r="K2219" i="10"/>
  <c r="K2220" i="10"/>
  <c r="K2221" i="10"/>
  <c r="K2222" i="10"/>
  <c r="K2223" i="10"/>
  <c r="K2224" i="10"/>
  <c r="K2225" i="10"/>
  <c r="K2226" i="10"/>
  <c r="K2227" i="10"/>
  <c r="K2228" i="10"/>
  <c r="K2229" i="10"/>
  <c r="K2230" i="10"/>
  <c r="K2231" i="10"/>
  <c r="K2232" i="10"/>
  <c r="K2233" i="10"/>
  <c r="K2234" i="10"/>
  <c r="K2235" i="10"/>
  <c r="K2236" i="10"/>
  <c r="K2237" i="10"/>
  <c r="K2238" i="10"/>
  <c r="K2239" i="10"/>
  <c r="K2240" i="10"/>
  <c r="K2241" i="10"/>
  <c r="K2242" i="10"/>
  <c r="K2243" i="10"/>
  <c r="K2244" i="10"/>
  <c r="K2245" i="10"/>
  <c r="K2246" i="10"/>
  <c r="K2247" i="10"/>
  <c r="K2248" i="10"/>
  <c r="K2249" i="10"/>
  <c r="K2250" i="10"/>
  <c r="K2251" i="10"/>
  <c r="K2252" i="10"/>
  <c r="K2253" i="10"/>
  <c r="K2254" i="10"/>
  <c r="K2255" i="10"/>
  <c r="K2256" i="10"/>
  <c r="K2257" i="10"/>
  <c r="K2258" i="10"/>
  <c r="K2259" i="10"/>
  <c r="K2260" i="10"/>
  <c r="K2261" i="10"/>
  <c r="K2262" i="10"/>
  <c r="K2263" i="10"/>
  <c r="K2264" i="10"/>
  <c r="K2265" i="10"/>
  <c r="K2266" i="10"/>
  <c r="K2267" i="10"/>
  <c r="K2268" i="10"/>
  <c r="K2269" i="10"/>
  <c r="K2270" i="10"/>
  <c r="K2271" i="10"/>
  <c r="K2272" i="10"/>
  <c r="K2273" i="10"/>
  <c r="K2274" i="10"/>
  <c r="K2275" i="10"/>
  <c r="K2276" i="10"/>
  <c r="K2277" i="10"/>
  <c r="K2278" i="10"/>
  <c r="K2279" i="10"/>
  <c r="K2280" i="10"/>
  <c r="K2281" i="10"/>
  <c r="K2282" i="10"/>
  <c r="K2283" i="10"/>
  <c r="K2284" i="10"/>
  <c r="K2285" i="10"/>
  <c r="K2286" i="10"/>
  <c r="K2287" i="10"/>
  <c r="K2288" i="10"/>
  <c r="K2289" i="10"/>
  <c r="K2290" i="10"/>
  <c r="K2291" i="10"/>
  <c r="K2292" i="10"/>
  <c r="K2293" i="10"/>
  <c r="K2294" i="10"/>
  <c r="K2295" i="10"/>
  <c r="K2296" i="10"/>
  <c r="K2297" i="10"/>
  <c r="K2298" i="10"/>
  <c r="K2299" i="10"/>
  <c r="K2300" i="10"/>
  <c r="K2301" i="10"/>
  <c r="K2302" i="10"/>
  <c r="K2303" i="10"/>
  <c r="K2304" i="10"/>
  <c r="K2305" i="10"/>
  <c r="K2306" i="10"/>
  <c r="K2307" i="10"/>
  <c r="K2308" i="10"/>
  <c r="K2309" i="10"/>
  <c r="K2310" i="10"/>
  <c r="K2311" i="10"/>
  <c r="K2312" i="10"/>
  <c r="K2313" i="10"/>
  <c r="K2314" i="10"/>
  <c r="K2315" i="10"/>
  <c r="K2316" i="10"/>
  <c r="K2317" i="10"/>
  <c r="K2318" i="10"/>
  <c r="K2319" i="10"/>
  <c r="K2320" i="10"/>
  <c r="K2321" i="10"/>
  <c r="K2322" i="10"/>
  <c r="K2323" i="10"/>
  <c r="K2324" i="10"/>
  <c r="K2325" i="10"/>
  <c r="K2326" i="10"/>
  <c r="K2327" i="10"/>
  <c r="K2328" i="10"/>
  <c r="K2329" i="10"/>
  <c r="K2330" i="10"/>
  <c r="K2331" i="10"/>
  <c r="K2332" i="10"/>
  <c r="K2333" i="10"/>
  <c r="K2334" i="10"/>
  <c r="K2335" i="10"/>
  <c r="K2336" i="10"/>
  <c r="K2337" i="10"/>
  <c r="K2338" i="10"/>
  <c r="K2339" i="10"/>
  <c r="K2340" i="10"/>
  <c r="K2341" i="10"/>
  <c r="K2342" i="10"/>
  <c r="K2343" i="10"/>
  <c r="K2344" i="10"/>
  <c r="K2345" i="10"/>
  <c r="K2346" i="10"/>
  <c r="K2347" i="10"/>
  <c r="K2348" i="10"/>
  <c r="K2349" i="10"/>
  <c r="K2350" i="10"/>
  <c r="K2351" i="10"/>
  <c r="K2352" i="10"/>
  <c r="K2353" i="10"/>
  <c r="K2354" i="10"/>
  <c r="K2355" i="10"/>
  <c r="K2356" i="10"/>
  <c r="K2357" i="10"/>
  <c r="K2358" i="10"/>
  <c r="K2359" i="10"/>
  <c r="K2360" i="10"/>
  <c r="K2361" i="10"/>
  <c r="K2362" i="10"/>
  <c r="K2363" i="10"/>
  <c r="K2364" i="10"/>
  <c r="K2365" i="10"/>
  <c r="K2366" i="10"/>
  <c r="K2367" i="10"/>
  <c r="K2368" i="10"/>
  <c r="K2369" i="10"/>
  <c r="K2370" i="10"/>
  <c r="K2371" i="10"/>
  <c r="K2372" i="10"/>
  <c r="K2373" i="10"/>
  <c r="K2374" i="10"/>
  <c r="K2375" i="10"/>
  <c r="K2376" i="10"/>
  <c r="K2377" i="10"/>
  <c r="K2378" i="10"/>
  <c r="K2379" i="10"/>
  <c r="K2380" i="10"/>
  <c r="K2381" i="10"/>
  <c r="K2382" i="10"/>
  <c r="K2383" i="10"/>
  <c r="K2384" i="10"/>
  <c r="K2385" i="10"/>
  <c r="K2386" i="10"/>
  <c r="K2387" i="10"/>
  <c r="K2388" i="10"/>
  <c r="K2389" i="10"/>
  <c r="K2390" i="10"/>
  <c r="K2391" i="10"/>
  <c r="K2392" i="10"/>
  <c r="K2393" i="10"/>
  <c r="K2394" i="10"/>
  <c r="K2395" i="10"/>
  <c r="K2396" i="10"/>
  <c r="K2397" i="10"/>
  <c r="K2398" i="10"/>
  <c r="K2399" i="10"/>
  <c r="K2400" i="10"/>
  <c r="K2401" i="10"/>
  <c r="K2402" i="10"/>
  <c r="K2403" i="10"/>
  <c r="K2404" i="10"/>
  <c r="K2405" i="10"/>
  <c r="K2406" i="10"/>
  <c r="K2407" i="10"/>
  <c r="K2408" i="10"/>
  <c r="K2409" i="10"/>
  <c r="K2410" i="10"/>
  <c r="K2411" i="10"/>
  <c r="K2412" i="10"/>
  <c r="K2413" i="10"/>
  <c r="K2414" i="10"/>
  <c r="K2415" i="10"/>
  <c r="K2416" i="10"/>
  <c r="K2417" i="10"/>
  <c r="K2418" i="10"/>
  <c r="K2419" i="10"/>
  <c r="K2420" i="10"/>
  <c r="K2421" i="10"/>
  <c r="K2422" i="10"/>
  <c r="K2423" i="10"/>
  <c r="K2424" i="10"/>
  <c r="K2425" i="10"/>
  <c r="K2426" i="10"/>
  <c r="K2427" i="10"/>
  <c r="K2428" i="10"/>
  <c r="K2429" i="10"/>
  <c r="K2430" i="10"/>
  <c r="K2431" i="10"/>
  <c r="K2432" i="10"/>
  <c r="K2433" i="10"/>
  <c r="K2434" i="10"/>
  <c r="K2435" i="10"/>
  <c r="K2436" i="10"/>
  <c r="K2437" i="10"/>
  <c r="K2438" i="10"/>
  <c r="K2439" i="10"/>
  <c r="K2440" i="10"/>
  <c r="K2441" i="10"/>
  <c r="K2442" i="10"/>
  <c r="K2443" i="10"/>
  <c r="K2444" i="10"/>
  <c r="K2445" i="10"/>
  <c r="K2446" i="10"/>
  <c r="K2447" i="10"/>
  <c r="K2448" i="10"/>
  <c r="K2449" i="10"/>
  <c r="K2450" i="10"/>
  <c r="K2451" i="10"/>
  <c r="K2452" i="10"/>
  <c r="K2453" i="10"/>
  <c r="K2454" i="10"/>
  <c r="K2455" i="10"/>
  <c r="K2456" i="10"/>
  <c r="K2457" i="10"/>
  <c r="K2458" i="10"/>
  <c r="K2459" i="10"/>
  <c r="K2460" i="10"/>
  <c r="K2461" i="10"/>
  <c r="K2462" i="10"/>
  <c r="K2463" i="10"/>
  <c r="K2464" i="10"/>
  <c r="K2465" i="10"/>
  <c r="K2466" i="10"/>
  <c r="K2467" i="10"/>
  <c r="K2468" i="10"/>
  <c r="K2469" i="10"/>
  <c r="K2470" i="10"/>
  <c r="K2471" i="10"/>
  <c r="K2472" i="10"/>
  <c r="K2473" i="10"/>
  <c r="K2474" i="10"/>
  <c r="K2475" i="10"/>
  <c r="K2476" i="10"/>
  <c r="K2477" i="10"/>
  <c r="K2478" i="10"/>
  <c r="K2479" i="10"/>
  <c r="K2480" i="10"/>
  <c r="K2481" i="10"/>
  <c r="K2482" i="10"/>
  <c r="K2483" i="10"/>
  <c r="K2484" i="10"/>
  <c r="K2485" i="10"/>
  <c r="K2486" i="10"/>
  <c r="K2487" i="10"/>
  <c r="K2488" i="10"/>
  <c r="K2489" i="10"/>
  <c r="K2490" i="10"/>
  <c r="K2491" i="10"/>
  <c r="K2492" i="10"/>
  <c r="K2493" i="10"/>
  <c r="K2494" i="10"/>
  <c r="K2495" i="10"/>
  <c r="K2496" i="10"/>
  <c r="K2497" i="10"/>
  <c r="K2498" i="10"/>
  <c r="K2499" i="10"/>
  <c r="K2500" i="10"/>
  <c r="K2501" i="10"/>
  <c r="K2502" i="10"/>
  <c r="K2503" i="10"/>
  <c r="K2504" i="10"/>
  <c r="K2505" i="10"/>
  <c r="K2506" i="10"/>
  <c r="K2507" i="10"/>
  <c r="K2508" i="10"/>
  <c r="K2509" i="10"/>
  <c r="K2510" i="10"/>
  <c r="K2511" i="10"/>
  <c r="K2512" i="10"/>
  <c r="K2513" i="10"/>
  <c r="K2514" i="10"/>
  <c r="K2515" i="10"/>
  <c r="K2516" i="10"/>
  <c r="K2517" i="10"/>
  <c r="K2518" i="10"/>
  <c r="K2519" i="10"/>
  <c r="K2520" i="10"/>
  <c r="K2521" i="10"/>
  <c r="K2522" i="10"/>
  <c r="K2523" i="10"/>
  <c r="K2524" i="10"/>
  <c r="K2525" i="10"/>
  <c r="K2526" i="10"/>
  <c r="K2527" i="10"/>
  <c r="K2528" i="10"/>
  <c r="K2529" i="10"/>
  <c r="K2530" i="10"/>
  <c r="K2531" i="10"/>
  <c r="K2532" i="10"/>
  <c r="K2533" i="10"/>
  <c r="K2534" i="10"/>
  <c r="K2535" i="10"/>
  <c r="K2536" i="10"/>
  <c r="K2537" i="10"/>
  <c r="K2538" i="10"/>
  <c r="K2539" i="10"/>
  <c r="K2540" i="10"/>
  <c r="K2541" i="10"/>
  <c r="K2542" i="10"/>
  <c r="K2543" i="10"/>
  <c r="K2544" i="10"/>
  <c r="K2545" i="10"/>
  <c r="K2546" i="10"/>
  <c r="K2547" i="10"/>
  <c r="K2548" i="10"/>
  <c r="K2549" i="10"/>
  <c r="K2550" i="10"/>
  <c r="K2551" i="10"/>
  <c r="K2552" i="10"/>
  <c r="K2553" i="10"/>
  <c r="K2554" i="10"/>
  <c r="K2555" i="10"/>
  <c r="K2556" i="10"/>
  <c r="K2557" i="10"/>
  <c r="K2558" i="10"/>
  <c r="K2559" i="10"/>
  <c r="K2560" i="10"/>
  <c r="K2561" i="10"/>
  <c r="K2562" i="10"/>
  <c r="K2563" i="10"/>
  <c r="K2564" i="10"/>
  <c r="K2565" i="10"/>
  <c r="K2566" i="10"/>
  <c r="K2567" i="10"/>
  <c r="K2568" i="10"/>
  <c r="K2569" i="10"/>
  <c r="K2570" i="10"/>
  <c r="K2571" i="10"/>
  <c r="K2572" i="10"/>
  <c r="K2573" i="10"/>
  <c r="K2574" i="10"/>
  <c r="K2575" i="10"/>
  <c r="K2576" i="10"/>
  <c r="K2577" i="10"/>
  <c r="K2578" i="10"/>
  <c r="K2579" i="10"/>
  <c r="K2580" i="10"/>
  <c r="K2581" i="10"/>
  <c r="K2582" i="10"/>
  <c r="K2583" i="10"/>
  <c r="K2584" i="10"/>
  <c r="K2585" i="10"/>
  <c r="K2586" i="10"/>
  <c r="K2587" i="10"/>
  <c r="K2588" i="10"/>
  <c r="K2589" i="10"/>
  <c r="K2590" i="10"/>
  <c r="K2591" i="10"/>
  <c r="K2592" i="10"/>
  <c r="K2593" i="10"/>
  <c r="K2594" i="10"/>
  <c r="K2595" i="10"/>
  <c r="K2596" i="10"/>
  <c r="K2597" i="10"/>
  <c r="K2598" i="10"/>
  <c r="K2599" i="10"/>
  <c r="K2600" i="10"/>
  <c r="K2601" i="10"/>
  <c r="K2602" i="10"/>
  <c r="K2603" i="10"/>
  <c r="K2604" i="10"/>
  <c r="K2605" i="10"/>
  <c r="K2606" i="10"/>
  <c r="K2607" i="10"/>
  <c r="K2608" i="10"/>
  <c r="K2609" i="10"/>
  <c r="K2610" i="10"/>
  <c r="K2611" i="10"/>
  <c r="K2612" i="10"/>
  <c r="K2613" i="10"/>
  <c r="K2614" i="10"/>
  <c r="K2615" i="10"/>
  <c r="K2616" i="10"/>
  <c r="K2617" i="10"/>
  <c r="K2618" i="10"/>
  <c r="K2619" i="10"/>
  <c r="K2620" i="10"/>
  <c r="K2621" i="10"/>
  <c r="K2622" i="10"/>
  <c r="K2623" i="10"/>
  <c r="K2624" i="10"/>
  <c r="K2625" i="10"/>
  <c r="K2626" i="10"/>
  <c r="K2627" i="10"/>
  <c r="K2628" i="10"/>
  <c r="K2629" i="10"/>
  <c r="K2630" i="10"/>
  <c r="K2631" i="10"/>
  <c r="K2632" i="10"/>
  <c r="K2633" i="10"/>
  <c r="K2634" i="10"/>
  <c r="K2635" i="10"/>
  <c r="K2636" i="10"/>
  <c r="K2637" i="10"/>
  <c r="K2638" i="10"/>
  <c r="K2639" i="10"/>
  <c r="K2640" i="10"/>
  <c r="K2641" i="10"/>
  <c r="K2642" i="10"/>
  <c r="K2643" i="10"/>
  <c r="K2644" i="10"/>
  <c r="K2645" i="10"/>
  <c r="K2646" i="10"/>
  <c r="K2647" i="10"/>
  <c r="K2648" i="10"/>
  <c r="K2649" i="10"/>
  <c r="K2650" i="10"/>
  <c r="K2651" i="10"/>
  <c r="K2652" i="10"/>
  <c r="K2653" i="10"/>
  <c r="K2654" i="10"/>
  <c r="K2655" i="10"/>
  <c r="K2656" i="10"/>
  <c r="K2657" i="10"/>
  <c r="K2658" i="10"/>
  <c r="K2659" i="10"/>
  <c r="K2660" i="10"/>
  <c r="K2661" i="10"/>
  <c r="K2662" i="10"/>
  <c r="K2663" i="10"/>
  <c r="K2664" i="10"/>
  <c r="K2665" i="10"/>
  <c r="K2666" i="10"/>
  <c r="K2667" i="10"/>
  <c r="K2668" i="10"/>
  <c r="K2669" i="10"/>
  <c r="K2670" i="10"/>
  <c r="K2671" i="10"/>
  <c r="K2672" i="10"/>
  <c r="K2673" i="10"/>
  <c r="K2674" i="10"/>
  <c r="K2675" i="10"/>
  <c r="K2676" i="10"/>
  <c r="K2677" i="10"/>
  <c r="K2678" i="10"/>
  <c r="K2679" i="10"/>
  <c r="K2680" i="10"/>
  <c r="K2681" i="10"/>
  <c r="K2682" i="10"/>
  <c r="K2683" i="10"/>
  <c r="K2684" i="10"/>
  <c r="K2685" i="10"/>
  <c r="K2686" i="10"/>
  <c r="K2687" i="10"/>
  <c r="K2688" i="10"/>
  <c r="K2689" i="10"/>
  <c r="K2690" i="10"/>
  <c r="K2691" i="10"/>
  <c r="K2692" i="10"/>
  <c r="K2693" i="10"/>
  <c r="K2694" i="10"/>
  <c r="K2695" i="10"/>
  <c r="K2696" i="10"/>
  <c r="K2697" i="10"/>
  <c r="K2698" i="10"/>
  <c r="K2699" i="10"/>
  <c r="K2700" i="10"/>
  <c r="K2701" i="10"/>
  <c r="K2702" i="10"/>
  <c r="K2703" i="10"/>
  <c r="K2704" i="10"/>
  <c r="K2705" i="10"/>
  <c r="K2706" i="10"/>
  <c r="K2707" i="10"/>
  <c r="K2708" i="10"/>
  <c r="K2709" i="10"/>
  <c r="K2710" i="10"/>
  <c r="K2711" i="10"/>
  <c r="K2712" i="10"/>
  <c r="K2713" i="10"/>
  <c r="K2714" i="10"/>
  <c r="K2715" i="10"/>
  <c r="K2716" i="10"/>
  <c r="K2717" i="10"/>
  <c r="K2718" i="10"/>
  <c r="K2719" i="10"/>
  <c r="K2720" i="10"/>
  <c r="K2721" i="10"/>
  <c r="K2722" i="10"/>
  <c r="K2723" i="10"/>
  <c r="K2724" i="10"/>
  <c r="K2725" i="10"/>
  <c r="K2726" i="10"/>
  <c r="K2727" i="10"/>
  <c r="K2728" i="10"/>
  <c r="K2729" i="10"/>
  <c r="K2730" i="10"/>
  <c r="K2731" i="10"/>
  <c r="K2732" i="10"/>
  <c r="K2733" i="10"/>
  <c r="K2734" i="10"/>
  <c r="K2735" i="10"/>
  <c r="K2736" i="10"/>
  <c r="K2737" i="10"/>
  <c r="K2738" i="10"/>
  <c r="K2739" i="10"/>
  <c r="K2740" i="10"/>
  <c r="K2741" i="10"/>
  <c r="K2742" i="10"/>
  <c r="K2743" i="10"/>
  <c r="K2744" i="10"/>
  <c r="K2745" i="10"/>
  <c r="K2746" i="10"/>
  <c r="K2747" i="10"/>
  <c r="K2748" i="10"/>
  <c r="K2749" i="10"/>
  <c r="K2750" i="10"/>
  <c r="K2751" i="10"/>
  <c r="K2752" i="10"/>
  <c r="K2753" i="10"/>
  <c r="K2754" i="10"/>
  <c r="K2755" i="10"/>
  <c r="K2756" i="10"/>
  <c r="K2757" i="10"/>
  <c r="K2758" i="10"/>
  <c r="K2759" i="10"/>
  <c r="K2760" i="10"/>
  <c r="K2761" i="10"/>
  <c r="K2762" i="10"/>
  <c r="K2763" i="10"/>
  <c r="K2764" i="10"/>
  <c r="K2765" i="10"/>
  <c r="K2766" i="10"/>
  <c r="K2767" i="10"/>
  <c r="K2768" i="10"/>
  <c r="K2769" i="10"/>
  <c r="K2770" i="10"/>
  <c r="K2771" i="10"/>
  <c r="K2772" i="10"/>
  <c r="K2773" i="10"/>
  <c r="K2774" i="10"/>
  <c r="K2775" i="10"/>
  <c r="K2776" i="10"/>
  <c r="K2777" i="10"/>
  <c r="K2778" i="10"/>
  <c r="K2779" i="10"/>
  <c r="K2780" i="10"/>
  <c r="K2781" i="10"/>
  <c r="K2782" i="10"/>
  <c r="K2783" i="10"/>
  <c r="K2784" i="10"/>
  <c r="K2785" i="10"/>
  <c r="K2786" i="10"/>
  <c r="K2787" i="10"/>
  <c r="K2788" i="10"/>
  <c r="K2789" i="10"/>
  <c r="K2790" i="10"/>
  <c r="K2791" i="10"/>
  <c r="K2792" i="10"/>
  <c r="K2793" i="10"/>
  <c r="K2794" i="10"/>
  <c r="K2795" i="10"/>
  <c r="K2796" i="10"/>
  <c r="K2797" i="10"/>
  <c r="K2798" i="10"/>
  <c r="K2799" i="10"/>
  <c r="K2800" i="10"/>
  <c r="K2801" i="10"/>
  <c r="K2802" i="10"/>
  <c r="K2803" i="10"/>
  <c r="K2804" i="10"/>
  <c r="K2805" i="10"/>
  <c r="K2806" i="10"/>
  <c r="K2807" i="10"/>
  <c r="K2808" i="10"/>
  <c r="K2809" i="10"/>
  <c r="K2810" i="10"/>
  <c r="K2811" i="10"/>
  <c r="K2812" i="10"/>
  <c r="K2813" i="10"/>
  <c r="K2814" i="10"/>
  <c r="K2815" i="10"/>
  <c r="K2816" i="10"/>
  <c r="K2817" i="10"/>
  <c r="K2818" i="10"/>
  <c r="K2819" i="10"/>
  <c r="K2820" i="10"/>
  <c r="K2821" i="10"/>
  <c r="K2822" i="10"/>
  <c r="K2823" i="10"/>
  <c r="K2824" i="10"/>
  <c r="K2825" i="10"/>
  <c r="K2826" i="10"/>
  <c r="K2827" i="10"/>
  <c r="K2828" i="10"/>
  <c r="K2829" i="10"/>
  <c r="K2830" i="10"/>
  <c r="K2831" i="10"/>
  <c r="K2832" i="10"/>
  <c r="K2833" i="10"/>
  <c r="K2834" i="10"/>
  <c r="K2835" i="10"/>
  <c r="K2836" i="10"/>
  <c r="K2837" i="10"/>
  <c r="K2838" i="10"/>
  <c r="K2839" i="10"/>
  <c r="K2840" i="10"/>
  <c r="K2841" i="10"/>
  <c r="K2842" i="10"/>
  <c r="K2843" i="10"/>
  <c r="K2844" i="10"/>
  <c r="K2845" i="10"/>
  <c r="K2846" i="10"/>
  <c r="K2847" i="10"/>
  <c r="K2848" i="10"/>
  <c r="K2849" i="10"/>
  <c r="K2850" i="10"/>
  <c r="K2851" i="10"/>
  <c r="K2852" i="10"/>
  <c r="K2853" i="10"/>
  <c r="K2854" i="10"/>
  <c r="K2855" i="10"/>
  <c r="K2856" i="10"/>
  <c r="K2857" i="10"/>
  <c r="K2858" i="10"/>
  <c r="K2859" i="10"/>
  <c r="K2860" i="10"/>
  <c r="K2861" i="10"/>
  <c r="K2862" i="10"/>
  <c r="K2863" i="10"/>
  <c r="K2864" i="10"/>
  <c r="K2865" i="10"/>
  <c r="K2866" i="10"/>
  <c r="K2867" i="10"/>
  <c r="K2868" i="10"/>
  <c r="K2869" i="10"/>
  <c r="K2870" i="10"/>
  <c r="K2871" i="10"/>
  <c r="K2872" i="10"/>
  <c r="K2873" i="10"/>
  <c r="K2874" i="10"/>
  <c r="K2875" i="10"/>
  <c r="K2876" i="10"/>
  <c r="K2877" i="10"/>
  <c r="K2878" i="10"/>
  <c r="K2879" i="10"/>
  <c r="K2880" i="10"/>
  <c r="K2881" i="10"/>
  <c r="K2882" i="10"/>
  <c r="K2883" i="10"/>
  <c r="K2884" i="10"/>
  <c r="K2885" i="10"/>
  <c r="K2886" i="10"/>
  <c r="K2887" i="10"/>
  <c r="K2888" i="10"/>
  <c r="K2889" i="10"/>
  <c r="K2890" i="10"/>
  <c r="K2891" i="10"/>
  <c r="K2892" i="10"/>
  <c r="K2893" i="10"/>
  <c r="K2894" i="10"/>
  <c r="K2895" i="10"/>
  <c r="K2896" i="10"/>
  <c r="K2897" i="10"/>
  <c r="K2898" i="10"/>
  <c r="K2899" i="10"/>
  <c r="K2900" i="10"/>
  <c r="K2901" i="10"/>
  <c r="K2902" i="10"/>
  <c r="K2903" i="10"/>
  <c r="K2904" i="10"/>
  <c r="K2905" i="10"/>
  <c r="K2906" i="10"/>
  <c r="K2907" i="10"/>
  <c r="K2908" i="10"/>
  <c r="K2909" i="10"/>
  <c r="K2910" i="10"/>
  <c r="K2911" i="10"/>
  <c r="K2912" i="10"/>
  <c r="K2913" i="10"/>
  <c r="K2914" i="10"/>
  <c r="K2915" i="10"/>
  <c r="K2916" i="10"/>
  <c r="K2917" i="10"/>
  <c r="K2918" i="10"/>
  <c r="K2919" i="10"/>
  <c r="K2920" i="10"/>
  <c r="K2921" i="10"/>
  <c r="K2922" i="10"/>
  <c r="K2923" i="10"/>
  <c r="K2924" i="10"/>
  <c r="K2925" i="10"/>
  <c r="K2926" i="10"/>
  <c r="K2927" i="10"/>
  <c r="K2928" i="10"/>
  <c r="K2929" i="10"/>
  <c r="K2930" i="10"/>
  <c r="K2931" i="10"/>
  <c r="K2932" i="10"/>
  <c r="K2933" i="10"/>
  <c r="K2934" i="10"/>
  <c r="K2935" i="10"/>
  <c r="K2936" i="10"/>
  <c r="K2937" i="10"/>
  <c r="K2938" i="10"/>
  <c r="K2939" i="10"/>
  <c r="K2940" i="10"/>
  <c r="K2941" i="10"/>
  <c r="K2942" i="10"/>
  <c r="K2943" i="10"/>
  <c r="K2944" i="10"/>
  <c r="K2945" i="10"/>
  <c r="K2946" i="10"/>
  <c r="K2947" i="10"/>
  <c r="K2948" i="10"/>
  <c r="K2949" i="10"/>
  <c r="K2950" i="10"/>
  <c r="K2951" i="10"/>
  <c r="K2952" i="10"/>
  <c r="K2953" i="10"/>
  <c r="K2954" i="10"/>
  <c r="K2955" i="10"/>
  <c r="K2956" i="10"/>
  <c r="K2957" i="10"/>
  <c r="K2958" i="10"/>
  <c r="K2959" i="10"/>
  <c r="K2960" i="10"/>
  <c r="K2961" i="10"/>
  <c r="K2962" i="10"/>
  <c r="K2963" i="10"/>
  <c r="K2964" i="10"/>
  <c r="K2965" i="10"/>
  <c r="K2966" i="10"/>
  <c r="K2967" i="10"/>
  <c r="K2968" i="10"/>
  <c r="K2969" i="10"/>
  <c r="K2970" i="10"/>
  <c r="K2971" i="10"/>
  <c r="K2972" i="10"/>
  <c r="K2973" i="10"/>
  <c r="K2974" i="10"/>
  <c r="K2975" i="10"/>
  <c r="K2976" i="10"/>
  <c r="K2977" i="10"/>
  <c r="K2978" i="10"/>
  <c r="K2979" i="10"/>
  <c r="K2980" i="10"/>
  <c r="K2981" i="10"/>
  <c r="K2982" i="10"/>
  <c r="K2983" i="10"/>
  <c r="K2984" i="10"/>
  <c r="K2985" i="10"/>
  <c r="K2986" i="10"/>
  <c r="K2987" i="10"/>
  <c r="K2988" i="10"/>
  <c r="K2989" i="10"/>
  <c r="K2990" i="10"/>
  <c r="K2991" i="10"/>
  <c r="K2992" i="10"/>
  <c r="K2993" i="10"/>
  <c r="K2994" i="10"/>
  <c r="K2995" i="10"/>
  <c r="K2996" i="10"/>
  <c r="K2997" i="10"/>
  <c r="K2998" i="10"/>
  <c r="K2999" i="10"/>
  <c r="K3000" i="10"/>
  <c r="K3001" i="10"/>
  <c r="K3002" i="10"/>
  <c r="K3003" i="10"/>
  <c r="K3004" i="10"/>
  <c r="K3005" i="10"/>
  <c r="K3006" i="10"/>
  <c r="K3007" i="10"/>
  <c r="K3008" i="10"/>
  <c r="K3009" i="10"/>
  <c r="K3010" i="10"/>
  <c r="K3011" i="10"/>
  <c r="K3012" i="10"/>
  <c r="K3013" i="10"/>
  <c r="K3014" i="10"/>
  <c r="K3015" i="10"/>
  <c r="K3016" i="10"/>
  <c r="K3017" i="10"/>
  <c r="K3018" i="10"/>
  <c r="K3019" i="10"/>
  <c r="K3020" i="10"/>
  <c r="K3021" i="10"/>
  <c r="K3022" i="10"/>
  <c r="K3023" i="10"/>
  <c r="K3024" i="10"/>
  <c r="K3025" i="10"/>
  <c r="K3026" i="10"/>
  <c r="K3027" i="10"/>
  <c r="K3028" i="10"/>
  <c r="K3029" i="10"/>
  <c r="K3030" i="10"/>
  <c r="K3031" i="10"/>
  <c r="K3032" i="10"/>
  <c r="K3033" i="10"/>
  <c r="K3034" i="10"/>
  <c r="K3035" i="10"/>
  <c r="K3036" i="10"/>
  <c r="K3037" i="10"/>
  <c r="K3038" i="10"/>
  <c r="K3039" i="10"/>
  <c r="K3040" i="10"/>
  <c r="K3041" i="10"/>
  <c r="K3042" i="10"/>
  <c r="K3043" i="10"/>
  <c r="K3044" i="10"/>
  <c r="K3045" i="10"/>
  <c r="K3046" i="10"/>
  <c r="K3047" i="10"/>
  <c r="K3048" i="10"/>
  <c r="K3049" i="10"/>
  <c r="K3050" i="10"/>
  <c r="K3051" i="10"/>
  <c r="K3052" i="10"/>
  <c r="K3053" i="10"/>
  <c r="K3054" i="10"/>
  <c r="K3055" i="10"/>
  <c r="K3056" i="10"/>
  <c r="K3057" i="10"/>
  <c r="K3058" i="10"/>
  <c r="K3059" i="10"/>
  <c r="K3060" i="10"/>
  <c r="K3061" i="10"/>
  <c r="K3062" i="10"/>
  <c r="K3063" i="10"/>
  <c r="K3064" i="10"/>
  <c r="K3065" i="10"/>
  <c r="K3066" i="10"/>
  <c r="K3067" i="10"/>
  <c r="K3068" i="10"/>
  <c r="K3069" i="10"/>
  <c r="K3070" i="10"/>
  <c r="K3071" i="10"/>
  <c r="K3072" i="10"/>
  <c r="K3073" i="10"/>
  <c r="K3074" i="10"/>
  <c r="K3075" i="10"/>
  <c r="K3076" i="10"/>
  <c r="K3077" i="10"/>
  <c r="K3078" i="10"/>
  <c r="K3079" i="10"/>
  <c r="K3080" i="10"/>
  <c r="K3081" i="10"/>
  <c r="K3082" i="10"/>
  <c r="K3083" i="10"/>
  <c r="K3084" i="10"/>
  <c r="K3085" i="10"/>
  <c r="K3086" i="10"/>
  <c r="K3087" i="10"/>
  <c r="K3088" i="10"/>
  <c r="K3089" i="10"/>
  <c r="K3090" i="10"/>
  <c r="K3091" i="10"/>
  <c r="K3092" i="10"/>
  <c r="K3093" i="10"/>
  <c r="K3094" i="10"/>
  <c r="K3095" i="10"/>
  <c r="K3096" i="10"/>
  <c r="K3097" i="10"/>
  <c r="K3098" i="10"/>
  <c r="K3099" i="10"/>
  <c r="K3100" i="10"/>
  <c r="K3101" i="10"/>
  <c r="K3102" i="10"/>
  <c r="K3103" i="10"/>
  <c r="K3104" i="10"/>
  <c r="K3105" i="10"/>
  <c r="K3106" i="10"/>
  <c r="K3107" i="10"/>
  <c r="K3108" i="10"/>
  <c r="K3109" i="10"/>
  <c r="K3110" i="10"/>
  <c r="K3111" i="10"/>
  <c r="K3112" i="10"/>
  <c r="K3113" i="10"/>
  <c r="K3114" i="10"/>
  <c r="K3115" i="10"/>
  <c r="K3116" i="10"/>
  <c r="K3117" i="10"/>
  <c r="K3118" i="10"/>
  <c r="K3119" i="10"/>
  <c r="K3120" i="10"/>
  <c r="K3121" i="10"/>
  <c r="K3122" i="10"/>
  <c r="K3123" i="10"/>
  <c r="K3124" i="10"/>
  <c r="K3125" i="10"/>
  <c r="K3126" i="10"/>
  <c r="K3127" i="10"/>
  <c r="K3128" i="10"/>
  <c r="K3129" i="10"/>
  <c r="K3130" i="10"/>
  <c r="K3131" i="10"/>
  <c r="K3132" i="10"/>
  <c r="K3133" i="10"/>
  <c r="K3134" i="10"/>
  <c r="K3135" i="10"/>
  <c r="K3136" i="10"/>
  <c r="K3137" i="10"/>
  <c r="K3138" i="10"/>
  <c r="K3139" i="10"/>
  <c r="K3140" i="10"/>
  <c r="K3141" i="10"/>
  <c r="K3142" i="10"/>
  <c r="K3143" i="10"/>
  <c r="K3144" i="10"/>
  <c r="K3145" i="10"/>
  <c r="K3146" i="10"/>
  <c r="K3147" i="10"/>
  <c r="K3148" i="10"/>
  <c r="K3149" i="10"/>
  <c r="K3150" i="10"/>
  <c r="K3151" i="10"/>
  <c r="K3152" i="10"/>
  <c r="K3153" i="10"/>
  <c r="K3154" i="10"/>
  <c r="K3155" i="10"/>
  <c r="K3156" i="10"/>
  <c r="K3157" i="10"/>
  <c r="K3158" i="10"/>
  <c r="K3159" i="10"/>
  <c r="K3160" i="10"/>
  <c r="K3161" i="10"/>
  <c r="K3162" i="10"/>
  <c r="K3163" i="10"/>
  <c r="K3164" i="10"/>
  <c r="K3165" i="10"/>
  <c r="K3166" i="10"/>
  <c r="K3167" i="10"/>
  <c r="K3168" i="10"/>
  <c r="K3169" i="10"/>
  <c r="K3170" i="10"/>
  <c r="K3171" i="10"/>
  <c r="K3172" i="10"/>
  <c r="K3173" i="10"/>
  <c r="K3174" i="10"/>
  <c r="K3175" i="10"/>
  <c r="K3176" i="10"/>
  <c r="K3177" i="10"/>
  <c r="K3178" i="10"/>
  <c r="K3179" i="10"/>
  <c r="K3180" i="10"/>
  <c r="K3181" i="10"/>
  <c r="K3182" i="10"/>
  <c r="K3183" i="10"/>
  <c r="K3184" i="10"/>
  <c r="K3185" i="10"/>
  <c r="K3186" i="10"/>
  <c r="K3187" i="10"/>
  <c r="K3188" i="10"/>
  <c r="K3189" i="10"/>
  <c r="K3190" i="10"/>
  <c r="K3191" i="10"/>
  <c r="K3192" i="10"/>
  <c r="K3193" i="10"/>
  <c r="K3194" i="10"/>
  <c r="K3195" i="10"/>
  <c r="K3196" i="10"/>
  <c r="K3197" i="10"/>
  <c r="K3198" i="10"/>
  <c r="K3199" i="10"/>
  <c r="K3200" i="10"/>
  <c r="K3201" i="10"/>
  <c r="K3202" i="10"/>
  <c r="K3203" i="10"/>
  <c r="K3204" i="10"/>
  <c r="K3205" i="10"/>
  <c r="K3206" i="10"/>
  <c r="K3207" i="10"/>
  <c r="K3208" i="10"/>
  <c r="K3209" i="10"/>
  <c r="K3210" i="10"/>
  <c r="K3211" i="10"/>
  <c r="K3212" i="10"/>
  <c r="K3213" i="10"/>
  <c r="K3214" i="10"/>
  <c r="K3215" i="10"/>
  <c r="K3216" i="10"/>
  <c r="K3217" i="10"/>
  <c r="K3218" i="10"/>
  <c r="K3219" i="10"/>
  <c r="K3220" i="10"/>
  <c r="K3221" i="10"/>
  <c r="K3222" i="10"/>
  <c r="K3223" i="10"/>
  <c r="K3224" i="10"/>
  <c r="K3225" i="10"/>
  <c r="K3226" i="10"/>
  <c r="K3227" i="10"/>
  <c r="K3228" i="10"/>
  <c r="K3229" i="10"/>
  <c r="K3230" i="10"/>
  <c r="K3231" i="10"/>
  <c r="K3232" i="10"/>
  <c r="K3233" i="10"/>
  <c r="K3234" i="10"/>
  <c r="K3235" i="10"/>
  <c r="K3236" i="10"/>
  <c r="K3237" i="10"/>
  <c r="K3238" i="10"/>
  <c r="K3239" i="10"/>
  <c r="K3240" i="10"/>
  <c r="K3241" i="10"/>
  <c r="K3242" i="10"/>
  <c r="K3243" i="10"/>
  <c r="K3244" i="10"/>
  <c r="K3245" i="10"/>
  <c r="K3246" i="10"/>
  <c r="K3247" i="10"/>
  <c r="K3248" i="10"/>
  <c r="K3249" i="10"/>
  <c r="K3250" i="10"/>
  <c r="K3251" i="10"/>
  <c r="K3252" i="10"/>
  <c r="K3253" i="10"/>
  <c r="K3254" i="10"/>
  <c r="K3255" i="10"/>
  <c r="K3256" i="10"/>
  <c r="K3257" i="10"/>
  <c r="K3258" i="10"/>
  <c r="K3259" i="10"/>
  <c r="K3260" i="10"/>
  <c r="K3261" i="10"/>
  <c r="K3262" i="10"/>
  <c r="K3263" i="10"/>
  <c r="K3264" i="10"/>
  <c r="K3265" i="10"/>
  <c r="K3266" i="10"/>
  <c r="K3267" i="10"/>
  <c r="K3268" i="10"/>
  <c r="K3269" i="10"/>
  <c r="K3270" i="10"/>
  <c r="K3271" i="10"/>
  <c r="K3272" i="10"/>
  <c r="K3273" i="10"/>
  <c r="K3274" i="10"/>
  <c r="K3275" i="10"/>
  <c r="K3276" i="10"/>
  <c r="K3277" i="10"/>
  <c r="K3278" i="10"/>
  <c r="K3279" i="10"/>
  <c r="K3280" i="10"/>
  <c r="K3281" i="10"/>
  <c r="K3282" i="10"/>
  <c r="K3283" i="10"/>
  <c r="K3284" i="10"/>
  <c r="K3285" i="10"/>
  <c r="K3286" i="10"/>
  <c r="K3287" i="10"/>
  <c r="K3288" i="10"/>
  <c r="K3289" i="10"/>
  <c r="K3290" i="10"/>
  <c r="K3291" i="10"/>
  <c r="K3292" i="10"/>
  <c r="K3293" i="10"/>
  <c r="K3294" i="10"/>
  <c r="K3295" i="10"/>
  <c r="K3296" i="10"/>
  <c r="K3297" i="10"/>
  <c r="K3298" i="10"/>
  <c r="K3299" i="10"/>
  <c r="K3300" i="10"/>
  <c r="K3301" i="10"/>
  <c r="K3302" i="10"/>
  <c r="K3303" i="10"/>
  <c r="K3304" i="10"/>
  <c r="K3305" i="10"/>
  <c r="K3306" i="10"/>
  <c r="K3307" i="10"/>
  <c r="K3308" i="10"/>
  <c r="K3309" i="10"/>
  <c r="K3310" i="10"/>
  <c r="K3311" i="10"/>
  <c r="K3312" i="10"/>
  <c r="K3313" i="10"/>
  <c r="K3314" i="10"/>
  <c r="K3315" i="10"/>
  <c r="K3316" i="10"/>
  <c r="K3317" i="10"/>
  <c r="K3318" i="10"/>
  <c r="K3319" i="10"/>
  <c r="K3320" i="10"/>
  <c r="K3321" i="10"/>
  <c r="K3322" i="10"/>
  <c r="K3323" i="10"/>
  <c r="K3324" i="10"/>
  <c r="K3325" i="10"/>
  <c r="K3326" i="10"/>
  <c r="K3327" i="10"/>
  <c r="K3328" i="10"/>
  <c r="K3329" i="10"/>
  <c r="K3330" i="10"/>
  <c r="K3331" i="10"/>
  <c r="K3332" i="10"/>
  <c r="K3333" i="10"/>
  <c r="K3334" i="10"/>
  <c r="K3335" i="10"/>
  <c r="K3336" i="10"/>
  <c r="K3337" i="10"/>
  <c r="K3338" i="10"/>
  <c r="K3339" i="10"/>
  <c r="K3340" i="10"/>
  <c r="K3341" i="10"/>
  <c r="K3342" i="10"/>
  <c r="K3343" i="10"/>
  <c r="K3344" i="10"/>
  <c r="K3345" i="10"/>
  <c r="K3346" i="10"/>
  <c r="K3347" i="10"/>
  <c r="K3348" i="10"/>
  <c r="K3349" i="10"/>
  <c r="K3350" i="10"/>
  <c r="K3351" i="10"/>
  <c r="K3352" i="10"/>
  <c r="K3353" i="10"/>
  <c r="K3354" i="10"/>
  <c r="K3355" i="10"/>
  <c r="K3356" i="10"/>
  <c r="K3357" i="10"/>
  <c r="K3358" i="10"/>
  <c r="K3359" i="10"/>
  <c r="K3360" i="10"/>
  <c r="K3361" i="10"/>
  <c r="K3362" i="10"/>
  <c r="K3363" i="10"/>
  <c r="K3364" i="10"/>
  <c r="K3365" i="10"/>
  <c r="K3366" i="10"/>
  <c r="K3367" i="10"/>
  <c r="K3368" i="10"/>
  <c r="K3369" i="10"/>
  <c r="K3370" i="10"/>
  <c r="K3371" i="10"/>
  <c r="K3372" i="10"/>
  <c r="K3373" i="10"/>
  <c r="K3374" i="10"/>
  <c r="K3375" i="10"/>
  <c r="K3376" i="10"/>
  <c r="K3377" i="10"/>
  <c r="K3378" i="10"/>
  <c r="K3379" i="10"/>
  <c r="K3380" i="10"/>
  <c r="K3381" i="10"/>
  <c r="K3382" i="10"/>
  <c r="K3383" i="10"/>
  <c r="K3384" i="10"/>
  <c r="K3385" i="10"/>
  <c r="K3386" i="10"/>
  <c r="K3387" i="10"/>
  <c r="K3388" i="10"/>
  <c r="K3389" i="10"/>
  <c r="K3390" i="10"/>
  <c r="K3391" i="10"/>
  <c r="K3392" i="10"/>
  <c r="K3393" i="10"/>
  <c r="K3394" i="10"/>
  <c r="K3395" i="10"/>
  <c r="K3396" i="10"/>
  <c r="K3397" i="10"/>
  <c r="K3398" i="10"/>
  <c r="K3399" i="10"/>
  <c r="K3400" i="10"/>
  <c r="K3401" i="10"/>
  <c r="K3402" i="10"/>
  <c r="K3403" i="10"/>
  <c r="K3404" i="10"/>
  <c r="K3405" i="10"/>
  <c r="K3406" i="10"/>
  <c r="K3407" i="10"/>
  <c r="K3408" i="10"/>
  <c r="K3409" i="10"/>
  <c r="K3410" i="10"/>
  <c r="K3411" i="10"/>
  <c r="K3412" i="10"/>
  <c r="K3413" i="10"/>
  <c r="K3414" i="10"/>
  <c r="K3415" i="10"/>
  <c r="K3416" i="10"/>
  <c r="K3417" i="10"/>
  <c r="K3418" i="10"/>
  <c r="K3419" i="10"/>
  <c r="K3420" i="10"/>
  <c r="K3421" i="10"/>
  <c r="K3422" i="10"/>
  <c r="K3423" i="10"/>
  <c r="K3424" i="10"/>
  <c r="K3425" i="10"/>
  <c r="K3426" i="10"/>
  <c r="K3427" i="10"/>
  <c r="K3428" i="10"/>
  <c r="K3429" i="10"/>
  <c r="K3430" i="10"/>
  <c r="K3431" i="10"/>
  <c r="K3432" i="10"/>
  <c r="K3433" i="10"/>
  <c r="K3434" i="10"/>
  <c r="K3435" i="10"/>
  <c r="K3436" i="10"/>
  <c r="K3437" i="10"/>
  <c r="K3438" i="10"/>
  <c r="K3439" i="10"/>
  <c r="K3440" i="10"/>
  <c r="K3441" i="10"/>
  <c r="K3442" i="10"/>
  <c r="K3443" i="10"/>
  <c r="K3444" i="10"/>
  <c r="K3445" i="10"/>
  <c r="K3446" i="10"/>
  <c r="K3447" i="10"/>
  <c r="K3448" i="10"/>
  <c r="K3449" i="10"/>
  <c r="K3450" i="10"/>
  <c r="K3451" i="10"/>
  <c r="K3452" i="10"/>
  <c r="K3453" i="10"/>
  <c r="K3454" i="10"/>
  <c r="K3455" i="10"/>
  <c r="K3456" i="10"/>
  <c r="K3457" i="10"/>
  <c r="K3458" i="10"/>
  <c r="K3459" i="10"/>
  <c r="K3460" i="10"/>
  <c r="K3461" i="10"/>
  <c r="K3462" i="10"/>
  <c r="K3463" i="10"/>
  <c r="K3464" i="10"/>
  <c r="K3465" i="10"/>
  <c r="K3466" i="10"/>
  <c r="K3467" i="10"/>
  <c r="K3468" i="10"/>
  <c r="K3469" i="10"/>
  <c r="K3470" i="10"/>
  <c r="K3471" i="10"/>
  <c r="K3472" i="10"/>
  <c r="K3473" i="10"/>
  <c r="K3474" i="10"/>
  <c r="K3475" i="10"/>
  <c r="K3476" i="10"/>
  <c r="K3477" i="10"/>
  <c r="K3478" i="10"/>
  <c r="K3479" i="10"/>
  <c r="K3480" i="10"/>
  <c r="K3481" i="10"/>
  <c r="K3482" i="10"/>
  <c r="K3483" i="10"/>
  <c r="K3484" i="10"/>
  <c r="K3485" i="10"/>
  <c r="K3486" i="10"/>
  <c r="K3487" i="10"/>
  <c r="K3488" i="10"/>
  <c r="K3489" i="10"/>
  <c r="K3490" i="10"/>
  <c r="K3491" i="10"/>
  <c r="K3492" i="10"/>
  <c r="K3493" i="10"/>
  <c r="K3494" i="10"/>
  <c r="K3495" i="10"/>
  <c r="K3496" i="10"/>
  <c r="K3497" i="10"/>
  <c r="K3498" i="10"/>
  <c r="K3499" i="10"/>
  <c r="K3500" i="10"/>
  <c r="K3501" i="10"/>
  <c r="K3502" i="10"/>
  <c r="K3503" i="10"/>
  <c r="K3504" i="10"/>
  <c r="K3505" i="10"/>
  <c r="K3506" i="10"/>
  <c r="K3507" i="10"/>
  <c r="K3508" i="10"/>
  <c r="K3509" i="10"/>
  <c r="K3510" i="10"/>
  <c r="K3511" i="10"/>
  <c r="K3512" i="10"/>
  <c r="K3513" i="10"/>
  <c r="K3514" i="10"/>
  <c r="K3515" i="10"/>
  <c r="K3516" i="10"/>
  <c r="K3517" i="10"/>
  <c r="K3518" i="10"/>
  <c r="K3519" i="10"/>
  <c r="K3520" i="10"/>
  <c r="K3521" i="10"/>
  <c r="K3522" i="10"/>
  <c r="K3523" i="10"/>
  <c r="K3524" i="10"/>
  <c r="K3525" i="10"/>
  <c r="K3526" i="10"/>
  <c r="K3527" i="10"/>
  <c r="K3528" i="10"/>
  <c r="K3529" i="10"/>
  <c r="K3530" i="10"/>
  <c r="K3531" i="10"/>
  <c r="K3532" i="10"/>
  <c r="K3533" i="10"/>
  <c r="K3534" i="10"/>
  <c r="K3535" i="10"/>
  <c r="K3536" i="10"/>
  <c r="K3537" i="10"/>
  <c r="K3538" i="10"/>
  <c r="K3539" i="10"/>
  <c r="K3540" i="10"/>
  <c r="K3541" i="10"/>
  <c r="K3542" i="10"/>
  <c r="K3543" i="10"/>
  <c r="K3544" i="10"/>
  <c r="K3545" i="10"/>
  <c r="K3546" i="10"/>
  <c r="K3547" i="10"/>
  <c r="K3548" i="10"/>
  <c r="K3549" i="10"/>
  <c r="K3550" i="10"/>
  <c r="K3551" i="10"/>
  <c r="K3552" i="10"/>
  <c r="K3553" i="10"/>
  <c r="K3554" i="10"/>
  <c r="K3555" i="10"/>
  <c r="K3556" i="10"/>
  <c r="K3557" i="10"/>
  <c r="K3558" i="10"/>
  <c r="K3559" i="10"/>
  <c r="K3560" i="10"/>
  <c r="K3561" i="10"/>
  <c r="K3562" i="10"/>
  <c r="K3563" i="10"/>
  <c r="K3564" i="10"/>
  <c r="K3565" i="10"/>
  <c r="K3566" i="10"/>
  <c r="K3567" i="10"/>
  <c r="K3568" i="10"/>
  <c r="K3569" i="10"/>
  <c r="K3570" i="10"/>
  <c r="K3571" i="10"/>
  <c r="K3572" i="10"/>
  <c r="K3573" i="10"/>
  <c r="K3574" i="10"/>
  <c r="K3575" i="10"/>
  <c r="K3576" i="10"/>
  <c r="K3577" i="10"/>
  <c r="K3578" i="10"/>
  <c r="K3579" i="10"/>
  <c r="K3580" i="10"/>
  <c r="K3581" i="10"/>
  <c r="K3582" i="10"/>
  <c r="K3583" i="10"/>
  <c r="K3584" i="10"/>
  <c r="K3585" i="10"/>
  <c r="K3586" i="10"/>
  <c r="K3587" i="10"/>
  <c r="K3588" i="10"/>
  <c r="K3589" i="10"/>
  <c r="K3590" i="10"/>
  <c r="K3591" i="10"/>
  <c r="K3592" i="10"/>
  <c r="K3593" i="10"/>
  <c r="K3594" i="10"/>
  <c r="K3595" i="10"/>
  <c r="K3596" i="10"/>
  <c r="K3597" i="10"/>
  <c r="K3598" i="10"/>
  <c r="K3599" i="10"/>
  <c r="K3600" i="10"/>
  <c r="K3601" i="10"/>
  <c r="K3602" i="10"/>
  <c r="K3603" i="10"/>
  <c r="K3604" i="10"/>
  <c r="K3605" i="10"/>
  <c r="K3606" i="10"/>
  <c r="K3607" i="10"/>
  <c r="K3608" i="10"/>
  <c r="K3609" i="10"/>
  <c r="K3610" i="10"/>
  <c r="K3611" i="10"/>
  <c r="K3612" i="10"/>
  <c r="K3613" i="10"/>
  <c r="K3614" i="10"/>
  <c r="K3615" i="10"/>
  <c r="K3616" i="10"/>
  <c r="K3617" i="10"/>
  <c r="K3618" i="10"/>
  <c r="K3619" i="10"/>
  <c r="K3620" i="10"/>
  <c r="K3621" i="10"/>
  <c r="K3622" i="10"/>
  <c r="K3623" i="10"/>
  <c r="K3624" i="10"/>
  <c r="K3625" i="10"/>
  <c r="K3626" i="10"/>
  <c r="K3627" i="10"/>
  <c r="K3628" i="10"/>
  <c r="K3629" i="10"/>
  <c r="K3630" i="10"/>
  <c r="K3631" i="10"/>
  <c r="K3632" i="10"/>
  <c r="K3633" i="10"/>
  <c r="K3634" i="10"/>
  <c r="K3635" i="10"/>
  <c r="K3636" i="10"/>
  <c r="K3637" i="10"/>
  <c r="K3638" i="10"/>
  <c r="K3639" i="10"/>
  <c r="K3640" i="10"/>
  <c r="K3641" i="10"/>
  <c r="K3642" i="10"/>
  <c r="K3643" i="10"/>
  <c r="K3644" i="10"/>
  <c r="K3645" i="10"/>
  <c r="K3646" i="10"/>
  <c r="K3647" i="10"/>
  <c r="K3648" i="10"/>
  <c r="K3649" i="10"/>
  <c r="K3650" i="10"/>
  <c r="K3651" i="10"/>
  <c r="K3652" i="10"/>
  <c r="K3653" i="10"/>
  <c r="K3654" i="10"/>
  <c r="K3655" i="10"/>
  <c r="K3656" i="10"/>
  <c r="K3657" i="10"/>
  <c r="K3658" i="10"/>
  <c r="K3659" i="10"/>
  <c r="K3660" i="10"/>
  <c r="K3661" i="10"/>
  <c r="K3662" i="10"/>
  <c r="K3663" i="10"/>
  <c r="K3664" i="10"/>
  <c r="K3665" i="10"/>
  <c r="K3666" i="10"/>
  <c r="K3667" i="10"/>
  <c r="K3668" i="10"/>
  <c r="K3669" i="10"/>
  <c r="K3670" i="10"/>
  <c r="K3671" i="10"/>
  <c r="K3672" i="10"/>
  <c r="K3673" i="10"/>
  <c r="K3674" i="10"/>
  <c r="K3675" i="10"/>
  <c r="K3676" i="10"/>
  <c r="K3677" i="10"/>
  <c r="K3678" i="10"/>
  <c r="K3679" i="10"/>
  <c r="K3680" i="10"/>
  <c r="K3681" i="10"/>
  <c r="K3682" i="10"/>
  <c r="K3683" i="10"/>
  <c r="K3684" i="10"/>
  <c r="K3685" i="10"/>
  <c r="K3686" i="10"/>
  <c r="K3687" i="10"/>
  <c r="K3688" i="10"/>
  <c r="K3689" i="10"/>
  <c r="K3690" i="10"/>
  <c r="K3691" i="10"/>
  <c r="K3692" i="10"/>
  <c r="K3693" i="10"/>
  <c r="K3694" i="10"/>
  <c r="K3695" i="10"/>
  <c r="K3696" i="10"/>
  <c r="K3697" i="10"/>
  <c r="K3698" i="10"/>
  <c r="K3699" i="10"/>
  <c r="K3700" i="10"/>
  <c r="K3701" i="10"/>
  <c r="K3702" i="10"/>
  <c r="K3703" i="10"/>
  <c r="K3704" i="10"/>
  <c r="K3705" i="10"/>
  <c r="K3706" i="10"/>
  <c r="K3707" i="10"/>
  <c r="K3708" i="10"/>
  <c r="K3709" i="10"/>
  <c r="K3710" i="10"/>
  <c r="K3711" i="10"/>
  <c r="K3712" i="10"/>
  <c r="K3713" i="10"/>
  <c r="K3714" i="10"/>
  <c r="K3715" i="10"/>
  <c r="K3716" i="10"/>
  <c r="K3717" i="10"/>
  <c r="K3718" i="10"/>
  <c r="K3719" i="10"/>
  <c r="K3720" i="10"/>
  <c r="K3721" i="10"/>
  <c r="K3722" i="10"/>
  <c r="K3723" i="10"/>
  <c r="K3724" i="10"/>
  <c r="K3725" i="10"/>
  <c r="K3726" i="10"/>
  <c r="K3727" i="10"/>
  <c r="K3728" i="10"/>
  <c r="K3729" i="10"/>
  <c r="K3730" i="10"/>
  <c r="K3731" i="10"/>
  <c r="K3732" i="10"/>
  <c r="K3733" i="10"/>
  <c r="K3734" i="10"/>
  <c r="K3735" i="10"/>
  <c r="K3736" i="10"/>
  <c r="K3737" i="10"/>
  <c r="K3738" i="10"/>
  <c r="K3739" i="10"/>
  <c r="K3740" i="10"/>
  <c r="K3741" i="10"/>
  <c r="K3742" i="10"/>
  <c r="K3743" i="10"/>
  <c r="K3744" i="10"/>
  <c r="K3745" i="10"/>
  <c r="K3746" i="10"/>
  <c r="K3747" i="10"/>
  <c r="K3748" i="10"/>
  <c r="K3749" i="10"/>
  <c r="K3750" i="10"/>
  <c r="K3751" i="10"/>
  <c r="K3752" i="10"/>
  <c r="K3753" i="10"/>
  <c r="K3754" i="10"/>
  <c r="K3755" i="10"/>
  <c r="K3756" i="10"/>
  <c r="K3757" i="10"/>
  <c r="K3758" i="10"/>
  <c r="K3759" i="10"/>
  <c r="K3760" i="10"/>
  <c r="K3761" i="10"/>
  <c r="K3762" i="10"/>
  <c r="K3763" i="10"/>
  <c r="K3764" i="10"/>
  <c r="K3765" i="10"/>
  <c r="K3766" i="10"/>
  <c r="K3767" i="10"/>
  <c r="K3768" i="10"/>
  <c r="K3769" i="10"/>
  <c r="K3770" i="10"/>
  <c r="K3771" i="10"/>
  <c r="K3772" i="10"/>
  <c r="K3773" i="10"/>
  <c r="K3774" i="10"/>
  <c r="K3775" i="10"/>
  <c r="K3776" i="10"/>
  <c r="K3777" i="10"/>
  <c r="K3778" i="10"/>
  <c r="K3779" i="10"/>
  <c r="K3780" i="10"/>
  <c r="K3781" i="10"/>
  <c r="K3782" i="10"/>
  <c r="K3783" i="10"/>
  <c r="K3784" i="10"/>
  <c r="K3785" i="10"/>
  <c r="K3786" i="10"/>
  <c r="K3787" i="10"/>
  <c r="K3788" i="10"/>
  <c r="K3789" i="10"/>
  <c r="K3790" i="10"/>
  <c r="K3791" i="10"/>
  <c r="K3792" i="10"/>
  <c r="K3793" i="10"/>
  <c r="K3794" i="10"/>
  <c r="K3795" i="10"/>
  <c r="K3796" i="10"/>
  <c r="K3797" i="10"/>
  <c r="K3798" i="10"/>
  <c r="K3799" i="10"/>
  <c r="K3800" i="10"/>
  <c r="K3801" i="10"/>
  <c r="K3802" i="10"/>
  <c r="K3803" i="10"/>
  <c r="K3804" i="10"/>
  <c r="K3805" i="10"/>
  <c r="K3806" i="10"/>
  <c r="K3807" i="10"/>
  <c r="K3808" i="10"/>
  <c r="K3809" i="10"/>
  <c r="K3810" i="10"/>
  <c r="K3811" i="10"/>
  <c r="K3812" i="10"/>
  <c r="K3813" i="10"/>
  <c r="K3814" i="10"/>
  <c r="K3815" i="10"/>
  <c r="K3816" i="10"/>
  <c r="K3817" i="10"/>
  <c r="K3818" i="10"/>
  <c r="K3819" i="10"/>
  <c r="K3820" i="10"/>
  <c r="K3821" i="10"/>
  <c r="K3822" i="10"/>
  <c r="K3823" i="10"/>
  <c r="K3824" i="10"/>
  <c r="K3825" i="10"/>
  <c r="K3826" i="10"/>
  <c r="K3827" i="10"/>
  <c r="K3828" i="10"/>
  <c r="K3829" i="10"/>
  <c r="K3830" i="10"/>
  <c r="K3831" i="10"/>
  <c r="K3832" i="10"/>
  <c r="K3833" i="10"/>
  <c r="K3834" i="10"/>
  <c r="K3835" i="10"/>
  <c r="K3836" i="10"/>
  <c r="K3837" i="10"/>
  <c r="K3838" i="10"/>
  <c r="K3839" i="10"/>
  <c r="K3840" i="10"/>
  <c r="K3841" i="10"/>
  <c r="K3842" i="10"/>
  <c r="K3843" i="10"/>
  <c r="K3844" i="10"/>
  <c r="K3845" i="10"/>
  <c r="K3846" i="10"/>
  <c r="K3847" i="10"/>
  <c r="K3848" i="10"/>
  <c r="K3849" i="10"/>
  <c r="K3850" i="10"/>
  <c r="K3851" i="10"/>
  <c r="K3852" i="10"/>
  <c r="K3853" i="10"/>
  <c r="K3854" i="10"/>
  <c r="K3855" i="10"/>
  <c r="K3856" i="10"/>
  <c r="K3857" i="10"/>
  <c r="K3858" i="10"/>
  <c r="K3859" i="10"/>
  <c r="K3860" i="10"/>
  <c r="K3861" i="10"/>
  <c r="K3862" i="10"/>
  <c r="K3863" i="10"/>
  <c r="K3864" i="10"/>
  <c r="K3865" i="10"/>
  <c r="K3866" i="10"/>
  <c r="K3867" i="10"/>
  <c r="K3868" i="10"/>
  <c r="K3869" i="10"/>
  <c r="K3870" i="10"/>
  <c r="K3871" i="10"/>
  <c r="K3872" i="10"/>
  <c r="K3873" i="10"/>
  <c r="K3874" i="10"/>
  <c r="K3875" i="10"/>
  <c r="K3876" i="10"/>
  <c r="K3877" i="10"/>
  <c r="K3878" i="10"/>
  <c r="K3879" i="10"/>
  <c r="K3880" i="10"/>
  <c r="K3881" i="10"/>
  <c r="K3882" i="10"/>
  <c r="K3883" i="10"/>
  <c r="K3884" i="10"/>
  <c r="K3885" i="10"/>
  <c r="K3886" i="10"/>
  <c r="K3887" i="10"/>
  <c r="K3888" i="10"/>
  <c r="K3889" i="10"/>
  <c r="K3890" i="10"/>
  <c r="K3891" i="10"/>
  <c r="K3892" i="10"/>
  <c r="K3893" i="10"/>
  <c r="K3894" i="10"/>
  <c r="K3895" i="10"/>
  <c r="K3896" i="10"/>
  <c r="K3897" i="10"/>
  <c r="K3898" i="10"/>
  <c r="K3899" i="10"/>
  <c r="K3900" i="10"/>
  <c r="K3901" i="10"/>
  <c r="K3902" i="10"/>
  <c r="K3903" i="10"/>
  <c r="K3904" i="10"/>
  <c r="K3905" i="10"/>
  <c r="K3906" i="10"/>
  <c r="K3907" i="10"/>
  <c r="K3908" i="10"/>
  <c r="K3909" i="10"/>
  <c r="K3910" i="10"/>
  <c r="K3911" i="10"/>
  <c r="K3912" i="10"/>
  <c r="K3913" i="10"/>
  <c r="K3914" i="10"/>
  <c r="K3915" i="10"/>
  <c r="K3916" i="10"/>
  <c r="K3917" i="10"/>
  <c r="K3918" i="10"/>
  <c r="K3919" i="10"/>
  <c r="K3920" i="10"/>
  <c r="K3921" i="10"/>
  <c r="K3922" i="10"/>
  <c r="K3923" i="10"/>
  <c r="K3924" i="10"/>
  <c r="K3925" i="10"/>
  <c r="K3926" i="10"/>
  <c r="K3927" i="10"/>
  <c r="K3928" i="10"/>
  <c r="K3929" i="10"/>
  <c r="K3930" i="10"/>
  <c r="K3931" i="10"/>
  <c r="K3932" i="10"/>
  <c r="K3933" i="10"/>
  <c r="K3934" i="10"/>
  <c r="K3935" i="10"/>
  <c r="K3936" i="10"/>
  <c r="K3937" i="10"/>
  <c r="K3938" i="10"/>
  <c r="K3939" i="10"/>
  <c r="K3940" i="10"/>
  <c r="K3941" i="10"/>
  <c r="K3942" i="10"/>
  <c r="K3943" i="10"/>
  <c r="K3944" i="10"/>
  <c r="K3945" i="10"/>
  <c r="K3946" i="10"/>
  <c r="K3947" i="10"/>
  <c r="K3948" i="10"/>
  <c r="K3949" i="10"/>
  <c r="K3950" i="10"/>
  <c r="K3951" i="10"/>
  <c r="K3952" i="10"/>
  <c r="K3953" i="10"/>
  <c r="K3954" i="10"/>
  <c r="K3955" i="10"/>
  <c r="K3956" i="10"/>
  <c r="K3957" i="10"/>
  <c r="K3958" i="10"/>
  <c r="K3959" i="10"/>
  <c r="K3960" i="10"/>
  <c r="K3961" i="10"/>
  <c r="K3962" i="10"/>
  <c r="K3963" i="10"/>
  <c r="K3964" i="10"/>
  <c r="K3965" i="10"/>
  <c r="K3966" i="10"/>
  <c r="K3967" i="10"/>
  <c r="K3968" i="10"/>
  <c r="K3969" i="10"/>
  <c r="K3970" i="10"/>
  <c r="K3971" i="10"/>
  <c r="K3972" i="10"/>
  <c r="K3973" i="10"/>
  <c r="K3974" i="10"/>
  <c r="K3975" i="10"/>
  <c r="K3976" i="10"/>
  <c r="K3977" i="10"/>
  <c r="K3978" i="10"/>
  <c r="K3979" i="10"/>
  <c r="K3980" i="10"/>
  <c r="K3981" i="10"/>
  <c r="K3982" i="10"/>
  <c r="K3983" i="10"/>
  <c r="K3984" i="10"/>
  <c r="K3985" i="10"/>
  <c r="K3986" i="10"/>
  <c r="K3987" i="10"/>
  <c r="K3988" i="10"/>
  <c r="K3989" i="10"/>
  <c r="K3990" i="10"/>
  <c r="K3991" i="10"/>
  <c r="K3992" i="10"/>
  <c r="K3993" i="10"/>
  <c r="K3994" i="10"/>
  <c r="K3995" i="10"/>
  <c r="K3996" i="10"/>
  <c r="K3997" i="10"/>
  <c r="K3998" i="10"/>
  <c r="K3999" i="10"/>
  <c r="K4000" i="10"/>
  <c r="K4001" i="10"/>
  <c r="K4002" i="10"/>
  <c r="K4003" i="10"/>
  <c r="K4004" i="10"/>
  <c r="K4005" i="10"/>
  <c r="K4006" i="10"/>
  <c r="K4007" i="10"/>
  <c r="K4008" i="10"/>
  <c r="K4009" i="10"/>
  <c r="K4010" i="10"/>
  <c r="K4011" i="10"/>
  <c r="K4012" i="10"/>
  <c r="K4013" i="10"/>
  <c r="K4014" i="10"/>
  <c r="K4015" i="10"/>
  <c r="K4016" i="10"/>
  <c r="K4017" i="10"/>
  <c r="K4018" i="10"/>
  <c r="K4019" i="10"/>
  <c r="K4020" i="10"/>
  <c r="K4021" i="10"/>
  <c r="K4022" i="10"/>
  <c r="K4023" i="10"/>
  <c r="K4024" i="10"/>
  <c r="K4025" i="10"/>
  <c r="K4026" i="10"/>
  <c r="K4027" i="10"/>
  <c r="K4028" i="10"/>
  <c r="K4029" i="10"/>
  <c r="K4030" i="10"/>
  <c r="K4031" i="10"/>
  <c r="K4032" i="10"/>
  <c r="K4033" i="10"/>
  <c r="K4034" i="10"/>
  <c r="K4035" i="10"/>
  <c r="K4036" i="10"/>
  <c r="K4037" i="10"/>
  <c r="K4038" i="10"/>
  <c r="K4039" i="10"/>
  <c r="K4040" i="10"/>
  <c r="K4041" i="10"/>
  <c r="K4042" i="10"/>
  <c r="K4043" i="10"/>
  <c r="K4044" i="10"/>
  <c r="K4045" i="10"/>
  <c r="K4046" i="10"/>
  <c r="K4047" i="10"/>
  <c r="K4048" i="10"/>
  <c r="K4049" i="10"/>
  <c r="K4050" i="10"/>
  <c r="K4051" i="10"/>
  <c r="K4052" i="10"/>
  <c r="K4053" i="10"/>
  <c r="K4054" i="10"/>
  <c r="K4055" i="10"/>
  <c r="K4056" i="10"/>
  <c r="K4057" i="10"/>
  <c r="K4058" i="10"/>
  <c r="K4059" i="10"/>
  <c r="K4060" i="10"/>
  <c r="K4061" i="10"/>
  <c r="K4062" i="10"/>
  <c r="K4063" i="10"/>
  <c r="K4064" i="10"/>
  <c r="K4065" i="10"/>
  <c r="K4066" i="10"/>
  <c r="K4067" i="10"/>
  <c r="K4068" i="10"/>
  <c r="K4069" i="10"/>
  <c r="K4070" i="10"/>
  <c r="K4071" i="10"/>
  <c r="K4072" i="10"/>
  <c r="K4073" i="10"/>
  <c r="K4074" i="10"/>
  <c r="K4075" i="10"/>
  <c r="K4076" i="10"/>
  <c r="K4077" i="10"/>
  <c r="K4078" i="10"/>
  <c r="K4079" i="10"/>
  <c r="K4080" i="10"/>
  <c r="K4081" i="10"/>
  <c r="K4082" i="10"/>
  <c r="K4083" i="10"/>
  <c r="K4084" i="10"/>
  <c r="K4085" i="10"/>
  <c r="K4086" i="10"/>
  <c r="K4087" i="10"/>
  <c r="K4088" i="10"/>
  <c r="K4089" i="10"/>
  <c r="K4090" i="10"/>
  <c r="K4091" i="10"/>
  <c r="K4092" i="10"/>
  <c r="K4093" i="10"/>
  <c r="K4094" i="10"/>
  <c r="K4095" i="10"/>
  <c r="K4096" i="10"/>
  <c r="K4097" i="10"/>
  <c r="K4098" i="10"/>
  <c r="K4099" i="10"/>
  <c r="K4100" i="10"/>
  <c r="K4101" i="10"/>
  <c r="K4102" i="10"/>
  <c r="K4103" i="10"/>
  <c r="K4104" i="10"/>
  <c r="K4105" i="10"/>
  <c r="K4106" i="10"/>
  <c r="K4107" i="10"/>
  <c r="K4108" i="10"/>
  <c r="K4109" i="10"/>
  <c r="K4110" i="10"/>
  <c r="K4111" i="10"/>
  <c r="K4112" i="10"/>
  <c r="K4113" i="10"/>
  <c r="K4114" i="10"/>
  <c r="K4115" i="10"/>
  <c r="K4116" i="10"/>
  <c r="K4117" i="10"/>
  <c r="K4118" i="10"/>
  <c r="K4119" i="10"/>
  <c r="K4120" i="10"/>
  <c r="K4121" i="10"/>
  <c r="K4122" i="10"/>
  <c r="K4123" i="10"/>
  <c r="K4124" i="10"/>
  <c r="K4125" i="10"/>
  <c r="K4126" i="10"/>
  <c r="K4127" i="10"/>
  <c r="K4128" i="10"/>
  <c r="K4129" i="10"/>
  <c r="K4130" i="10"/>
  <c r="K4131" i="10"/>
  <c r="K4132" i="10"/>
  <c r="K4133" i="10"/>
  <c r="K4134" i="10"/>
  <c r="K4135" i="10"/>
  <c r="K4136" i="10"/>
  <c r="K4137" i="10"/>
  <c r="K4138" i="10"/>
  <c r="K4139" i="10"/>
  <c r="K4140" i="10"/>
  <c r="K4141" i="10"/>
  <c r="K4142" i="10"/>
  <c r="K4143" i="10"/>
  <c r="K4144" i="10"/>
  <c r="K4145" i="10"/>
  <c r="K4146" i="10"/>
  <c r="K4147" i="10"/>
  <c r="K4148" i="10"/>
  <c r="K4149" i="10"/>
  <c r="K4150" i="10"/>
  <c r="K4151" i="10"/>
  <c r="K4152" i="10"/>
  <c r="K4153" i="10"/>
  <c r="K4154" i="10"/>
  <c r="K4155" i="10"/>
  <c r="K4156" i="10"/>
  <c r="K4157" i="10"/>
  <c r="K4158" i="10"/>
  <c r="K4159" i="10"/>
  <c r="K4160" i="10"/>
  <c r="K4161" i="10"/>
  <c r="K4162" i="10"/>
  <c r="K4163" i="10"/>
  <c r="K4164" i="10"/>
  <c r="K4165" i="10"/>
  <c r="K4166" i="10"/>
  <c r="K4167" i="10"/>
  <c r="K4168" i="10"/>
  <c r="K4169" i="10"/>
  <c r="K4170" i="10"/>
  <c r="K4171" i="10"/>
  <c r="K4172" i="10"/>
  <c r="K4173" i="10"/>
  <c r="K4174" i="10"/>
  <c r="K4175" i="10"/>
  <c r="K4176" i="10"/>
  <c r="K4177" i="10"/>
  <c r="K4178" i="10"/>
  <c r="K4179" i="10"/>
  <c r="K4180" i="10"/>
  <c r="K4181" i="10"/>
  <c r="K4182" i="10"/>
  <c r="K4183" i="10"/>
  <c r="K4184" i="10"/>
  <c r="K4185" i="10"/>
  <c r="K4186" i="10"/>
  <c r="K4187" i="10"/>
  <c r="K4188" i="10"/>
  <c r="K4189" i="10"/>
  <c r="K4190" i="10"/>
  <c r="K4191" i="10"/>
  <c r="K4192" i="10"/>
  <c r="K4193" i="10"/>
  <c r="K4194" i="10"/>
  <c r="K4195" i="10"/>
  <c r="K4196" i="10"/>
  <c r="K4197" i="10"/>
  <c r="K4198" i="10"/>
  <c r="K4199" i="10"/>
  <c r="K4200" i="10"/>
  <c r="K4201" i="10"/>
  <c r="K4202" i="10"/>
  <c r="K4203" i="10"/>
  <c r="K4204" i="10"/>
  <c r="K4205" i="10"/>
  <c r="K4206" i="10"/>
  <c r="K4207" i="10"/>
  <c r="K4208" i="10"/>
  <c r="K4209" i="10"/>
  <c r="K4210" i="10"/>
  <c r="K4211" i="10"/>
  <c r="K4212" i="10"/>
  <c r="K4213" i="10"/>
  <c r="K4214" i="10"/>
  <c r="K4215" i="10"/>
  <c r="K4216" i="10"/>
  <c r="K4217" i="10"/>
  <c r="K4218" i="10"/>
  <c r="K4219" i="10"/>
  <c r="K4220" i="10"/>
  <c r="K4221" i="10"/>
  <c r="K4222" i="10"/>
  <c r="K4223" i="10"/>
  <c r="K4224" i="10"/>
  <c r="K4225" i="10"/>
  <c r="K4226" i="10"/>
  <c r="K4227" i="10"/>
  <c r="K4228" i="10"/>
  <c r="K4229" i="10"/>
  <c r="K4230" i="10"/>
  <c r="K4231" i="10"/>
  <c r="K4232" i="10"/>
  <c r="K4233" i="10"/>
  <c r="K4234" i="10"/>
  <c r="K4235" i="10"/>
  <c r="K4236" i="10"/>
  <c r="K4237" i="10"/>
  <c r="K4238" i="10"/>
  <c r="K4239" i="10"/>
  <c r="K4240" i="10"/>
  <c r="K4241" i="10"/>
  <c r="K4242" i="10"/>
  <c r="K4243" i="10"/>
  <c r="K4244" i="10"/>
  <c r="K4245" i="10"/>
  <c r="K4246" i="10"/>
  <c r="K4247" i="10"/>
  <c r="K4248" i="10"/>
  <c r="K4249" i="10"/>
  <c r="K4250" i="10"/>
  <c r="K4251" i="10"/>
  <c r="K4252" i="10"/>
  <c r="K4253" i="10"/>
  <c r="K4254" i="10"/>
  <c r="K4255" i="10"/>
  <c r="K4256" i="10"/>
  <c r="K4257" i="10"/>
  <c r="K4258" i="10"/>
  <c r="K4259" i="10"/>
  <c r="K4260" i="10"/>
  <c r="K4261" i="10"/>
  <c r="K4262" i="10"/>
  <c r="K4263" i="10"/>
  <c r="K4264" i="10"/>
  <c r="K4265" i="10"/>
  <c r="K4266" i="10"/>
  <c r="K4267" i="10"/>
  <c r="K4268" i="10"/>
  <c r="K4269" i="10"/>
  <c r="K4270" i="10"/>
  <c r="K4271" i="10"/>
  <c r="K4272" i="10"/>
  <c r="K4273" i="10"/>
  <c r="K4274" i="10"/>
  <c r="K4275" i="10"/>
  <c r="K4276" i="10"/>
  <c r="K4277" i="10"/>
  <c r="K4278" i="10"/>
  <c r="K4279" i="10"/>
  <c r="K4280" i="10"/>
  <c r="K4281" i="10"/>
  <c r="K4282" i="10"/>
  <c r="K4283" i="10"/>
  <c r="K4284" i="10"/>
  <c r="K4285" i="10"/>
  <c r="K4286" i="10"/>
  <c r="K4287" i="10"/>
  <c r="K4288" i="10"/>
  <c r="K4289" i="10"/>
  <c r="K4290" i="10"/>
  <c r="K4291" i="10"/>
  <c r="K4292" i="10"/>
  <c r="K4293" i="10"/>
  <c r="K4294" i="10"/>
  <c r="K4295" i="10"/>
  <c r="K4296" i="10"/>
  <c r="K4297" i="10"/>
  <c r="K4298" i="10"/>
  <c r="K4299" i="10"/>
  <c r="K4300" i="10"/>
  <c r="K4301" i="10"/>
  <c r="K4302" i="10"/>
  <c r="K4303" i="10"/>
  <c r="K4304" i="10"/>
  <c r="K4305" i="10"/>
  <c r="K4306" i="10"/>
  <c r="K4307" i="10"/>
  <c r="K4308" i="10"/>
  <c r="K4309" i="10"/>
  <c r="K4310" i="10"/>
  <c r="K4311" i="10"/>
  <c r="K4312" i="10"/>
  <c r="K4313" i="10"/>
  <c r="K4314" i="10"/>
  <c r="K4315" i="10"/>
  <c r="K4316" i="10"/>
  <c r="K4317" i="10"/>
  <c r="K4318" i="10"/>
  <c r="K4319" i="10"/>
  <c r="K4320" i="10"/>
  <c r="K4321" i="10"/>
  <c r="K4322" i="10"/>
  <c r="K4323" i="10"/>
  <c r="K4324" i="10"/>
  <c r="K4325" i="10"/>
  <c r="K4326" i="10"/>
  <c r="K4327" i="10"/>
  <c r="K4328" i="10"/>
  <c r="K4329" i="10"/>
  <c r="K4330" i="10"/>
  <c r="K4331" i="10"/>
  <c r="K4332" i="10"/>
  <c r="K4333" i="10"/>
  <c r="K4334" i="10"/>
  <c r="K4335" i="10"/>
  <c r="K4336" i="10"/>
  <c r="K4337" i="10"/>
  <c r="K4338" i="10"/>
  <c r="K4339" i="10"/>
  <c r="K4340" i="10"/>
  <c r="K4341" i="10"/>
  <c r="K4342" i="10"/>
  <c r="K4343" i="10"/>
  <c r="K4344" i="10"/>
  <c r="K4345" i="10"/>
  <c r="K4346" i="10"/>
  <c r="K4347" i="10"/>
  <c r="K4348" i="10"/>
  <c r="K4349" i="10"/>
  <c r="K4350" i="10"/>
  <c r="K4351" i="10"/>
  <c r="K4352" i="10"/>
  <c r="K4353" i="10"/>
  <c r="K4354" i="10"/>
  <c r="K4355" i="10"/>
  <c r="K4356" i="10"/>
  <c r="K4357" i="10"/>
  <c r="K4358" i="10"/>
  <c r="K4359" i="10"/>
  <c r="K4360" i="10"/>
  <c r="K4361" i="10"/>
  <c r="K4362" i="10"/>
  <c r="K4363" i="10"/>
  <c r="K4364" i="10"/>
  <c r="K4365" i="10"/>
  <c r="K4366" i="10"/>
  <c r="K4367" i="10"/>
  <c r="K4368" i="10"/>
  <c r="K4369" i="10"/>
  <c r="K4370" i="10"/>
  <c r="K4371" i="10"/>
  <c r="K4372" i="10"/>
  <c r="K4373" i="10"/>
  <c r="K4374" i="10"/>
  <c r="K4375" i="10"/>
  <c r="K4376" i="10"/>
  <c r="K4377" i="10"/>
  <c r="K4378" i="10"/>
  <c r="K4379" i="10"/>
  <c r="K4380" i="10"/>
  <c r="K4381" i="10"/>
  <c r="K4382" i="10"/>
  <c r="K4383" i="10"/>
  <c r="K4384" i="10"/>
  <c r="K4385" i="10"/>
  <c r="K4386" i="10"/>
  <c r="K4387" i="10"/>
  <c r="K4388" i="10"/>
  <c r="K4389" i="10"/>
  <c r="K4390" i="10"/>
  <c r="K4391" i="10"/>
  <c r="K4392" i="10"/>
  <c r="K4393" i="10"/>
  <c r="K4394" i="10"/>
  <c r="K4395" i="10"/>
  <c r="K4396" i="10"/>
  <c r="K4397" i="10"/>
  <c r="K4398" i="10"/>
  <c r="K4399" i="10"/>
  <c r="K4400" i="10"/>
  <c r="K4401" i="10"/>
  <c r="K4402" i="10"/>
  <c r="K4403" i="10"/>
  <c r="K4404" i="10"/>
  <c r="K4405" i="10"/>
  <c r="K4406" i="10"/>
  <c r="K4407" i="10"/>
  <c r="K4408" i="10"/>
  <c r="K4409" i="10"/>
  <c r="K4410" i="10"/>
  <c r="K4411" i="10"/>
  <c r="K4412" i="10"/>
  <c r="K4413" i="10"/>
  <c r="K4414" i="10"/>
  <c r="K4415" i="10"/>
  <c r="K4416" i="10"/>
  <c r="K4417" i="10"/>
  <c r="K4418" i="10"/>
  <c r="K4419" i="10"/>
  <c r="K4420" i="10"/>
  <c r="K4421" i="10"/>
  <c r="K4422" i="10"/>
  <c r="K4423" i="10"/>
  <c r="K4424" i="10"/>
  <c r="K4425" i="10"/>
  <c r="K4426" i="10"/>
  <c r="K4427" i="10"/>
  <c r="K4428" i="10"/>
  <c r="K4429" i="10"/>
  <c r="K4430" i="10"/>
  <c r="K4431" i="10"/>
  <c r="K4432" i="10"/>
  <c r="K4433" i="10"/>
  <c r="K4434" i="10"/>
  <c r="K4435" i="10"/>
  <c r="K4436" i="10"/>
  <c r="K4437" i="10"/>
  <c r="K4438" i="10"/>
  <c r="K4439" i="10"/>
  <c r="K4440" i="10"/>
  <c r="K4441" i="10"/>
  <c r="K4442" i="10"/>
  <c r="K4443" i="10"/>
  <c r="K4444" i="10"/>
  <c r="K4445" i="10"/>
  <c r="K4446" i="10"/>
  <c r="K4447" i="10"/>
  <c r="K4448" i="10"/>
  <c r="K4449" i="10"/>
  <c r="K4450" i="10"/>
  <c r="K4451" i="10"/>
  <c r="K4452" i="10"/>
  <c r="K4453" i="10"/>
  <c r="K4454" i="10"/>
  <c r="K4455" i="10"/>
  <c r="K4456" i="10"/>
  <c r="K4457" i="10"/>
  <c r="K4458" i="10"/>
  <c r="K4459" i="10"/>
  <c r="K4460" i="10"/>
  <c r="K4461" i="10"/>
  <c r="K4462" i="10"/>
  <c r="K4463" i="10"/>
  <c r="K4464" i="10"/>
  <c r="K4465" i="10"/>
  <c r="K4466" i="10"/>
  <c r="K4467" i="10"/>
  <c r="K4468" i="10"/>
  <c r="K4469" i="10"/>
  <c r="K4470" i="10"/>
  <c r="K4471" i="10"/>
  <c r="K4472" i="10"/>
  <c r="K4473" i="10"/>
  <c r="K4474" i="10"/>
  <c r="K4475" i="10"/>
  <c r="K4476" i="10"/>
  <c r="K4477" i="10"/>
  <c r="K4478" i="10"/>
  <c r="K4479" i="10"/>
  <c r="K4480" i="10"/>
  <c r="K4481" i="10"/>
  <c r="K4482" i="10"/>
  <c r="K4483" i="10"/>
  <c r="K4484" i="10"/>
  <c r="K4485" i="10"/>
  <c r="K4486" i="10"/>
  <c r="K4487" i="10"/>
  <c r="K4488" i="10"/>
  <c r="K4489" i="10"/>
  <c r="K4490" i="10"/>
  <c r="K4491" i="10"/>
  <c r="K4492" i="10"/>
  <c r="K4493" i="10"/>
  <c r="K4494" i="10"/>
  <c r="K4495" i="10"/>
  <c r="K4496" i="10"/>
  <c r="K4497" i="10"/>
  <c r="K4498" i="10"/>
  <c r="K4499" i="10"/>
  <c r="K4500" i="10"/>
  <c r="K4501" i="10"/>
  <c r="K4502" i="10"/>
  <c r="K4503" i="10"/>
  <c r="K4504" i="10"/>
  <c r="K4505" i="10"/>
  <c r="K4506" i="10"/>
  <c r="K4507" i="10"/>
  <c r="K4508" i="10"/>
  <c r="K4509" i="10"/>
  <c r="K4510" i="10"/>
  <c r="K4511" i="10"/>
  <c r="K4512" i="10"/>
  <c r="K4513" i="10"/>
  <c r="K4514" i="10"/>
  <c r="K4515" i="10"/>
  <c r="K4516" i="10"/>
  <c r="K4517" i="10"/>
  <c r="K4518" i="10"/>
  <c r="K4519" i="10"/>
  <c r="K4520" i="10"/>
  <c r="K4521" i="10"/>
  <c r="K4522" i="10"/>
  <c r="K4523" i="10"/>
  <c r="K4524" i="10"/>
  <c r="K4525" i="10"/>
  <c r="K4526" i="10"/>
  <c r="K4527" i="10"/>
  <c r="K4528" i="10"/>
  <c r="K4529" i="10"/>
  <c r="K4530" i="10"/>
  <c r="K4531" i="10"/>
  <c r="K4532" i="10"/>
  <c r="K4533" i="10"/>
  <c r="K4534" i="10"/>
  <c r="K4535" i="10"/>
  <c r="K4536" i="10"/>
  <c r="K4537" i="10"/>
  <c r="K4538" i="10"/>
  <c r="K4539" i="10"/>
  <c r="K4540" i="10"/>
  <c r="K4541" i="10"/>
  <c r="K4542" i="10"/>
  <c r="K4543" i="10"/>
  <c r="K4544" i="10"/>
  <c r="K4545" i="10"/>
  <c r="K4546" i="10"/>
  <c r="K4547" i="10"/>
  <c r="K4548" i="10"/>
  <c r="K4549" i="10"/>
  <c r="K4550" i="10"/>
  <c r="K4551" i="10"/>
  <c r="K4552" i="10"/>
  <c r="K4553" i="10"/>
  <c r="K4554" i="10"/>
  <c r="K4555" i="10"/>
  <c r="K4556" i="10"/>
  <c r="K4557" i="10"/>
  <c r="K4558" i="10"/>
  <c r="K4559" i="10"/>
  <c r="K4560" i="10"/>
  <c r="K4561" i="10"/>
  <c r="K4562" i="10"/>
  <c r="K4563" i="10"/>
  <c r="K4564" i="10"/>
  <c r="K4565" i="10"/>
  <c r="K4566" i="10"/>
  <c r="K4567" i="10"/>
  <c r="K4568" i="10"/>
  <c r="K4569" i="10"/>
  <c r="K4570" i="10"/>
  <c r="K4571" i="10"/>
  <c r="K4572" i="10"/>
  <c r="K4573" i="10"/>
  <c r="K4574" i="10"/>
  <c r="K4575" i="10"/>
  <c r="K4576" i="10"/>
  <c r="K4577" i="10"/>
  <c r="K4578" i="10"/>
  <c r="K4579" i="10"/>
  <c r="K4580" i="10"/>
  <c r="K4581" i="10"/>
  <c r="K4582" i="10"/>
  <c r="K4583" i="10"/>
  <c r="K4584" i="10"/>
  <c r="K4585" i="10"/>
  <c r="K4586" i="10"/>
  <c r="K4587" i="10"/>
  <c r="K4588" i="10"/>
  <c r="K4589" i="10"/>
  <c r="K4590" i="10"/>
  <c r="K4591" i="10"/>
  <c r="K4592" i="10"/>
  <c r="K4593" i="10"/>
  <c r="K4594" i="10"/>
  <c r="K4595" i="10"/>
  <c r="K4596" i="10"/>
  <c r="K4597" i="10"/>
  <c r="K4598" i="10"/>
  <c r="K4599" i="10"/>
  <c r="K4600" i="10"/>
  <c r="K4601" i="10"/>
  <c r="K4602" i="10"/>
  <c r="K4603" i="10"/>
  <c r="K4604" i="10"/>
  <c r="K4605" i="10"/>
  <c r="K4606" i="10"/>
  <c r="K4607" i="10"/>
  <c r="K4608" i="10"/>
  <c r="K4609" i="10"/>
  <c r="K4610" i="10"/>
  <c r="K4611" i="10"/>
  <c r="K4612" i="10"/>
  <c r="K4613" i="10"/>
  <c r="K4614" i="10"/>
  <c r="K4615" i="10"/>
  <c r="K4616" i="10"/>
  <c r="K4617" i="10"/>
  <c r="K4618" i="10"/>
  <c r="K4619" i="10"/>
  <c r="K4620" i="10"/>
  <c r="K4621" i="10"/>
  <c r="K4622" i="10"/>
  <c r="K4623" i="10"/>
  <c r="K4624" i="10"/>
  <c r="K4625" i="10"/>
  <c r="K4626" i="10"/>
  <c r="K4627" i="10"/>
  <c r="K4628" i="10"/>
  <c r="K4629" i="10"/>
  <c r="K4630" i="10"/>
  <c r="K4631" i="10"/>
  <c r="K4632" i="10"/>
  <c r="K4633" i="10"/>
  <c r="K4634" i="10"/>
  <c r="K4635" i="10"/>
  <c r="K4636" i="10"/>
  <c r="K4637" i="10"/>
  <c r="K4638" i="10"/>
  <c r="K4639" i="10"/>
  <c r="K4640" i="10"/>
  <c r="K4641" i="10"/>
  <c r="K4642" i="10"/>
  <c r="K4643" i="10"/>
  <c r="K4644" i="10"/>
  <c r="K4645" i="10"/>
  <c r="K4646" i="10"/>
  <c r="K4647" i="10"/>
  <c r="K4648" i="10"/>
  <c r="K4649" i="10"/>
  <c r="K4650" i="10"/>
  <c r="K4651" i="10"/>
  <c r="K4652" i="10"/>
  <c r="K4653" i="10"/>
  <c r="K4654" i="10"/>
  <c r="K4655" i="10"/>
  <c r="K4656" i="10"/>
  <c r="K4657" i="10"/>
  <c r="K4658" i="10"/>
  <c r="K4659" i="10"/>
  <c r="K4660" i="10"/>
  <c r="K4661" i="10"/>
  <c r="K4662" i="10"/>
  <c r="K4663" i="10"/>
  <c r="K4664" i="10"/>
  <c r="K4665" i="10"/>
  <c r="K4666" i="10"/>
  <c r="K4667" i="10"/>
  <c r="K4668" i="10"/>
  <c r="K4669" i="10"/>
  <c r="K4670" i="10"/>
  <c r="K4671" i="10"/>
  <c r="K4672" i="10"/>
  <c r="K4673" i="10"/>
  <c r="K4674" i="10"/>
  <c r="K4675" i="10"/>
  <c r="K4676" i="10"/>
  <c r="K4677" i="10"/>
  <c r="K4678" i="10"/>
  <c r="K4679" i="10"/>
  <c r="K4680" i="10"/>
  <c r="K4681" i="10"/>
  <c r="K4682" i="10"/>
  <c r="K4683" i="10"/>
  <c r="K4684" i="10"/>
  <c r="K4685" i="10"/>
  <c r="K4686" i="10"/>
  <c r="K4687" i="10"/>
  <c r="K4688" i="10"/>
  <c r="K4689" i="10"/>
  <c r="K4690" i="10"/>
  <c r="K4691" i="10"/>
  <c r="K4692" i="10"/>
  <c r="K4693" i="10"/>
  <c r="K4694" i="10"/>
  <c r="K4695" i="10"/>
  <c r="K4696" i="10"/>
  <c r="K4697" i="10"/>
  <c r="K4698" i="10"/>
  <c r="K4699" i="10"/>
  <c r="K4700" i="10"/>
  <c r="K4701" i="10"/>
  <c r="K4702" i="10"/>
  <c r="K4703" i="10"/>
  <c r="K4704" i="10"/>
  <c r="K4705" i="10"/>
  <c r="K4706" i="10"/>
  <c r="K4707" i="10"/>
  <c r="K4708" i="10"/>
  <c r="K4709" i="10"/>
  <c r="K4710" i="10"/>
  <c r="K4711" i="10"/>
  <c r="K4712" i="10"/>
  <c r="K4713" i="10"/>
  <c r="K4714" i="10"/>
  <c r="K4715" i="10"/>
  <c r="K4716" i="10"/>
  <c r="K4717" i="10"/>
  <c r="K4718" i="10"/>
  <c r="K4719" i="10"/>
  <c r="K4720" i="10"/>
  <c r="K4721" i="10"/>
  <c r="K4722" i="10"/>
  <c r="K4723" i="10"/>
  <c r="K4724" i="10"/>
  <c r="K4725" i="10"/>
  <c r="K4726" i="10"/>
  <c r="K4727" i="10"/>
  <c r="K4728" i="10"/>
  <c r="K4729" i="10"/>
  <c r="K4730" i="10"/>
  <c r="K4731" i="10"/>
  <c r="K4732" i="10"/>
  <c r="K4733" i="10"/>
  <c r="K4734" i="10"/>
  <c r="K4735" i="10"/>
  <c r="K4736" i="10"/>
  <c r="K4737" i="10"/>
  <c r="K4738" i="10"/>
  <c r="K4739" i="10"/>
  <c r="K4740" i="10"/>
  <c r="K4741" i="10"/>
  <c r="K4742" i="10"/>
  <c r="K4743" i="10"/>
  <c r="K4744" i="10"/>
  <c r="K4745" i="10"/>
  <c r="K4746" i="10"/>
  <c r="K4747" i="10"/>
  <c r="K4748" i="10"/>
  <c r="K4749" i="10"/>
  <c r="K4750" i="10"/>
  <c r="K4751" i="10"/>
  <c r="K4752" i="10"/>
  <c r="K4753" i="10"/>
  <c r="K4754" i="10"/>
  <c r="K4755" i="10"/>
  <c r="K4756" i="10"/>
  <c r="K4757" i="10"/>
  <c r="K4758" i="10"/>
  <c r="K4759" i="10"/>
  <c r="K4760" i="10"/>
  <c r="K4761" i="10"/>
  <c r="K4762" i="10"/>
  <c r="K4763" i="10"/>
  <c r="K4764" i="10"/>
  <c r="K4765" i="10"/>
  <c r="K4766" i="10"/>
  <c r="K4767" i="10"/>
  <c r="K4768" i="10"/>
  <c r="K4769" i="10"/>
  <c r="K4770" i="10"/>
  <c r="K4771" i="10"/>
  <c r="K4772" i="10"/>
  <c r="K4773" i="10"/>
  <c r="K4774" i="10"/>
  <c r="K4775" i="10"/>
  <c r="K4776" i="10"/>
  <c r="K4777" i="10"/>
  <c r="K4778" i="10"/>
  <c r="K4779" i="10"/>
  <c r="K4780" i="10"/>
  <c r="K4781" i="10"/>
  <c r="K4782" i="10"/>
  <c r="K4783" i="10"/>
  <c r="K4784" i="10"/>
  <c r="K4785" i="10"/>
  <c r="K4786" i="10"/>
  <c r="K4787" i="10"/>
  <c r="K4788" i="10"/>
  <c r="K4789" i="10"/>
  <c r="K4790" i="10"/>
  <c r="K4791" i="10"/>
  <c r="K4792" i="10"/>
  <c r="K4793" i="10"/>
  <c r="K4794" i="10"/>
  <c r="K4795" i="10"/>
  <c r="K4796" i="10"/>
  <c r="K4797" i="10"/>
  <c r="K4798" i="10"/>
  <c r="K4799" i="10"/>
  <c r="K4800" i="10"/>
  <c r="K4801" i="10"/>
  <c r="K4802" i="10"/>
  <c r="K4803" i="10"/>
  <c r="K4804" i="10"/>
  <c r="K4805" i="10"/>
  <c r="K4806" i="10"/>
  <c r="K4807" i="10"/>
  <c r="K4808" i="10"/>
  <c r="K4809" i="10"/>
  <c r="K4810" i="10"/>
  <c r="K4811" i="10"/>
  <c r="K4812" i="10"/>
  <c r="K4813" i="10"/>
  <c r="K4814" i="10"/>
  <c r="K4815" i="10"/>
  <c r="K4816" i="10"/>
  <c r="K4817" i="10"/>
  <c r="K4818" i="10"/>
  <c r="K4819" i="10"/>
  <c r="K4820" i="10"/>
  <c r="K4821" i="10"/>
  <c r="K4822" i="10"/>
  <c r="K4823" i="10"/>
  <c r="K4824" i="10"/>
  <c r="K4825" i="10"/>
  <c r="K4826" i="10"/>
  <c r="K4827" i="10"/>
  <c r="K4828" i="10"/>
  <c r="K4829" i="10"/>
  <c r="K4830" i="10"/>
  <c r="K4831" i="10"/>
  <c r="K4832" i="10"/>
  <c r="K4833" i="10"/>
  <c r="K4834" i="10"/>
  <c r="K4835" i="10"/>
  <c r="K4836" i="10"/>
  <c r="K4837" i="10"/>
  <c r="K4838" i="10"/>
  <c r="K4839" i="10"/>
  <c r="K4840" i="10"/>
  <c r="K4841" i="10"/>
  <c r="K4842" i="10"/>
  <c r="K4843" i="10"/>
  <c r="K4844" i="10"/>
  <c r="K4845" i="10"/>
  <c r="K4846" i="10"/>
  <c r="K4847" i="10"/>
  <c r="K4848" i="10"/>
  <c r="K4849" i="10"/>
  <c r="K4850" i="10"/>
  <c r="K4851" i="10"/>
  <c r="K4852" i="10"/>
  <c r="K4853" i="10"/>
  <c r="K4854" i="10"/>
  <c r="K4855" i="10"/>
  <c r="K4856" i="10"/>
  <c r="K4857" i="10"/>
  <c r="K4858" i="10"/>
  <c r="K4859" i="10"/>
  <c r="K4860" i="10"/>
  <c r="K4861" i="10"/>
  <c r="K4862" i="10"/>
  <c r="K4863" i="10"/>
  <c r="K4864" i="10"/>
  <c r="K4865" i="10"/>
  <c r="K4866" i="10"/>
  <c r="K4867" i="10"/>
  <c r="K4868" i="10"/>
  <c r="K4869" i="10"/>
  <c r="K4870" i="10"/>
  <c r="K4871" i="10"/>
  <c r="K4872" i="10"/>
  <c r="K4873" i="10"/>
  <c r="K4874" i="10"/>
  <c r="K4875" i="10"/>
  <c r="K4876" i="10"/>
  <c r="K4877" i="10"/>
  <c r="K4878" i="10"/>
  <c r="K4879" i="10"/>
  <c r="K4880" i="10"/>
  <c r="K4881" i="10"/>
  <c r="K4882" i="10"/>
  <c r="K4883" i="10"/>
  <c r="K4884" i="10"/>
  <c r="K4885" i="10"/>
  <c r="K4886" i="10"/>
  <c r="K4887" i="10"/>
  <c r="K4888" i="10"/>
  <c r="K4889" i="10"/>
  <c r="K2" i="10"/>
  <c r="I2" i="1"/>
  <c r="H3" i="1" l="1" a="1"/>
  <c r="H3" i="1" s="1"/>
  <c r="H4" i="1" a="1"/>
  <c r="H4" i="1" s="1"/>
  <c r="H5" i="1" a="1"/>
  <c r="H5" i="1" s="1"/>
  <c r="H6" i="1" a="1"/>
  <c r="H6" i="1" s="1"/>
  <c r="H7" i="1" a="1"/>
  <c r="H7" i="1" s="1"/>
  <c r="H8" i="1" a="1"/>
  <c r="H8" i="1" s="1"/>
  <c r="H9" i="1" a="1"/>
  <c r="H9" i="1" s="1"/>
  <c r="H10" i="1" a="1"/>
  <c r="H10" i="1" s="1"/>
  <c r="H11" i="1" a="1"/>
  <c r="H11" i="1" s="1"/>
  <c r="H12" i="1" a="1"/>
  <c r="H12" i="1" s="1"/>
  <c r="H13" i="1" a="1"/>
  <c r="H13" i="1" s="1"/>
  <c r="H14" i="1" a="1"/>
  <c r="H14" i="1" s="1"/>
  <c r="H15" i="1" a="1"/>
  <c r="H15" i="1" s="1"/>
  <c r="H16" i="1" a="1"/>
  <c r="H16" i="1" s="1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H32" i="1" a="1"/>
  <c r="H32" i="1" s="1"/>
  <c r="H33" i="1" a="1"/>
  <c r="H33" i="1" s="1"/>
  <c r="H34" i="1" a="1"/>
  <c r="H34" i="1" s="1"/>
  <c r="H35" i="1" a="1"/>
  <c r="H35" i="1" s="1"/>
  <c r="H36" i="1" a="1"/>
  <c r="H36" i="1" s="1"/>
  <c r="H37" i="1" a="1"/>
  <c r="H37" i="1" s="1"/>
  <c r="H38" i="1" a="1"/>
  <c r="H38" i="1" s="1"/>
  <c r="H39" i="1" a="1"/>
  <c r="H39" i="1" s="1"/>
  <c r="H40" i="1" a="1"/>
  <c r="H40" i="1" s="1"/>
  <c r="H41" i="1" a="1"/>
  <c r="H41" i="1" s="1"/>
  <c r="H42" i="1" a="1"/>
  <c r="H42" i="1" s="1"/>
  <c r="H43" i="1" a="1"/>
  <c r="H43" i="1" s="1"/>
  <c r="H44" i="1" a="1"/>
  <c r="H44" i="1" s="1"/>
  <c r="H45" i="1" a="1"/>
  <c r="H45" i="1" s="1"/>
  <c r="H46" i="1" a="1"/>
  <c r="H46" i="1" s="1"/>
  <c r="H47" i="1" a="1"/>
  <c r="H47" i="1" s="1"/>
  <c r="H48" i="1" a="1"/>
  <c r="H48" i="1" s="1"/>
  <c r="H49" i="1" a="1"/>
  <c r="H49" i="1" s="1"/>
  <c r="H50" i="1" a="1"/>
  <c r="H50" i="1" s="1"/>
  <c r="H51" i="1" a="1"/>
  <c r="H51" i="1" s="1"/>
  <c r="H52" i="1" a="1"/>
  <c r="H52" i="1" s="1"/>
  <c r="H53" i="1" a="1"/>
  <c r="H53" i="1" s="1"/>
  <c r="H54" i="1" a="1"/>
  <c r="H54" i="1" s="1"/>
  <c r="H55" i="1" a="1"/>
  <c r="H55" i="1" s="1"/>
  <c r="H56" i="1" a="1"/>
  <c r="H56" i="1" s="1"/>
  <c r="H57" i="1" a="1"/>
  <c r="H57" i="1" s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 s="1"/>
  <c r="H64" i="1" a="1"/>
  <c r="H64" i="1" s="1"/>
  <c r="H65" i="1" a="1"/>
  <c r="H65" i="1" s="1"/>
  <c r="H66" i="1" a="1"/>
  <c r="H66" i="1" s="1"/>
  <c r="H67" i="1" a="1"/>
  <c r="H67" i="1" s="1"/>
  <c r="H68" i="1" a="1"/>
  <c r="H68" i="1" s="1"/>
  <c r="H69" i="1" a="1"/>
  <c r="H69" i="1" s="1"/>
  <c r="H70" i="1" a="1"/>
  <c r="H70" i="1" s="1"/>
  <c r="H71" i="1" a="1"/>
  <c r="H71" i="1" s="1"/>
  <c r="H72" i="1" a="1"/>
  <c r="H72" i="1" s="1"/>
  <c r="H73" i="1" a="1"/>
  <c r="H73" i="1" s="1"/>
  <c r="H74" i="1" a="1"/>
  <c r="H74" i="1" s="1"/>
  <c r="H75" i="1" a="1"/>
  <c r="H75" i="1" s="1"/>
  <c r="H76" i="1" a="1"/>
  <c r="H76" i="1" s="1"/>
  <c r="H77" i="1" a="1"/>
  <c r="H77" i="1" s="1"/>
  <c r="H78" i="1" a="1"/>
  <c r="H78" i="1" s="1"/>
  <c r="H79" i="1" a="1"/>
  <c r="H79" i="1" s="1"/>
  <c r="H80" i="1" a="1"/>
  <c r="H80" i="1" s="1"/>
  <c r="H81" i="1" a="1"/>
  <c r="H81" i="1" s="1"/>
  <c r="H82" i="1" a="1"/>
  <c r="H82" i="1" s="1"/>
  <c r="H83" i="1" a="1"/>
  <c r="H83" i="1" s="1"/>
  <c r="H84" i="1" a="1"/>
  <c r="H84" i="1" s="1"/>
  <c r="H85" i="1" a="1"/>
  <c r="H85" i="1" s="1"/>
  <c r="H86" i="1" a="1"/>
  <c r="H86" i="1" s="1"/>
  <c r="H87" i="1" a="1"/>
  <c r="H87" i="1" s="1"/>
  <c r="H88" i="1" a="1"/>
  <c r="H88" i="1" s="1"/>
  <c r="H89" i="1" a="1"/>
  <c r="H89" i="1" s="1"/>
  <c r="H90" i="1" a="1"/>
  <c r="H90" i="1" s="1"/>
  <c r="H91" i="1" a="1"/>
  <c r="H91" i="1" s="1"/>
  <c r="H92" i="1" a="1"/>
  <c r="H92" i="1" s="1"/>
  <c r="H93" i="1" a="1"/>
  <c r="H93" i="1" s="1"/>
  <c r="H94" i="1" a="1"/>
  <c r="H94" i="1" s="1"/>
  <c r="H95" i="1" a="1"/>
  <c r="H95" i="1" s="1"/>
  <c r="H96" i="1" a="1"/>
  <c r="H96" i="1" s="1"/>
  <c r="H97" i="1" a="1"/>
  <c r="H97" i="1" s="1"/>
  <c r="H98" i="1" a="1"/>
  <c r="H98" i="1" s="1"/>
  <c r="H99" i="1" a="1"/>
  <c r="H99" i="1" s="1"/>
  <c r="H100" i="1" a="1"/>
  <c r="H100" i="1" s="1"/>
  <c r="H101" i="1" a="1"/>
  <c r="H101" i="1" s="1"/>
  <c r="H102" i="1" a="1"/>
  <c r="H102" i="1" s="1"/>
  <c r="H103" i="1" a="1"/>
  <c r="H103" i="1" s="1"/>
  <c r="H104" i="1" a="1"/>
  <c r="H104" i="1" s="1"/>
  <c r="H105" i="1" a="1"/>
  <c r="H105" i="1" s="1"/>
  <c r="H106" i="1" a="1"/>
  <c r="H106" i="1" s="1"/>
  <c r="H107" i="1" a="1"/>
  <c r="H107" i="1" s="1"/>
  <c r="H108" i="1" a="1"/>
  <c r="H108" i="1" s="1"/>
  <c r="H109" i="1" a="1"/>
  <c r="H109" i="1" s="1"/>
  <c r="H110" i="1" a="1"/>
  <c r="H110" i="1" s="1"/>
  <c r="H111" i="1" a="1"/>
  <c r="H111" i="1" s="1"/>
  <c r="H112" i="1" a="1"/>
  <c r="H112" i="1" s="1"/>
  <c r="H113" i="1" a="1"/>
  <c r="H113" i="1" s="1"/>
  <c r="H114" i="1" a="1"/>
  <c r="H114" i="1" s="1"/>
  <c r="H115" i="1" a="1"/>
  <c r="H115" i="1" s="1"/>
  <c r="H116" i="1" a="1"/>
  <c r="H116" i="1" s="1"/>
  <c r="H117" i="1" a="1"/>
  <c r="H117" i="1" s="1"/>
  <c r="H118" i="1" a="1"/>
  <c r="H118" i="1" s="1"/>
  <c r="H119" i="1" a="1"/>
  <c r="H119" i="1" s="1"/>
  <c r="H120" i="1" a="1"/>
  <c r="H120" i="1" s="1"/>
  <c r="H121" i="1" a="1"/>
  <c r="H121" i="1" s="1"/>
  <c r="H122" i="1" a="1"/>
  <c r="H122" i="1" s="1"/>
  <c r="H123" i="1" a="1"/>
  <c r="H123" i="1" s="1"/>
  <c r="H124" i="1" a="1"/>
  <c r="H124" i="1" s="1"/>
  <c r="H125" i="1" a="1"/>
  <c r="H125" i="1" s="1"/>
  <c r="H126" i="1" a="1"/>
  <c r="H126" i="1" s="1"/>
  <c r="H127" i="1" a="1"/>
  <c r="H127" i="1" s="1"/>
  <c r="H128" i="1" a="1"/>
  <c r="H128" i="1" s="1"/>
  <c r="H129" i="1" a="1"/>
  <c r="H129" i="1" s="1"/>
  <c r="H130" i="1" a="1"/>
  <c r="H130" i="1" s="1"/>
  <c r="H131" i="1" a="1"/>
  <c r="H131" i="1" s="1"/>
  <c r="H132" i="1" a="1"/>
  <c r="H132" i="1" s="1"/>
  <c r="H133" i="1" a="1"/>
  <c r="H133" i="1" s="1"/>
  <c r="H134" i="1" a="1"/>
  <c r="H134" i="1" s="1"/>
  <c r="H135" i="1" a="1"/>
  <c r="H135" i="1" s="1"/>
  <c r="H136" i="1" a="1"/>
  <c r="H136" i="1" s="1"/>
  <c r="H137" i="1" a="1"/>
  <c r="H137" i="1" s="1"/>
  <c r="H138" i="1" a="1"/>
  <c r="H138" i="1" s="1"/>
  <c r="H139" i="1" a="1"/>
  <c r="H139" i="1" s="1"/>
  <c r="H140" i="1" a="1"/>
  <c r="H140" i="1" s="1"/>
  <c r="H141" i="1" a="1"/>
  <c r="H141" i="1" s="1"/>
  <c r="H142" i="1" a="1"/>
  <c r="H142" i="1" s="1"/>
  <c r="H143" i="1" a="1"/>
  <c r="H143" i="1" s="1"/>
  <c r="H144" i="1" a="1"/>
  <c r="H144" i="1" s="1"/>
  <c r="H145" i="1" a="1"/>
  <c r="H145" i="1" s="1"/>
  <c r="H146" i="1" a="1"/>
  <c r="H146" i="1" s="1"/>
  <c r="H147" i="1" a="1"/>
  <c r="H147" i="1" s="1"/>
  <c r="H148" i="1" a="1"/>
  <c r="H148" i="1" s="1"/>
  <c r="H149" i="1" a="1"/>
  <c r="H149" i="1" s="1"/>
  <c r="H150" i="1" a="1"/>
  <c r="H150" i="1" s="1"/>
  <c r="H151" i="1" a="1"/>
  <c r="H151" i="1" s="1"/>
  <c r="H152" i="1" a="1"/>
  <c r="H152" i="1" s="1"/>
  <c r="H153" i="1" a="1"/>
  <c r="H153" i="1" s="1"/>
  <c r="H154" i="1" a="1"/>
  <c r="H154" i="1" s="1"/>
  <c r="H155" i="1" a="1"/>
  <c r="H155" i="1" s="1"/>
  <c r="H156" i="1" a="1"/>
  <c r="H156" i="1" s="1"/>
  <c r="H157" i="1" a="1"/>
  <c r="H157" i="1" s="1"/>
  <c r="H158" i="1" a="1"/>
  <c r="H158" i="1" s="1"/>
  <c r="H159" i="1" a="1"/>
  <c r="H159" i="1" s="1"/>
  <c r="H160" i="1" a="1"/>
  <c r="H160" i="1" s="1"/>
  <c r="H161" i="1" a="1"/>
  <c r="H161" i="1" s="1"/>
  <c r="H162" i="1" a="1"/>
  <c r="H162" i="1" s="1"/>
  <c r="H163" i="1" a="1"/>
  <c r="H163" i="1" s="1"/>
  <c r="H164" i="1" a="1"/>
  <c r="H164" i="1" s="1"/>
  <c r="H165" i="1" a="1"/>
  <c r="H165" i="1" s="1"/>
  <c r="H166" i="1" a="1"/>
  <c r="H166" i="1" s="1"/>
  <c r="H167" i="1" a="1"/>
  <c r="H167" i="1" s="1"/>
  <c r="H168" i="1" a="1"/>
  <c r="H168" i="1" s="1"/>
  <c r="H169" i="1" a="1"/>
  <c r="H169" i="1" s="1"/>
  <c r="H170" i="1" a="1"/>
  <c r="H170" i="1" s="1"/>
  <c r="H171" i="1" a="1"/>
  <c r="H171" i="1" s="1"/>
  <c r="H172" i="1" a="1"/>
  <c r="H172" i="1" s="1"/>
  <c r="H173" i="1" a="1"/>
  <c r="H173" i="1" s="1"/>
  <c r="H174" i="1" a="1"/>
  <c r="H174" i="1" s="1"/>
  <c r="H175" i="1" a="1"/>
  <c r="H175" i="1" s="1"/>
  <c r="H176" i="1" a="1"/>
  <c r="H176" i="1" s="1"/>
  <c r="H177" i="1" a="1"/>
  <c r="H177" i="1" s="1"/>
  <c r="H178" i="1" a="1"/>
  <c r="H178" i="1" s="1"/>
  <c r="H179" i="1" a="1"/>
  <c r="H179" i="1" s="1"/>
  <c r="H180" i="1" a="1"/>
  <c r="H180" i="1" s="1"/>
  <c r="H181" i="1" a="1"/>
  <c r="H181" i="1" s="1"/>
  <c r="H182" i="1" a="1"/>
  <c r="H182" i="1" s="1"/>
  <c r="H183" i="1" a="1"/>
  <c r="H183" i="1" s="1"/>
  <c r="H184" i="1" a="1"/>
  <c r="H184" i="1" s="1"/>
  <c r="H185" i="1" a="1"/>
  <c r="H185" i="1" s="1"/>
  <c r="H186" i="1" a="1"/>
  <c r="H186" i="1" s="1"/>
  <c r="H187" i="1" a="1"/>
  <c r="H187" i="1" s="1"/>
  <c r="H188" i="1" a="1"/>
  <c r="H188" i="1" s="1"/>
  <c r="H189" i="1" a="1"/>
  <c r="H189" i="1" s="1"/>
  <c r="H190" i="1" a="1"/>
  <c r="H190" i="1" s="1"/>
  <c r="H191" i="1" a="1"/>
  <c r="H191" i="1" s="1"/>
  <c r="H192" i="1" a="1"/>
  <c r="H192" i="1" s="1"/>
  <c r="H193" i="1" a="1"/>
  <c r="H193" i="1" s="1"/>
  <c r="H194" i="1" a="1"/>
  <c r="H194" i="1" s="1"/>
  <c r="H195" i="1" a="1"/>
  <c r="H195" i="1" s="1"/>
  <c r="H196" i="1" a="1"/>
  <c r="H196" i="1" s="1"/>
  <c r="H197" i="1" a="1"/>
  <c r="H197" i="1" s="1"/>
  <c r="H198" i="1" a="1"/>
  <c r="H198" i="1" s="1"/>
  <c r="H199" i="1" a="1"/>
  <c r="H199" i="1" s="1"/>
  <c r="H200" i="1" a="1"/>
  <c r="H200" i="1" s="1"/>
  <c r="H201" i="1" a="1"/>
  <c r="H201" i="1" s="1"/>
  <c r="H202" i="1" a="1"/>
  <c r="H202" i="1" s="1"/>
  <c r="H203" i="1" a="1"/>
  <c r="H203" i="1" s="1"/>
  <c r="H204" i="1" a="1"/>
  <c r="H204" i="1" s="1"/>
  <c r="H205" i="1" a="1"/>
  <c r="H205" i="1" s="1"/>
  <c r="H206" i="1" a="1"/>
  <c r="H206" i="1" s="1"/>
  <c r="H207" i="1" a="1"/>
  <c r="H207" i="1" s="1"/>
  <c r="H208" i="1" a="1"/>
  <c r="H208" i="1" s="1"/>
  <c r="H209" i="1" a="1"/>
  <c r="H209" i="1" s="1"/>
  <c r="H210" i="1" a="1"/>
  <c r="H210" i="1" s="1"/>
  <c r="H211" i="1" a="1"/>
  <c r="H211" i="1" s="1"/>
  <c r="H212" i="1" a="1"/>
  <c r="H212" i="1" s="1"/>
  <c r="H213" i="1" a="1"/>
  <c r="H213" i="1" s="1"/>
  <c r="H214" i="1" a="1"/>
  <c r="H214" i="1" s="1"/>
  <c r="H215" i="1" a="1"/>
  <c r="H215" i="1" s="1"/>
  <c r="H216" i="1" a="1"/>
  <c r="H216" i="1" s="1"/>
  <c r="H217" i="1" a="1"/>
  <c r="H217" i="1" s="1"/>
  <c r="H218" i="1" a="1"/>
  <c r="H218" i="1" s="1"/>
  <c r="H219" i="1" a="1"/>
  <c r="H219" i="1" s="1"/>
  <c r="H220" i="1" a="1"/>
  <c r="H220" i="1" s="1"/>
  <c r="H221" i="1" a="1"/>
  <c r="H221" i="1" s="1"/>
  <c r="H222" i="1" a="1"/>
  <c r="H222" i="1" s="1"/>
  <c r="H223" i="1" a="1"/>
  <c r="H223" i="1" s="1"/>
  <c r="H224" i="1" a="1"/>
  <c r="H224" i="1" s="1"/>
  <c r="H225" i="1" a="1"/>
  <c r="H225" i="1" s="1"/>
  <c r="H226" i="1" a="1"/>
  <c r="H226" i="1" s="1"/>
  <c r="H227" i="1" a="1"/>
  <c r="H227" i="1" s="1"/>
  <c r="H228" i="1" a="1"/>
  <c r="H228" i="1" s="1"/>
  <c r="H229" i="1" a="1"/>
  <c r="H229" i="1" s="1"/>
  <c r="H230" i="1" a="1"/>
  <c r="H230" i="1" s="1"/>
  <c r="H231" i="1" a="1"/>
  <c r="H231" i="1" s="1"/>
  <c r="H232" i="1" a="1"/>
  <c r="H232" i="1" s="1"/>
  <c r="H233" i="1" a="1"/>
  <c r="H233" i="1" s="1"/>
  <c r="H234" i="1" a="1"/>
  <c r="H234" i="1" s="1"/>
  <c r="H235" i="1" a="1"/>
  <c r="H235" i="1" s="1"/>
  <c r="H236" i="1" a="1"/>
  <c r="H236" i="1" s="1"/>
  <c r="H237" i="1" a="1"/>
  <c r="H237" i="1" s="1"/>
  <c r="H238" i="1" a="1"/>
  <c r="H238" i="1" s="1"/>
  <c r="H239" i="1" a="1"/>
  <c r="H239" i="1" s="1"/>
  <c r="H240" i="1" a="1"/>
  <c r="H240" i="1" s="1"/>
  <c r="H241" i="1" a="1"/>
  <c r="H241" i="1" s="1"/>
  <c r="H242" i="1" a="1"/>
  <c r="H242" i="1" s="1"/>
  <c r="H2" i="1" a="1"/>
  <c r="H2" i="1" s="1"/>
  <c r="I3" i="1" a="1"/>
  <c r="I3" i="1" s="1"/>
  <c r="I4" i="1" a="1"/>
  <c r="I4" i="1" s="1"/>
  <c r="I5" i="1" a="1"/>
  <c r="I5" i="1" s="1"/>
  <c r="I6" i="1" a="1"/>
  <c r="I6" i="1" s="1"/>
  <c r="I7" i="1" a="1"/>
  <c r="I7" i="1" s="1"/>
  <c r="I8" i="1" a="1"/>
  <c r="I8" i="1" s="1"/>
  <c r="I9" i="1" a="1"/>
  <c r="I9" i="1" s="1"/>
  <c r="I10" i="1" a="1"/>
  <c r="I10" i="1" s="1"/>
  <c r="I11" i="1" a="1"/>
  <c r="I11" i="1" s="1"/>
  <c r="I12" i="1" a="1"/>
  <c r="I12" i="1" s="1"/>
  <c r="I13" i="1" a="1"/>
  <c r="I13" i="1" s="1"/>
  <c r="I14" i="1" a="1"/>
  <c r="I14" i="1" s="1"/>
  <c r="I15" i="1" a="1"/>
  <c r="I15" i="1" s="1"/>
  <c r="I16" i="1" a="1"/>
  <c r="I16" i="1" s="1"/>
  <c r="I17" i="1" a="1"/>
  <c r="I17" i="1" s="1"/>
  <c r="I18" i="1" a="1"/>
  <c r="I18" i="1" s="1"/>
  <c r="I19" i="1" a="1"/>
  <c r="I19" i="1" s="1"/>
  <c r="I20" i="1" a="1"/>
  <c r="I20" i="1" s="1"/>
  <c r="I21" i="1" a="1"/>
  <c r="I21" i="1" s="1"/>
  <c r="I22" i="1" a="1"/>
  <c r="I22" i="1" s="1"/>
  <c r="I23" i="1" a="1"/>
  <c r="I23" i="1" s="1"/>
  <c r="I24" i="1" a="1"/>
  <c r="I24" i="1" s="1"/>
  <c r="I25" i="1" a="1"/>
  <c r="I25" i="1" s="1"/>
  <c r="I26" i="1" a="1"/>
  <c r="I26" i="1" s="1"/>
  <c r="I27" i="1" a="1"/>
  <c r="I27" i="1" s="1"/>
  <c r="I28" i="1" a="1"/>
  <c r="I28" i="1" s="1"/>
  <c r="I29" i="1" a="1"/>
  <c r="I29" i="1" s="1"/>
  <c r="I30" i="1" a="1"/>
  <c r="I30" i="1" s="1"/>
  <c r="I31" i="1" a="1"/>
  <c r="I31" i="1" s="1"/>
  <c r="I32" i="1" a="1"/>
  <c r="I32" i="1" s="1"/>
  <c r="I33" i="1" a="1"/>
  <c r="I33" i="1" s="1"/>
  <c r="I34" i="1" a="1"/>
  <c r="I34" i="1" s="1"/>
  <c r="I35" i="1" a="1"/>
  <c r="I35" i="1" s="1"/>
  <c r="I36" i="1" a="1"/>
  <c r="I36" i="1" s="1"/>
  <c r="I37" i="1" a="1"/>
  <c r="I37" i="1" s="1"/>
  <c r="I38" i="1" a="1"/>
  <c r="I38" i="1" s="1"/>
  <c r="I39" i="1" a="1"/>
  <c r="I39" i="1" s="1"/>
  <c r="I40" i="1" a="1"/>
  <c r="I40" i="1" s="1"/>
  <c r="I41" i="1" a="1"/>
  <c r="I41" i="1" s="1"/>
  <c r="I42" i="1" a="1"/>
  <c r="I42" i="1" s="1"/>
  <c r="I43" i="1" a="1"/>
  <c r="I43" i="1" s="1"/>
  <c r="I44" i="1" a="1"/>
  <c r="I44" i="1" s="1"/>
  <c r="I45" i="1" a="1"/>
  <c r="I45" i="1" s="1"/>
  <c r="I46" i="1" a="1"/>
  <c r="I46" i="1" s="1"/>
  <c r="I47" i="1" a="1"/>
  <c r="I47" i="1" s="1"/>
  <c r="I48" i="1" a="1"/>
  <c r="I48" i="1" s="1"/>
  <c r="I49" i="1" a="1"/>
  <c r="I49" i="1" s="1"/>
  <c r="I50" i="1" a="1"/>
  <c r="I50" i="1" s="1"/>
  <c r="I51" i="1" a="1"/>
  <c r="I51" i="1" s="1"/>
  <c r="I52" i="1" a="1"/>
  <c r="I52" i="1" s="1"/>
  <c r="I53" i="1" a="1"/>
  <c r="I53" i="1" s="1"/>
  <c r="I54" i="1" a="1"/>
  <c r="I54" i="1" s="1"/>
  <c r="I55" i="1" a="1"/>
  <c r="I55" i="1" s="1"/>
  <c r="I56" i="1" a="1"/>
  <c r="I56" i="1" s="1"/>
  <c r="I57" i="1" a="1"/>
  <c r="I57" i="1" s="1"/>
  <c r="I58" i="1" a="1"/>
  <c r="I58" i="1" s="1"/>
  <c r="I59" i="1" a="1"/>
  <c r="I59" i="1" s="1"/>
  <c r="I60" i="1" a="1"/>
  <c r="I60" i="1" s="1"/>
  <c r="I61" i="1" a="1"/>
  <c r="I61" i="1" s="1"/>
  <c r="I62" i="1" a="1"/>
  <c r="I62" i="1" s="1"/>
  <c r="I63" i="1" a="1"/>
  <c r="I63" i="1" s="1"/>
  <c r="I64" i="1" a="1"/>
  <c r="I64" i="1" s="1"/>
  <c r="I65" i="1" a="1"/>
  <c r="I65" i="1" s="1"/>
  <c r="I66" i="1" a="1"/>
  <c r="I66" i="1" s="1"/>
  <c r="I67" i="1" a="1"/>
  <c r="I67" i="1" s="1"/>
  <c r="I68" i="1" a="1"/>
  <c r="I68" i="1" s="1"/>
  <c r="I69" i="1" a="1"/>
  <c r="I69" i="1" s="1"/>
  <c r="I70" i="1" a="1"/>
  <c r="I70" i="1" s="1"/>
  <c r="I71" i="1" a="1"/>
  <c r="I71" i="1" s="1"/>
  <c r="I72" i="1" a="1"/>
  <c r="I72" i="1" s="1"/>
  <c r="I73" i="1" a="1"/>
  <c r="I73" i="1" s="1"/>
  <c r="I74" i="1" a="1"/>
  <c r="I74" i="1" s="1"/>
  <c r="I75" i="1" a="1"/>
  <c r="I75" i="1" s="1"/>
  <c r="I76" i="1" a="1"/>
  <c r="I76" i="1" s="1"/>
  <c r="I77" i="1" a="1"/>
  <c r="I77" i="1" s="1"/>
  <c r="I78" i="1" a="1"/>
  <c r="I78" i="1" s="1"/>
  <c r="I79" i="1" a="1"/>
  <c r="I79" i="1" s="1"/>
  <c r="I80" i="1" a="1"/>
  <c r="I80" i="1" s="1"/>
  <c r="I81" i="1" a="1"/>
  <c r="I81" i="1" s="1"/>
  <c r="I82" i="1" a="1"/>
  <c r="I82" i="1" s="1"/>
  <c r="I83" i="1" a="1"/>
  <c r="I83" i="1" s="1"/>
  <c r="I84" i="1" a="1"/>
  <c r="I84" i="1" s="1"/>
  <c r="I85" i="1" a="1"/>
  <c r="I85" i="1" s="1"/>
  <c r="I86" i="1" a="1"/>
  <c r="I86" i="1" s="1"/>
  <c r="I87" i="1" a="1"/>
  <c r="I87" i="1" s="1"/>
  <c r="I88" i="1" a="1"/>
  <c r="I88" i="1" s="1"/>
  <c r="I89" i="1" a="1"/>
  <c r="I89" i="1" s="1"/>
  <c r="I90" i="1" a="1"/>
  <c r="I90" i="1" s="1"/>
  <c r="I91" i="1" a="1"/>
  <c r="I91" i="1" s="1"/>
  <c r="I92" i="1" a="1"/>
  <c r="I92" i="1" s="1"/>
  <c r="I93" i="1" a="1"/>
  <c r="I93" i="1" s="1"/>
  <c r="I94" i="1" a="1"/>
  <c r="I94" i="1" s="1"/>
  <c r="I95" i="1" a="1"/>
  <c r="I95" i="1" s="1"/>
  <c r="I96" i="1" a="1"/>
  <c r="I96" i="1" s="1"/>
  <c r="I97" i="1" a="1"/>
  <c r="I97" i="1" s="1"/>
  <c r="I98" i="1" a="1"/>
  <c r="I98" i="1" s="1"/>
  <c r="I99" i="1" a="1"/>
  <c r="I99" i="1" s="1"/>
  <c r="I100" i="1" a="1"/>
  <c r="I100" i="1" s="1"/>
  <c r="I101" i="1" a="1"/>
  <c r="I101" i="1" s="1"/>
  <c r="I102" i="1" a="1"/>
  <c r="I102" i="1" s="1"/>
  <c r="I103" i="1" a="1"/>
  <c r="I103" i="1" s="1"/>
  <c r="I104" i="1" a="1"/>
  <c r="I104" i="1" s="1"/>
  <c r="I105" i="1" a="1"/>
  <c r="I105" i="1" s="1"/>
  <c r="I106" i="1" a="1"/>
  <c r="I106" i="1" s="1"/>
  <c r="I107" i="1" a="1"/>
  <c r="I107" i="1" s="1"/>
  <c r="I108" i="1" a="1"/>
  <c r="I108" i="1" s="1"/>
  <c r="I109" i="1" a="1"/>
  <c r="I109" i="1" s="1"/>
  <c r="I110" i="1" a="1"/>
  <c r="I110" i="1" s="1"/>
  <c r="I111" i="1" a="1"/>
  <c r="I111" i="1" s="1"/>
  <c r="I112" i="1" a="1"/>
  <c r="I112" i="1" s="1"/>
  <c r="I113" i="1" a="1"/>
  <c r="I113" i="1" s="1"/>
  <c r="I114" i="1" a="1"/>
  <c r="I114" i="1" s="1"/>
  <c r="I115" i="1" a="1"/>
  <c r="I115" i="1" s="1"/>
  <c r="I116" i="1" a="1"/>
  <c r="I116" i="1" s="1"/>
  <c r="I117" i="1" a="1"/>
  <c r="I117" i="1" s="1"/>
  <c r="I118" i="1" a="1"/>
  <c r="I118" i="1" s="1"/>
  <c r="I119" i="1" a="1"/>
  <c r="I119" i="1" s="1"/>
  <c r="I120" i="1" a="1"/>
  <c r="I120" i="1" s="1"/>
  <c r="I121" i="1" a="1"/>
  <c r="I121" i="1" s="1"/>
  <c r="I122" i="1" a="1"/>
  <c r="I122" i="1" s="1"/>
  <c r="I123" i="1" a="1"/>
  <c r="I123" i="1" s="1"/>
  <c r="I124" i="1" a="1"/>
  <c r="I124" i="1" s="1"/>
  <c r="I125" i="1" a="1"/>
  <c r="I125" i="1" s="1"/>
  <c r="I126" i="1" a="1"/>
  <c r="I126" i="1" s="1"/>
  <c r="I127" i="1" a="1"/>
  <c r="I127" i="1" s="1"/>
  <c r="I128" i="1" a="1"/>
  <c r="I128" i="1" s="1"/>
  <c r="I129" i="1" a="1"/>
  <c r="I129" i="1" s="1"/>
  <c r="I130" i="1" a="1"/>
  <c r="I130" i="1" s="1"/>
  <c r="I131" i="1" a="1"/>
  <c r="I131" i="1" s="1"/>
  <c r="I132" i="1" a="1"/>
  <c r="I132" i="1" s="1"/>
  <c r="I133" i="1" a="1"/>
  <c r="I133" i="1" s="1"/>
  <c r="I134" i="1" a="1"/>
  <c r="I134" i="1" s="1"/>
  <c r="I135" i="1" a="1"/>
  <c r="I135" i="1" s="1"/>
  <c r="I136" i="1" a="1"/>
  <c r="I136" i="1" s="1"/>
  <c r="I137" i="1" a="1"/>
  <c r="I137" i="1" s="1"/>
  <c r="I138" i="1" a="1"/>
  <c r="I138" i="1" s="1"/>
  <c r="I139" i="1" a="1"/>
  <c r="I139" i="1" s="1"/>
  <c r="I140" i="1" a="1"/>
  <c r="I140" i="1" s="1"/>
  <c r="I141" i="1" a="1"/>
  <c r="I141" i="1" s="1"/>
  <c r="I142" i="1" a="1"/>
  <c r="I142" i="1" s="1"/>
  <c r="I143" i="1" a="1"/>
  <c r="I143" i="1" s="1"/>
  <c r="I144" i="1" a="1"/>
  <c r="I144" i="1" s="1"/>
  <c r="I145" i="1" a="1"/>
  <c r="I145" i="1" s="1"/>
  <c r="I146" i="1" a="1"/>
  <c r="I146" i="1" s="1"/>
  <c r="I147" i="1" a="1"/>
  <c r="I147" i="1" s="1"/>
  <c r="I148" i="1" a="1"/>
  <c r="I148" i="1" s="1"/>
  <c r="I149" i="1" a="1"/>
  <c r="I149" i="1" s="1"/>
  <c r="I150" i="1" a="1"/>
  <c r="I150" i="1" s="1"/>
  <c r="I151" i="1" a="1"/>
  <c r="I151" i="1" s="1"/>
  <c r="I152" i="1" a="1"/>
  <c r="I152" i="1" s="1"/>
  <c r="I153" i="1" a="1"/>
  <c r="I153" i="1" s="1"/>
  <c r="I154" i="1" a="1"/>
  <c r="I154" i="1" s="1"/>
  <c r="I155" i="1" a="1"/>
  <c r="I155" i="1" s="1"/>
  <c r="I156" i="1" a="1"/>
  <c r="I156" i="1" s="1"/>
  <c r="I157" i="1" a="1"/>
  <c r="I157" i="1" s="1"/>
  <c r="I158" i="1" a="1"/>
  <c r="I158" i="1" s="1"/>
  <c r="I159" i="1" a="1"/>
  <c r="I159" i="1" s="1"/>
  <c r="I160" i="1" a="1"/>
  <c r="I160" i="1" s="1"/>
  <c r="I161" i="1" a="1"/>
  <c r="I161" i="1" s="1"/>
  <c r="I162" i="1" a="1"/>
  <c r="I162" i="1" s="1"/>
  <c r="I163" i="1" a="1"/>
  <c r="I163" i="1" s="1"/>
  <c r="I164" i="1" a="1"/>
  <c r="I164" i="1" s="1"/>
  <c r="I165" i="1" a="1"/>
  <c r="I165" i="1" s="1"/>
  <c r="I166" i="1" a="1"/>
  <c r="I166" i="1" s="1"/>
  <c r="I167" i="1" a="1"/>
  <c r="I167" i="1" s="1"/>
  <c r="I168" i="1" a="1"/>
  <c r="I168" i="1" s="1"/>
  <c r="I169" i="1" a="1"/>
  <c r="I169" i="1" s="1"/>
  <c r="I170" i="1" a="1"/>
  <c r="I170" i="1" s="1"/>
  <c r="I171" i="1" a="1"/>
  <c r="I171" i="1" s="1"/>
  <c r="I172" i="1" a="1"/>
  <c r="I172" i="1" s="1"/>
  <c r="I173" i="1" a="1"/>
  <c r="I173" i="1" s="1"/>
  <c r="I174" i="1" a="1"/>
  <c r="I174" i="1" s="1"/>
  <c r="I175" i="1" a="1"/>
  <c r="I175" i="1" s="1"/>
  <c r="I176" i="1" a="1"/>
  <c r="I176" i="1" s="1"/>
  <c r="I177" i="1" a="1"/>
  <c r="I177" i="1" s="1"/>
  <c r="I178" i="1" a="1"/>
  <c r="I178" i="1" s="1"/>
  <c r="I179" i="1" a="1"/>
  <c r="I179" i="1" s="1"/>
  <c r="I180" i="1" a="1"/>
  <c r="I180" i="1" s="1"/>
  <c r="I181" i="1" a="1"/>
  <c r="I181" i="1" s="1"/>
  <c r="I182" i="1" a="1"/>
  <c r="I182" i="1" s="1"/>
  <c r="I183" i="1" a="1"/>
  <c r="I183" i="1" s="1"/>
  <c r="I184" i="1" a="1"/>
  <c r="I184" i="1" s="1"/>
  <c r="I185" i="1" a="1"/>
  <c r="I185" i="1" s="1"/>
  <c r="I186" i="1" a="1"/>
  <c r="I186" i="1" s="1"/>
  <c r="I187" i="1" a="1"/>
  <c r="I187" i="1" s="1"/>
  <c r="I188" i="1" a="1"/>
  <c r="I188" i="1" s="1"/>
  <c r="I189" i="1" a="1"/>
  <c r="I189" i="1" s="1"/>
  <c r="I190" i="1" a="1"/>
  <c r="I190" i="1" s="1"/>
  <c r="I191" i="1" a="1"/>
  <c r="I191" i="1" s="1"/>
  <c r="I192" i="1" a="1"/>
  <c r="I192" i="1" s="1"/>
  <c r="I193" i="1" a="1"/>
  <c r="I193" i="1" s="1"/>
  <c r="I194" i="1" a="1"/>
  <c r="I194" i="1" s="1"/>
  <c r="I195" i="1" a="1"/>
  <c r="I195" i="1" s="1"/>
  <c r="I196" i="1" a="1"/>
  <c r="I196" i="1" s="1"/>
  <c r="I197" i="1" a="1"/>
  <c r="I197" i="1" s="1"/>
  <c r="I198" i="1" a="1"/>
  <c r="I198" i="1" s="1"/>
  <c r="I199" i="1" a="1"/>
  <c r="I199" i="1" s="1"/>
  <c r="I200" i="1" a="1"/>
  <c r="I200" i="1" s="1"/>
  <c r="I201" i="1" a="1"/>
  <c r="I201" i="1" s="1"/>
  <c r="I202" i="1" a="1"/>
  <c r="I202" i="1" s="1"/>
  <c r="I203" i="1" a="1"/>
  <c r="I203" i="1" s="1"/>
  <c r="I204" i="1" a="1"/>
  <c r="I204" i="1" s="1"/>
  <c r="I205" i="1" a="1"/>
  <c r="I205" i="1" s="1"/>
  <c r="I206" i="1" a="1"/>
  <c r="I206" i="1" s="1"/>
  <c r="I207" i="1" a="1"/>
  <c r="I207" i="1" s="1"/>
  <c r="I208" i="1" a="1"/>
  <c r="I208" i="1" s="1"/>
  <c r="I209" i="1" a="1"/>
  <c r="I209" i="1" s="1"/>
  <c r="I210" i="1" a="1"/>
  <c r="I210" i="1" s="1"/>
  <c r="I211" i="1" a="1"/>
  <c r="I211" i="1" s="1"/>
  <c r="I212" i="1" a="1"/>
  <c r="I212" i="1" s="1"/>
  <c r="I213" i="1" a="1"/>
  <c r="I213" i="1" s="1"/>
  <c r="I214" i="1" a="1"/>
  <c r="I214" i="1" s="1"/>
  <c r="I215" i="1" a="1"/>
  <c r="I215" i="1" s="1"/>
  <c r="I216" i="1" a="1"/>
  <c r="I216" i="1" s="1"/>
  <c r="I217" i="1" a="1"/>
  <c r="I217" i="1" s="1"/>
  <c r="I218" i="1" a="1"/>
  <c r="I218" i="1" s="1"/>
  <c r="I219" i="1" a="1"/>
  <c r="I219" i="1" s="1"/>
  <c r="I220" i="1" a="1"/>
  <c r="I220" i="1" s="1"/>
  <c r="I221" i="1" a="1"/>
  <c r="I221" i="1" s="1"/>
  <c r="I222" i="1" a="1"/>
  <c r="I222" i="1" s="1"/>
  <c r="I223" i="1" a="1"/>
  <c r="I223" i="1" s="1"/>
  <c r="I224" i="1" a="1"/>
  <c r="I224" i="1" s="1"/>
  <c r="I225" i="1" a="1"/>
  <c r="I225" i="1" s="1"/>
  <c r="I226" i="1" a="1"/>
  <c r="I226" i="1" s="1"/>
  <c r="I227" i="1" a="1"/>
  <c r="I227" i="1" s="1"/>
  <c r="I228" i="1" a="1"/>
  <c r="I228" i="1" s="1"/>
  <c r="I229" i="1" a="1"/>
  <c r="I229" i="1" s="1"/>
  <c r="I230" i="1" a="1"/>
  <c r="I230" i="1" s="1"/>
  <c r="I231" i="1" a="1"/>
  <c r="I231" i="1" s="1"/>
  <c r="I232" i="1" a="1"/>
  <c r="I232" i="1" s="1"/>
  <c r="I233" i="1" a="1"/>
  <c r="I233" i="1" s="1"/>
  <c r="I234" i="1" a="1"/>
  <c r="I234" i="1" s="1"/>
  <c r="I235" i="1" a="1"/>
  <c r="I235" i="1" s="1"/>
  <c r="I236" i="1" a="1"/>
  <c r="I236" i="1" s="1"/>
  <c r="I237" i="1" a="1"/>
  <c r="I237" i="1" s="1"/>
  <c r="I238" i="1" a="1"/>
  <c r="I238" i="1" s="1"/>
  <c r="I239" i="1" a="1"/>
  <c r="I239" i="1" s="1"/>
  <c r="I240" i="1" a="1"/>
  <c r="I240" i="1" s="1"/>
  <c r="I241" i="1" a="1"/>
  <c r="I241" i="1" s="1"/>
  <c r="I242" i="1" a="1"/>
  <c r="I242" i="1" s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" i="1"/>
  <c r="S3" i="1" l="1" a="1"/>
  <c r="S3" i="1" s="1"/>
  <c r="S4" i="1" a="1"/>
  <c r="S4" i="1" s="1"/>
  <c r="S5" i="1" a="1"/>
  <c r="S5" i="1" s="1"/>
  <c r="S6" i="1" a="1"/>
  <c r="S6" i="1" s="1"/>
  <c r="S7" i="1" a="1"/>
  <c r="S7" i="1" s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8" i="1" a="1"/>
  <c r="S28" i="1" s="1"/>
  <c r="S29" i="1" a="1"/>
  <c r="S29" i="1" s="1"/>
  <c r="S30" i="1" a="1"/>
  <c r="S30" i="1" s="1"/>
  <c r="S31" i="1" a="1"/>
  <c r="S31" i="1" s="1"/>
  <c r="S32" i="1" a="1"/>
  <c r="S32" i="1" s="1"/>
  <c r="S33" i="1" a="1"/>
  <c r="S33" i="1" s="1"/>
  <c r="S34" i="1" a="1"/>
  <c r="S34" i="1" s="1"/>
  <c r="S35" i="1" a="1"/>
  <c r="S35" i="1" s="1"/>
  <c r="S36" i="1" a="1"/>
  <c r="S36" i="1" s="1"/>
  <c r="S37" i="1" a="1"/>
  <c r="S37" i="1" s="1"/>
  <c r="S38" i="1" a="1"/>
  <c r="S38" i="1" s="1"/>
  <c r="S39" i="1" a="1"/>
  <c r="S39" i="1" s="1"/>
  <c r="S40" i="1" a="1"/>
  <c r="S40" i="1" s="1"/>
  <c r="S41" i="1" a="1"/>
  <c r="S41" i="1" s="1"/>
  <c r="S42" i="1" a="1"/>
  <c r="S42" i="1" s="1"/>
  <c r="S43" i="1" a="1"/>
  <c r="S43" i="1" s="1"/>
  <c r="S44" i="1" a="1"/>
  <c r="S44" i="1" s="1"/>
  <c r="S45" i="1" a="1"/>
  <c r="S45" i="1" s="1"/>
  <c r="S46" i="1" a="1"/>
  <c r="S46" i="1" s="1"/>
  <c r="S47" i="1" a="1"/>
  <c r="S47" i="1" s="1"/>
  <c r="S48" i="1" a="1"/>
  <c r="S48" i="1" s="1"/>
  <c r="S49" i="1" a="1"/>
  <c r="S49" i="1" s="1"/>
  <c r="S50" i="1" a="1"/>
  <c r="S50" i="1" s="1"/>
  <c r="S51" i="1" a="1"/>
  <c r="S51" i="1" s="1"/>
  <c r="S52" i="1" a="1"/>
  <c r="S52" i="1" s="1"/>
  <c r="S53" i="1" a="1"/>
  <c r="S53" i="1" s="1"/>
  <c r="S54" i="1" a="1"/>
  <c r="S54" i="1" s="1"/>
  <c r="S55" i="1" a="1"/>
  <c r="S55" i="1" s="1"/>
  <c r="S56" i="1" a="1"/>
  <c r="S56" i="1" s="1"/>
  <c r="S57" i="1" a="1"/>
  <c r="S57" i="1" s="1"/>
  <c r="S58" i="1" a="1"/>
  <c r="S58" i="1" s="1"/>
  <c r="S59" i="1" a="1"/>
  <c r="S59" i="1" s="1"/>
  <c r="S60" i="1" a="1"/>
  <c r="S60" i="1" s="1"/>
  <c r="S61" i="1" a="1"/>
  <c r="S61" i="1" s="1"/>
  <c r="S62" i="1" a="1"/>
  <c r="S62" i="1" s="1"/>
  <c r="S63" i="1" a="1"/>
  <c r="S63" i="1" s="1"/>
  <c r="S64" i="1" a="1"/>
  <c r="S64" i="1" s="1"/>
  <c r="S65" i="1" a="1"/>
  <c r="S65" i="1" s="1"/>
  <c r="S66" i="1" a="1"/>
  <c r="S66" i="1" s="1"/>
  <c r="S67" i="1" a="1"/>
  <c r="S67" i="1" s="1"/>
  <c r="S68" i="1" a="1"/>
  <c r="S68" i="1" s="1"/>
  <c r="S69" i="1" a="1"/>
  <c r="S69" i="1" s="1"/>
  <c r="S70" i="1" a="1"/>
  <c r="S70" i="1" s="1"/>
  <c r="S71" i="1" a="1"/>
  <c r="S71" i="1" s="1"/>
  <c r="S72" i="1" a="1"/>
  <c r="S72" i="1" s="1"/>
  <c r="S73" i="1" a="1"/>
  <c r="S73" i="1" s="1"/>
  <c r="S74" i="1" a="1"/>
  <c r="S74" i="1" s="1"/>
  <c r="S75" i="1" a="1"/>
  <c r="S75" i="1" s="1"/>
  <c r="S76" i="1" a="1"/>
  <c r="S76" i="1" s="1"/>
  <c r="S77" i="1" a="1"/>
  <c r="S77" i="1" s="1"/>
  <c r="S78" i="1" a="1"/>
  <c r="S78" i="1" s="1"/>
  <c r="S79" i="1" a="1"/>
  <c r="S79" i="1" s="1"/>
  <c r="S80" i="1" a="1"/>
  <c r="S80" i="1" s="1"/>
  <c r="S81" i="1" a="1"/>
  <c r="S81" i="1" s="1"/>
  <c r="S82" i="1" a="1"/>
  <c r="S82" i="1" s="1"/>
  <c r="S83" i="1" a="1"/>
  <c r="S83" i="1" s="1"/>
  <c r="S84" i="1" a="1"/>
  <c r="S84" i="1" s="1"/>
  <c r="S85" i="1" a="1"/>
  <c r="S85" i="1" s="1"/>
  <c r="S86" i="1" a="1"/>
  <c r="S86" i="1" s="1"/>
  <c r="S87" i="1" a="1"/>
  <c r="S87" i="1" s="1"/>
  <c r="S88" i="1" a="1"/>
  <c r="S88" i="1" s="1"/>
  <c r="S89" i="1" a="1"/>
  <c r="S89" i="1" s="1"/>
  <c r="S90" i="1" a="1"/>
  <c r="S90" i="1" s="1"/>
  <c r="S91" i="1" a="1"/>
  <c r="S91" i="1" s="1"/>
  <c r="S92" i="1" a="1"/>
  <c r="S92" i="1" s="1"/>
  <c r="S93" i="1" a="1"/>
  <c r="S93" i="1" s="1"/>
  <c r="S94" i="1" a="1"/>
  <c r="S94" i="1" s="1"/>
  <c r="S95" i="1" a="1"/>
  <c r="S95" i="1" s="1"/>
  <c r="S96" i="1" a="1"/>
  <c r="S96" i="1" s="1"/>
  <c r="S97" i="1" a="1"/>
  <c r="S97" i="1" s="1"/>
  <c r="S98" i="1" a="1"/>
  <c r="S98" i="1" s="1"/>
  <c r="S99" i="1" a="1"/>
  <c r="S99" i="1" s="1"/>
  <c r="S100" i="1" a="1"/>
  <c r="S100" i="1" s="1"/>
  <c r="S101" i="1" a="1"/>
  <c r="S101" i="1" s="1"/>
  <c r="S102" i="1" a="1"/>
  <c r="S102" i="1" s="1"/>
  <c r="S103" i="1" a="1"/>
  <c r="S103" i="1" s="1"/>
  <c r="S104" i="1" a="1"/>
  <c r="S104" i="1" s="1"/>
  <c r="S105" i="1" a="1"/>
  <c r="S105" i="1" s="1"/>
  <c r="S106" i="1" a="1"/>
  <c r="S106" i="1" s="1"/>
  <c r="S107" i="1" a="1"/>
  <c r="S107" i="1" s="1"/>
  <c r="S108" i="1" a="1"/>
  <c r="S108" i="1" s="1"/>
  <c r="S109" i="1" a="1"/>
  <c r="S109" i="1" s="1"/>
  <c r="S110" i="1" a="1"/>
  <c r="S110" i="1" s="1"/>
  <c r="S111" i="1" a="1"/>
  <c r="S111" i="1" s="1"/>
  <c r="S112" i="1" a="1"/>
  <c r="S112" i="1" s="1"/>
  <c r="S113" i="1" a="1"/>
  <c r="S113" i="1" s="1"/>
  <c r="S114" i="1" a="1"/>
  <c r="S114" i="1" s="1"/>
  <c r="S115" i="1" a="1"/>
  <c r="S115" i="1" s="1"/>
  <c r="S116" i="1" a="1"/>
  <c r="S116" i="1" s="1"/>
  <c r="S117" i="1" a="1"/>
  <c r="S117" i="1" s="1"/>
  <c r="S118" i="1" a="1"/>
  <c r="S118" i="1" s="1"/>
  <c r="S119" i="1" a="1"/>
  <c r="S119" i="1" s="1"/>
  <c r="S120" i="1" a="1"/>
  <c r="S120" i="1" s="1"/>
  <c r="S121" i="1" a="1"/>
  <c r="S121" i="1" s="1"/>
  <c r="S122" i="1" a="1"/>
  <c r="S122" i="1" s="1"/>
  <c r="S123" i="1" a="1"/>
  <c r="S123" i="1" s="1"/>
  <c r="S124" i="1" a="1"/>
  <c r="S124" i="1" s="1"/>
  <c r="S125" i="1" a="1"/>
  <c r="S125" i="1" s="1"/>
  <c r="S126" i="1" a="1"/>
  <c r="S126" i="1" s="1"/>
  <c r="S127" i="1" a="1"/>
  <c r="S127" i="1" s="1"/>
  <c r="S128" i="1" a="1"/>
  <c r="S128" i="1" s="1"/>
  <c r="S129" i="1" a="1"/>
  <c r="S129" i="1" s="1"/>
  <c r="S130" i="1" a="1"/>
  <c r="S130" i="1" s="1"/>
  <c r="S131" i="1" a="1"/>
  <c r="S131" i="1" s="1"/>
  <c r="S132" i="1" a="1"/>
  <c r="S132" i="1" s="1"/>
  <c r="S133" i="1" a="1"/>
  <c r="S133" i="1" s="1"/>
  <c r="S134" i="1" a="1"/>
  <c r="S134" i="1" s="1"/>
  <c r="S135" i="1" a="1"/>
  <c r="S135" i="1" s="1"/>
  <c r="S136" i="1" a="1"/>
  <c r="S136" i="1" s="1"/>
  <c r="S137" i="1" a="1"/>
  <c r="S137" i="1" s="1"/>
  <c r="S138" i="1" a="1"/>
  <c r="S138" i="1" s="1"/>
  <c r="S139" i="1" a="1"/>
  <c r="S139" i="1" s="1"/>
  <c r="S140" i="1" a="1"/>
  <c r="S140" i="1" s="1"/>
  <c r="S141" i="1" a="1"/>
  <c r="S141" i="1" s="1"/>
  <c r="S142" i="1" a="1"/>
  <c r="S142" i="1" s="1"/>
  <c r="S143" i="1" a="1"/>
  <c r="S143" i="1" s="1"/>
  <c r="S144" i="1" a="1"/>
  <c r="S144" i="1" s="1"/>
  <c r="S145" i="1" a="1"/>
  <c r="S145" i="1" s="1"/>
  <c r="S146" i="1" a="1"/>
  <c r="S146" i="1" s="1"/>
  <c r="S147" i="1" a="1"/>
  <c r="S147" i="1" s="1"/>
  <c r="S148" i="1" a="1"/>
  <c r="S148" i="1" s="1"/>
  <c r="S149" i="1" a="1"/>
  <c r="S149" i="1" s="1"/>
  <c r="S150" i="1" a="1"/>
  <c r="S150" i="1" s="1"/>
  <c r="S151" i="1" a="1"/>
  <c r="S151" i="1" s="1"/>
  <c r="S152" i="1" a="1"/>
  <c r="S152" i="1" s="1"/>
  <c r="S153" i="1" a="1"/>
  <c r="S153" i="1" s="1"/>
  <c r="S154" i="1" a="1"/>
  <c r="S154" i="1" s="1"/>
  <c r="S155" i="1" a="1"/>
  <c r="S155" i="1" s="1"/>
  <c r="S156" i="1" a="1"/>
  <c r="S156" i="1" s="1"/>
  <c r="S157" i="1" a="1"/>
  <c r="S157" i="1" s="1"/>
  <c r="S158" i="1" a="1"/>
  <c r="S158" i="1" s="1"/>
  <c r="S159" i="1" a="1"/>
  <c r="S159" i="1" s="1"/>
  <c r="S160" i="1" a="1"/>
  <c r="S160" i="1" s="1"/>
  <c r="S161" i="1" a="1"/>
  <c r="S161" i="1" s="1"/>
  <c r="S162" i="1" a="1"/>
  <c r="S162" i="1" s="1"/>
  <c r="S163" i="1" a="1"/>
  <c r="S163" i="1" s="1"/>
  <c r="S164" i="1" a="1"/>
  <c r="S164" i="1" s="1"/>
  <c r="S165" i="1" a="1"/>
  <c r="S165" i="1" s="1"/>
  <c r="S166" i="1" a="1"/>
  <c r="S166" i="1" s="1"/>
  <c r="S167" i="1" a="1"/>
  <c r="S167" i="1" s="1"/>
  <c r="S168" i="1" a="1"/>
  <c r="S168" i="1" s="1"/>
  <c r="S169" i="1" a="1"/>
  <c r="S169" i="1" s="1"/>
  <c r="S170" i="1" a="1"/>
  <c r="S170" i="1" s="1"/>
  <c r="S171" i="1" a="1"/>
  <c r="S171" i="1" s="1"/>
  <c r="S172" i="1" a="1"/>
  <c r="S172" i="1" s="1"/>
  <c r="S173" i="1" a="1"/>
  <c r="S173" i="1" s="1"/>
  <c r="S174" i="1" a="1"/>
  <c r="S174" i="1" s="1"/>
  <c r="S175" i="1" a="1"/>
  <c r="S175" i="1" s="1"/>
  <c r="S176" i="1" a="1"/>
  <c r="S176" i="1" s="1"/>
  <c r="S177" i="1" a="1"/>
  <c r="S177" i="1" s="1"/>
  <c r="S178" i="1" a="1"/>
  <c r="S178" i="1" s="1"/>
  <c r="S179" i="1" a="1"/>
  <c r="S179" i="1" s="1"/>
  <c r="S180" i="1" a="1"/>
  <c r="S180" i="1" s="1"/>
  <c r="S181" i="1" a="1"/>
  <c r="S181" i="1" s="1"/>
  <c r="S182" i="1" a="1"/>
  <c r="S182" i="1" s="1"/>
  <c r="S183" i="1" a="1"/>
  <c r="S183" i="1" s="1"/>
  <c r="S184" i="1" a="1"/>
  <c r="S184" i="1" s="1"/>
  <c r="S185" i="1" a="1"/>
  <c r="S185" i="1" s="1"/>
  <c r="S186" i="1" a="1"/>
  <c r="S186" i="1" s="1"/>
  <c r="S187" i="1" a="1"/>
  <c r="S187" i="1" s="1"/>
  <c r="S188" i="1" a="1"/>
  <c r="S188" i="1" s="1"/>
  <c r="S189" i="1" a="1"/>
  <c r="S189" i="1" s="1"/>
  <c r="S190" i="1" a="1"/>
  <c r="S190" i="1" s="1"/>
  <c r="S191" i="1" a="1"/>
  <c r="S191" i="1" s="1"/>
  <c r="S192" i="1" a="1"/>
  <c r="S192" i="1" s="1"/>
  <c r="S193" i="1" a="1"/>
  <c r="S193" i="1" s="1"/>
  <c r="S194" i="1" a="1"/>
  <c r="S194" i="1" s="1"/>
  <c r="S195" i="1" a="1"/>
  <c r="S195" i="1" s="1"/>
  <c r="S196" i="1" a="1"/>
  <c r="S196" i="1" s="1"/>
  <c r="S197" i="1" a="1"/>
  <c r="S197" i="1" s="1"/>
  <c r="S198" i="1" a="1"/>
  <c r="S198" i="1" s="1"/>
  <c r="S199" i="1" a="1"/>
  <c r="S199" i="1" s="1"/>
  <c r="S200" i="1" a="1"/>
  <c r="S200" i="1" s="1"/>
  <c r="S201" i="1" a="1"/>
  <c r="S201" i="1" s="1"/>
  <c r="S202" i="1" a="1"/>
  <c r="S202" i="1" s="1"/>
  <c r="S203" i="1" a="1"/>
  <c r="S203" i="1" s="1"/>
  <c r="S204" i="1" a="1"/>
  <c r="S204" i="1" s="1"/>
  <c r="S205" i="1" a="1"/>
  <c r="S205" i="1" s="1"/>
  <c r="S206" i="1" a="1"/>
  <c r="S206" i="1" s="1"/>
  <c r="S207" i="1" a="1"/>
  <c r="S207" i="1" s="1"/>
  <c r="S208" i="1" a="1"/>
  <c r="S208" i="1" s="1"/>
  <c r="S209" i="1" a="1"/>
  <c r="S209" i="1" s="1"/>
  <c r="S210" i="1" a="1"/>
  <c r="S210" i="1" s="1"/>
  <c r="S211" i="1" a="1"/>
  <c r="S211" i="1" s="1"/>
  <c r="S212" i="1" a="1"/>
  <c r="S212" i="1" s="1"/>
  <c r="S213" i="1" a="1"/>
  <c r="S213" i="1" s="1"/>
  <c r="S214" i="1" a="1"/>
  <c r="S214" i="1" s="1"/>
  <c r="S215" i="1" a="1"/>
  <c r="S215" i="1" s="1"/>
  <c r="S216" i="1" a="1"/>
  <c r="S216" i="1" s="1"/>
  <c r="S217" i="1" a="1"/>
  <c r="S217" i="1" s="1"/>
  <c r="S218" i="1" a="1"/>
  <c r="S218" i="1" s="1"/>
  <c r="S219" i="1" a="1"/>
  <c r="S219" i="1" s="1"/>
  <c r="S220" i="1" a="1"/>
  <c r="S220" i="1" s="1"/>
  <c r="S221" i="1" a="1"/>
  <c r="S221" i="1" s="1"/>
  <c r="S222" i="1" a="1"/>
  <c r="S222" i="1" s="1"/>
  <c r="S223" i="1" a="1"/>
  <c r="S223" i="1" s="1"/>
  <c r="S224" i="1" a="1"/>
  <c r="S224" i="1" s="1"/>
  <c r="S225" i="1" a="1"/>
  <c r="S225" i="1" s="1"/>
  <c r="S226" i="1" a="1"/>
  <c r="S226" i="1" s="1"/>
  <c r="S227" i="1" a="1"/>
  <c r="S227" i="1" s="1"/>
  <c r="S228" i="1" a="1"/>
  <c r="S228" i="1" s="1"/>
  <c r="S229" i="1" a="1"/>
  <c r="S229" i="1" s="1"/>
  <c r="S230" i="1" a="1"/>
  <c r="S230" i="1" s="1"/>
  <c r="S231" i="1" a="1"/>
  <c r="S231" i="1" s="1"/>
  <c r="S232" i="1" a="1"/>
  <c r="S232" i="1" s="1"/>
  <c r="S233" i="1" a="1"/>
  <c r="S233" i="1" s="1"/>
  <c r="S234" i="1" a="1"/>
  <c r="S234" i="1" s="1"/>
  <c r="S235" i="1" a="1"/>
  <c r="S235" i="1" s="1"/>
  <c r="S236" i="1" a="1"/>
  <c r="S236" i="1" s="1"/>
  <c r="S237" i="1" a="1"/>
  <c r="S237" i="1" s="1"/>
  <c r="S238" i="1" a="1"/>
  <c r="S238" i="1" s="1"/>
  <c r="S239" i="1" a="1"/>
  <c r="S239" i="1" s="1"/>
  <c r="S240" i="1" a="1"/>
  <c r="S240" i="1" s="1"/>
  <c r="S241" i="1" a="1"/>
  <c r="S241" i="1" s="1"/>
  <c r="S242" i="1" a="1"/>
  <c r="S242" i="1" s="1"/>
  <c r="S2" i="1" a="1"/>
  <c r="S2" i="1" s="1"/>
  <c r="Q3" i="1" a="1"/>
  <c r="Q3" i="1" s="1"/>
  <c r="Q4" i="1" a="1"/>
  <c r="Q4" i="1" s="1"/>
  <c r="Q5" i="1" a="1"/>
  <c r="Q5" i="1" s="1"/>
  <c r="Q6" i="1" a="1"/>
  <c r="Q6" i="1" s="1"/>
  <c r="Q7" i="1" a="1"/>
  <c r="Q7" i="1" s="1"/>
  <c r="Q8" i="1" a="1"/>
  <c r="Q8" i="1" s="1"/>
  <c r="Q9" i="1" a="1"/>
  <c r="Q9" i="1" s="1"/>
  <c r="Q10" i="1" a="1"/>
  <c r="Q10" i="1" s="1"/>
  <c r="Q11" i="1" a="1"/>
  <c r="Q11" i="1" s="1"/>
  <c r="Q12" i="1" a="1"/>
  <c r="Q12" i="1" s="1"/>
  <c r="Q13" i="1" a="1"/>
  <c r="Q13" i="1" s="1"/>
  <c r="Q14" i="1" a="1"/>
  <c r="Q14" i="1" s="1"/>
  <c r="Q15" i="1" a="1"/>
  <c r="Q15" i="1" s="1"/>
  <c r="Q16" i="1" a="1"/>
  <c r="Q16" i="1" s="1"/>
  <c r="Q17" i="1" a="1"/>
  <c r="Q17" i="1" s="1"/>
  <c r="Q18" i="1" a="1"/>
  <c r="Q18" i="1" s="1"/>
  <c r="Q19" i="1" a="1"/>
  <c r="Q19" i="1" s="1"/>
  <c r="Q20" i="1" a="1"/>
  <c r="Q20" i="1" s="1"/>
  <c r="Q21" i="1" a="1"/>
  <c r="Q21" i="1" s="1"/>
  <c r="Q22" i="1" a="1"/>
  <c r="Q22" i="1" s="1"/>
  <c r="Q23" i="1" a="1"/>
  <c r="Q23" i="1" s="1"/>
  <c r="Q24" i="1" a="1"/>
  <c r="Q24" i="1" s="1"/>
  <c r="Q25" i="1" a="1"/>
  <c r="Q25" i="1" s="1"/>
  <c r="Q26" i="1" a="1"/>
  <c r="Q26" i="1" s="1"/>
  <c r="Q27" i="1" a="1"/>
  <c r="Q27" i="1" s="1"/>
  <c r="Q28" i="1" a="1"/>
  <c r="Q28" i="1" s="1"/>
  <c r="Q29" i="1" a="1"/>
  <c r="Q29" i="1" s="1"/>
  <c r="Q30" i="1" a="1"/>
  <c r="Q30" i="1" s="1"/>
  <c r="Q31" i="1" a="1"/>
  <c r="Q31" i="1" s="1"/>
  <c r="Q32" i="1" a="1"/>
  <c r="Q32" i="1" s="1"/>
  <c r="Q33" i="1" a="1"/>
  <c r="Q33" i="1" s="1"/>
  <c r="Q34" i="1" a="1"/>
  <c r="Q34" i="1" s="1"/>
  <c r="Q35" i="1" a="1"/>
  <c r="Q35" i="1" s="1"/>
  <c r="Q36" i="1" a="1"/>
  <c r="Q36" i="1" s="1"/>
  <c r="Q37" i="1" a="1"/>
  <c r="Q37" i="1" s="1"/>
  <c r="Q38" i="1" a="1"/>
  <c r="Q38" i="1" s="1"/>
  <c r="Q39" i="1" a="1"/>
  <c r="Q39" i="1" s="1"/>
  <c r="Q40" i="1" a="1"/>
  <c r="Q40" i="1" s="1"/>
  <c r="Q41" i="1" a="1"/>
  <c r="Q41" i="1" s="1"/>
  <c r="Q42" i="1" a="1"/>
  <c r="Q42" i="1" s="1"/>
  <c r="Q43" i="1" a="1"/>
  <c r="Q43" i="1" s="1"/>
  <c r="Q44" i="1" a="1"/>
  <c r="Q44" i="1" s="1"/>
  <c r="Q45" i="1" a="1"/>
  <c r="Q45" i="1" s="1"/>
  <c r="Q46" i="1" a="1"/>
  <c r="Q46" i="1" s="1"/>
  <c r="Q47" i="1" a="1"/>
  <c r="Q47" i="1" s="1"/>
  <c r="Q48" i="1" a="1"/>
  <c r="Q48" i="1" s="1"/>
  <c r="Q49" i="1" a="1"/>
  <c r="Q49" i="1" s="1"/>
  <c r="Q50" i="1" a="1"/>
  <c r="Q50" i="1" s="1"/>
  <c r="Q51" i="1" a="1"/>
  <c r="Q51" i="1" s="1"/>
  <c r="Q52" i="1" a="1"/>
  <c r="Q52" i="1" s="1"/>
  <c r="Q53" i="1" a="1"/>
  <c r="Q53" i="1" s="1"/>
  <c r="Q54" i="1" a="1"/>
  <c r="Q54" i="1" s="1"/>
  <c r="Q55" i="1" a="1"/>
  <c r="Q55" i="1" s="1"/>
  <c r="Q56" i="1" a="1"/>
  <c r="Q56" i="1" s="1"/>
  <c r="Q57" i="1" a="1"/>
  <c r="Q57" i="1" s="1"/>
  <c r="Q58" i="1" a="1"/>
  <c r="Q58" i="1" s="1"/>
  <c r="Q59" i="1" a="1"/>
  <c r="Q59" i="1" s="1"/>
  <c r="Q60" i="1" a="1"/>
  <c r="Q60" i="1" s="1"/>
  <c r="Q61" i="1" a="1"/>
  <c r="Q61" i="1" s="1"/>
  <c r="Q62" i="1" a="1"/>
  <c r="Q62" i="1" s="1"/>
  <c r="Q63" i="1" a="1"/>
  <c r="Q63" i="1" s="1"/>
  <c r="Q64" i="1" a="1"/>
  <c r="Q64" i="1" s="1"/>
  <c r="Q65" i="1" a="1"/>
  <c r="Q65" i="1" s="1"/>
  <c r="Q66" i="1" a="1"/>
  <c r="Q66" i="1" s="1"/>
  <c r="Q67" i="1" a="1"/>
  <c r="Q67" i="1" s="1"/>
  <c r="Q68" i="1" a="1"/>
  <c r="Q68" i="1" s="1"/>
  <c r="Q69" i="1" a="1"/>
  <c r="Q69" i="1" s="1"/>
  <c r="Q70" i="1" a="1"/>
  <c r="Q70" i="1" s="1"/>
  <c r="Q71" i="1" a="1"/>
  <c r="Q71" i="1" s="1"/>
  <c r="Q72" i="1" a="1"/>
  <c r="Q72" i="1" s="1"/>
  <c r="Q73" i="1" a="1"/>
  <c r="Q73" i="1" s="1"/>
  <c r="Q74" i="1" a="1"/>
  <c r="Q74" i="1" s="1"/>
  <c r="Q75" i="1" a="1"/>
  <c r="Q75" i="1" s="1"/>
  <c r="Q76" i="1" a="1"/>
  <c r="Q76" i="1" s="1"/>
  <c r="Q77" i="1" a="1"/>
  <c r="Q77" i="1" s="1"/>
  <c r="Q78" i="1" a="1"/>
  <c r="Q78" i="1" s="1"/>
  <c r="Q79" i="1" a="1"/>
  <c r="Q79" i="1" s="1"/>
  <c r="Q80" i="1" a="1"/>
  <c r="Q80" i="1" s="1"/>
  <c r="Q81" i="1" a="1"/>
  <c r="Q81" i="1" s="1"/>
  <c r="Q82" i="1" a="1"/>
  <c r="Q82" i="1" s="1"/>
  <c r="Q83" i="1" a="1"/>
  <c r="Q83" i="1" s="1"/>
  <c r="Q84" i="1" a="1"/>
  <c r="Q84" i="1" s="1"/>
  <c r="Q85" i="1" a="1"/>
  <c r="Q85" i="1" s="1"/>
  <c r="Q86" i="1" a="1"/>
  <c r="Q86" i="1" s="1"/>
  <c r="Q87" i="1" a="1"/>
  <c r="Q87" i="1" s="1"/>
  <c r="Q88" i="1" a="1"/>
  <c r="Q88" i="1" s="1"/>
  <c r="Q89" i="1" a="1"/>
  <c r="Q89" i="1" s="1"/>
  <c r="Q90" i="1" a="1"/>
  <c r="Q90" i="1" s="1"/>
  <c r="Q91" i="1" a="1"/>
  <c r="Q91" i="1" s="1"/>
  <c r="Q92" i="1" a="1"/>
  <c r="Q92" i="1" s="1"/>
  <c r="Q93" i="1" a="1"/>
  <c r="Q93" i="1" s="1"/>
  <c r="Q94" i="1" a="1"/>
  <c r="Q94" i="1" s="1"/>
  <c r="Q95" i="1" a="1"/>
  <c r="Q95" i="1" s="1"/>
  <c r="Q96" i="1" a="1"/>
  <c r="Q96" i="1" s="1"/>
  <c r="Q97" i="1" a="1"/>
  <c r="Q97" i="1" s="1"/>
  <c r="Q98" i="1" a="1"/>
  <c r="Q98" i="1" s="1"/>
  <c r="Q99" i="1" a="1"/>
  <c r="Q99" i="1" s="1"/>
  <c r="Q100" i="1" a="1"/>
  <c r="Q100" i="1" s="1"/>
  <c r="Q101" i="1" a="1"/>
  <c r="Q101" i="1" s="1"/>
  <c r="Q102" i="1" a="1"/>
  <c r="Q102" i="1" s="1"/>
  <c r="Q103" i="1" a="1"/>
  <c r="Q103" i="1" s="1"/>
  <c r="Q104" i="1" a="1"/>
  <c r="Q104" i="1" s="1"/>
  <c r="Q105" i="1" a="1"/>
  <c r="Q105" i="1" s="1"/>
  <c r="Q106" i="1" a="1"/>
  <c r="Q106" i="1" s="1"/>
  <c r="Q107" i="1" a="1"/>
  <c r="Q107" i="1" s="1"/>
  <c r="Q108" i="1" a="1"/>
  <c r="Q108" i="1" s="1"/>
  <c r="Q109" i="1" a="1"/>
  <c r="Q109" i="1" s="1"/>
  <c r="Q110" i="1" a="1"/>
  <c r="Q110" i="1" s="1"/>
  <c r="Q111" i="1" a="1"/>
  <c r="Q111" i="1" s="1"/>
  <c r="Q112" i="1" a="1"/>
  <c r="Q112" i="1" s="1"/>
  <c r="Q113" i="1" a="1"/>
  <c r="Q113" i="1" s="1"/>
  <c r="Q114" i="1" a="1"/>
  <c r="Q114" i="1" s="1"/>
  <c r="Q115" i="1" a="1"/>
  <c r="Q115" i="1" s="1"/>
  <c r="Q116" i="1" a="1"/>
  <c r="Q116" i="1" s="1"/>
  <c r="Q117" i="1" a="1"/>
  <c r="Q117" i="1" s="1"/>
  <c r="Q118" i="1" a="1"/>
  <c r="Q118" i="1" s="1"/>
  <c r="Q119" i="1" a="1"/>
  <c r="Q119" i="1" s="1"/>
  <c r="Q120" i="1" a="1"/>
  <c r="Q120" i="1" s="1"/>
  <c r="Q121" i="1" a="1"/>
  <c r="Q121" i="1" s="1"/>
  <c r="Q122" i="1" a="1"/>
  <c r="Q122" i="1" s="1"/>
  <c r="Q123" i="1" a="1"/>
  <c r="Q123" i="1" s="1"/>
  <c r="Q124" i="1" a="1"/>
  <c r="Q124" i="1" s="1"/>
  <c r="Q125" i="1" a="1"/>
  <c r="Q125" i="1" s="1"/>
  <c r="Q126" i="1" a="1"/>
  <c r="Q126" i="1" s="1"/>
  <c r="Q127" i="1" a="1"/>
  <c r="Q127" i="1" s="1"/>
  <c r="Q128" i="1" a="1"/>
  <c r="Q128" i="1" s="1"/>
  <c r="Q129" i="1" a="1"/>
  <c r="Q129" i="1" s="1"/>
  <c r="Q130" i="1" a="1"/>
  <c r="Q130" i="1" s="1"/>
  <c r="Q131" i="1" a="1"/>
  <c r="Q131" i="1" s="1"/>
  <c r="Q132" i="1" a="1"/>
  <c r="Q132" i="1" s="1"/>
  <c r="Q133" i="1" a="1"/>
  <c r="Q133" i="1" s="1"/>
  <c r="Q134" i="1" a="1"/>
  <c r="Q134" i="1" s="1"/>
  <c r="Q135" i="1" a="1"/>
  <c r="Q135" i="1" s="1"/>
  <c r="Q136" i="1" a="1"/>
  <c r="Q136" i="1" s="1"/>
  <c r="Q137" i="1" a="1"/>
  <c r="Q137" i="1" s="1"/>
  <c r="Q138" i="1" a="1"/>
  <c r="Q138" i="1" s="1"/>
  <c r="Q139" i="1" a="1"/>
  <c r="Q139" i="1" s="1"/>
  <c r="Q140" i="1" a="1"/>
  <c r="Q140" i="1" s="1"/>
  <c r="Q141" i="1" a="1"/>
  <c r="Q141" i="1" s="1"/>
  <c r="Q142" i="1" a="1"/>
  <c r="Q142" i="1" s="1"/>
  <c r="Q143" i="1" a="1"/>
  <c r="Q143" i="1" s="1"/>
  <c r="Q144" i="1" a="1"/>
  <c r="Q144" i="1" s="1"/>
  <c r="Q145" i="1" a="1"/>
  <c r="Q145" i="1" s="1"/>
  <c r="Q146" i="1" a="1"/>
  <c r="Q146" i="1" s="1"/>
  <c r="Q147" i="1" a="1"/>
  <c r="Q147" i="1" s="1"/>
  <c r="Q148" i="1" a="1"/>
  <c r="Q148" i="1" s="1"/>
  <c r="Q149" i="1" a="1"/>
  <c r="Q149" i="1" s="1"/>
  <c r="Q150" i="1" a="1"/>
  <c r="Q150" i="1" s="1"/>
  <c r="Q151" i="1" a="1"/>
  <c r="Q151" i="1" s="1"/>
  <c r="Q152" i="1" a="1"/>
  <c r="Q152" i="1" s="1"/>
  <c r="Q153" i="1" a="1"/>
  <c r="Q153" i="1" s="1"/>
  <c r="Q154" i="1" a="1"/>
  <c r="Q154" i="1" s="1"/>
  <c r="Q155" i="1" a="1"/>
  <c r="Q155" i="1" s="1"/>
  <c r="Q156" i="1" a="1"/>
  <c r="Q156" i="1" s="1"/>
  <c r="Q157" i="1" a="1"/>
  <c r="Q157" i="1" s="1"/>
  <c r="Q158" i="1" a="1"/>
  <c r="Q158" i="1" s="1"/>
  <c r="Q159" i="1" a="1"/>
  <c r="Q159" i="1" s="1"/>
  <c r="Q160" i="1" a="1"/>
  <c r="Q160" i="1" s="1"/>
  <c r="Q161" i="1" a="1"/>
  <c r="Q161" i="1" s="1"/>
  <c r="Q162" i="1" a="1"/>
  <c r="Q162" i="1" s="1"/>
  <c r="Q163" i="1" a="1"/>
  <c r="Q163" i="1" s="1"/>
  <c r="Q164" i="1" a="1"/>
  <c r="Q164" i="1" s="1"/>
  <c r="Q165" i="1" a="1"/>
  <c r="Q165" i="1" s="1"/>
  <c r="Q166" i="1" a="1"/>
  <c r="Q166" i="1" s="1"/>
  <c r="Q167" i="1" a="1"/>
  <c r="Q167" i="1" s="1"/>
  <c r="Q168" i="1" a="1"/>
  <c r="Q168" i="1" s="1"/>
  <c r="Q169" i="1" a="1"/>
  <c r="Q169" i="1" s="1"/>
  <c r="Q170" i="1" a="1"/>
  <c r="Q170" i="1" s="1"/>
  <c r="Q171" i="1" a="1"/>
  <c r="Q171" i="1" s="1"/>
  <c r="Q172" i="1" a="1"/>
  <c r="Q172" i="1" s="1"/>
  <c r="Q173" i="1" a="1"/>
  <c r="Q173" i="1" s="1"/>
  <c r="Q174" i="1" a="1"/>
  <c r="Q174" i="1" s="1"/>
  <c r="Q175" i="1" a="1"/>
  <c r="Q175" i="1" s="1"/>
  <c r="Q176" i="1" a="1"/>
  <c r="Q176" i="1" s="1"/>
  <c r="Q177" i="1" a="1"/>
  <c r="Q177" i="1" s="1"/>
  <c r="Q178" i="1" a="1"/>
  <c r="Q178" i="1" s="1"/>
  <c r="Q179" i="1" a="1"/>
  <c r="Q179" i="1" s="1"/>
  <c r="Q180" i="1" a="1"/>
  <c r="Q180" i="1" s="1"/>
  <c r="Q181" i="1" a="1"/>
  <c r="Q181" i="1" s="1"/>
  <c r="Q182" i="1" a="1"/>
  <c r="Q182" i="1" s="1"/>
  <c r="Q183" i="1" a="1"/>
  <c r="Q183" i="1" s="1"/>
  <c r="Q184" i="1" a="1"/>
  <c r="Q184" i="1" s="1"/>
  <c r="Q185" i="1" a="1"/>
  <c r="Q185" i="1" s="1"/>
  <c r="Q186" i="1" a="1"/>
  <c r="Q186" i="1" s="1"/>
  <c r="Q187" i="1" a="1"/>
  <c r="Q187" i="1" s="1"/>
  <c r="Q188" i="1" a="1"/>
  <c r="Q188" i="1" s="1"/>
  <c r="Q189" i="1" a="1"/>
  <c r="Q189" i="1" s="1"/>
  <c r="Q190" i="1" a="1"/>
  <c r="Q190" i="1" s="1"/>
  <c r="Q191" i="1" a="1"/>
  <c r="Q191" i="1" s="1"/>
  <c r="Q192" i="1" a="1"/>
  <c r="Q192" i="1" s="1"/>
  <c r="Q193" i="1" a="1"/>
  <c r="Q193" i="1" s="1"/>
  <c r="Q194" i="1" a="1"/>
  <c r="Q194" i="1" s="1"/>
  <c r="Q195" i="1" a="1"/>
  <c r="Q195" i="1" s="1"/>
  <c r="Q196" i="1" a="1"/>
  <c r="Q196" i="1" s="1"/>
  <c r="Q197" i="1" a="1"/>
  <c r="Q197" i="1" s="1"/>
  <c r="Q198" i="1" a="1"/>
  <c r="Q198" i="1" s="1"/>
  <c r="Q199" i="1" a="1"/>
  <c r="Q199" i="1" s="1"/>
  <c r="Q200" i="1" a="1"/>
  <c r="Q200" i="1" s="1"/>
  <c r="Q201" i="1" a="1"/>
  <c r="Q201" i="1" s="1"/>
  <c r="Q202" i="1" a="1"/>
  <c r="Q202" i="1" s="1"/>
  <c r="Q203" i="1" a="1"/>
  <c r="Q203" i="1" s="1"/>
  <c r="Q204" i="1" a="1"/>
  <c r="Q204" i="1" s="1"/>
  <c r="Q205" i="1" a="1"/>
  <c r="Q205" i="1" s="1"/>
  <c r="Q206" i="1" a="1"/>
  <c r="Q206" i="1" s="1"/>
  <c r="Q207" i="1" a="1"/>
  <c r="Q207" i="1" s="1"/>
  <c r="Q208" i="1" a="1"/>
  <c r="Q208" i="1" s="1"/>
  <c r="Q209" i="1" a="1"/>
  <c r="Q209" i="1" s="1"/>
  <c r="Q210" i="1" a="1"/>
  <c r="Q210" i="1" s="1"/>
  <c r="Q211" i="1" a="1"/>
  <c r="Q211" i="1" s="1"/>
  <c r="Q212" i="1" a="1"/>
  <c r="Q212" i="1" s="1"/>
  <c r="Q213" i="1" a="1"/>
  <c r="Q213" i="1" s="1"/>
  <c r="Q214" i="1" a="1"/>
  <c r="Q214" i="1" s="1"/>
  <c r="Q215" i="1" a="1"/>
  <c r="Q215" i="1" s="1"/>
  <c r="Q216" i="1" a="1"/>
  <c r="Q216" i="1" s="1"/>
  <c r="Q217" i="1" a="1"/>
  <c r="Q217" i="1" s="1"/>
  <c r="Q218" i="1" a="1"/>
  <c r="Q218" i="1" s="1"/>
  <c r="Q219" i="1" a="1"/>
  <c r="Q219" i="1" s="1"/>
  <c r="Q220" i="1" a="1"/>
  <c r="Q220" i="1" s="1"/>
  <c r="Q221" i="1" a="1"/>
  <c r="Q221" i="1" s="1"/>
  <c r="Q222" i="1" a="1"/>
  <c r="Q222" i="1" s="1"/>
  <c r="Q223" i="1" a="1"/>
  <c r="Q223" i="1" s="1"/>
  <c r="Q224" i="1" a="1"/>
  <c r="Q224" i="1" s="1"/>
  <c r="Q225" i="1" a="1"/>
  <c r="Q225" i="1" s="1"/>
  <c r="Q226" i="1" a="1"/>
  <c r="Q226" i="1" s="1"/>
  <c r="Q227" i="1" a="1"/>
  <c r="Q227" i="1" s="1"/>
  <c r="Q228" i="1" a="1"/>
  <c r="Q228" i="1" s="1"/>
  <c r="Q229" i="1" a="1"/>
  <c r="Q229" i="1" s="1"/>
  <c r="Q230" i="1" a="1"/>
  <c r="Q230" i="1" s="1"/>
  <c r="Q231" i="1" a="1"/>
  <c r="Q231" i="1" s="1"/>
  <c r="Q232" i="1" a="1"/>
  <c r="Q232" i="1" s="1"/>
  <c r="Q233" i="1" a="1"/>
  <c r="Q233" i="1" s="1"/>
  <c r="Q234" i="1" a="1"/>
  <c r="Q234" i="1" s="1"/>
  <c r="Q235" i="1" a="1"/>
  <c r="Q235" i="1" s="1"/>
  <c r="Q236" i="1" a="1"/>
  <c r="Q236" i="1" s="1"/>
  <c r="Q237" i="1" a="1"/>
  <c r="Q237" i="1" s="1"/>
  <c r="Q238" i="1" a="1"/>
  <c r="Q238" i="1" s="1"/>
  <c r="Q239" i="1" a="1"/>
  <c r="Q239" i="1" s="1"/>
  <c r="Q240" i="1" a="1"/>
  <c r="Q240" i="1" s="1"/>
  <c r="Q241" i="1" a="1"/>
  <c r="Q241" i="1" s="1"/>
  <c r="Q242" i="1" a="1"/>
  <c r="Q242" i="1" s="1"/>
  <c r="Q2" i="1" a="1"/>
  <c r="Q2" i="1" s="1"/>
  <c r="O3" i="1" a="1"/>
  <c r="O3" i="1" s="1"/>
  <c r="O4" i="1" a="1"/>
  <c r="O4" i="1" s="1"/>
  <c r="O5" i="1" a="1"/>
  <c r="O5" i="1" s="1"/>
  <c r="O6" i="1" a="1"/>
  <c r="O6" i="1" s="1"/>
  <c r="O7" i="1" a="1"/>
  <c r="O7" i="1" s="1"/>
  <c r="O8" i="1" a="1"/>
  <c r="O8" i="1" s="1"/>
  <c r="O9" i="1" a="1"/>
  <c r="O9" i="1" s="1"/>
  <c r="O10" i="1" a="1"/>
  <c r="O10" i="1" s="1"/>
  <c r="O11" i="1" a="1"/>
  <c r="O11" i="1" s="1"/>
  <c r="O12" i="1" a="1"/>
  <c r="O12" i="1" s="1"/>
  <c r="O13" i="1" a="1"/>
  <c r="O13" i="1" s="1"/>
  <c r="O14" i="1" a="1"/>
  <c r="O14" i="1" s="1"/>
  <c r="O15" i="1" a="1"/>
  <c r="O15" i="1" s="1"/>
  <c r="O16" i="1" a="1"/>
  <c r="O16" i="1" s="1"/>
  <c r="O17" i="1" a="1"/>
  <c r="O17" i="1" s="1"/>
  <c r="O18" i="1" a="1"/>
  <c r="O18" i="1" s="1"/>
  <c r="O19" i="1" a="1"/>
  <c r="O19" i="1" s="1"/>
  <c r="O20" i="1" a="1"/>
  <c r="O20" i="1" s="1"/>
  <c r="O21" i="1" a="1"/>
  <c r="O21" i="1" s="1"/>
  <c r="O22" i="1" a="1"/>
  <c r="O22" i="1" s="1"/>
  <c r="O23" i="1" a="1"/>
  <c r="O23" i="1" s="1"/>
  <c r="O24" i="1" a="1"/>
  <c r="O24" i="1" s="1"/>
  <c r="O25" i="1" a="1"/>
  <c r="O25" i="1" s="1"/>
  <c r="O26" i="1" a="1"/>
  <c r="O26" i="1" s="1"/>
  <c r="O27" i="1" a="1"/>
  <c r="O27" i="1" s="1"/>
  <c r="O28" i="1" a="1"/>
  <c r="O28" i="1" s="1"/>
  <c r="O29" i="1" a="1"/>
  <c r="O29" i="1" s="1"/>
  <c r="O30" i="1" a="1"/>
  <c r="O30" i="1" s="1"/>
  <c r="O31" i="1" a="1"/>
  <c r="O31" i="1" s="1"/>
  <c r="O32" i="1" a="1"/>
  <c r="O32" i="1" s="1"/>
  <c r="O33" i="1" a="1"/>
  <c r="O33" i="1" s="1"/>
  <c r="O34" i="1" a="1"/>
  <c r="O34" i="1" s="1"/>
  <c r="O35" i="1" a="1"/>
  <c r="O35" i="1" s="1"/>
  <c r="O36" i="1" a="1"/>
  <c r="O36" i="1" s="1"/>
  <c r="O37" i="1" a="1"/>
  <c r="O37" i="1" s="1"/>
  <c r="O38" i="1" a="1"/>
  <c r="O38" i="1" s="1"/>
  <c r="O39" i="1" a="1"/>
  <c r="O39" i="1" s="1"/>
  <c r="O40" i="1" a="1"/>
  <c r="O40" i="1" s="1"/>
  <c r="O41" i="1" a="1"/>
  <c r="O41" i="1" s="1"/>
  <c r="O42" i="1" a="1"/>
  <c r="O42" i="1" s="1"/>
  <c r="O43" i="1" a="1"/>
  <c r="O43" i="1" s="1"/>
  <c r="O44" i="1" a="1"/>
  <c r="O44" i="1" s="1"/>
  <c r="O45" i="1" a="1"/>
  <c r="O45" i="1" s="1"/>
  <c r="O46" i="1" a="1"/>
  <c r="O46" i="1" s="1"/>
  <c r="O47" i="1" a="1"/>
  <c r="O47" i="1" s="1"/>
  <c r="O48" i="1" a="1"/>
  <c r="O48" i="1" s="1"/>
  <c r="O49" i="1" a="1"/>
  <c r="O49" i="1" s="1"/>
  <c r="O50" i="1" a="1"/>
  <c r="O50" i="1" s="1"/>
  <c r="O51" i="1" a="1"/>
  <c r="O51" i="1" s="1"/>
  <c r="O52" i="1" a="1"/>
  <c r="O52" i="1" s="1"/>
  <c r="O53" i="1" a="1"/>
  <c r="O53" i="1" s="1"/>
  <c r="O54" i="1" a="1"/>
  <c r="O54" i="1" s="1"/>
  <c r="O55" i="1" a="1"/>
  <c r="O55" i="1" s="1"/>
  <c r="O56" i="1" a="1"/>
  <c r="O56" i="1" s="1"/>
  <c r="O57" i="1" a="1"/>
  <c r="O57" i="1" s="1"/>
  <c r="O58" i="1" a="1"/>
  <c r="O58" i="1" s="1"/>
  <c r="O59" i="1" a="1"/>
  <c r="O59" i="1" s="1"/>
  <c r="O60" i="1" a="1"/>
  <c r="O60" i="1" s="1"/>
  <c r="O61" i="1" a="1"/>
  <c r="O61" i="1" s="1"/>
  <c r="O62" i="1" a="1"/>
  <c r="O62" i="1" s="1"/>
  <c r="O63" i="1" a="1"/>
  <c r="O63" i="1" s="1"/>
  <c r="O64" i="1" a="1"/>
  <c r="O64" i="1" s="1"/>
  <c r="O65" i="1" a="1"/>
  <c r="O65" i="1" s="1"/>
  <c r="O66" i="1" a="1"/>
  <c r="O66" i="1" s="1"/>
  <c r="O67" i="1" a="1"/>
  <c r="O67" i="1" s="1"/>
  <c r="O68" i="1" a="1"/>
  <c r="O68" i="1" s="1"/>
  <c r="O69" i="1" a="1"/>
  <c r="O69" i="1" s="1"/>
  <c r="O70" i="1" a="1"/>
  <c r="O70" i="1" s="1"/>
  <c r="O71" i="1" a="1"/>
  <c r="O71" i="1" s="1"/>
  <c r="O72" i="1" a="1"/>
  <c r="O72" i="1" s="1"/>
  <c r="O73" i="1" a="1"/>
  <c r="O73" i="1" s="1"/>
  <c r="O74" i="1" a="1"/>
  <c r="O74" i="1" s="1"/>
  <c r="O75" i="1" a="1"/>
  <c r="O75" i="1" s="1"/>
  <c r="O76" i="1" a="1"/>
  <c r="O76" i="1" s="1"/>
  <c r="O77" i="1" a="1"/>
  <c r="O77" i="1" s="1"/>
  <c r="O78" i="1" a="1"/>
  <c r="O78" i="1" s="1"/>
  <c r="O79" i="1" a="1"/>
  <c r="O79" i="1" s="1"/>
  <c r="O80" i="1" a="1"/>
  <c r="O80" i="1" s="1"/>
  <c r="O81" i="1" a="1"/>
  <c r="O81" i="1" s="1"/>
  <c r="O82" i="1" a="1"/>
  <c r="O82" i="1" s="1"/>
  <c r="O83" i="1" a="1"/>
  <c r="O83" i="1" s="1"/>
  <c r="O84" i="1" a="1"/>
  <c r="O84" i="1" s="1"/>
  <c r="O85" i="1" a="1"/>
  <c r="O85" i="1" s="1"/>
  <c r="O86" i="1" a="1"/>
  <c r="O86" i="1" s="1"/>
  <c r="O87" i="1" a="1"/>
  <c r="O87" i="1" s="1"/>
  <c r="O88" i="1" a="1"/>
  <c r="O88" i="1" s="1"/>
  <c r="O89" i="1" a="1"/>
  <c r="O89" i="1" s="1"/>
  <c r="O90" i="1" a="1"/>
  <c r="O90" i="1" s="1"/>
  <c r="O91" i="1" a="1"/>
  <c r="O91" i="1" s="1"/>
  <c r="O92" i="1" a="1"/>
  <c r="O92" i="1" s="1"/>
  <c r="O93" i="1" a="1"/>
  <c r="O93" i="1" s="1"/>
  <c r="O94" i="1" a="1"/>
  <c r="O94" i="1" s="1"/>
  <c r="O95" i="1" a="1"/>
  <c r="O95" i="1" s="1"/>
  <c r="O96" i="1" a="1"/>
  <c r="O96" i="1" s="1"/>
  <c r="O97" i="1" a="1"/>
  <c r="O97" i="1" s="1"/>
  <c r="O98" i="1" a="1"/>
  <c r="O98" i="1" s="1"/>
  <c r="O99" i="1" a="1"/>
  <c r="O99" i="1" s="1"/>
  <c r="O100" i="1" a="1"/>
  <c r="O100" i="1" s="1"/>
  <c r="O101" i="1" a="1"/>
  <c r="O101" i="1" s="1"/>
  <c r="O102" i="1" a="1"/>
  <c r="O102" i="1" s="1"/>
  <c r="O103" i="1" a="1"/>
  <c r="O103" i="1" s="1"/>
  <c r="O104" i="1" a="1"/>
  <c r="O104" i="1" s="1"/>
  <c r="O105" i="1" a="1"/>
  <c r="O105" i="1" s="1"/>
  <c r="O106" i="1" a="1"/>
  <c r="O106" i="1" s="1"/>
  <c r="O107" i="1" a="1"/>
  <c r="O107" i="1" s="1"/>
  <c r="O108" i="1" a="1"/>
  <c r="O108" i="1" s="1"/>
  <c r="O109" i="1" a="1"/>
  <c r="O109" i="1" s="1"/>
  <c r="O110" i="1" a="1"/>
  <c r="O110" i="1" s="1"/>
  <c r="O111" i="1" a="1"/>
  <c r="O111" i="1" s="1"/>
  <c r="O112" i="1" a="1"/>
  <c r="O112" i="1" s="1"/>
  <c r="O113" i="1" a="1"/>
  <c r="O113" i="1" s="1"/>
  <c r="O114" i="1" a="1"/>
  <c r="O114" i="1" s="1"/>
  <c r="O115" i="1" a="1"/>
  <c r="O115" i="1" s="1"/>
  <c r="O116" i="1" a="1"/>
  <c r="O116" i="1" s="1"/>
  <c r="O117" i="1" a="1"/>
  <c r="O117" i="1" s="1"/>
  <c r="O118" i="1" a="1"/>
  <c r="O118" i="1" s="1"/>
  <c r="O119" i="1" a="1"/>
  <c r="O119" i="1" s="1"/>
  <c r="O120" i="1" a="1"/>
  <c r="O120" i="1" s="1"/>
  <c r="O121" i="1" a="1"/>
  <c r="O121" i="1" s="1"/>
  <c r="O122" i="1" a="1"/>
  <c r="O122" i="1" s="1"/>
  <c r="O123" i="1" a="1"/>
  <c r="O123" i="1" s="1"/>
  <c r="O124" i="1" a="1"/>
  <c r="O124" i="1" s="1"/>
  <c r="O125" i="1" a="1"/>
  <c r="O125" i="1" s="1"/>
  <c r="O126" i="1" a="1"/>
  <c r="O126" i="1" s="1"/>
  <c r="O127" i="1" a="1"/>
  <c r="O127" i="1" s="1"/>
  <c r="O128" i="1" a="1"/>
  <c r="O128" i="1" s="1"/>
  <c r="O129" i="1" a="1"/>
  <c r="O129" i="1" s="1"/>
  <c r="O130" i="1" a="1"/>
  <c r="O130" i="1" s="1"/>
  <c r="O131" i="1" a="1"/>
  <c r="O131" i="1" s="1"/>
  <c r="O132" i="1" a="1"/>
  <c r="O132" i="1" s="1"/>
  <c r="O133" i="1" a="1"/>
  <c r="O133" i="1" s="1"/>
  <c r="O134" i="1" a="1"/>
  <c r="O134" i="1" s="1"/>
  <c r="O135" i="1" a="1"/>
  <c r="O135" i="1" s="1"/>
  <c r="O136" i="1" a="1"/>
  <c r="O136" i="1" s="1"/>
  <c r="O137" i="1" a="1"/>
  <c r="O137" i="1" s="1"/>
  <c r="O138" i="1" a="1"/>
  <c r="O138" i="1" s="1"/>
  <c r="O139" i="1" a="1"/>
  <c r="O139" i="1" s="1"/>
  <c r="O140" i="1" a="1"/>
  <c r="O140" i="1" s="1"/>
  <c r="O141" i="1" a="1"/>
  <c r="O141" i="1" s="1"/>
  <c r="O142" i="1" a="1"/>
  <c r="O142" i="1" s="1"/>
  <c r="O143" i="1" a="1"/>
  <c r="O143" i="1" s="1"/>
  <c r="O144" i="1" a="1"/>
  <c r="O144" i="1" s="1"/>
  <c r="O145" i="1" a="1"/>
  <c r="O145" i="1" s="1"/>
  <c r="O146" i="1" a="1"/>
  <c r="O146" i="1" s="1"/>
  <c r="O147" i="1" a="1"/>
  <c r="O147" i="1" s="1"/>
  <c r="O148" i="1" a="1"/>
  <c r="O148" i="1" s="1"/>
  <c r="O149" i="1" a="1"/>
  <c r="O149" i="1" s="1"/>
  <c r="O150" i="1" a="1"/>
  <c r="O150" i="1" s="1"/>
  <c r="O151" i="1" a="1"/>
  <c r="O151" i="1" s="1"/>
  <c r="O152" i="1" a="1"/>
  <c r="O152" i="1" s="1"/>
  <c r="O153" i="1" a="1"/>
  <c r="O153" i="1" s="1"/>
  <c r="O154" i="1" a="1"/>
  <c r="O154" i="1" s="1"/>
  <c r="O155" i="1" a="1"/>
  <c r="O155" i="1" s="1"/>
  <c r="O156" i="1" a="1"/>
  <c r="O156" i="1" s="1"/>
  <c r="O157" i="1" a="1"/>
  <c r="O157" i="1" s="1"/>
  <c r="O158" i="1" a="1"/>
  <c r="O158" i="1" s="1"/>
  <c r="O159" i="1" a="1"/>
  <c r="O159" i="1" s="1"/>
  <c r="O160" i="1" a="1"/>
  <c r="O160" i="1" s="1"/>
  <c r="O161" i="1" a="1"/>
  <c r="O161" i="1" s="1"/>
  <c r="O162" i="1" a="1"/>
  <c r="O162" i="1" s="1"/>
  <c r="O163" i="1" a="1"/>
  <c r="O163" i="1" s="1"/>
  <c r="O164" i="1" a="1"/>
  <c r="O164" i="1" s="1"/>
  <c r="O165" i="1" a="1"/>
  <c r="O165" i="1" s="1"/>
  <c r="O166" i="1" a="1"/>
  <c r="O166" i="1" s="1"/>
  <c r="O167" i="1" a="1"/>
  <c r="O167" i="1" s="1"/>
  <c r="O168" i="1" a="1"/>
  <c r="O168" i="1" s="1"/>
  <c r="O169" i="1" a="1"/>
  <c r="O169" i="1" s="1"/>
  <c r="O170" i="1" a="1"/>
  <c r="O170" i="1" s="1"/>
  <c r="O171" i="1" a="1"/>
  <c r="O171" i="1" s="1"/>
  <c r="O172" i="1" a="1"/>
  <c r="O172" i="1" s="1"/>
  <c r="O173" i="1" a="1"/>
  <c r="O173" i="1" s="1"/>
  <c r="O174" i="1" a="1"/>
  <c r="O174" i="1" s="1"/>
  <c r="O175" i="1" a="1"/>
  <c r="O175" i="1" s="1"/>
  <c r="O176" i="1" a="1"/>
  <c r="O176" i="1" s="1"/>
  <c r="O177" i="1" a="1"/>
  <c r="O177" i="1" s="1"/>
  <c r="O178" i="1" a="1"/>
  <c r="O178" i="1" s="1"/>
  <c r="O179" i="1" a="1"/>
  <c r="O179" i="1" s="1"/>
  <c r="O180" i="1" a="1"/>
  <c r="O180" i="1" s="1"/>
  <c r="O181" i="1" a="1"/>
  <c r="O181" i="1" s="1"/>
  <c r="O182" i="1" a="1"/>
  <c r="O182" i="1" s="1"/>
  <c r="O183" i="1" a="1"/>
  <c r="O183" i="1" s="1"/>
  <c r="O184" i="1" a="1"/>
  <c r="O184" i="1" s="1"/>
  <c r="O185" i="1" a="1"/>
  <c r="O185" i="1" s="1"/>
  <c r="O186" i="1" a="1"/>
  <c r="O186" i="1" s="1"/>
  <c r="O187" i="1" a="1"/>
  <c r="O187" i="1" s="1"/>
  <c r="O188" i="1" a="1"/>
  <c r="O188" i="1" s="1"/>
  <c r="O189" i="1" a="1"/>
  <c r="O189" i="1" s="1"/>
  <c r="O190" i="1" a="1"/>
  <c r="O190" i="1" s="1"/>
  <c r="O191" i="1" a="1"/>
  <c r="O191" i="1" s="1"/>
  <c r="O192" i="1" a="1"/>
  <c r="O192" i="1" s="1"/>
  <c r="O193" i="1" a="1"/>
  <c r="O193" i="1" s="1"/>
  <c r="O194" i="1" a="1"/>
  <c r="O194" i="1" s="1"/>
  <c r="O195" i="1" a="1"/>
  <c r="O195" i="1" s="1"/>
  <c r="O196" i="1" a="1"/>
  <c r="O196" i="1" s="1"/>
  <c r="O197" i="1" a="1"/>
  <c r="O197" i="1" s="1"/>
  <c r="O198" i="1" a="1"/>
  <c r="O198" i="1" s="1"/>
  <c r="O199" i="1" a="1"/>
  <c r="O199" i="1" s="1"/>
  <c r="O200" i="1" a="1"/>
  <c r="O200" i="1" s="1"/>
  <c r="O201" i="1" a="1"/>
  <c r="O201" i="1" s="1"/>
  <c r="O202" i="1" a="1"/>
  <c r="O202" i="1" s="1"/>
  <c r="O203" i="1" a="1"/>
  <c r="O203" i="1" s="1"/>
  <c r="O204" i="1" a="1"/>
  <c r="O204" i="1" s="1"/>
  <c r="O205" i="1" a="1"/>
  <c r="O205" i="1" s="1"/>
  <c r="O206" i="1" a="1"/>
  <c r="O206" i="1" s="1"/>
  <c r="O207" i="1" a="1"/>
  <c r="O207" i="1" s="1"/>
  <c r="O208" i="1" a="1"/>
  <c r="O208" i="1" s="1"/>
  <c r="O209" i="1" a="1"/>
  <c r="O209" i="1" s="1"/>
  <c r="O210" i="1" a="1"/>
  <c r="O210" i="1" s="1"/>
  <c r="O211" i="1" a="1"/>
  <c r="O211" i="1" s="1"/>
  <c r="O212" i="1" a="1"/>
  <c r="O212" i="1" s="1"/>
  <c r="O213" i="1" a="1"/>
  <c r="O213" i="1" s="1"/>
  <c r="O214" i="1" a="1"/>
  <c r="O214" i="1" s="1"/>
  <c r="O215" i="1" a="1"/>
  <c r="O215" i="1" s="1"/>
  <c r="O216" i="1" a="1"/>
  <c r="O216" i="1" s="1"/>
  <c r="O217" i="1" a="1"/>
  <c r="O217" i="1" s="1"/>
  <c r="O218" i="1" a="1"/>
  <c r="O218" i="1" s="1"/>
  <c r="O219" i="1" a="1"/>
  <c r="O219" i="1" s="1"/>
  <c r="O220" i="1" a="1"/>
  <c r="O220" i="1" s="1"/>
  <c r="O221" i="1" a="1"/>
  <c r="O221" i="1" s="1"/>
  <c r="O222" i="1" a="1"/>
  <c r="O222" i="1" s="1"/>
  <c r="O223" i="1" a="1"/>
  <c r="O223" i="1" s="1"/>
  <c r="O224" i="1" a="1"/>
  <c r="O224" i="1" s="1"/>
  <c r="O225" i="1" a="1"/>
  <c r="O225" i="1" s="1"/>
  <c r="O226" i="1" a="1"/>
  <c r="O226" i="1" s="1"/>
  <c r="O227" i="1" a="1"/>
  <c r="O227" i="1" s="1"/>
  <c r="O228" i="1" a="1"/>
  <c r="O228" i="1" s="1"/>
  <c r="O229" i="1" a="1"/>
  <c r="O229" i="1" s="1"/>
  <c r="O230" i="1" a="1"/>
  <c r="O230" i="1" s="1"/>
  <c r="O231" i="1" a="1"/>
  <c r="O231" i="1" s="1"/>
  <c r="O232" i="1" a="1"/>
  <c r="O232" i="1" s="1"/>
  <c r="O233" i="1" a="1"/>
  <c r="O233" i="1" s="1"/>
  <c r="O234" i="1" a="1"/>
  <c r="O234" i="1" s="1"/>
  <c r="O235" i="1" a="1"/>
  <c r="O235" i="1" s="1"/>
  <c r="O236" i="1" a="1"/>
  <c r="O236" i="1" s="1"/>
  <c r="O237" i="1" a="1"/>
  <c r="O237" i="1" s="1"/>
  <c r="O238" i="1" a="1"/>
  <c r="O238" i="1" s="1"/>
  <c r="O239" i="1" a="1"/>
  <c r="O239" i="1" s="1"/>
  <c r="O240" i="1" a="1"/>
  <c r="O240" i="1" s="1"/>
  <c r="O241" i="1" a="1"/>
  <c r="O241" i="1" s="1"/>
  <c r="O242" i="1" a="1"/>
  <c r="O242" i="1" s="1"/>
  <c r="O2" i="1" a="1"/>
  <c r="O2" i="1" s="1"/>
  <c r="P2" i="1"/>
  <c r="M3" i="1" a="1"/>
  <c r="M3" i="1" s="1"/>
  <c r="M4" i="1" a="1"/>
  <c r="M4" i="1" s="1"/>
  <c r="M5" i="1" a="1"/>
  <c r="M5" i="1" s="1"/>
  <c r="M6" i="1" a="1"/>
  <c r="M6" i="1" s="1"/>
  <c r="M7" i="1" a="1"/>
  <c r="M7" i="1" s="1"/>
  <c r="M8" i="1" a="1"/>
  <c r="M8" i="1" s="1"/>
  <c r="M9" i="1" a="1"/>
  <c r="M9" i="1" s="1"/>
  <c r="M10" i="1" a="1"/>
  <c r="M10" i="1" s="1"/>
  <c r="M11" i="1" a="1"/>
  <c r="M11" i="1" s="1"/>
  <c r="M12" i="1" a="1"/>
  <c r="M12" i="1" s="1"/>
  <c r="M13" i="1" a="1"/>
  <c r="M13" i="1" s="1"/>
  <c r="M14" i="1" a="1"/>
  <c r="M14" i="1" s="1"/>
  <c r="M15" i="1" a="1"/>
  <c r="M15" i="1" s="1"/>
  <c r="M16" i="1" a="1"/>
  <c r="M16" i="1" s="1"/>
  <c r="M17" i="1" a="1"/>
  <c r="M17" i="1" s="1"/>
  <c r="M18" i="1" a="1"/>
  <c r="M18" i="1" s="1"/>
  <c r="M19" i="1" a="1"/>
  <c r="M19" i="1" s="1"/>
  <c r="M20" i="1" a="1"/>
  <c r="M20" i="1" s="1"/>
  <c r="M21" i="1" a="1"/>
  <c r="M21" i="1" s="1"/>
  <c r="M22" i="1" a="1"/>
  <c r="M22" i="1" s="1"/>
  <c r="M23" i="1" a="1"/>
  <c r="M23" i="1" s="1"/>
  <c r="M24" i="1" a="1"/>
  <c r="M24" i="1" s="1"/>
  <c r="M25" i="1" a="1"/>
  <c r="M25" i="1" s="1"/>
  <c r="M26" i="1" a="1"/>
  <c r="M26" i="1" s="1"/>
  <c r="M27" i="1" a="1"/>
  <c r="M27" i="1" s="1"/>
  <c r="M28" i="1" a="1"/>
  <c r="M28" i="1" s="1"/>
  <c r="M29" i="1" a="1"/>
  <c r="M29" i="1" s="1"/>
  <c r="M30" i="1" a="1"/>
  <c r="M30" i="1" s="1"/>
  <c r="M31" i="1" a="1"/>
  <c r="M31" i="1" s="1"/>
  <c r="M32" i="1" a="1"/>
  <c r="M32" i="1" s="1"/>
  <c r="M33" i="1" a="1"/>
  <c r="M33" i="1" s="1"/>
  <c r="M34" i="1" a="1"/>
  <c r="M34" i="1" s="1"/>
  <c r="M35" i="1" a="1"/>
  <c r="M35" i="1" s="1"/>
  <c r="M36" i="1" a="1"/>
  <c r="M36" i="1" s="1"/>
  <c r="M37" i="1" a="1"/>
  <c r="M37" i="1" s="1"/>
  <c r="M38" i="1" a="1"/>
  <c r="M38" i="1" s="1"/>
  <c r="M39" i="1" a="1"/>
  <c r="M39" i="1" s="1"/>
  <c r="M40" i="1" a="1"/>
  <c r="M40" i="1" s="1"/>
  <c r="M41" i="1" a="1"/>
  <c r="M41" i="1" s="1"/>
  <c r="M42" i="1" a="1"/>
  <c r="M42" i="1" s="1"/>
  <c r="M43" i="1" a="1"/>
  <c r="M43" i="1" s="1"/>
  <c r="M44" i="1" a="1"/>
  <c r="M44" i="1" s="1"/>
  <c r="M45" i="1" a="1"/>
  <c r="M45" i="1" s="1"/>
  <c r="M46" i="1" a="1"/>
  <c r="M46" i="1" s="1"/>
  <c r="M47" i="1" a="1"/>
  <c r="M47" i="1" s="1"/>
  <c r="M48" i="1" a="1"/>
  <c r="M48" i="1" s="1"/>
  <c r="M49" i="1" a="1"/>
  <c r="M49" i="1" s="1"/>
  <c r="M50" i="1" a="1"/>
  <c r="M50" i="1" s="1"/>
  <c r="M51" i="1" a="1"/>
  <c r="M51" i="1" s="1"/>
  <c r="M52" i="1" a="1"/>
  <c r="M52" i="1" s="1"/>
  <c r="M53" i="1" a="1"/>
  <c r="M53" i="1" s="1"/>
  <c r="M54" i="1" a="1"/>
  <c r="M54" i="1" s="1"/>
  <c r="M55" i="1" a="1"/>
  <c r="M55" i="1" s="1"/>
  <c r="M56" i="1" a="1"/>
  <c r="M56" i="1" s="1"/>
  <c r="M57" i="1" a="1"/>
  <c r="M57" i="1" s="1"/>
  <c r="M58" i="1" a="1"/>
  <c r="M58" i="1" s="1"/>
  <c r="M59" i="1" a="1"/>
  <c r="M59" i="1" s="1"/>
  <c r="M60" i="1" a="1"/>
  <c r="M60" i="1" s="1"/>
  <c r="M61" i="1" a="1"/>
  <c r="M61" i="1" s="1"/>
  <c r="M62" i="1" a="1"/>
  <c r="M62" i="1" s="1"/>
  <c r="M63" i="1" a="1"/>
  <c r="M63" i="1" s="1"/>
  <c r="M64" i="1" a="1"/>
  <c r="M64" i="1" s="1"/>
  <c r="M65" i="1" a="1"/>
  <c r="M65" i="1" s="1"/>
  <c r="M66" i="1" a="1"/>
  <c r="M66" i="1" s="1"/>
  <c r="M67" i="1" a="1"/>
  <c r="M67" i="1" s="1"/>
  <c r="M68" i="1" a="1"/>
  <c r="M68" i="1" s="1"/>
  <c r="M69" i="1" a="1"/>
  <c r="M69" i="1" s="1"/>
  <c r="M70" i="1" a="1"/>
  <c r="M70" i="1" s="1"/>
  <c r="M71" i="1" a="1"/>
  <c r="M71" i="1" s="1"/>
  <c r="M72" i="1" a="1"/>
  <c r="M72" i="1" s="1"/>
  <c r="M73" i="1" a="1"/>
  <c r="M73" i="1" s="1"/>
  <c r="M74" i="1" a="1"/>
  <c r="M74" i="1" s="1"/>
  <c r="M75" i="1" a="1"/>
  <c r="M75" i="1" s="1"/>
  <c r="M76" i="1" a="1"/>
  <c r="M76" i="1" s="1"/>
  <c r="M77" i="1" a="1"/>
  <c r="M77" i="1" s="1"/>
  <c r="M78" i="1" a="1"/>
  <c r="M78" i="1" s="1"/>
  <c r="M79" i="1" a="1"/>
  <c r="M79" i="1" s="1"/>
  <c r="M80" i="1" a="1"/>
  <c r="M80" i="1" s="1"/>
  <c r="M81" i="1" a="1"/>
  <c r="M81" i="1" s="1"/>
  <c r="M82" i="1" a="1"/>
  <c r="M82" i="1" s="1"/>
  <c r="M83" i="1" a="1"/>
  <c r="M83" i="1" s="1"/>
  <c r="M84" i="1" a="1"/>
  <c r="M84" i="1" s="1"/>
  <c r="M85" i="1" a="1"/>
  <c r="M85" i="1" s="1"/>
  <c r="M86" i="1" a="1"/>
  <c r="M86" i="1" s="1"/>
  <c r="M87" i="1" a="1"/>
  <c r="M87" i="1" s="1"/>
  <c r="M88" i="1" a="1"/>
  <c r="M88" i="1" s="1"/>
  <c r="M89" i="1" a="1"/>
  <c r="M89" i="1" s="1"/>
  <c r="M90" i="1" a="1"/>
  <c r="M90" i="1" s="1"/>
  <c r="M91" i="1" a="1"/>
  <c r="M91" i="1" s="1"/>
  <c r="M92" i="1" a="1"/>
  <c r="M92" i="1" s="1"/>
  <c r="M93" i="1" a="1"/>
  <c r="M93" i="1" s="1"/>
  <c r="M94" i="1" a="1"/>
  <c r="M94" i="1" s="1"/>
  <c r="M95" i="1" a="1"/>
  <c r="M95" i="1" s="1"/>
  <c r="M96" i="1" a="1"/>
  <c r="M96" i="1" s="1"/>
  <c r="M97" i="1" a="1"/>
  <c r="M97" i="1" s="1"/>
  <c r="M98" i="1" a="1"/>
  <c r="M98" i="1" s="1"/>
  <c r="M99" i="1" a="1"/>
  <c r="M99" i="1" s="1"/>
  <c r="M100" i="1" a="1"/>
  <c r="M100" i="1" s="1"/>
  <c r="M101" i="1" a="1"/>
  <c r="M101" i="1" s="1"/>
  <c r="M102" i="1" a="1"/>
  <c r="M102" i="1" s="1"/>
  <c r="M103" i="1" a="1"/>
  <c r="M103" i="1" s="1"/>
  <c r="M104" i="1" a="1"/>
  <c r="M104" i="1" s="1"/>
  <c r="M105" i="1" a="1"/>
  <c r="M105" i="1" s="1"/>
  <c r="M106" i="1" a="1"/>
  <c r="M106" i="1" s="1"/>
  <c r="M107" i="1" a="1"/>
  <c r="M107" i="1" s="1"/>
  <c r="M108" i="1" a="1"/>
  <c r="M108" i="1" s="1"/>
  <c r="M109" i="1" a="1"/>
  <c r="M109" i="1" s="1"/>
  <c r="M110" i="1" a="1"/>
  <c r="M110" i="1" s="1"/>
  <c r="M111" i="1" a="1"/>
  <c r="M111" i="1" s="1"/>
  <c r="M112" i="1" a="1"/>
  <c r="M112" i="1" s="1"/>
  <c r="M113" i="1" a="1"/>
  <c r="M113" i="1" s="1"/>
  <c r="M114" i="1" a="1"/>
  <c r="M114" i="1" s="1"/>
  <c r="M115" i="1" a="1"/>
  <c r="M115" i="1" s="1"/>
  <c r="M116" i="1" a="1"/>
  <c r="M116" i="1" s="1"/>
  <c r="M117" i="1" a="1"/>
  <c r="M117" i="1" s="1"/>
  <c r="M118" i="1" a="1"/>
  <c r="M118" i="1" s="1"/>
  <c r="M119" i="1" a="1"/>
  <c r="M119" i="1" s="1"/>
  <c r="M120" i="1" a="1"/>
  <c r="M120" i="1" s="1"/>
  <c r="M121" i="1" a="1"/>
  <c r="M121" i="1" s="1"/>
  <c r="M122" i="1" a="1"/>
  <c r="M122" i="1" s="1"/>
  <c r="M123" i="1" a="1"/>
  <c r="M123" i="1" s="1"/>
  <c r="M124" i="1" a="1"/>
  <c r="M124" i="1" s="1"/>
  <c r="M125" i="1" a="1"/>
  <c r="M125" i="1" s="1"/>
  <c r="M126" i="1" a="1"/>
  <c r="M126" i="1" s="1"/>
  <c r="M127" i="1" a="1"/>
  <c r="M127" i="1" s="1"/>
  <c r="M128" i="1" a="1"/>
  <c r="M128" i="1" s="1"/>
  <c r="M129" i="1" a="1"/>
  <c r="M129" i="1" s="1"/>
  <c r="M130" i="1" a="1"/>
  <c r="M130" i="1" s="1"/>
  <c r="M131" i="1" a="1"/>
  <c r="M131" i="1" s="1"/>
  <c r="M132" i="1" a="1"/>
  <c r="M132" i="1" s="1"/>
  <c r="M133" i="1" a="1"/>
  <c r="M133" i="1" s="1"/>
  <c r="M134" i="1" a="1"/>
  <c r="M134" i="1" s="1"/>
  <c r="M135" i="1" a="1"/>
  <c r="M135" i="1" s="1"/>
  <c r="M136" i="1" a="1"/>
  <c r="M136" i="1" s="1"/>
  <c r="M137" i="1" a="1"/>
  <c r="M137" i="1" s="1"/>
  <c r="M138" i="1" a="1"/>
  <c r="M138" i="1" s="1"/>
  <c r="M139" i="1" a="1"/>
  <c r="M139" i="1" s="1"/>
  <c r="M140" i="1" a="1"/>
  <c r="M140" i="1" s="1"/>
  <c r="M141" i="1" a="1"/>
  <c r="M141" i="1" s="1"/>
  <c r="M142" i="1" a="1"/>
  <c r="M142" i="1" s="1"/>
  <c r="M143" i="1" a="1"/>
  <c r="M143" i="1" s="1"/>
  <c r="M144" i="1" a="1"/>
  <c r="M144" i="1" s="1"/>
  <c r="M145" i="1" a="1"/>
  <c r="M145" i="1" s="1"/>
  <c r="M146" i="1" a="1"/>
  <c r="M146" i="1" s="1"/>
  <c r="M147" i="1" a="1"/>
  <c r="M147" i="1" s="1"/>
  <c r="M148" i="1" a="1"/>
  <c r="M148" i="1" s="1"/>
  <c r="M149" i="1" a="1"/>
  <c r="M149" i="1" s="1"/>
  <c r="M150" i="1" a="1"/>
  <c r="M150" i="1" s="1"/>
  <c r="M151" i="1" a="1"/>
  <c r="M151" i="1" s="1"/>
  <c r="M152" i="1" a="1"/>
  <c r="M152" i="1" s="1"/>
  <c r="M153" i="1" a="1"/>
  <c r="M153" i="1" s="1"/>
  <c r="M154" i="1" a="1"/>
  <c r="M154" i="1" s="1"/>
  <c r="M155" i="1" a="1"/>
  <c r="M155" i="1" s="1"/>
  <c r="M156" i="1" a="1"/>
  <c r="M156" i="1" s="1"/>
  <c r="M157" i="1" a="1"/>
  <c r="M157" i="1" s="1"/>
  <c r="M158" i="1" a="1"/>
  <c r="M158" i="1" s="1"/>
  <c r="M159" i="1" a="1"/>
  <c r="M159" i="1" s="1"/>
  <c r="M160" i="1" a="1"/>
  <c r="M160" i="1" s="1"/>
  <c r="M161" i="1" a="1"/>
  <c r="M161" i="1" s="1"/>
  <c r="M162" i="1" a="1"/>
  <c r="M162" i="1" s="1"/>
  <c r="M163" i="1" a="1"/>
  <c r="M163" i="1" s="1"/>
  <c r="M164" i="1" a="1"/>
  <c r="M164" i="1" s="1"/>
  <c r="M165" i="1" a="1"/>
  <c r="M165" i="1" s="1"/>
  <c r="M166" i="1" a="1"/>
  <c r="M166" i="1" s="1"/>
  <c r="M167" i="1" a="1"/>
  <c r="M167" i="1" s="1"/>
  <c r="M168" i="1" a="1"/>
  <c r="M168" i="1" s="1"/>
  <c r="M169" i="1" a="1"/>
  <c r="M169" i="1" s="1"/>
  <c r="M170" i="1" a="1"/>
  <c r="M170" i="1" s="1"/>
  <c r="M171" i="1" a="1"/>
  <c r="M171" i="1" s="1"/>
  <c r="M172" i="1" a="1"/>
  <c r="M172" i="1" s="1"/>
  <c r="M173" i="1" a="1"/>
  <c r="M173" i="1" s="1"/>
  <c r="M174" i="1" a="1"/>
  <c r="M174" i="1" s="1"/>
  <c r="M175" i="1" a="1"/>
  <c r="M175" i="1" s="1"/>
  <c r="M176" i="1" a="1"/>
  <c r="M176" i="1" s="1"/>
  <c r="M177" i="1" a="1"/>
  <c r="M177" i="1" s="1"/>
  <c r="M178" i="1" a="1"/>
  <c r="M178" i="1" s="1"/>
  <c r="M179" i="1" a="1"/>
  <c r="M179" i="1" s="1"/>
  <c r="M180" i="1" a="1"/>
  <c r="M180" i="1" s="1"/>
  <c r="M181" i="1" a="1"/>
  <c r="M181" i="1" s="1"/>
  <c r="M182" i="1" a="1"/>
  <c r="M182" i="1" s="1"/>
  <c r="M183" i="1" a="1"/>
  <c r="M183" i="1" s="1"/>
  <c r="M184" i="1" a="1"/>
  <c r="M184" i="1" s="1"/>
  <c r="M185" i="1" a="1"/>
  <c r="M185" i="1" s="1"/>
  <c r="M186" i="1" a="1"/>
  <c r="M186" i="1" s="1"/>
  <c r="M187" i="1" a="1"/>
  <c r="M187" i="1" s="1"/>
  <c r="M188" i="1" a="1"/>
  <c r="M188" i="1" s="1"/>
  <c r="M189" i="1" a="1"/>
  <c r="M189" i="1" s="1"/>
  <c r="M190" i="1" a="1"/>
  <c r="M190" i="1" s="1"/>
  <c r="M191" i="1" a="1"/>
  <c r="M191" i="1" s="1"/>
  <c r="M192" i="1" a="1"/>
  <c r="M192" i="1" s="1"/>
  <c r="M193" i="1" a="1"/>
  <c r="M193" i="1" s="1"/>
  <c r="M194" i="1" a="1"/>
  <c r="M194" i="1" s="1"/>
  <c r="M195" i="1" a="1"/>
  <c r="M195" i="1" s="1"/>
  <c r="M196" i="1" a="1"/>
  <c r="M196" i="1" s="1"/>
  <c r="M197" i="1" a="1"/>
  <c r="M197" i="1" s="1"/>
  <c r="M198" i="1" a="1"/>
  <c r="M198" i="1" s="1"/>
  <c r="M199" i="1" a="1"/>
  <c r="M199" i="1" s="1"/>
  <c r="M200" i="1" a="1"/>
  <c r="M200" i="1" s="1"/>
  <c r="M201" i="1" a="1"/>
  <c r="M201" i="1" s="1"/>
  <c r="M202" i="1" a="1"/>
  <c r="M202" i="1" s="1"/>
  <c r="M203" i="1" a="1"/>
  <c r="M203" i="1" s="1"/>
  <c r="M204" i="1" a="1"/>
  <c r="M204" i="1" s="1"/>
  <c r="M205" i="1" a="1"/>
  <c r="M205" i="1" s="1"/>
  <c r="M206" i="1" a="1"/>
  <c r="M206" i="1" s="1"/>
  <c r="M207" i="1" a="1"/>
  <c r="M207" i="1" s="1"/>
  <c r="M208" i="1" a="1"/>
  <c r="M208" i="1" s="1"/>
  <c r="M209" i="1" a="1"/>
  <c r="M209" i="1" s="1"/>
  <c r="M210" i="1" a="1"/>
  <c r="M210" i="1" s="1"/>
  <c r="M211" i="1" a="1"/>
  <c r="M211" i="1" s="1"/>
  <c r="M212" i="1" a="1"/>
  <c r="M212" i="1" s="1"/>
  <c r="M213" i="1" a="1"/>
  <c r="M213" i="1" s="1"/>
  <c r="M214" i="1" a="1"/>
  <c r="M214" i="1" s="1"/>
  <c r="M215" i="1" a="1"/>
  <c r="M215" i="1" s="1"/>
  <c r="M216" i="1" a="1"/>
  <c r="M216" i="1" s="1"/>
  <c r="M217" i="1" a="1"/>
  <c r="M217" i="1" s="1"/>
  <c r="M218" i="1" a="1"/>
  <c r="M218" i="1" s="1"/>
  <c r="M219" i="1" a="1"/>
  <c r="M219" i="1" s="1"/>
  <c r="M220" i="1" a="1"/>
  <c r="M220" i="1" s="1"/>
  <c r="M221" i="1" a="1"/>
  <c r="M221" i="1" s="1"/>
  <c r="M222" i="1" a="1"/>
  <c r="M222" i="1" s="1"/>
  <c r="M223" i="1" a="1"/>
  <c r="M223" i="1" s="1"/>
  <c r="M224" i="1" a="1"/>
  <c r="M224" i="1" s="1"/>
  <c r="M225" i="1" a="1"/>
  <c r="M225" i="1" s="1"/>
  <c r="M226" i="1" a="1"/>
  <c r="M226" i="1" s="1"/>
  <c r="M227" i="1" a="1"/>
  <c r="M227" i="1" s="1"/>
  <c r="M228" i="1" a="1"/>
  <c r="M228" i="1" s="1"/>
  <c r="M229" i="1" a="1"/>
  <c r="M229" i="1" s="1"/>
  <c r="M230" i="1" a="1"/>
  <c r="M230" i="1" s="1"/>
  <c r="M231" i="1" a="1"/>
  <c r="M231" i="1" s="1"/>
  <c r="M232" i="1" a="1"/>
  <c r="M232" i="1" s="1"/>
  <c r="M233" i="1" a="1"/>
  <c r="M233" i="1" s="1"/>
  <c r="M234" i="1" a="1"/>
  <c r="M234" i="1" s="1"/>
  <c r="M235" i="1" a="1"/>
  <c r="M235" i="1" s="1"/>
  <c r="M236" i="1" a="1"/>
  <c r="M236" i="1" s="1"/>
  <c r="M237" i="1" a="1"/>
  <c r="M237" i="1" s="1"/>
  <c r="M238" i="1" a="1"/>
  <c r="M238" i="1" s="1"/>
  <c r="M239" i="1" a="1"/>
  <c r="M239" i="1" s="1"/>
  <c r="M240" i="1" a="1"/>
  <c r="M240" i="1" s="1"/>
  <c r="M241" i="1" a="1"/>
  <c r="M241" i="1" s="1"/>
  <c r="M242" i="1" a="1"/>
  <c r="M242" i="1" s="1"/>
  <c r="M2" i="1" a="1"/>
  <c r="M2" i="1" s="1"/>
  <c r="R3" i="1" a="1"/>
  <c r="R3" i="1" s="1"/>
  <c r="R4" i="1" a="1"/>
  <c r="R4" i="1" s="1"/>
  <c r="R5" i="1" a="1"/>
  <c r="R5" i="1" s="1"/>
  <c r="R6" i="1" a="1"/>
  <c r="R6" i="1" s="1"/>
  <c r="R7" i="1" a="1"/>
  <c r="R7" i="1" s="1"/>
  <c r="R8" i="1" a="1"/>
  <c r="R8" i="1" s="1"/>
  <c r="R9" i="1" a="1"/>
  <c r="R9" i="1" s="1"/>
  <c r="R10" i="1" a="1"/>
  <c r="R10" i="1" s="1"/>
  <c r="R11" i="1" a="1"/>
  <c r="R11" i="1" s="1"/>
  <c r="R12" i="1" a="1"/>
  <c r="R12" i="1" s="1"/>
  <c r="R13" i="1" a="1"/>
  <c r="R13" i="1" s="1"/>
  <c r="R14" i="1" a="1"/>
  <c r="R14" i="1" s="1"/>
  <c r="R15" i="1" a="1"/>
  <c r="R15" i="1" s="1"/>
  <c r="R16" i="1" a="1"/>
  <c r="R16" i="1" s="1"/>
  <c r="R17" i="1" a="1"/>
  <c r="R17" i="1" s="1"/>
  <c r="R18" i="1" a="1"/>
  <c r="R18" i="1" s="1"/>
  <c r="R19" i="1" a="1"/>
  <c r="R19" i="1" s="1"/>
  <c r="R20" i="1" a="1"/>
  <c r="R20" i="1" s="1"/>
  <c r="R21" i="1" a="1"/>
  <c r="R21" i="1" s="1"/>
  <c r="R22" i="1" a="1"/>
  <c r="R22" i="1" s="1"/>
  <c r="R23" i="1" a="1"/>
  <c r="R23" i="1" s="1"/>
  <c r="R24" i="1" a="1"/>
  <c r="R24" i="1" s="1"/>
  <c r="R25" i="1" a="1"/>
  <c r="R25" i="1" s="1"/>
  <c r="R26" i="1" a="1"/>
  <c r="R26" i="1" s="1"/>
  <c r="R27" i="1" a="1"/>
  <c r="R27" i="1" s="1"/>
  <c r="R28" i="1" a="1"/>
  <c r="R28" i="1" s="1"/>
  <c r="R29" i="1" a="1"/>
  <c r="R29" i="1" s="1"/>
  <c r="R30" i="1" a="1"/>
  <c r="R30" i="1" s="1"/>
  <c r="R31" i="1" a="1"/>
  <c r="R31" i="1" s="1"/>
  <c r="R32" i="1" a="1"/>
  <c r="R32" i="1" s="1"/>
  <c r="R33" i="1" a="1"/>
  <c r="R33" i="1" s="1"/>
  <c r="R34" i="1" a="1"/>
  <c r="R34" i="1" s="1"/>
  <c r="R35" i="1" a="1"/>
  <c r="R35" i="1" s="1"/>
  <c r="R36" i="1" a="1"/>
  <c r="R36" i="1" s="1"/>
  <c r="R37" i="1" a="1"/>
  <c r="R37" i="1" s="1"/>
  <c r="R38" i="1" a="1"/>
  <c r="R38" i="1" s="1"/>
  <c r="R39" i="1" a="1"/>
  <c r="R39" i="1" s="1"/>
  <c r="R40" i="1" a="1"/>
  <c r="R40" i="1" s="1"/>
  <c r="R41" i="1" a="1"/>
  <c r="R41" i="1" s="1"/>
  <c r="R42" i="1" a="1"/>
  <c r="R42" i="1" s="1"/>
  <c r="R43" i="1" a="1"/>
  <c r="R43" i="1" s="1"/>
  <c r="R44" i="1" a="1"/>
  <c r="R44" i="1" s="1"/>
  <c r="R45" i="1" a="1"/>
  <c r="R45" i="1" s="1"/>
  <c r="R46" i="1" a="1"/>
  <c r="R46" i="1" s="1"/>
  <c r="R47" i="1" a="1"/>
  <c r="R47" i="1" s="1"/>
  <c r="R48" i="1" a="1"/>
  <c r="R48" i="1" s="1"/>
  <c r="R49" i="1" a="1"/>
  <c r="R49" i="1" s="1"/>
  <c r="R50" i="1" a="1"/>
  <c r="R50" i="1" s="1"/>
  <c r="R51" i="1" a="1"/>
  <c r="R51" i="1" s="1"/>
  <c r="R52" i="1" a="1"/>
  <c r="R52" i="1" s="1"/>
  <c r="R53" i="1" a="1"/>
  <c r="R53" i="1" s="1"/>
  <c r="R54" i="1" a="1"/>
  <c r="R54" i="1" s="1"/>
  <c r="R55" i="1" a="1"/>
  <c r="R55" i="1" s="1"/>
  <c r="R56" i="1" a="1"/>
  <c r="R56" i="1" s="1"/>
  <c r="R57" i="1" a="1"/>
  <c r="R57" i="1" s="1"/>
  <c r="R58" i="1" a="1"/>
  <c r="R58" i="1" s="1"/>
  <c r="R59" i="1" a="1"/>
  <c r="R59" i="1" s="1"/>
  <c r="R60" i="1" a="1"/>
  <c r="R60" i="1" s="1"/>
  <c r="R61" i="1" a="1"/>
  <c r="R61" i="1" s="1"/>
  <c r="R62" i="1" a="1"/>
  <c r="R62" i="1" s="1"/>
  <c r="R63" i="1" a="1"/>
  <c r="R63" i="1" s="1"/>
  <c r="R64" i="1" a="1"/>
  <c r="R64" i="1" s="1"/>
  <c r="R65" i="1" a="1"/>
  <c r="R65" i="1" s="1"/>
  <c r="R66" i="1" a="1"/>
  <c r="R66" i="1" s="1"/>
  <c r="R67" i="1" a="1"/>
  <c r="R67" i="1" s="1"/>
  <c r="R68" i="1" a="1"/>
  <c r="R68" i="1" s="1"/>
  <c r="R69" i="1" a="1"/>
  <c r="R69" i="1" s="1"/>
  <c r="R70" i="1" a="1"/>
  <c r="R70" i="1" s="1"/>
  <c r="R71" i="1" a="1"/>
  <c r="R71" i="1" s="1"/>
  <c r="R72" i="1" a="1"/>
  <c r="R72" i="1" s="1"/>
  <c r="R73" i="1" a="1"/>
  <c r="R73" i="1" s="1"/>
  <c r="R74" i="1" a="1"/>
  <c r="R74" i="1" s="1"/>
  <c r="R75" i="1" a="1"/>
  <c r="R75" i="1" s="1"/>
  <c r="R76" i="1" a="1"/>
  <c r="R76" i="1" s="1"/>
  <c r="R77" i="1" a="1"/>
  <c r="R77" i="1" s="1"/>
  <c r="R78" i="1" a="1"/>
  <c r="R78" i="1" s="1"/>
  <c r="R79" i="1" a="1"/>
  <c r="R79" i="1" s="1"/>
  <c r="R80" i="1" a="1"/>
  <c r="R80" i="1" s="1"/>
  <c r="R81" i="1" a="1"/>
  <c r="R81" i="1" s="1"/>
  <c r="R82" i="1" a="1"/>
  <c r="R82" i="1" s="1"/>
  <c r="R83" i="1" a="1"/>
  <c r="R83" i="1" s="1"/>
  <c r="R84" i="1" a="1"/>
  <c r="R84" i="1" s="1"/>
  <c r="R85" i="1" a="1"/>
  <c r="R85" i="1" s="1"/>
  <c r="R86" i="1" a="1"/>
  <c r="R86" i="1" s="1"/>
  <c r="R87" i="1" a="1"/>
  <c r="R87" i="1" s="1"/>
  <c r="R88" i="1" a="1"/>
  <c r="R88" i="1" s="1"/>
  <c r="R89" i="1" a="1"/>
  <c r="R89" i="1" s="1"/>
  <c r="R90" i="1" a="1"/>
  <c r="R90" i="1" s="1"/>
  <c r="R91" i="1" a="1"/>
  <c r="R91" i="1" s="1"/>
  <c r="R92" i="1" a="1"/>
  <c r="R92" i="1" s="1"/>
  <c r="R93" i="1" a="1"/>
  <c r="R93" i="1" s="1"/>
  <c r="R94" i="1" a="1"/>
  <c r="R94" i="1" s="1"/>
  <c r="R95" i="1" a="1"/>
  <c r="R95" i="1" s="1"/>
  <c r="R96" i="1" a="1"/>
  <c r="R96" i="1" s="1"/>
  <c r="R97" i="1" a="1"/>
  <c r="R97" i="1" s="1"/>
  <c r="R98" i="1" a="1"/>
  <c r="R98" i="1" s="1"/>
  <c r="R99" i="1" a="1"/>
  <c r="R99" i="1" s="1"/>
  <c r="R100" i="1" a="1"/>
  <c r="R100" i="1" s="1"/>
  <c r="R101" i="1" a="1"/>
  <c r="R101" i="1" s="1"/>
  <c r="R102" i="1" a="1"/>
  <c r="R102" i="1" s="1"/>
  <c r="R103" i="1" a="1"/>
  <c r="R103" i="1" s="1"/>
  <c r="R104" i="1" a="1"/>
  <c r="R104" i="1" s="1"/>
  <c r="R105" i="1" a="1"/>
  <c r="R105" i="1" s="1"/>
  <c r="R106" i="1" a="1"/>
  <c r="R106" i="1" s="1"/>
  <c r="R107" i="1" a="1"/>
  <c r="R107" i="1" s="1"/>
  <c r="R108" i="1" a="1"/>
  <c r="R108" i="1" s="1"/>
  <c r="R109" i="1" a="1"/>
  <c r="R109" i="1" s="1"/>
  <c r="R110" i="1" a="1"/>
  <c r="R110" i="1" s="1"/>
  <c r="R111" i="1" a="1"/>
  <c r="R111" i="1" s="1"/>
  <c r="R112" i="1" a="1"/>
  <c r="R112" i="1" s="1"/>
  <c r="R113" i="1" a="1"/>
  <c r="R113" i="1" s="1"/>
  <c r="R114" i="1" a="1"/>
  <c r="R114" i="1" s="1"/>
  <c r="R115" i="1" a="1"/>
  <c r="R115" i="1" s="1"/>
  <c r="R116" i="1" a="1"/>
  <c r="R116" i="1" s="1"/>
  <c r="R117" i="1" a="1"/>
  <c r="R117" i="1" s="1"/>
  <c r="R118" i="1" a="1"/>
  <c r="R118" i="1" s="1"/>
  <c r="R119" i="1" a="1"/>
  <c r="R119" i="1" s="1"/>
  <c r="R120" i="1" a="1"/>
  <c r="R120" i="1" s="1"/>
  <c r="R121" i="1" a="1"/>
  <c r="R121" i="1" s="1"/>
  <c r="R122" i="1" a="1"/>
  <c r="R122" i="1" s="1"/>
  <c r="R123" i="1" a="1"/>
  <c r="R123" i="1" s="1"/>
  <c r="R124" i="1" a="1"/>
  <c r="R124" i="1" s="1"/>
  <c r="R125" i="1" a="1"/>
  <c r="R125" i="1" s="1"/>
  <c r="R126" i="1" a="1"/>
  <c r="R126" i="1" s="1"/>
  <c r="R127" i="1" a="1"/>
  <c r="R127" i="1" s="1"/>
  <c r="R128" i="1" a="1"/>
  <c r="R128" i="1" s="1"/>
  <c r="R129" i="1" a="1"/>
  <c r="R129" i="1" s="1"/>
  <c r="R130" i="1" a="1"/>
  <c r="R130" i="1" s="1"/>
  <c r="R131" i="1" a="1"/>
  <c r="R131" i="1" s="1"/>
  <c r="R132" i="1" a="1"/>
  <c r="R132" i="1" s="1"/>
  <c r="R133" i="1" a="1"/>
  <c r="R133" i="1" s="1"/>
  <c r="R134" i="1" a="1"/>
  <c r="R134" i="1" s="1"/>
  <c r="R135" i="1" a="1"/>
  <c r="R135" i="1" s="1"/>
  <c r="R136" i="1" a="1"/>
  <c r="R136" i="1" s="1"/>
  <c r="R137" i="1" a="1"/>
  <c r="R137" i="1" s="1"/>
  <c r="R138" i="1" a="1"/>
  <c r="R138" i="1" s="1"/>
  <c r="R139" i="1" a="1"/>
  <c r="R139" i="1" s="1"/>
  <c r="R140" i="1" a="1"/>
  <c r="R140" i="1" s="1"/>
  <c r="R141" i="1" a="1"/>
  <c r="R141" i="1" s="1"/>
  <c r="R142" i="1" a="1"/>
  <c r="R142" i="1" s="1"/>
  <c r="R143" i="1" a="1"/>
  <c r="R143" i="1" s="1"/>
  <c r="R144" i="1" a="1"/>
  <c r="R144" i="1" s="1"/>
  <c r="R145" i="1" a="1"/>
  <c r="R145" i="1" s="1"/>
  <c r="R146" i="1" a="1"/>
  <c r="R146" i="1" s="1"/>
  <c r="R147" i="1" a="1"/>
  <c r="R147" i="1" s="1"/>
  <c r="R148" i="1" a="1"/>
  <c r="R148" i="1" s="1"/>
  <c r="R149" i="1" a="1"/>
  <c r="R149" i="1" s="1"/>
  <c r="R150" i="1" a="1"/>
  <c r="R150" i="1" s="1"/>
  <c r="R151" i="1" a="1"/>
  <c r="R151" i="1" s="1"/>
  <c r="R152" i="1" a="1"/>
  <c r="R152" i="1" s="1"/>
  <c r="R153" i="1" a="1"/>
  <c r="R153" i="1" s="1"/>
  <c r="R154" i="1" a="1"/>
  <c r="R154" i="1" s="1"/>
  <c r="R155" i="1" a="1"/>
  <c r="R155" i="1" s="1"/>
  <c r="R156" i="1" a="1"/>
  <c r="R156" i="1" s="1"/>
  <c r="R157" i="1" a="1"/>
  <c r="R157" i="1" s="1"/>
  <c r="R158" i="1" a="1"/>
  <c r="R158" i="1" s="1"/>
  <c r="R159" i="1" a="1"/>
  <c r="R159" i="1" s="1"/>
  <c r="R160" i="1" a="1"/>
  <c r="R160" i="1" s="1"/>
  <c r="R161" i="1" a="1"/>
  <c r="R161" i="1" s="1"/>
  <c r="R162" i="1" a="1"/>
  <c r="R162" i="1" s="1"/>
  <c r="R163" i="1" a="1"/>
  <c r="R163" i="1" s="1"/>
  <c r="R164" i="1" a="1"/>
  <c r="R164" i="1" s="1"/>
  <c r="R165" i="1" a="1"/>
  <c r="R165" i="1" s="1"/>
  <c r="R166" i="1" a="1"/>
  <c r="R166" i="1" s="1"/>
  <c r="R167" i="1" a="1"/>
  <c r="R167" i="1" s="1"/>
  <c r="R168" i="1" a="1"/>
  <c r="R168" i="1" s="1"/>
  <c r="R169" i="1" a="1"/>
  <c r="R169" i="1" s="1"/>
  <c r="R170" i="1" a="1"/>
  <c r="R170" i="1" s="1"/>
  <c r="R171" i="1" a="1"/>
  <c r="R171" i="1" s="1"/>
  <c r="R172" i="1" a="1"/>
  <c r="R172" i="1" s="1"/>
  <c r="R173" i="1" a="1"/>
  <c r="R173" i="1" s="1"/>
  <c r="R174" i="1" a="1"/>
  <c r="R174" i="1" s="1"/>
  <c r="R175" i="1" a="1"/>
  <c r="R175" i="1" s="1"/>
  <c r="R176" i="1" a="1"/>
  <c r="R176" i="1" s="1"/>
  <c r="R177" i="1" a="1"/>
  <c r="R177" i="1" s="1"/>
  <c r="R178" i="1" a="1"/>
  <c r="R178" i="1" s="1"/>
  <c r="R179" i="1" a="1"/>
  <c r="R179" i="1" s="1"/>
  <c r="R180" i="1" a="1"/>
  <c r="R180" i="1" s="1"/>
  <c r="R181" i="1" a="1"/>
  <c r="R181" i="1" s="1"/>
  <c r="R182" i="1" a="1"/>
  <c r="R182" i="1" s="1"/>
  <c r="R183" i="1" a="1"/>
  <c r="R183" i="1" s="1"/>
  <c r="R184" i="1" a="1"/>
  <c r="R184" i="1" s="1"/>
  <c r="R185" i="1" a="1"/>
  <c r="R185" i="1" s="1"/>
  <c r="R186" i="1" a="1"/>
  <c r="R186" i="1" s="1"/>
  <c r="R187" i="1" a="1"/>
  <c r="R187" i="1" s="1"/>
  <c r="R188" i="1" a="1"/>
  <c r="R188" i="1" s="1"/>
  <c r="R189" i="1" a="1"/>
  <c r="R189" i="1" s="1"/>
  <c r="R190" i="1" a="1"/>
  <c r="R190" i="1" s="1"/>
  <c r="R191" i="1" a="1"/>
  <c r="R191" i="1" s="1"/>
  <c r="R192" i="1" a="1"/>
  <c r="R192" i="1" s="1"/>
  <c r="R193" i="1" a="1"/>
  <c r="R193" i="1" s="1"/>
  <c r="R194" i="1" a="1"/>
  <c r="R194" i="1" s="1"/>
  <c r="R195" i="1" a="1"/>
  <c r="R195" i="1" s="1"/>
  <c r="R196" i="1" a="1"/>
  <c r="R196" i="1" s="1"/>
  <c r="R197" i="1" a="1"/>
  <c r="R197" i="1" s="1"/>
  <c r="R198" i="1" a="1"/>
  <c r="R198" i="1" s="1"/>
  <c r="R199" i="1" a="1"/>
  <c r="R199" i="1" s="1"/>
  <c r="R200" i="1" a="1"/>
  <c r="R200" i="1" s="1"/>
  <c r="R201" i="1" a="1"/>
  <c r="R201" i="1" s="1"/>
  <c r="R202" i="1" a="1"/>
  <c r="R202" i="1" s="1"/>
  <c r="R203" i="1" a="1"/>
  <c r="R203" i="1" s="1"/>
  <c r="R204" i="1" a="1"/>
  <c r="R204" i="1" s="1"/>
  <c r="R205" i="1" a="1"/>
  <c r="R205" i="1" s="1"/>
  <c r="R206" i="1" a="1"/>
  <c r="R206" i="1" s="1"/>
  <c r="R207" i="1" a="1"/>
  <c r="R207" i="1" s="1"/>
  <c r="R208" i="1" a="1"/>
  <c r="R208" i="1" s="1"/>
  <c r="R209" i="1" a="1"/>
  <c r="R209" i="1" s="1"/>
  <c r="R210" i="1" a="1"/>
  <c r="R210" i="1" s="1"/>
  <c r="R211" i="1" a="1"/>
  <c r="R211" i="1" s="1"/>
  <c r="R212" i="1" a="1"/>
  <c r="R212" i="1" s="1"/>
  <c r="R213" i="1" a="1"/>
  <c r="R213" i="1" s="1"/>
  <c r="R214" i="1" a="1"/>
  <c r="R214" i="1" s="1"/>
  <c r="R215" i="1" a="1"/>
  <c r="R215" i="1" s="1"/>
  <c r="R216" i="1" a="1"/>
  <c r="R216" i="1" s="1"/>
  <c r="R217" i="1" a="1"/>
  <c r="R217" i="1" s="1"/>
  <c r="R218" i="1" a="1"/>
  <c r="R218" i="1" s="1"/>
  <c r="R219" i="1" a="1"/>
  <c r="R219" i="1" s="1"/>
  <c r="R220" i="1" a="1"/>
  <c r="R220" i="1" s="1"/>
  <c r="R221" i="1" a="1"/>
  <c r="R221" i="1" s="1"/>
  <c r="R222" i="1" a="1"/>
  <c r="R222" i="1" s="1"/>
  <c r="R223" i="1" a="1"/>
  <c r="R223" i="1" s="1"/>
  <c r="R224" i="1" a="1"/>
  <c r="R224" i="1" s="1"/>
  <c r="R225" i="1" a="1"/>
  <c r="R225" i="1" s="1"/>
  <c r="R226" i="1" a="1"/>
  <c r="R226" i="1" s="1"/>
  <c r="R227" i="1" a="1"/>
  <c r="R227" i="1" s="1"/>
  <c r="R228" i="1" a="1"/>
  <c r="R228" i="1" s="1"/>
  <c r="R229" i="1" a="1"/>
  <c r="R229" i="1" s="1"/>
  <c r="R230" i="1" a="1"/>
  <c r="R230" i="1" s="1"/>
  <c r="R231" i="1" a="1"/>
  <c r="R231" i="1" s="1"/>
  <c r="R232" i="1" a="1"/>
  <c r="R232" i="1" s="1"/>
  <c r="R233" i="1" a="1"/>
  <c r="R233" i="1" s="1"/>
  <c r="R234" i="1" a="1"/>
  <c r="R234" i="1" s="1"/>
  <c r="R235" i="1" a="1"/>
  <c r="R235" i="1" s="1"/>
  <c r="R236" i="1" a="1"/>
  <c r="R236" i="1" s="1"/>
  <c r="R237" i="1" a="1"/>
  <c r="R237" i="1" s="1"/>
  <c r="R238" i="1" a="1"/>
  <c r="R238" i="1" s="1"/>
  <c r="R239" i="1" a="1"/>
  <c r="R239" i="1" s="1"/>
  <c r="R240" i="1" a="1"/>
  <c r="R240" i="1" s="1"/>
  <c r="R241" i="1" a="1"/>
  <c r="R241" i="1" s="1"/>
  <c r="R242" i="1" a="1"/>
  <c r="R242" i="1" s="1"/>
  <c r="R2" i="1" a="1"/>
  <c r="R2" i="1" s="1"/>
  <c r="P3" i="1" a="1"/>
  <c r="P3" i="1" s="1"/>
  <c r="P4" i="1" a="1"/>
  <c r="P4" i="1" s="1"/>
  <c r="P5" i="1" a="1"/>
  <c r="P5" i="1" s="1"/>
  <c r="P6" i="1" a="1"/>
  <c r="P6" i="1" s="1"/>
  <c r="P7" i="1" a="1"/>
  <c r="P7" i="1" s="1"/>
  <c r="P8" i="1" a="1"/>
  <c r="P8" i="1" s="1"/>
  <c r="P9" i="1" a="1"/>
  <c r="P9" i="1" s="1"/>
  <c r="P10" i="1" a="1"/>
  <c r="P10" i="1" s="1"/>
  <c r="P11" i="1" a="1"/>
  <c r="P11" i="1" s="1"/>
  <c r="P12" i="1" a="1"/>
  <c r="P12" i="1" s="1"/>
  <c r="P13" i="1" a="1"/>
  <c r="P13" i="1" s="1"/>
  <c r="P14" i="1" a="1"/>
  <c r="P14" i="1" s="1"/>
  <c r="P15" i="1" a="1"/>
  <c r="P15" i="1" s="1"/>
  <c r="P16" i="1" a="1"/>
  <c r="P16" i="1" s="1"/>
  <c r="P17" i="1" a="1"/>
  <c r="P17" i="1" s="1"/>
  <c r="P18" i="1" a="1"/>
  <c r="P18" i="1" s="1"/>
  <c r="P19" i="1" a="1"/>
  <c r="P19" i="1" s="1"/>
  <c r="P20" i="1" a="1"/>
  <c r="P20" i="1" s="1"/>
  <c r="P21" i="1" a="1"/>
  <c r="P21" i="1" s="1"/>
  <c r="P22" i="1" a="1"/>
  <c r="P22" i="1" s="1"/>
  <c r="P23" i="1" a="1"/>
  <c r="P23" i="1" s="1"/>
  <c r="P24" i="1" a="1"/>
  <c r="P24" i="1" s="1"/>
  <c r="P25" i="1" a="1"/>
  <c r="P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P31" i="1" a="1"/>
  <c r="P31" i="1" s="1"/>
  <c r="P32" i="1" a="1"/>
  <c r="P32" i="1" s="1"/>
  <c r="P33" i="1" a="1"/>
  <c r="P33" i="1" s="1"/>
  <c r="P34" i="1" a="1"/>
  <c r="P34" i="1" s="1"/>
  <c r="P35" i="1" a="1"/>
  <c r="P35" i="1" s="1"/>
  <c r="P36" i="1" a="1"/>
  <c r="P36" i="1" s="1"/>
  <c r="P37" i="1" a="1"/>
  <c r="P37" i="1" s="1"/>
  <c r="P38" i="1" a="1"/>
  <c r="P38" i="1" s="1"/>
  <c r="P39" i="1" a="1"/>
  <c r="P39" i="1" s="1"/>
  <c r="P40" i="1" a="1"/>
  <c r="P40" i="1" s="1"/>
  <c r="P41" i="1" a="1"/>
  <c r="P41" i="1" s="1"/>
  <c r="P42" i="1" a="1"/>
  <c r="P42" i="1" s="1"/>
  <c r="P43" i="1" a="1"/>
  <c r="P43" i="1" s="1"/>
  <c r="P44" i="1" a="1"/>
  <c r="P44" i="1" s="1"/>
  <c r="P45" i="1" a="1"/>
  <c r="P45" i="1" s="1"/>
  <c r="P46" i="1" a="1"/>
  <c r="P46" i="1" s="1"/>
  <c r="P47" i="1" a="1"/>
  <c r="P47" i="1" s="1"/>
  <c r="P48" i="1" a="1"/>
  <c r="P48" i="1" s="1"/>
  <c r="P49" i="1" a="1"/>
  <c r="P49" i="1" s="1"/>
  <c r="P50" i="1" a="1"/>
  <c r="P50" i="1" s="1"/>
  <c r="P51" i="1" a="1"/>
  <c r="P51" i="1" s="1"/>
  <c r="P52" i="1" a="1"/>
  <c r="P52" i="1" s="1"/>
  <c r="P53" i="1" a="1"/>
  <c r="P53" i="1" s="1"/>
  <c r="P54" i="1" a="1"/>
  <c r="P54" i="1" s="1"/>
  <c r="P55" i="1" a="1"/>
  <c r="P55" i="1" s="1"/>
  <c r="P56" i="1" a="1"/>
  <c r="P56" i="1" s="1"/>
  <c r="P57" i="1" a="1"/>
  <c r="P57" i="1" s="1"/>
  <c r="P58" i="1" a="1"/>
  <c r="P58" i="1" s="1"/>
  <c r="P59" i="1" a="1"/>
  <c r="P59" i="1" s="1"/>
  <c r="P60" i="1" a="1"/>
  <c r="P60" i="1" s="1"/>
  <c r="P61" i="1" a="1"/>
  <c r="P61" i="1" s="1"/>
  <c r="P62" i="1" a="1"/>
  <c r="P62" i="1" s="1"/>
  <c r="P63" i="1" a="1"/>
  <c r="P63" i="1" s="1"/>
  <c r="P64" i="1" a="1"/>
  <c r="P64" i="1" s="1"/>
  <c r="P65" i="1" a="1"/>
  <c r="P65" i="1" s="1"/>
  <c r="P66" i="1" a="1"/>
  <c r="P66" i="1" s="1"/>
  <c r="P67" i="1" a="1"/>
  <c r="P67" i="1" s="1"/>
  <c r="P68" i="1" a="1"/>
  <c r="P68" i="1" s="1"/>
  <c r="P69" i="1" a="1"/>
  <c r="P69" i="1" s="1"/>
  <c r="P70" i="1" a="1"/>
  <c r="P70" i="1" s="1"/>
  <c r="P71" i="1" a="1"/>
  <c r="P71" i="1" s="1"/>
  <c r="P72" i="1" a="1"/>
  <c r="P72" i="1" s="1"/>
  <c r="P73" i="1" a="1"/>
  <c r="P73" i="1" s="1"/>
  <c r="P74" i="1" a="1"/>
  <c r="P74" i="1" s="1"/>
  <c r="P75" i="1" a="1"/>
  <c r="P75" i="1" s="1"/>
  <c r="P76" i="1" a="1"/>
  <c r="P76" i="1" s="1"/>
  <c r="P77" i="1" a="1"/>
  <c r="P77" i="1" s="1"/>
  <c r="P78" i="1" a="1"/>
  <c r="P78" i="1" s="1"/>
  <c r="P79" i="1" a="1"/>
  <c r="P79" i="1" s="1"/>
  <c r="P80" i="1" a="1"/>
  <c r="P80" i="1" s="1"/>
  <c r="P81" i="1" a="1"/>
  <c r="P81" i="1" s="1"/>
  <c r="P82" i="1" a="1"/>
  <c r="P82" i="1" s="1"/>
  <c r="P83" i="1" a="1"/>
  <c r="P83" i="1" s="1"/>
  <c r="P84" i="1" a="1"/>
  <c r="P84" i="1" s="1"/>
  <c r="P85" i="1" a="1"/>
  <c r="P85" i="1" s="1"/>
  <c r="P86" i="1" a="1"/>
  <c r="P86" i="1" s="1"/>
  <c r="P87" i="1" a="1"/>
  <c r="P87" i="1" s="1"/>
  <c r="P88" i="1" a="1"/>
  <c r="P88" i="1" s="1"/>
  <c r="P89" i="1" a="1"/>
  <c r="P89" i="1" s="1"/>
  <c r="P90" i="1" a="1"/>
  <c r="P90" i="1" s="1"/>
  <c r="P91" i="1" a="1"/>
  <c r="P91" i="1" s="1"/>
  <c r="P92" i="1" a="1"/>
  <c r="P92" i="1" s="1"/>
  <c r="P93" i="1" a="1"/>
  <c r="P93" i="1" s="1"/>
  <c r="P94" i="1" a="1"/>
  <c r="P94" i="1" s="1"/>
  <c r="P95" i="1" a="1"/>
  <c r="P95" i="1" s="1"/>
  <c r="P96" i="1" a="1"/>
  <c r="P96" i="1" s="1"/>
  <c r="P97" i="1" a="1"/>
  <c r="P97" i="1" s="1"/>
  <c r="P98" i="1" a="1"/>
  <c r="P98" i="1" s="1"/>
  <c r="P99" i="1" a="1"/>
  <c r="P99" i="1" s="1"/>
  <c r="P100" i="1" a="1"/>
  <c r="P100" i="1" s="1"/>
  <c r="P101" i="1" a="1"/>
  <c r="P101" i="1" s="1"/>
  <c r="P102" i="1" a="1"/>
  <c r="P102" i="1" s="1"/>
  <c r="P103" i="1" a="1"/>
  <c r="P103" i="1" s="1"/>
  <c r="P104" i="1" a="1"/>
  <c r="P104" i="1" s="1"/>
  <c r="P105" i="1" a="1"/>
  <c r="P105" i="1" s="1"/>
  <c r="P106" i="1" a="1"/>
  <c r="P106" i="1" s="1"/>
  <c r="P107" i="1" a="1"/>
  <c r="P107" i="1" s="1"/>
  <c r="P108" i="1" a="1"/>
  <c r="P108" i="1" s="1"/>
  <c r="P109" i="1" a="1"/>
  <c r="P109" i="1" s="1"/>
  <c r="P110" i="1" a="1"/>
  <c r="P110" i="1" s="1"/>
  <c r="P111" i="1" a="1"/>
  <c r="P111" i="1" s="1"/>
  <c r="P112" i="1" a="1"/>
  <c r="P112" i="1" s="1"/>
  <c r="P113" i="1" a="1"/>
  <c r="P113" i="1" s="1"/>
  <c r="P114" i="1" a="1"/>
  <c r="P114" i="1" s="1"/>
  <c r="P115" i="1" a="1"/>
  <c r="P115" i="1" s="1"/>
  <c r="P116" i="1" a="1"/>
  <c r="P116" i="1" s="1"/>
  <c r="P117" i="1" a="1"/>
  <c r="P117" i="1" s="1"/>
  <c r="P118" i="1" a="1"/>
  <c r="P118" i="1" s="1"/>
  <c r="P119" i="1" a="1"/>
  <c r="P119" i="1" s="1"/>
  <c r="P120" i="1" a="1"/>
  <c r="P120" i="1" s="1"/>
  <c r="P121" i="1" a="1"/>
  <c r="P121" i="1" s="1"/>
  <c r="P122" i="1" a="1"/>
  <c r="P122" i="1" s="1"/>
  <c r="P123" i="1" a="1"/>
  <c r="P123" i="1" s="1"/>
  <c r="P124" i="1" a="1"/>
  <c r="P124" i="1" s="1"/>
  <c r="P125" i="1" a="1"/>
  <c r="P125" i="1" s="1"/>
  <c r="P126" i="1" a="1"/>
  <c r="P126" i="1" s="1"/>
  <c r="P127" i="1" a="1"/>
  <c r="P127" i="1" s="1"/>
  <c r="P128" i="1" a="1"/>
  <c r="P128" i="1" s="1"/>
  <c r="P129" i="1" a="1"/>
  <c r="P129" i="1" s="1"/>
  <c r="P130" i="1" a="1"/>
  <c r="P130" i="1" s="1"/>
  <c r="P131" i="1" a="1"/>
  <c r="P131" i="1" s="1"/>
  <c r="P132" i="1" a="1"/>
  <c r="P132" i="1" s="1"/>
  <c r="P133" i="1" a="1"/>
  <c r="P133" i="1" s="1"/>
  <c r="P134" i="1" a="1"/>
  <c r="P134" i="1" s="1"/>
  <c r="P135" i="1" a="1"/>
  <c r="P135" i="1" s="1"/>
  <c r="P136" i="1" a="1"/>
  <c r="P136" i="1" s="1"/>
  <c r="P137" i="1" a="1"/>
  <c r="P137" i="1" s="1"/>
  <c r="P138" i="1" a="1"/>
  <c r="P138" i="1" s="1"/>
  <c r="P139" i="1" a="1"/>
  <c r="P139" i="1" s="1"/>
  <c r="P140" i="1" a="1"/>
  <c r="P140" i="1" s="1"/>
  <c r="P141" i="1" a="1"/>
  <c r="P141" i="1" s="1"/>
  <c r="P142" i="1" a="1"/>
  <c r="P142" i="1" s="1"/>
  <c r="P143" i="1" a="1"/>
  <c r="P143" i="1" s="1"/>
  <c r="P144" i="1" a="1"/>
  <c r="P144" i="1" s="1"/>
  <c r="P145" i="1" a="1"/>
  <c r="P145" i="1" s="1"/>
  <c r="P146" i="1" a="1"/>
  <c r="P146" i="1" s="1"/>
  <c r="P147" i="1" a="1"/>
  <c r="P147" i="1" s="1"/>
  <c r="P148" i="1" a="1"/>
  <c r="P148" i="1" s="1"/>
  <c r="P149" i="1" a="1"/>
  <c r="P149" i="1" s="1"/>
  <c r="P150" i="1" a="1"/>
  <c r="P150" i="1" s="1"/>
  <c r="P151" i="1" a="1"/>
  <c r="P151" i="1" s="1"/>
  <c r="P152" i="1" a="1"/>
  <c r="P152" i="1" s="1"/>
  <c r="P153" i="1" a="1"/>
  <c r="P153" i="1" s="1"/>
  <c r="P154" i="1" a="1"/>
  <c r="P154" i="1" s="1"/>
  <c r="P155" i="1" a="1"/>
  <c r="P155" i="1" s="1"/>
  <c r="P156" i="1" a="1"/>
  <c r="P156" i="1" s="1"/>
  <c r="P157" i="1" a="1"/>
  <c r="P157" i="1" s="1"/>
  <c r="P158" i="1" a="1"/>
  <c r="P158" i="1" s="1"/>
  <c r="P159" i="1" a="1"/>
  <c r="P159" i="1" s="1"/>
  <c r="P160" i="1" a="1"/>
  <c r="P160" i="1" s="1"/>
  <c r="P161" i="1" a="1"/>
  <c r="P161" i="1" s="1"/>
  <c r="P162" i="1" a="1"/>
  <c r="P162" i="1" s="1"/>
  <c r="P163" i="1" a="1"/>
  <c r="P163" i="1" s="1"/>
  <c r="P164" i="1" a="1"/>
  <c r="P164" i="1" s="1"/>
  <c r="P165" i="1" a="1"/>
  <c r="P165" i="1" s="1"/>
  <c r="P166" i="1" a="1"/>
  <c r="P166" i="1" s="1"/>
  <c r="P167" i="1" a="1"/>
  <c r="P167" i="1" s="1"/>
  <c r="P168" i="1" a="1"/>
  <c r="P168" i="1" s="1"/>
  <c r="P169" i="1" a="1"/>
  <c r="P169" i="1" s="1"/>
  <c r="P170" i="1" a="1"/>
  <c r="P170" i="1" s="1"/>
  <c r="P171" i="1" a="1"/>
  <c r="P171" i="1" s="1"/>
  <c r="P172" i="1" a="1"/>
  <c r="P172" i="1" s="1"/>
  <c r="P173" i="1" a="1"/>
  <c r="P173" i="1" s="1"/>
  <c r="P174" i="1" a="1"/>
  <c r="P174" i="1" s="1"/>
  <c r="P175" i="1" a="1"/>
  <c r="P175" i="1" s="1"/>
  <c r="P176" i="1" a="1"/>
  <c r="P176" i="1" s="1"/>
  <c r="P177" i="1" a="1"/>
  <c r="P177" i="1" s="1"/>
  <c r="P178" i="1" a="1"/>
  <c r="P178" i="1" s="1"/>
  <c r="P179" i="1" a="1"/>
  <c r="P179" i="1" s="1"/>
  <c r="P180" i="1" a="1"/>
  <c r="P180" i="1" s="1"/>
  <c r="P181" i="1" a="1"/>
  <c r="P181" i="1" s="1"/>
  <c r="P182" i="1" a="1"/>
  <c r="P182" i="1" s="1"/>
  <c r="P183" i="1" a="1"/>
  <c r="P183" i="1" s="1"/>
  <c r="P184" i="1" a="1"/>
  <c r="P184" i="1" s="1"/>
  <c r="P185" i="1" a="1"/>
  <c r="P185" i="1" s="1"/>
  <c r="P186" i="1" a="1"/>
  <c r="P186" i="1" s="1"/>
  <c r="P187" i="1" a="1"/>
  <c r="P187" i="1" s="1"/>
  <c r="P188" i="1" a="1"/>
  <c r="P188" i="1" s="1"/>
  <c r="P189" i="1" a="1"/>
  <c r="P189" i="1" s="1"/>
  <c r="P190" i="1" a="1"/>
  <c r="P190" i="1" s="1"/>
  <c r="P191" i="1" a="1"/>
  <c r="P191" i="1" s="1"/>
  <c r="P192" i="1" a="1"/>
  <c r="P192" i="1" s="1"/>
  <c r="P193" i="1" a="1"/>
  <c r="P193" i="1" s="1"/>
  <c r="P194" i="1" a="1"/>
  <c r="P194" i="1" s="1"/>
  <c r="P195" i="1" a="1"/>
  <c r="P195" i="1" s="1"/>
  <c r="P196" i="1" a="1"/>
  <c r="P196" i="1" s="1"/>
  <c r="P197" i="1" a="1"/>
  <c r="P197" i="1" s="1"/>
  <c r="P198" i="1" a="1"/>
  <c r="P198" i="1" s="1"/>
  <c r="P199" i="1" a="1"/>
  <c r="P199" i="1" s="1"/>
  <c r="P200" i="1" a="1"/>
  <c r="P200" i="1" s="1"/>
  <c r="P201" i="1" a="1"/>
  <c r="P201" i="1" s="1"/>
  <c r="P202" i="1" a="1"/>
  <c r="P202" i="1" s="1"/>
  <c r="P203" i="1" a="1"/>
  <c r="P203" i="1" s="1"/>
  <c r="P204" i="1" a="1"/>
  <c r="P204" i="1" s="1"/>
  <c r="P205" i="1" a="1"/>
  <c r="P205" i="1" s="1"/>
  <c r="P206" i="1" a="1"/>
  <c r="P206" i="1" s="1"/>
  <c r="P207" i="1" a="1"/>
  <c r="P207" i="1" s="1"/>
  <c r="P208" i="1" a="1"/>
  <c r="P208" i="1" s="1"/>
  <c r="P209" i="1" a="1"/>
  <c r="P209" i="1" s="1"/>
  <c r="P210" i="1" a="1"/>
  <c r="P210" i="1" s="1"/>
  <c r="P211" i="1" a="1"/>
  <c r="P211" i="1" s="1"/>
  <c r="P212" i="1" a="1"/>
  <c r="P212" i="1" s="1"/>
  <c r="P213" i="1" a="1"/>
  <c r="P213" i="1" s="1"/>
  <c r="P214" i="1" a="1"/>
  <c r="P214" i="1" s="1"/>
  <c r="P215" i="1" a="1"/>
  <c r="P215" i="1" s="1"/>
  <c r="P216" i="1" a="1"/>
  <c r="P216" i="1" s="1"/>
  <c r="P217" i="1" a="1"/>
  <c r="P217" i="1" s="1"/>
  <c r="P218" i="1" a="1"/>
  <c r="P218" i="1" s="1"/>
  <c r="P219" i="1" a="1"/>
  <c r="P219" i="1" s="1"/>
  <c r="P220" i="1" a="1"/>
  <c r="P220" i="1" s="1"/>
  <c r="P221" i="1" a="1"/>
  <c r="P221" i="1" s="1"/>
  <c r="P222" i="1" a="1"/>
  <c r="P222" i="1" s="1"/>
  <c r="P223" i="1" a="1"/>
  <c r="P223" i="1" s="1"/>
  <c r="P224" i="1" a="1"/>
  <c r="P224" i="1" s="1"/>
  <c r="P225" i="1" a="1"/>
  <c r="P225" i="1" s="1"/>
  <c r="P226" i="1" a="1"/>
  <c r="P226" i="1" s="1"/>
  <c r="P227" i="1" a="1"/>
  <c r="P227" i="1" s="1"/>
  <c r="P228" i="1" a="1"/>
  <c r="P228" i="1" s="1"/>
  <c r="P229" i="1" a="1"/>
  <c r="P229" i="1" s="1"/>
  <c r="P230" i="1" a="1"/>
  <c r="P230" i="1" s="1"/>
  <c r="P231" i="1" a="1"/>
  <c r="P231" i="1" s="1"/>
  <c r="P232" i="1" a="1"/>
  <c r="P232" i="1" s="1"/>
  <c r="P233" i="1" a="1"/>
  <c r="P233" i="1" s="1"/>
  <c r="P234" i="1" a="1"/>
  <c r="P234" i="1" s="1"/>
  <c r="P235" i="1" a="1"/>
  <c r="P235" i="1" s="1"/>
  <c r="P236" i="1" a="1"/>
  <c r="P236" i="1" s="1"/>
  <c r="P237" i="1" a="1"/>
  <c r="P237" i="1" s="1"/>
  <c r="P238" i="1" a="1"/>
  <c r="P238" i="1" s="1"/>
  <c r="P239" i="1" a="1"/>
  <c r="P239" i="1" s="1"/>
  <c r="P240" i="1" a="1"/>
  <c r="P240" i="1" s="1"/>
  <c r="P241" i="1" a="1"/>
  <c r="P241" i="1" s="1"/>
  <c r="P242" i="1" a="1"/>
  <c r="P242" i="1" s="1"/>
  <c r="N3" i="1" l="1" a="1"/>
  <c r="N3" i="1" s="1"/>
  <c r="N4" i="1" a="1"/>
  <c r="N4" i="1" s="1"/>
  <c r="N5" i="1" a="1"/>
  <c r="N5" i="1" s="1"/>
  <c r="N6" i="1" a="1"/>
  <c r="N6" i="1" s="1"/>
  <c r="N7" i="1" a="1"/>
  <c r="N7" i="1" s="1"/>
  <c r="N8" i="1" a="1"/>
  <c r="N8" i="1" s="1"/>
  <c r="N9" i="1" a="1"/>
  <c r="N9" i="1" s="1"/>
  <c r="N10" i="1" a="1"/>
  <c r="N10" i="1" s="1"/>
  <c r="N11" i="1" a="1"/>
  <c r="N11" i="1" s="1"/>
  <c r="N12" i="1" a="1"/>
  <c r="N12" i="1" s="1"/>
  <c r="N13" i="1" a="1"/>
  <c r="N13" i="1" s="1"/>
  <c r="N14" i="1" a="1"/>
  <c r="N14" i="1" s="1"/>
  <c r="N15" i="1" a="1"/>
  <c r="N15" i="1" s="1"/>
  <c r="N16" i="1" a="1"/>
  <c r="N16" i="1" s="1"/>
  <c r="N17" i="1" a="1"/>
  <c r="N17" i="1" s="1"/>
  <c r="N18" i="1" a="1"/>
  <c r="N18" i="1" s="1"/>
  <c r="N19" i="1" a="1"/>
  <c r="N19" i="1" s="1"/>
  <c r="N20" i="1" a="1"/>
  <c r="N20" i="1" s="1"/>
  <c r="N21" i="1" a="1"/>
  <c r="N21" i="1" s="1"/>
  <c r="N22" i="1" a="1"/>
  <c r="N22" i="1" s="1"/>
  <c r="N23" i="1" a="1"/>
  <c r="N23" i="1" s="1"/>
  <c r="N24" i="1" a="1"/>
  <c r="N24" i="1" s="1"/>
  <c r="N25" i="1" a="1"/>
  <c r="N25" i="1" s="1"/>
  <c r="N26" i="1" a="1"/>
  <c r="N26" i="1" s="1"/>
  <c r="N27" i="1" a="1"/>
  <c r="N27" i="1" s="1"/>
  <c r="N28" i="1" a="1"/>
  <c r="N28" i="1" s="1"/>
  <c r="N29" i="1" a="1"/>
  <c r="N29" i="1" s="1"/>
  <c r="N30" i="1" a="1"/>
  <c r="N30" i="1" s="1"/>
  <c r="N31" i="1" a="1"/>
  <c r="N31" i="1" s="1"/>
  <c r="N32" i="1" a="1"/>
  <c r="N32" i="1" s="1"/>
  <c r="N33" i="1" a="1"/>
  <c r="N33" i="1" s="1"/>
  <c r="N34" i="1" a="1"/>
  <c r="N34" i="1" s="1"/>
  <c r="N35" i="1" a="1"/>
  <c r="N35" i="1" s="1"/>
  <c r="N36" i="1" a="1"/>
  <c r="N36" i="1" s="1"/>
  <c r="N37" i="1" a="1"/>
  <c r="N37" i="1" s="1"/>
  <c r="N38" i="1" a="1"/>
  <c r="N38" i="1" s="1"/>
  <c r="N39" i="1" a="1"/>
  <c r="N39" i="1" s="1"/>
  <c r="N40" i="1" a="1"/>
  <c r="N40" i="1" s="1"/>
  <c r="N41" i="1" a="1"/>
  <c r="N41" i="1" s="1"/>
  <c r="N42" i="1" a="1"/>
  <c r="N42" i="1" s="1"/>
  <c r="N43" i="1" a="1"/>
  <c r="N43" i="1" s="1"/>
  <c r="N44" i="1" a="1"/>
  <c r="N44" i="1" s="1"/>
  <c r="N45" i="1" a="1"/>
  <c r="N45" i="1" s="1"/>
  <c r="N46" i="1" a="1"/>
  <c r="N46" i="1" s="1"/>
  <c r="N47" i="1" a="1"/>
  <c r="N47" i="1" s="1"/>
  <c r="N48" i="1" a="1"/>
  <c r="N48" i="1" s="1"/>
  <c r="N49" i="1" a="1"/>
  <c r="N49" i="1" s="1"/>
  <c r="N50" i="1" a="1"/>
  <c r="N50" i="1" s="1"/>
  <c r="N51" i="1" a="1"/>
  <c r="N51" i="1" s="1"/>
  <c r="N52" i="1" a="1"/>
  <c r="N52" i="1" s="1"/>
  <c r="N53" i="1" a="1"/>
  <c r="N53" i="1" s="1"/>
  <c r="N54" i="1" a="1"/>
  <c r="N54" i="1" s="1"/>
  <c r="N55" i="1" a="1"/>
  <c r="N55" i="1" s="1"/>
  <c r="N56" i="1" a="1"/>
  <c r="N56" i="1" s="1"/>
  <c r="N57" i="1" a="1"/>
  <c r="N57" i="1" s="1"/>
  <c r="N58" i="1" a="1"/>
  <c r="N58" i="1" s="1"/>
  <c r="N59" i="1" a="1"/>
  <c r="N59" i="1" s="1"/>
  <c r="N60" i="1" a="1"/>
  <c r="N60" i="1" s="1"/>
  <c r="N61" i="1" a="1"/>
  <c r="N61" i="1" s="1"/>
  <c r="N62" i="1" a="1"/>
  <c r="N62" i="1" s="1"/>
  <c r="N63" i="1" a="1"/>
  <c r="N63" i="1" s="1"/>
  <c r="N64" i="1" a="1"/>
  <c r="N64" i="1" s="1"/>
  <c r="N65" i="1" a="1"/>
  <c r="N65" i="1" s="1"/>
  <c r="N66" i="1" a="1"/>
  <c r="N66" i="1" s="1"/>
  <c r="N67" i="1" a="1"/>
  <c r="N67" i="1" s="1"/>
  <c r="N68" i="1" a="1"/>
  <c r="N68" i="1" s="1"/>
  <c r="N69" i="1" a="1"/>
  <c r="N69" i="1" s="1"/>
  <c r="N70" i="1" a="1"/>
  <c r="N70" i="1" s="1"/>
  <c r="N71" i="1" a="1"/>
  <c r="N71" i="1" s="1"/>
  <c r="N72" i="1" a="1"/>
  <c r="N72" i="1" s="1"/>
  <c r="N73" i="1" a="1"/>
  <c r="N73" i="1" s="1"/>
  <c r="N74" i="1" a="1"/>
  <c r="N74" i="1" s="1"/>
  <c r="N75" i="1" a="1"/>
  <c r="N75" i="1" s="1"/>
  <c r="N76" i="1" a="1"/>
  <c r="N76" i="1" s="1"/>
  <c r="N77" i="1" a="1"/>
  <c r="N77" i="1" s="1"/>
  <c r="N78" i="1" a="1"/>
  <c r="N78" i="1" s="1"/>
  <c r="N79" i="1" a="1"/>
  <c r="N79" i="1" s="1"/>
  <c r="N80" i="1" a="1"/>
  <c r="N80" i="1" s="1"/>
  <c r="N81" i="1" a="1"/>
  <c r="N81" i="1" s="1"/>
  <c r="N82" i="1" a="1"/>
  <c r="N82" i="1" s="1"/>
  <c r="N83" i="1" a="1"/>
  <c r="N83" i="1" s="1"/>
  <c r="N84" i="1" a="1"/>
  <c r="N84" i="1" s="1"/>
  <c r="N85" i="1" a="1"/>
  <c r="N85" i="1" s="1"/>
  <c r="N86" i="1" a="1"/>
  <c r="N86" i="1" s="1"/>
  <c r="N87" i="1" a="1"/>
  <c r="N87" i="1" s="1"/>
  <c r="N88" i="1" a="1"/>
  <c r="N88" i="1" s="1"/>
  <c r="N89" i="1" a="1"/>
  <c r="N89" i="1" s="1"/>
  <c r="N90" i="1" a="1"/>
  <c r="N90" i="1" s="1"/>
  <c r="N91" i="1" a="1"/>
  <c r="N91" i="1" s="1"/>
  <c r="N92" i="1" a="1"/>
  <c r="N92" i="1" s="1"/>
  <c r="N93" i="1" a="1"/>
  <c r="N93" i="1" s="1"/>
  <c r="N94" i="1" a="1"/>
  <c r="N94" i="1" s="1"/>
  <c r="N95" i="1" a="1"/>
  <c r="N95" i="1" s="1"/>
  <c r="N96" i="1" a="1"/>
  <c r="N96" i="1" s="1"/>
  <c r="N97" i="1" a="1"/>
  <c r="N97" i="1" s="1"/>
  <c r="N98" i="1" a="1"/>
  <c r="N98" i="1" s="1"/>
  <c r="N99" i="1" a="1"/>
  <c r="N99" i="1" s="1"/>
  <c r="N100" i="1" a="1"/>
  <c r="N100" i="1" s="1"/>
  <c r="N101" i="1" a="1"/>
  <c r="N101" i="1" s="1"/>
  <c r="N102" i="1" a="1"/>
  <c r="N102" i="1" s="1"/>
  <c r="N103" i="1" a="1"/>
  <c r="N103" i="1" s="1"/>
  <c r="N104" i="1" a="1"/>
  <c r="N104" i="1" s="1"/>
  <c r="N105" i="1" a="1"/>
  <c r="N105" i="1" s="1"/>
  <c r="N106" i="1" a="1"/>
  <c r="N106" i="1" s="1"/>
  <c r="N107" i="1" a="1"/>
  <c r="N107" i="1" s="1"/>
  <c r="N108" i="1" a="1"/>
  <c r="N108" i="1" s="1"/>
  <c r="N109" i="1" a="1"/>
  <c r="N109" i="1" s="1"/>
  <c r="N110" i="1" a="1"/>
  <c r="N110" i="1" s="1"/>
  <c r="N111" i="1" a="1"/>
  <c r="N111" i="1" s="1"/>
  <c r="N112" i="1" a="1"/>
  <c r="N112" i="1" s="1"/>
  <c r="N113" i="1" a="1"/>
  <c r="N113" i="1" s="1"/>
  <c r="N114" i="1" a="1"/>
  <c r="N114" i="1" s="1"/>
  <c r="N115" i="1" a="1"/>
  <c r="N115" i="1" s="1"/>
  <c r="N116" i="1" a="1"/>
  <c r="N116" i="1" s="1"/>
  <c r="N117" i="1" a="1"/>
  <c r="N117" i="1" s="1"/>
  <c r="N118" i="1" a="1"/>
  <c r="N118" i="1" s="1"/>
  <c r="N119" i="1" a="1"/>
  <c r="N119" i="1" s="1"/>
  <c r="N120" i="1" a="1"/>
  <c r="N120" i="1" s="1"/>
  <c r="N121" i="1" a="1"/>
  <c r="N121" i="1" s="1"/>
  <c r="N122" i="1" a="1"/>
  <c r="N122" i="1" s="1"/>
  <c r="N123" i="1" a="1"/>
  <c r="N123" i="1" s="1"/>
  <c r="N124" i="1" a="1"/>
  <c r="N124" i="1" s="1"/>
  <c r="N125" i="1" a="1"/>
  <c r="N125" i="1" s="1"/>
  <c r="N126" i="1" a="1"/>
  <c r="N126" i="1" s="1"/>
  <c r="N127" i="1" a="1"/>
  <c r="N127" i="1" s="1"/>
  <c r="N128" i="1" a="1"/>
  <c r="N128" i="1" s="1"/>
  <c r="N129" i="1" a="1"/>
  <c r="N129" i="1" s="1"/>
  <c r="N130" i="1" a="1"/>
  <c r="N130" i="1" s="1"/>
  <c r="N131" i="1" a="1"/>
  <c r="N131" i="1" s="1"/>
  <c r="N132" i="1" a="1"/>
  <c r="N132" i="1" s="1"/>
  <c r="N133" i="1" a="1"/>
  <c r="N133" i="1" s="1"/>
  <c r="N134" i="1" a="1"/>
  <c r="N134" i="1" s="1"/>
  <c r="N135" i="1" a="1"/>
  <c r="N135" i="1" s="1"/>
  <c r="N136" i="1" a="1"/>
  <c r="N136" i="1" s="1"/>
  <c r="N137" i="1" a="1"/>
  <c r="N137" i="1" s="1"/>
  <c r="N138" i="1" a="1"/>
  <c r="N138" i="1" s="1"/>
  <c r="N139" i="1" a="1"/>
  <c r="N139" i="1" s="1"/>
  <c r="N140" i="1" a="1"/>
  <c r="N140" i="1" s="1"/>
  <c r="N141" i="1" a="1"/>
  <c r="N141" i="1" s="1"/>
  <c r="N142" i="1" a="1"/>
  <c r="N142" i="1" s="1"/>
  <c r="N143" i="1" a="1"/>
  <c r="N143" i="1" s="1"/>
  <c r="N144" i="1" a="1"/>
  <c r="N144" i="1" s="1"/>
  <c r="N145" i="1" a="1"/>
  <c r="N145" i="1" s="1"/>
  <c r="N146" i="1" a="1"/>
  <c r="N146" i="1" s="1"/>
  <c r="N147" i="1" a="1"/>
  <c r="N147" i="1" s="1"/>
  <c r="N148" i="1" a="1"/>
  <c r="N148" i="1" s="1"/>
  <c r="N149" i="1" a="1"/>
  <c r="N149" i="1" s="1"/>
  <c r="N150" i="1" a="1"/>
  <c r="N150" i="1" s="1"/>
  <c r="N151" i="1" a="1"/>
  <c r="N151" i="1" s="1"/>
  <c r="N152" i="1" a="1"/>
  <c r="N152" i="1" s="1"/>
  <c r="N153" i="1" a="1"/>
  <c r="N153" i="1" s="1"/>
  <c r="N154" i="1" a="1"/>
  <c r="N154" i="1" s="1"/>
  <c r="N155" i="1" a="1"/>
  <c r="N155" i="1" s="1"/>
  <c r="N156" i="1" a="1"/>
  <c r="N156" i="1" s="1"/>
  <c r="N157" i="1" a="1"/>
  <c r="N157" i="1" s="1"/>
  <c r="N158" i="1" a="1"/>
  <c r="N158" i="1" s="1"/>
  <c r="N159" i="1" a="1"/>
  <c r="N159" i="1" s="1"/>
  <c r="N160" i="1" a="1"/>
  <c r="N160" i="1" s="1"/>
  <c r="N161" i="1" a="1"/>
  <c r="N161" i="1" s="1"/>
  <c r="N162" i="1" a="1"/>
  <c r="N162" i="1" s="1"/>
  <c r="N163" i="1" a="1"/>
  <c r="N163" i="1" s="1"/>
  <c r="N164" i="1" a="1"/>
  <c r="N164" i="1" s="1"/>
  <c r="N165" i="1" a="1"/>
  <c r="N165" i="1" s="1"/>
  <c r="N166" i="1" a="1"/>
  <c r="N166" i="1" s="1"/>
  <c r="N167" i="1" a="1"/>
  <c r="N167" i="1" s="1"/>
  <c r="N168" i="1" a="1"/>
  <c r="N168" i="1" s="1"/>
  <c r="N169" i="1" a="1"/>
  <c r="N169" i="1" s="1"/>
  <c r="N170" i="1" a="1"/>
  <c r="N170" i="1" s="1"/>
  <c r="N171" i="1" a="1"/>
  <c r="N171" i="1" s="1"/>
  <c r="N172" i="1" a="1"/>
  <c r="N172" i="1" s="1"/>
  <c r="N173" i="1" a="1"/>
  <c r="N173" i="1" s="1"/>
  <c r="N174" i="1" a="1"/>
  <c r="N174" i="1" s="1"/>
  <c r="N175" i="1" a="1"/>
  <c r="N175" i="1" s="1"/>
  <c r="N176" i="1" a="1"/>
  <c r="N176" i="1" s="1"/>
  <c r="N177" i="1" a="1"/>
  <c r="N177" i="1" s="1"/>
  <c r="N178" i="1" a="1"/>
  <c r="N178" i="1" s="1"/>
  <c r="N179" i="1" a="1"/>
  <c r="N179" i="1" s="1"/>
  <c r="N180" i="1" a="1"/>
  <c r="N180" i="1" s="1"/>
  <c r="N181" i="1" a="1"/>
  <c r="N181" i="1" s="1"/>
  <c r="N182" i="1" a="1"/>
  <c r="N182" i="1" s="1"/>
  <c r="N183" i="1" a="1"/>
  <c r="N183" i="1" s="1"/>
  <c r="N184" i="1" a="1"/>
  <c r="N184" i="1" s="1"/>
  <c r="N185" i="1" a="1"/>
  <c r="N185" i="1" s="1"/>
  <c r="N186" i="1" a="1"/>
  <c r="N186" i="1" s="1"/>
  <c r="N187" i="1" a="1"/>
  <c r="N187" i="1" s="1"/>
  <c r="N188" i="1" a="1"/>
  <c r="N188" i="1" s="1"/>
  <c r="N189" i="1" a="1"/>
  <c r="N189" i="1" s="1"/>
  <c r="N190" i="1" a="1"/>
  <c r="N190" i="1" s="1"/>
  <c r="N191" i="1" a="1"/>
  <c r="N191" i="1" s="1"/>
  <c r="N192" i="1" a="1"/>
  <c r="N192" i="1" s="1"/>
  <c r="N193" i="1" a="1"/>
  <c r="N193" i="1" s="1"/>
  <c r="N194" i="1" a="1"/>
  <c r="N194" i="1" s="1"/>
  <c r="N195" i="1" a="1"/>
  <c r="N195" i="1" s="1"/>
  <c r="N196" i="1" a="1"/>
  <c r="N196" i="1" s="1"/>
  <c r="N197" i="1" a="1"/>
  <c r="N197" i="1" s="1"/>
  <c r="N198" i="1" a="1"/>
  <c r="N198" i="1" s="1"/>
  <c r="N199" i="1" a="1"/>
  <c r="N199" i="1" s="1"/>
  <c r="N200" i="1" a="1"/>
  <c r="N200" i="1" s="1"/>
  <c r="N201" i="1" a="1"/>
  <c r="N201" i="1" s="1"/>
  <c r="N202" i="1" a="1"/>
  <c r="N202" i="1" s="1"/>
  <c r="N203" i="1" a="1"/>
  <c r="N203" i="1" s="1"/>
  <c r="N204" i="1" a="1"/>
  <c r="N204" i="1" s="1"/>
  <c r="N205" i="1" a="1"/>
  <c r="N205" i="1" s="1"/>
  <c r="N206" i="1" a="1"/>
  <c r="N206" i="1" s="1"/>
  <c r="N207" i="1" a="1"/>
  <c r="N207" i="1" s="1"/>
  <c r="N208" i="1" a="1"/>
  <c r="N208" i="1" s="1"/>
  <c r="N209" i="1" a="1"/>
  <c r="N209" i="1" s="1"/>
  <c r="N210" i="1" a="1"/>
  <c r="N210" i="1" s="1"/>
  <c r="N211" i="1" a="1"/>
  <c r="N211" i="1" s="1"/>
  <c r="N212" i="1" a="1"/>
  <c r="N212" i="1" s="1"/>
  <c r="N213" i="1" a="1"/>
  <c r="N213" i="1" s="1"/>
  <c r="N214" i="1" a="1"/>
  <c r="N214" i="1" s="1"/>
  <c r="N215" i="1" a="1"/>
  <c r="N215" i="1" s="1"/>
  <c r="N216" i="1" a="1"/>
  <c r="N216" i="1" s="1"/>
  <c r="N217" i="1" a="1"/>
  <c r="N217" i="1" s="1"/>
  <c r="N218" i="1" a="1"/>
  <c r="N218" i="1" s="1"/>
  <c r="N219" i="1" a="1"/>
  <c r="N219" i="1" s="1"/>
  <c r="N220" i="1" a="1"/>
  <c r="N220" i="1" s="1"/>
  <c r="N221" i="1" a="1"/>
  <c r="N221" i="1" s="1"/>
  <c r="N222" i="1" a="1"/>
  <c r="N222" i="1" s="1"/>
  <c r="N223" i="1" a="1"/>
  <c r="N223" i="1" s="1"/>
  <c r="N224" i="1" a="1"/>
  <c r="N224" i="1" s="1"/>
  <c r="N225" i="1" a="1"/>
  <c r="N225" i="1" s="1"/>
  <c r="N226" i="1" a="1"/>
  <c r="N226" i="1" s="1"/>
  <c r="N227" i="1" a="1"/>
  <c r="N227" i="1" s="1"/>
  <c r="N228" i="1" a="1"/>
  <c r="N228" i="1" s="1"/>
  <c r="N229" i="1" a="1"/>
  <c r="N229" i="1" s="1"/>
  <c r="N230" i="1" a="1"/>
  <c r="N230" i="1" s="1"/>
  <c r="N231" i="1" a="1"/>
  <c r="N231" i="1" s="1"/>
  <c r="N232" i="1" a="1"/>
  <c r="N232" i="1" s="1"/>
  <c r="N233" i="1" a="1"/>
  <c r="N233" i="1" s="1"/>
  <c r="N234" i="1" a="1"/>
  <c r="N234" i="1" s="1"/>
  <c r="N235" i="1" a="1"/>
  <c r="N235" i="1" s="1"/>
  <c r="N236" i="1" a="1"/>
  <c r="N236" i="1" s="1"/>
  <c r="N237" i="1" a="1"/>
  <c r="N237" i="1" s="1"/>
  <c r="N238" i="1" a="1"/>
  <c r="N238" i="1" s="1"/>
  <c r="N239" i="1" a="1"/>
  <c r="N239" i="1" s="1"/>
  <c r="N240" i="1" a="1"/>
  <c r="N240" i="1" s="1"/>
  <c r="N241" i="1" a="1"/>
  <c r="N241" i="1" s="1"/>
  <c r="N242" i="1" a="1"/>
  <c r="N242" i="1" s="1"/>
  <c r="N2" i="1" a="1"/>
  <c r="N2" i="1" s="1"/>
  <c r="L3" i="1" l="1"/>
  <c r="C3" i="1" s="1"/>
  <c r="L4" i="1"/>
  <c r="L5" i="1"/>
  <c r="L6" i="1"/>
  <c r="L7" i="1"/>
  <c r="L8" i="1"/>
  <c r="C8" i="1" s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C56" i="1" s="1"/>
  <c r="L57" i="1"/>
  <c r="L58" i="1"/>
  <c r="L59" i="1"/>
  <c r="L60" i="1"/>
  <c r="L61" i="1"/>
  <c r="C61" i="1" s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C83" i="1" s="1"/>
  <c r="L84" i="1"/>
  <c r="L85" i="1"/>
  <c r="L86" i="1"/>
  <c r="L87" i="1"/>
  <c r="L88" i="1"/>
  <c r="L89" i="1"/>
  <c r="C89" i="1" s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C106" i="1" s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C121" i="1" s="1"/>
  <c r="L122" i="1"/>
  <c r="C122" i="1" s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C138" i="1" s="1"/>
  <c r="L139" i="1"/>
  <c r="C139" i="1" s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C154" i="1" s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C181" i="1" s="1"/>
  <c r="L182" i="1"/>
  <c r="L183" i="1"/>
  <c r="L184" i="1"/>
  <c r="L185" i="1"/>
  <c r="L186" i="1"/>
  <c r="C186" i="1" s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C201" i="1" s="1"/>
  <c r="L202" i="1"/>
  <c r="C202" i="1" s="1"/>
  <c r="L203" i="1"/>
  <c r="L204" i="1"/>
  <c r="L205" i="1"/>
  <c r="L206" i="1"/>
  <c r="L207" i="1"/>
  <c r="L208" i="1"/>
  <c r="L209" i="1"/>
  <c r="L210" i="1"/>
  <c r="L211" i="1"/>
  <c r="L212" i="1"/>
  <c r="C212" i="1" s="1"/>
  <c r="L213" i="1"/>
  <c r="C213" i="1" s="1"/>
  <c r="L214" i="1"/>
  <c r="L215" i="1"/>
  <c r="L216" i="1"/>
  <c r="C216" i="1" s="1"/>
  <c r="L217" i="1"/>
  <c r="L218" i="1"/>
  <c r="C218" i="1" s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C235" i="1" s="1"/>
  <c r="L236" i="1"/>
  <c r="C236" i="1" s="1"/>
  <c r="L237" i="1"/>
  <c r="C237" i="1" s="1"/>
  <c r="L238" i="1"/>
  <c r="L239" i="1"/>
  <c r="L240" i="1"/>
  <c r="L241" i="1"/>
  <c r="L242" i="1"/>
  <c r="L2" i="1"/>
  <c r="C2" i="1" s="1"/>
  <c r="D178" i="9"/>
  <c r="C4" i="1"/>
  <c r="C5" i="1"/>
  <c r="C7" i="1"/>
  <c r="C9" i="1"/>
  <c r="C10" i="1"/>
  <c r="C11" i="1"/>
  <c r="C12" i="1"/>
  <c r="C13" i="1"/>
  <c r="C14" i="1"/>
  <c r="C19" i="1"/>
  <c r="C20" i="1"/>
  <c r="C21" i="1"/>
  <c r="C22" i="1"/>
  <c r="C24" i="1"/>
  <c r="C25" i="1"/>
  <c r="C26" i="1"/>
  <c r="C27" i="1"/>
  <c r="C28" i="1"/>
  <c r="C29" i="1"/>
  <c r="C30" i="1"/>
  <c r="C35" i="1"/>
  <c r="C36" i="1"/>
  <c r="C37" i="1"/>
  <c r="C38" i="1"/>
  <c r="C40" i="1"/>
  <c r="C41" i="1"/>
  <c r="C42" i="1"/>
  <c r="C43" i="1"/>
  <c r="C44" i="1"/>
  <c r="C45" i="1"/>
  <c r="C46" i="1"/>
  <c r="C47" i="1"/>
  <c r="C51" i="1"/>
  <c r="C52" i="1"/>
  <c r="C53" i="1"/>
  <c r="C57" i="1"/>
  <c r="C58" i="1"/>
  <c r="C59" i="1"/>
  <c r="C60" i="1"/>
  <c r="C62" i="1"/>
  <c r="C64" i="1"/>
  <c r="C67" i="1"/>
  <c r="C68" i="1"/>
  <c r="C69" i="1"/>
  <c r="C72" i="1"/>
  <c r="C73" i="1"/>
  <c r="C74" i="1"/>
  <c r="C75" i="1"/>
  <c r="C76" i="1"/>
  <c r="C77" i="1"/>
  <c r="C78" i="1"/>
  <c r="C84" i="1"/>
  <c r="C85" i="1"/>
  <c r="C86" i="1"/>
  <c r="C88" i="1"/>
  <c r="C90" i="1"/>
  <c r="C91" i="1"/>
  <c r="C92" i="1"/>
  <c r="C93" i="1"/>
  <c r="C94" i="1"/>
  <c r="C99" i="1"/>
  <c r="C100" i="1"/>
  <c r="C101" i="1"/>
  <c r="C103" i="1"/>
  <c r="C104" i="1"/>
  <c r="C105" i="1"/>
  <c r="C107" i="1"/>
  <c r="C108" i="1"/>
  <c r="C109" i="1"/>
  <c r="C115" i="1"/>
  <c r="C116" i="1"/>
  <c r="C117" i="1"/>
  <c r="C118" i="1"/>
  <c r="C119" i="1"/>
  <c r="C120" i="1"/>
  <c r="C123" i="1"/>
  <c r="C124" i="1"/>
  <c r="C125" i="1"/>
  <c r="C131" i="1"/>
  <c r="C132" i="1"/>
  <c r="C133" i="1"/>
  <c r="C136" i="1"/>
  <c r="C137" i="1"/>
  <c r="C140" i="1"/>
  <c r="C141" i="1"/>
  <c r="C147" i="1"/>
  <c r="C148" i="1"/>
  <c r="C149" i="1"/>
  <c r="C152" i="1"/>
  <c r="C153" i="1"/>
  <c r="C155" i="1"/>
  <c r="C156" i="1"/>
  <c r="C157" i="1"/>
  <c r="C163" i="1"/>
  <c r="C164" i="1"/>
  <c r="C165" i="1"/>
  <c r="C166" i="1"/>
  <c r="C167" i="1"/>
  <c r="C168" i="1"/>
  <c r="C169" i="1"/>
  <c r="C170" i="1"/>
  <c r="C171" i="1"/>
  <c r="C172" i="1"/>
  <c r="C173" i="1"/>
  <c r="C179" i="1"/>
  <c r="C180" i="1"/>
  <c r="C182" i="1"/>
  <c r="C184" i="1"/>
  <c r="C185" i="1"/>
  <c r="C187" i="1"/>
  <c r="C188" i="1"/>
  <c r="C189" i="1"/>
  <c r="C195" i="1"/>
  <c r="C196" i="1"/>
  <c r="C197" i="1"/>
  <c r="C200" i="1"/>
  <c r="C203" i="1"/>
  <c r="C204" i="1"/>
  <c r="C205" i="1"/>
  <c r="C211" i="1"/>
  <c r="C217" i="1"/>
  <c r="C219" i="1"/>
  <c r="C220" i="1"/>
  <c r="C221" i="1"/>
  <c r="C227" i="1"/>
  <c r="C228" i="1"/>
  <c r="C229" i="1"/>
  <c r="C232" i="1"/>
  <c r="C233" i="1"/>
  <c r="C234" i="1"/>
  <c r="C240" i="1"/>
  <c r="C242" i="1"/>
  <c r="D146" i="8"/>
  <c r="C142" i="1" l="1"/>
  <c r="C126" i="1"/>
  <c r="C110" i="1"/>
  <c r="C231" i="1"/>
  <c r="C215" i="1"/>
  <c r="C199" i="1"/>
  <c r="C183" i="1"/>
  <c r="C151" i="1"/>
  <c r="C135" i="1"/>
  <c r="C87" i="1"/>
  <c r="C71" i="1"/>
  <c r="C55" i="1"/>
  <c r="C39" i="1"/>
  <c r="C23" i="1"/>
  <c r="C230" i="1"/>
  <c r="C214" i="1"/>
  <c r="C198" i="1"/>
  <c r="C150" i="1"/>
  <c r="C134" i="1"/>
  <c r="C102" i="1"/>
  <c r="C70" i="1"/>
  <c r="C54" i="1"/>
  <c r="C6" i="1"/>
  <c r="C241" i="1"/>
  <c r="C225" i="1"/>
  <c r="C209" i="1"/>
  <c r="C193" i="1"/>
  <c r="C177" i="1"/>
  <c r="C161" i="1"/>
  <c r="C145" i="1"/>
  <c r="C129" i="1"/>
  <c r="C113" i="1"/>
  <c r="C97" i="1"/>
  <c r="C81" i="1"/>
  <c r="C65" i="1"/>
  <c r="C49" i="1"/>
  <c r="C33" i="1"/>
  <c r="C17" i="1"/>
  <c r="C239" i="1"/>
  <c r="C223" i="1"/>
  <c r="C207" i="1"/>
  <c r="C191" i="1"/>
  <c r="C175" i="1"/>
  <c r="C159" i="1"/>
  <c r="C143" i="1"/>
  <c r="C127" i="1"/>
  <c r="C111" i="1"/>
  <c r="C95" i="1"/>
  <c r="C79" i="1"/>
  <c r="C63" i="1"/>
  <c r="C31" i="1"/>
  <c r="C15" i="1"/>
  <c r="C224" i="1"/>
  <c r="C208" i="1"/>
  <c r="C192" i="1"/>
  <c r="C176" i="1"/>
  <c r="C160" i="1"/>
  <c r="C144" i="1"/>
  <c r="C128" i="1"/>
  <c r="C112" i="1"/>
  <c r="C96" i="1"/>
  <c r="C80" i="1"/>
  <c r="C48" i="1"/>
  <c r="C32" i="1"/>
  <c r="C238" i="1"/>
  <c r="C222" i="1"/>
  <c r="C206" i="1"/>
  <c r="C190" i="1"/>
  <c r="C174" i="1"/>
  <c r="C158" i="1"/>
  <c r="C226" i="1"/>
  <c r="C210" i="1"/>
  <c r="C194" i="1"/>
  <c r="C178" i="1"/>
  <c r="C162" i="1"/>
  <c r="C146" i="1"/>
  <c r="C130" i="1"/>
  <c r="C114" i="1"/>
  <c r="C98" i="1"/>
  <c r="C82" i="1"/>
  <c r="C66" i="1"/>
  <c r="C50" i="1"/>
  <c r="C34" i="1"/>
  <c r="C18" i="1"/>
</calcChain>
</file>

<file path=xl/sharedStrings.xml><?xml version="1.0" encoding="utf-8"?>
<sst xmlns="http://schemas.openxmlformats.org/spreadsheetml/2006/main" count="24490" uniqueCount="658">
  <si>
    <t>Số tờ</t>
  </si>
  <si>
    <t>Số thửa</t>
  </si>
  <si>
    <t>Số thửa tạm</t>
  </si>
  <si>
    <t>Diện tích</t>
  </si>
  <si>
    <t>Diện tích pháp lý</t>
  </si>
  <si>
    <t>Địa chỉ (Xã, Huyện, Tỉnh)</t>
  </si>
  <si>
    <t>Ghi chú</t>
  </si>
  <si>
    <t>MĐSD KK 1</t>
  </si>
  <si>
    <t>Mã xã (của chủ)</t>
  </si>
  <si>
    <t>Dân tộc</t>
  </si>
  <si>
    <t/>
  </si>
  <si>
    <t>NHK</t>
  </si>
  <si>
    <t>Ê R</t>
  </si>
  <si>
    <t>Hồ A Nên</t>
  </si>
  <si>
    <t>Hồ A Vai</t>
  </si>
  <si>
    <t>Hồ Bun Nhây</t>
  </si>
  <si>
    <t>Hồ Cô Tả</t>
  </si>
  <si>
    <t>Hồ Cu Lai</t>
  </si>
  <si>
    <t>Hồ Cu Tanh</t>
  </si>
  <si>
    <t>Hồ Cu Tria</t>
  </si>
  <si>
    <t>Hồ Ku Cưa</t>
  </si>
  <si>
    <t>Hồ Thế Hùng</t>
  </si>
  <si>
    <t>Hồ Thị Del</t>
  </si>
  <si>
    <t>Hồ Thị Dinh</t>
  </si>
  <si>
    <t>Hồ Thị Ê</t>
  </si>
  <si>
    <t>Hồ Thị Hà</t>
  </si>
  <si>
    <t>Hồ Thị Hang</t>
  </si>
  <si>
    <t>Hồ Thị Hưm</t>
  </si>
  <si>
    <t>Hồ Thị Khương</t>
  </si>
  <si>
    <t>Hồ Thị Kỉa</t>
  </si>
  <si>
    <t>Hồ Thị Lịch</t>
  </si>
  <si>
    <t>Hồ Thị Mia</t>
  </si>
  <si>
    <t>Hồ Thị Mộc</t>
  </si>
  <si>
    <t>Hồ Thị Nguyệt</t>
  </si>
  <si>
    <t>Hồ Thị Nhất</t>
  </si>
  <si>
    <t>Hồ Thị Nhạt</t>
  </si>
  <si>
    <t>Hồ Thị Nưa</t>
  </si>
  <si>
    <t>Hồ Thị Phởi</t>
  </si>
  <si>
    <t>Hồ Thị Thang</t>
  </si>
  <si>
    <t>Hồ Thị Thành</t>
  </si>
  <si>
    <t>Hồ Thị Thế</t>
  </si>
  <si>
    <t>Hồ Thị Thủy</t>
  </si>
  <si>
    <t>Hồ Thị Tử</t>
  </si>
  <si>
    <t>Hồ Thị Tươi</t>
  </si>
  <si>
    <t>Hồ Văn Ban</t>
  </si>
  <si>
    <t>Hồ Văn Cầm</t>
  </si>
  <si>
    <t>Hồ Văn Chăn</t>
  </si>
  <si>
    <t>Hồ Văn Chang</t>
  </si>
  <si>
    <t>Hồ Văn Châu</t>
  </si>
  <si>
    <t>Hồ Văn Chiêm</t>
  </si>
  <si>
    <t>Hồ Văn Chiến</t>
  </si>
  <si>
    <t>Hồ Văn Chiếp</t>
  </si>
  <si>
    <t>Hồ Văn Chim</t>
  </si>
  <si>
    <t>Hồ Văn Chin</t>
  </si>
  <si>
    <t>Hồ Văn Chở</t>
  </si>
  <si>
    <t>Hồ Văn Chon</t>
  </si>
  <si>
    <t>Hồ Văn Chôn</t>
  </si>
  <si>
    <t>Hồ Văn Chung</t>
  </si>
  <si>
    <t>Hồ Văn Cớc</t>
  </si>
  <si>
    <t>Hồ Văn Đáp</t>
  </si>
  <si>
    <t>Hồ Văn Dế</t>
  </si>
  <si>
    <t>Hồ Văn Diệu</t>
  </si>
  <si>
    <t>Hồ Văn Do</t>
  </si>
  <si>
    <t>Hồ Văn Đức</t>
  </si>
  <si>
    <t>Hồ Văn Đum</t>
  </si>
  <si>
    <t>Hồ Văn Dương</t>
  </si>
  <si>
    <t>Hồ Văn Ép</t>
  </si>
  <si>
    <t>Hồ Văn Hà</t>
  </si>
  <si>
    <t>Hồ Văn Ham</t>
  </si>
  <si>
    <t>Hồ Văn Hào</t>
  </si>
  <si>
    <t>Hồ Văn Hảo</t>
  </si>
  <si>
    <t>Hồ Văn Hiên</t>
  </si>
  <si>
    <t>Hồ Văn Hiệp</t>
  </si>
  <si>
    <t>Hồ Văn Hồi</t>
  </si>
  <si>
    <t>Hồ Văn Hơn</t>
  </si>
  <si>
    <t>Hồ Văn Hồng</t>
  </si>
  <si>
    <t>Hồ Văn Hùng</t>
  </si>
  <si>
    <t>Hồ Văn Hữu</t>
  </si>
  <si>
    <t>Hồ Văn Iêng</t>
  </si>
  <si>
    <t>Hồ Văn Kế</t>
  </si>
  <si>
    <t>Hồ Văn Khang</t>
  </si>
  <si>
    <t>Hồ Văn Khẩu</t>
  </si>
  <si>
    <t>Hồ Văn Khen</t>
  </si>
  <si>
    <t>Hồ Văn Khiết</t>
  </si>
  <si>
    <t>Hồ Văn Khinh</t>
  </si>
  <si>
    <t>Hồ Văn Khoái</t>
  </si>
  <si>
    <t>Hồ Văn Khối</t>
  </si>
  <si>
    <t>Hồ Văn Không</t>
  </si>
  <si>
    <t>Hồ Văn Khư</t>
  </si>
  <si>
    <t>Hồ Văn Khua</t>
  </si>
  <si>
    <t>Hồ Văn Khưa</t>
  </si>
  <si>
    <t>Hồ Văn Khưm</t>
  </si>
  <si>
    <t>Hồ Văn Kiều</t>
  </si>
  <si>
    <t>Hồ Văn La</t>
  </si>
  <si>
    <t>Hồ Văn Lài</t>
  </si>
  <si>
    <t>Hồ Văn Liên</t>
  </si>
  <si>
    <t>Hồ Văn Lửa</t>
  </si>
  <si>
    <t>Hồ Văn Mác</t>
  </si>
  <si>
    <t>Hồ Văn Mằn</t>
  </si>
  <si>
    <t>Hồ Văn Mê</t>
  </si>
  <si>
    <t>Hồ Văn Moa</t>
  </si>
  <si>
    <t>Hồ Văn Moài</t>
  </si>
  <si>
    <t>Hồ Văn Mừng</t>
  </si>
  <si>
    <t>Hồ Văn Muôn</t>
  </si>
  <si>
    <t>Hồ Văn My</t>
  </si>
  <si>
    <t>Hồ Văn Nghiên</t>
  </si>
  <si>
    <t>Hồ Văn Ngưm</t>
  </si>
  <si>
    <t>Hồ Văn Nhiên</t>
  </si>
  <si>
    <t>Hồ Văn Nhương</t>
  </si>
  <si>
    <t>Hồ Văn Niên</t>
  </si>
  <si>
    <t>Hồ Văn Oanh</t>
  </si>
  <si>
    <t>Hồ Văn Ói</t>
  </si>
  <si>
    <t>Hồ Văn Pa Reng</t>
  </si>
  <si>
    <t>Hồ Văn Pằng</t>
  </si>
  <si>
    <t>Hồ Văn Phân</t>
  </si>
  <si>
    <t>Hồ Văn Quan</t>
  </si>
  <si>
    <t>Hồ Văn Rêm</t>
  </si>
  <si>
    <t>Hồ Văn Táo</t>
  </si>
  <si>
    <t>Hồ Văn Thái</t>
  </si>
  <si>
    <t>Hồ Văn Thăng</t>
  </si>
  <si>
    <t>Hồ Văn Thanh</t>
  </si>
  <si>
    <t>Hồ Văn Thi</t>
  </si>
  <si>
    <t>Hồ Văn Thiên</t>
  </si>
  <si>
    <t>Hồ Văn Thiết</t>
  </si>
  <si>
    <t>Hồ Văn Thiu</t>
  </si>
  <si>
    <t>Hồ Văn Thới</t>
  </si>
  <si>
    <t>Hồ Văn Thơm</t>
  </si>
  <si>
    <t>Hồ Văn Thua</t>
  </si>
  <si>
    <t>Hồ Văn Thưắng</t>
  </si>
  <si>
    <t>Hồ Văn Thức</t>
  </si>
  <si>
    <t>Hồ Văn Thủy</t>
  </si>
  <si>
    <t>Hồ Văn Uơm</t>
  </si>
  <si>
    <t>Hồ Văn Uơng</t>
  </si>
  <si>
    <t>Hồ Văn Vầng</t>
  </si>
  <si>
    <t>Hồ Văn Ven</t>
  </si>
  <si>
    <t>Hồ Văn VêR</t>
  </si>
  <si>
    <t>Hồ Văn Vi</t>
  </si>
  <si>
    <t>Hồ Văn Viên</t>
  </si>
  <si>
    <t>Hồ Văn Vinh</t>
  </si>
  <si>
    <t>Hồ Văn Vói</t>
  </si>
  <si>
    <t>Hồ Văn Vồng</t>
  </si>
  <si>
    <t>Hồ Văn Vương</t>
  </si>
  <si>
    <t>Hồ Văn Xiên</t>
  </si>
  <si>
    <t>Hồ Văn Xinh</t>
  </si>
  <si>
    <t>Hồ Văn Ý</t>
  </si>
  <si>
    <t>Hồ Xa Ể</t>
  </si>
  <si>
    <t>Hồ Xuân Lâm</t>
  </si>
  <si>
    <t>Hồ Xuân Thiệp</t>
  </si>
  <si>
    <t>Tu Pông Chùy</t>
  </si>
  <si>
    <t>STT</t>
  </si>
  <si>
    <t>VĂN PHÒNG ĐKĐĐ TỈNH QUẢNG TRỊ                           CHI NHÁNH HUYỆN HƯỚNG HÓA</t>
  </si>
  <si>
    <t>CỘNG HÒA XÃ HỘI CHỦ NGHĨA VIỆT NAM
Độc lập - Tự do - Hạnh phúc</t>
  </si>
  <si>
    <t>DANH SÁCH
Các thửa đất không đủ điều kiện</t>
  </si>
  <si>
    <t>Tại xã Lìa, huyện Hướng Hóa, tỉnh Quảng Trị</t>
  </si>
  <si>
    <t>Tên người sử
 dụng đất, chủ sở hữu tài sản gắn liền với đất</t>
  </si>
  <si>
    <t xml:space="preserve">Địa chỉ </t>
  </si>
  <si>
    <t>Tờ bản đồ số</t>
  </si>
  <si>
    <t>Thửa đất số</t>
  </si>
  <si>
    <t>Diện tích đất (m²)</t>
  </si>
  <si>
    <t>Mục đích
 sử dụng đất</t>
  </si>
  <si>
    <t>Hồ Thị Phớt</t>
  </si>
  <si>
    <t>Lìa</t>
  </si>
  <si>
    <t>Hồ Văn Đưng</t>
  </si>
  <si>
    <t>A Máy</t>
  </si>
  <si>
    <t>Kỳ Nơi</t>
  </si>
  <si>
    <t>Chồng lấn lên thửa 159</t>
  </si>
  <si>
    <t>Hồ A Nun</t>
  </si>
  <si>
    <t>Hồ Thị Liêu</t>
  </si>
  <si>
    <t>Hồ Thị Hiện</t>
  </si>
  <si>
    <t>Hồ Thị Hóa</t>
  </si>
  <si>
    <t>Hồ Văn Vêr</t>
  </si>
  <si>
    <t>A Quan</t>
  </si>
  <si>
    <t>Hồ Văn Duông</t>
  </si>
  <si>
    <t>A Xói Hang</t>
  </si>
  <si>
    <t>Hồ Thị Ninh</t>
  </si>
  <si>
    <t>Hồ Thị Túa</t>
  </si>
  <si>
    <t>Thôn A Máy</t>
  </si>
  <si>
    <t>Hồ Thị Nhật</t>
  </si>
  <si>
    <t>Hồ Văn Ỷ</t>
  </si>
  <si>
    <t>Y Mun</t>
  </si>
  <si>
    <t>Hồ Kô Tả</t>
  </si>
  <si>
    <t>Lẫy Tới</t>
  </si>
  <si>
    <t>Hồ Văn Lưi</t>
  </si>
  <si>
    <t>vượt hạn mức</t>
  </si>
  <si>
    <t xml:space="preserve">DANH SACH KHÔNG ĐỦ ĐIỀU KIỆN THEO NQ10 </t>
  </si>
  <si>
    <t>TẠI XÃ LÌA</t>
  </si>
  <si>
    <t>DANH SACH KHÔNG ĐỦ ĐIỀU KIỆN THEO QUYẾT ĐỊNH 4069</t>
  </si>
  <si>
    <t>DANH SACH KHÔNG ĐỦ ĐIỀU KIỆN THEO NQ10 VÀ QUYẾT ĐỊNH 4069</t>
  </si>
  <si>
    <t xml:space="preserve">DANH SÁCH KHÔNG ĐỦ ĐIỀU KIỆN THEO NQ10 VÀ QUYẾT ĐỊNH SỐ 4069
TẠI XÃ LÌA
</t>
  </si>
  <si>
    <t>Lý do không đủ điều kiện</t>
  </si>
  <si>
    <t xml:space="preserve"> CHỦ TỊCH</t>
  </si>
  <si>
    <t xml:space="preserve">      TM. ỦY BAN NHÂN DÂN</t>
  </si>
  <si>
    <t>Tổng cộng: 208 hộ</t>
  </si>
  <si>
    <t>Hộ nghèo</t>
  </si>
  <si>
    <t>Vân Kiều</t>
  </si>
  <si>
    <t>A Xóc Lìa</t>
  </si>
  <si>
    <t>Hồ Văn Ngọc</t>
  </si>
  <si>
    <t>Hồ Văn Năng</t>
  </si>
  <si>
    <t>Hồ Văn Vôi</t>
  </si>
  <si>
    <t>Hồ Văn Thảo</t>
  </si>
  <si>
    <t>Hồ Thị Hồi</t>
  </si>
  <si>
    <t>Hồ Thị Dế</t>
  </si>
  <si>
    <t>Hồ Văn Nooc</t>
  </si>
  <si>
    <t>Hồ Ta Xưn</t>
  </si>
  <si>
    <t>Hồ Văn Khoai</t>
  </si>
  <si>
    <t>Hồ Văn Ơn</t>
  </si>
  <si>
    <t>Hồ Văn Ty</t>
  </si>
  <si>
    <t>Hồ Văn Năm</t>
  </si>
  <si>
    <t>Hồ Văn Mai</t>
  </si>
  <si>
    <t>Hồ Văn Lai</t>
  </si>
  <si>
    <t>Hồ Văn Thơn</t>
  </si>
  <si>
    <t>Hồ Văn Lô</t>
  </si>
  <si>
    <t>Y Nương</t>
  </si>
  <si>
    <t>Hồ Văn Cưng</t>
  </si>
  <si>
    <t>Hồ Văn Rế</t>
  </si>
  <si>
    <t>Pa - co</t>
  </si>
  <si>
    <t>A Xau</t>
  </si>
  <si>
    <t>Hồ Văn Đạo</t>
  </si>
  <si>
    <t>Hồ Văn Ton</t>
  </si>
  <si>
    <t>Hồ Văn Đầu</t>
  </si>
  <si>
    <t>Hồ K Rem</t>
  </si>
  <si>
    <t>Hồ Văn Nhạc</t>
  </si>
  <si>
    <t>Hồ Văn Kết</t>
  </si>
  <si>
    <t>Hồ Văn Tối</t>
  </si>
  <si>
    <t>Hồ Văn Triết</t>
  </si>
  <si>
    <t>Hồ Văn Hợi</t>
  </si>
  <si>
    <t>Hồ Cu Char</t>
  </si>
  <si>
    <t>Hồ Văn Dêng</t>
  </si>
  <si>
    <t>Hộ ngheo</t>
  </si>
  <si>
    <t>Pa-co</t>
  </si>
  <si>
    <t>Hồ Thị Ham</t>
  </si>
  <si>
    <t>Hồ Văn Ngát</t>
  </si>
  <si>
    <t>Hồ Văn Nghíp</t>
  </si>
  <si>
    <t>Hồ Văn Dôn</t>
  </si>
  <si>
    <t>Hồ Văn Doang</t>
  </si>
  <si>
    <t>Hồ Văn Dao</t>
  </si>
  <si>
    <t>Hồ Văn Đối</t>
  </si>
  <si>
    <t>Hồ Văn Tân</t>
  </si>
  <si>
    <t>Hồ Văn Tâu</t>
  </si>
  <si>
    <t>Hồ Văn Tao</t>
  </si>
  <si>
    <t>Hồ Cu Pẩy</t>
  </si>
  <si>
    <t xml:space="preserve"> A Xau</t>
  </si>
  <si>
    <t>Hồ Thị Thăm (Hồ Cu Xa)</t>
  </si>
  <si>
    <t>Hồ Sông Xức</t>
  </si>
  <si>
    <t>Hồ Văn Lực</t>
  </si>
  <si>
    <t>Ăm Đài</t>
  </si>
  <si>
    <t>Căn Lộc</t>
  </si>
  <si>
    <t>Hồ Thị Hỉ</t>
  </si>
  <si>
    <t>Hồ Văn Bình</t>
  </si>
  <si>
    <t>Hồ A Văn</t>
  </si>
  <si>
    <t>Hồ Văn Lộc</t>
  </si>
  <si>
    <t>Hồ Văn Luận</t>
  </si>
  <si>
    <t>Hồ Văn Háo</t>
  </si>
  <si>
    <t>Hồ Thị Căn Đa</t>
  </si>
  <si>
    <t>Hồ Văn Nhờ</t>
  </si>
  <si>
    <t>Hồ Văn Mết</t>
  </si>
  <si>
    <t>Hồ Văn A Sên</t>
  </si>
  <si>
    <t>Hồ Văn Quyết</t>
  </si>
  <si>
    <t>Hồ Văn Den</t>
  </si>
  <si>
    <t>Hồ Văn Nô</t>
  </si>
  <si>
    <t xml:space="preserve"> Kỳ Nơi</t>
  </si>
  <si>
    <t>Hồ Thị Hiên (Hồ Văn Đức)</t>
  </si>
  <si>
    <t>Hồ Cu Rai</t>
  </si>
  <si>
    <t>Hồ Thị Dân</t>
  </si>
  <si>
    <t>Hồ Văn Deng</t>
  </si>
  <si>
    <t>Hồ Văn Đào</t>
  </si>
  <si>
    <t>Hồ Cu Giang</t>
  </si>
  <si>
    <t>Hồ Văn Tuấn</t>
  </si>
  <si>
    <t>Hồ Văn Đan</t>
  </si>
  <si>
    <t xml:space="preserve"> A Xói Hang</t>
  </si>
  <si>
    <t>Hồ Thị Lan (Hồ Văn Thắng)</t>
  </si>
  <si>
    <t>Hồ Văn Thương</t>
  </si>
  <si>
    <t>Hồ Cu Thưl</t>
  </si>
  <si>
    <t>Hồ Văn Thíu</t>
  </si>
  <si>
    <t>Tăng cô Hang</t>
  </si>
  <si>
    <t>Hồ Thị Niêu</t>
  </si>
  <si>
    <t>Hồ Xuân Và</t>
  </si>
  <si>
    <t>Hồ Văn Hội</t>
  </si>
  <si>
    <t>Hồ Văn Dứt</t>
  </si>
  <si>
    <t>Hồ Văn Ngơn</t>
  </si>
  <si>
    <t>Hồ Văn Vượn</t>
  </si>
  <si>
    <t>Hồ Văn Hun</t>
  </si>
  <si>
    <t>Hồ Văn Thích</t>
  </si>
  <si>
    <t>Hồ Văn Doong</t>
  </si>
  <si>
    <t>Hồ Cu Xị</t>
  </si>
  <si>
    <t>A Môr</t>
  </si>
  <si>
    <t>Hồ Văn Giau</t>
  </si>
  <si>
    <t>Hồ Văn Thưa</t>
  </si>
  <si>
    <t>Hồ Văn Khuất</t>
  </si>
  <si>
    <t>Hồ Văn Diệp</t>
  </si>
  <si>
    <t>Hồ Văn Pang</t>
  </si>
  <si>
    <t>Hồ Cu Xé</t>
  </si>
  <si>
    <t>Hồ Thị Xư</t>
  </si>
  <si>
    <t>Hồ Văn Thước</t>
  </si>
  <si>
    <t>Hồ A Ren</t>
  </si>
  <si>
    <t>Hồ Cu Sang</t>
  </si>
  <si>
    <t>Hồ Văn Thời</t>
  </si>
  <si>
    <t>Hồ Văn Khơn</t>
  </si>
  <si>
    <t>Hồ Văn Hải</t>
  </si>
  <si>
    <t>Hồ Văn Xức</t>
  </si>
  <si>
    <t>Hồ Văn Duy</t>
  </si>
  <si>
    <t>Hồ Văn Thiệp</t>
  </si>
  <si>
    <t>Hồ Văn Nam</t>
  </si>
  <si>
    <t>Hồ Văn Độp</t>
  </si>
  <si>
    <t>Hồ Văn Cam</t>
  </si>
  <si>
    <t>Hồ Văn Khiêt</t>
  </si>
  <si>
    <t xml:space="preserve"> A Môr</t>
  </si>
  <si>
    <t>A Rông</t>
  </si>
  <si>
    <t>Hồ Văn Cường</t>
  </si>
  <si>
    <t>Pả Nội</t>
  </si>
  <si>
    <t>Pả Đinh</t>
  </si>
  <si>
    <t>Hồ Văn Dỗ</t>
  </si>
  <si>
    <t>Hồ Thăn</t>
  </si>
  <si>
    <t>Hồ Văn Liêt</t>
  </si>
  <si>
    <t>Hồ Văn Phùng</t>
  </si>
  <si>
    <t>Hồ Văn Măn</t>
  </si>
  <si>
    <t>Hồ Văn Hăn</t>
  </si>
  <si>
    <t>Hồ Văn Xa Tủ</t>
  </si>
  <si>
    <t>Hồ Văn Hiếu</t>
  </si>
  <si>
    <t>Hồ Văn Hươi</t>
  </si>
  <si>
    <t>Hồ Văn Lũy</t>
  </si>
  <si>
    <t>Hồ Văn Sao</t>
  </si>
  <si>
    <t>Hồ Văn Vay</t>
  </si>
  <si>
    <t xml:space="preserve"> Kỳ Tăng</t>
  </si>
  <si>
    <t>Hồ Thị Nga (Hồ Văn Liên)</t>
  </si>
  <si>
    <t>Hồ Văn Canh</t>
  </si>
  <si>
    <t>Hồ Văn Chín</t>
  </si>
  <si>
    <t>thuộc đối tượng</t>
  </si>
  <si>
    <t>Địa chỉ</t>
  </si>
  <si>
    <t>CÁC HỘ THIẾU ĐẤT SẢN XUẤT THEO NGHỊ QUYẾT SỐ 10/2018/NQ-HĐND NGÀY 18/7/2018 CỦA HĐND TỈNH QUẢNG TRỊ</t>
  </si>
  <si>
    <t>DANH SÁCH</t>
  </si>
  <si>
    <t>Xã Lìa, ngày 4 tháng 5 năm 2020</t>
  </si>
  <si>
    <t>Số:      /DS-UBND</t>
  </si>
  <si>
    <t>Độc lập - Tự do - Hạnh phúc</t>
  </si>
  <si>
    <t>XÃ LÌA</t>
  </si>
  <si>
    <t>CỘNG HÒA XÃ HỘI CHỦ NGHĨA VIỆT NAM</t>
  </si>
  <si>
    <t>ỦY BAN NHÂN DÂN</t>
  </si>
  <si>
    <t>Số:         /DS-UBND</t>
  </si>
  <si>
    <t>Xã Lìa, ngày 4  tháng 5 năm 2020</t>
  </si>
  <si>
    <t>DANH SÁCH CÁC HỘ THIẾU ĐẤT SẢN XUẤT THEO QUYẾT ĐỊNH SỐ 4069/2018/QĐ-UBND NGÀY 16/10/2018 CỦA UBND HUYỆN HƯỚNG HÓA (NGÂN SÁCH CỦA HUYỆN)</t>
  </si>
  <si>
    <t>Tăng Cô Hang</t>
  </si>
  <si>
    <t>DTTS</t>
  </si>
  <si>
    <t>Hồ Thị Tưi</t>
  </si>
  <si>
    <t>HCN</t>
  </si>
  <si>
    <t>Hồ Thị Thêm</t>
  </si>
  <si>
    <t>Hồ Văn Nghệ</t>
  </si>
  <si>
    <t>Hồ Thị Troi</t>
  </si>
  <si>
    <t>Hồ Trung Lập</t>
  </si>
  <si>
    <t>Hồ Cu Tổ</t>
  </si>
  <si>
    <t>Hồ Thị Lộc</t>
  </si>
  <si>
    <t>Hồ Văn nghiếu</t>
  </si>
  <si>
    <t>HN</t>
  </si>
  <si>
    <t>Hồ Cu Đở</t>
  </si>
  <si>
    <t>Hồ Văn Lâu</t>
  </si>
  <si>
    <t>Hồ Văn Nhi</t>
  </si>
  <si>
    <t>Căn Ngã</t>
  </si>
  <si>
    <t>Hồ Văn Nua</t>
  </si>
  <si>
    <t>Hồ Thị Mai</t>
  </si>
  <si>
    <t>Ăm Đua</t>
  </si>
  <si>
    <t>Hồ Vân</t>
  </si>
  <si>
    <t>Y Lên</t>
  </si>
  <si>
    <t>Hồ Văn Hoang</t>
  </si>
  <si>
    <t>Hồ Xuân Phết</t>
  </si>
  <si>
    <t>Hồ Văn Lêng</t>
  </si>
  <si>
    <t>Hồ Văn Xư</t>
  </si>
  <si>
    <t>CN</t>
  </si>
  <si>
    <t>Hồ Văn Han</t>
  </si>
  <si>
    <t>Hồ Văn Tham</t>
  </si>
  <si>
    <t>Hồ Văn Giong</t>
  </si>
  <si>
    <t>Hồ Pom</t>
  </si>
  <si>
    <t>Hồ Văn Phiên</t>
  </si>
  <si>
    <t>Hồ Pa Lăng</t>
  </si>
  <si>
    <t>Hồ Văn Thâu</t>
  </si>
  <si>
    <t>Hồ Văn Hoai</t>
  </si>
  <si>
    <t>Hồ Cu Sao</t>
  </si>
  <si>
    <t>Hồ Ban Đơ</t>
  </si>
  <si>
    <t>Hồ Thị Đưng</t>
  </si>
  <si>
    <t>Hồ Thị Tới</t>
  </si>
  <si>
    <t>Hồ A Đinh</t>
  </si>
  <si>
    <t>Hồ Đức Thanh</t>
  </si>
  <si>
    <t>Hồ Cu Xáo (Hồ Thị Đơi)</t>
  </si>
  <si>
    <t>Hồ Văn Cân</t>
  </si>
  <si>
    <t>Hồ Văn Vui</t>
  </si>
  <si>
    <t>Hồ Văn Chàng</t>
  </si>
  <si>
    <t>Hồ Văn Ơm</t>
  </si>
  <si>
    <t>Hồ Văn Quy</t>
  </si>
  <si>
    <t>Hồ Văn Huynh</t>
  </si>
  <si>
    <t>Hồ Văn Duân</t>
  </si>
  <si>
    <t>Hồ Văn Nghê</t>
  </si>
  <si>
    <t>Hồ Văn Sưn</t>
  </si>
  <si>
    <t>Ăm Tinh</t>
  </si>
  <si>
    <t>Ăm Muôn</t>
  </si>
  <si>
    <t>Hồ Văn Nhan</t>
  </si>
  <si>
    <t>Hồ Văn Nhớ</t>
  </si>
  <si>
    <t>Hồ Văn Phơi</t>
  </si>
  <si>
    <t>Hồ Văn ban</t>
  </si>
  <si>
    <t>Hồ Văn Ly</t>
  </si>
  <si>
    <t>Hồ Văn Hưn</t>
  </si>
  <si>
    <t>Hồ K Lưa</t>
  </si>
  <si>
    <t>Hồ Văn Thinh</t>
  </si>
  <si>
    <t>Hồ Thị Tùa</t>
  </si>
  <si>
    <t>Hồ Văn Dữ</t>
  </si>
  <si>
    <t>Hồ Văn Thật</t>
  </si>
  <si>
    <t>Hồ Văn Thay</t>
  </si>
  <si>
    <t>Hồ Văn Ve</t>
  </si>
  <si>
    <t>Hồ Văn Mua</t>
  </si>
  <si>
    <t>Hồ Văn Dêr</t>
  </si>
  <si>
    <t>Kỳ Tăng</t>
  </si>
  <si>
    <t>Hồ Thị Nhửi</t>
  </si>
  <si>
    <t>Hồ Văn Lang</t>
  </si>
  <si>
    <t>Hồ Văn không</t>
  </si>
  <si>
    <t>Hồ Văn Dăn</t>
  </si>
  <si>
    <t>Hồ Văn Xam</t>
  </si>
  <si>
    <t>Hồ Văn Xuân</t>
  </si>
  <si>
    <t>Hồ Văn Dong</t>
  </si>
  <si>
    <t>Hồ Thị Lua</t>
  </si>
  <si>
    <t>Hồ Văn Ương</t>
  </si>
  <si>
    <t>TDTTS</t>
  </si>
  <si>
    <t>Hồ Văn Khay</t>
  </si>
  <si>
    <t>Hồ Văn Kêng</t>
  </si>
  <si>
    <t>Hồ Thị Thua</t>
  </si>
  <si>
    <t>Hồ Văn Thuật</t>
  </si>
  <si>
    <t>Hồ Văn Thưm</t>
  </si>
  <si>
    <t>Hồ A P Rêng</t>
  </si>
  <si>
    <t>Hồ Chung</t>
  </si>
  <si>
    <t>Hồ Văn Xã Ê</t>
  </si>
  <si>
    <t>Pả Hà</t>
  </si>
  <si>
    <t>Hồ Văn Ngay</t>
  </si>
  <si>
    <t>Hồ Văn Ngà</t>
  </si>
  <si>
    <t>Hồ Văn Kiếp</t>
  </si>
  <si>
    <t>Hồ Thị Xim</t>
  </si>
  <si>
    <t>Hồ Thị Lý</t>
  </si>
  <si>
    <t>Ăm Thiên</t>
  </si>
  <si>
    <t>Hồ A Doa</t>
  </si>
  <si>
    <t>Hồ Văn Di</t>
  </si>
  <si>
    <t>Hồ Thị Thanh</t>
  </si>
  <si>
    <t>Hồ Văn Viết</t>
  </si>
  <si>
    <t>Y Thanh</t>
  </si>
  <si>
    <t>Ăm Đô</t>
  </si>
  <si>
    <t>Hồ Văn Phi</t>
  </si>
  <si>
    <t>Ăm Do</t>
  </si>
  <si>
    <t>Hồ Văn Mia</t>
  </si>
  <si>
    <t>Hồ Văn Ka</t>
  </si>
  <si>
    <t>Hồ Văn Nhạt</t>
  </si>
  <si>
    <t>Hồ Văn Dưm</t>
  </si>
  <si>
    <t>Hồ Er</t>
  </si>
  <si>
    <t>Y Khê</t>
  </si>
  <si>
    <t>Ăm Kheng (Hồ Văn Ven)</t>
  </si>
  <si>
    <t>Hồ Thị Yên</t>
  </si>
  <si>
    <t>Hồ Thị Nếu</t>
  </si>
  <si>
    <t>Hồ Văn Moái</t>
  </si>
  <si>
    <t>Hồ Văn Thiêng</t>
  </si>
  <si>
    <t>Hồ Thị Xiêm</t>
  </si>
  <si>
    <t>Hồ Văn Pen</t>
  </si>
  <si>
    <t>Hồ Thị Miếc</t>
  </si>
  <si>
    <t>Hồ Văn Liêu</t>
  </si>
  <si>
    <t>Hồ Thị Nhan</t>
  </si>
  <si>
    <t>Hồ Cu Dáy</t>
  </si>
  <si>
    <t>Hồ Văn Xứu</t>
  </si>
  <si>
    <t>Hồ Văn Pham</t>
  </si>
  <si>
    <t>Hồ Văn Róa</t>
  </si>
  <si>
    <t>Hồ Văn Mâu</t>
  </si>
  <si>
    <t>Hồ Cu Dâng</t>
  </si>
  <si>
    <t>Hồ Thị Lơi</t>
  </si>
  <si>
    <t>Tổng cộng: 169 hộ</t>
  </si>
  <si>
    <t xml:space="preserve">     CHỦ TỊCH</t>
  </si>
  <si>
    <t>Địa chỉ 4069</t>
  </si>
  <si>
    <t>Không đủ điều kiện</t>
  </si>
  <si>
    <t>Không đủ điều kiện NQ 10</t>
  </si>
  <si>
    <t>Không đủ điều kiện 4069</t>
  </si>
  <si>
    <t>Địa chỉ chi tiết (Xứ đồng; số nhà; số hiệu căn hộ/số hiệu tòa nhà;)</t>
  </si>
  <si>
    <t>Ngõ phố của thửa</t>
  </si>
  <si>
    <t>A Sói Hang</t>
  </si>
  <si>
    <t>Hồ Văn Xưn</t>
  </si>
  <si>
    <t>Hồ Văn Nhàn</t>
  </si>
  <si>
    <t>A Sóc Lìa</t>
  </si>
  <si>
    <t>Hồ Văn Nóoc</t>
  </si>
  <si>
    <t>Hồ Văn Đơ</t>
  </si>
  <si>
    <t>Hồ Văn Tới</t>
  </si>
  <si>
    <t>Hồ Văn Giao</t>
  </si>
  <si>
    <t>Hồ Văn Thưi</t>
  </si>
  <si>
    <t>Hồ Cu Sáo</t>
  </si>
  <si>
    <t>Hồ Văn Nghịp</t>
  </si>
  <si>
    <t>Hồ Đức Thành</t>
  </si>
  <si>
    <t>Hồ Thị Nghịp</t>
  </si>
  <si>
    <t>Hồ Văn Hông</t>
  </si>
  <si>
    <t>Hồ Văn Dèng</t>
  </si>
  <si>
    <t>Hồ Thanh Hải</t>
  </si>
  <si>
    <t>Hồ Xuân Hải</t>
  </si>
  <si>
    <t>Hồ Văn Môn</t>
  </si>
  <si>
    <t>Hồ Văn Hôi</t>
  </si>
  <si>
    <t>Hồ A Rồi</t>
  </si>
  <si>
    <t>Hồ Văn Thắng</t>
  </si>
  <si>
    <t>Hồ Văn Mun</t>
  </si>
  <si>
    <t>Hồ Văn Ơi</t>
  </si>
  <si>
    <t>Hồ Thị Đơ</t>
  </si>
  <si>
    <t>Hồ Văn Ngơi</t>
  </si>
  <si>
    <t>Hồ Xuân Lăng</t>
  </si>
  <si>
    <t>Hồ Văn Loại</t>
  </si>
  <si>
    <t>Hồ Văn Thung</t>
  </si>
  <si>
    <t>Hồ Vay Ngày</t>
  </si>
  <si>
    <t>Hồ Văn Nông</t>
  </si>
  <si>
    <t>Hồ A Dỗ</t>
  </si>
  <si>
    <t>Hồ Thị Lũy</t>
  </si>
  <si>
    <t>Hồ Văn Ngày</t>
  </si>
  <si>
    <t>Hồ Thị Hôi</t>
  </si>
  <si>
    <t>A Muôn</t>
  </si>
  <si>
    <t>Hồ Thị Mưm</t>
  </si>
  <si>
    <t>Hồ Ngơn</t>
  </si>
  <si>
    <t>Hồ Văn Dắt</t>
  </si>
  <si>
    <t>Hồ Văn Ta Rai</t>
  </si>
  <si>
    <t>Hồ Văn Nghiếu</t>
  </si>
  <si>
    <t>Hồ Văn Nang</t>
  </si>
  <si>
    <t>Hồ Niên</t>
  </si>
  <si>
    <t>Hồ Văn ThưL</t>
  </si>
  <si>
    <t>Hồ Cu ThưL</t>
  </si>
  <si>
    <t>Hồ Xuân Phương</t>
  </si>
  <si>
    <t>Hồ Văn Và</t>
  </si>
  <si>
    <t>Hồ Văn Lươi</t>
  </si>
  <si>
    <t>Hồ Văn Ngại</t>
  </si>
  <si>
    <t>Hồ Cu Xa</t>
  </si>
  <si>
    <t>Hồ Cu Xáo</t>
  </si>
  <si>
    <t>Hồ Văn Liệt</t>
  </si>
  <si>
    <t>Hồ Cu Bang</t>
  </si>
  <si>
    <t>Hồ Văn Hòa</t>
  </si>
  <si>
    <t>Hồ Văn Việt</t>
  </si>
  <si>
    <t>Hồ VănVầng</t>
  </si>
  <si>
    <t>Hồ Văn Giữ</t>
  </si>
  <si>
    <t>Hồ Văn Đêr</t>
  </si>
  <si>
    <t>TrÇn ThÞ Lµ</t>
  </si>
  <si>
    <t>TrÇn V n Th ng</t>
  </si>
  <si>
    <t>Hå V¨n Th¾ng</t>
  </si>
  <si>
    <t>Hå V n Ph n</t>
  </si>
  <si>
    <t>Hồ Thị Đào</t>
  </si>
  <si>
    <t>Hồ Văn Dân</t>
  </si>
  <si>
    <t>Hồ Văn Dần</t>
  </si>
  <si>
    <t>Hồ Văn Sơn</t>
  </si>
  <si>
    <t>Hồ Văn KLưa</t>
  </si>
  <si>
    <t>Hồ Văn Vân</t>
  </si>
  <si>
    <t>Hồ Văn Phương</t>
  </si>
  <si>
    <t>Hồ Văn Cương</t>
  </si>
  <si>
    <t>MôR</t>
  </si>
  <si>
    <t>Hồ Văn Mư</t>
  </si>
  <si>
    <t>Hồ Văn Mạnh</t>
  </si>
  <si>
    <t>Hồ Thị Phứt</t>
  </si>
  <si>
    <t>Hồ Thị Đel</t>
  </si>
  <si>
    <t>Hồ Văn Xia</t>
  </si>
  <si>
    <t>Hồ Thị Cam</t>
  </si>
  <si>
    <t>Hồ Văn Nhựt</t>
  </si>
  <si>
    <t>Hồ Văn Hoàn</t>
  </si>
  <si>
    <t>Hồ Văn Linh</t>
  </si>
  <si>
    <t>Hồ Văn Phêng</t>
  </si>
  <si>
    <t>Hồ Thị Câm</t>
  </si>
  <si>
    <t>Hồ Thị De</t>
  </si>
  <si>
    <t>Hồ Văn A Ren</t>
  </si>
  <si>
    <t>Hồ Thị Phiệt</t>
  </si>
  <si>
    <t>Hå V¨n Hun</t>
  </si>
  <si>
    <t>Hå V¨n H¬n</t>
  </si>
  <si>
    <t>ÊR</t>
  </si>
  <si>
    <t>Hồ Văn Cà</t>
  </si>
  <si>
    <t>Hồ Văn Nâm</t>
  </si>
  <si>
    <t>KÊ KHAI ĐĂNG KÝ</t>
  </si>
  <si>
    <t>Địa chỉ thửa đất</t>
  </si>
  <si>
    <t>Hä vµ tªn chñ hé, Tªn vî (hoÆc Chång)</t>
  </si>
  <si>
    <t>§Þa chØ</t>
  </si>
  <si>
    <t>Tê b¶n ®å sè</t>
  </si>
  <si>
    <t xml:space="preserve">Thöa ®Êt sè </t>
  </si>
  <si>
    <t>DiÖn tÝch (m2)</t>
  </si>
  <si>
    <t>Môc ®Ých sö dông</t>
  </si>
  <si>
    <t>Thời điểm sử dụng đất</t>
  </si>
  <si>
    <t>Nguồn gốc sử dụng đất</t>
  </si>
  <si>
    <t>Tài sản gắn
 liền với đất</t>
  </si>
  <si>
    <t>Tình trạng 
tranh chấp</t>
  </si>
  <si>
    <t>Thôn A Quan</t>
  </si>
  <si>
    <t>Khai hoang</t>
  </si>
  <si>
    <t>Không</t>
  </si>
  <si>
    <t>Côn Xuôi</t>
  </si>
  <si>
    <t>Hồ Văn Lão</t>
  </si>
  <si>
    <t>Thôn Kỳ Tăng</t>
  </si>
  <si>
    <t>10604,0</t>
  </si>
  <si>
    <t>31282,0</t>
  </si>
  <si>
    <t>17233,0</t>
  </si>
  <si>
    <t>14831,0</t>
  </si>
  <si>
    <t>12021,0</t>
  </si>
  <si>
    <t>10380,0</t>
  </si>
  <si>
    <t>12061,0</t>
  </si>
  <si>
    <t>6942,0</t>
  </si>
  <si>
    <t>Hồ Văn Cấp</t>
  </si>
  <si>
    <t>Thôn A Rông</t>
  </si>
  <si>
    <t>Hồ Thị Ngốt</t>
  </si>
  <si>
    <t>Thôn A Xói Hang</t>
  </si>
  <si>
    <t>Hồ Thị Dên</t>
  </si>
  <si>
    <t>Thôn A Xau</t>
  </si>
  <si>
    <t>Hồ Thị Hia</t>
  </si>
  <si>
    <t>Thôn Kỳ Nơi</t>
  </si>
  <si>
    <t>Thôn A Môr</t>
  </si>
  <si>
    <t>Hồ Văn Uynh</t>
  </si>
  <si>
    <t xml:space="preserve">Thôn Tăng Cô Hang </t>
  </si>
  <si>
    <t>Hồ Thị May</t>
  </si>
  <si>
    <t>Công khai xã NQ10</t>
  </si>
  <si>
    <t>Địa chỉ 3</t>
  </si>
  <si>
    <t>Địa chỉ 2</t>
  </si>
  <si>
    <t>Tên công khai xã</t>
  </si>
  <si>
    <t xml:space="preserve"> A Quan</t>
  </si>
  <si>
    <t>Côn Xuôi (Hồ Văn Com)</t>
  </si>
  <si>
    <t>Hồ Thị Khê (Hồ Văn Nghiên)</t>
  </si>
  <si>
    <t>Hồ Thị Liêu (Hồ Văn Hiệp)</t>
  </si>
  <si>
    <t xml:space="preserve"> A Rông</t>
  </si>
  <si>
    <t xml:space="preserve"> A Máy</t>
  </si>
  <si>
    <t>Hồ Thị May (Hồ Tư Lay)</t>
  </si>
  <si>
    <t>Hồ Ta Rai</t>
  </si>
  <si>
    <t>Hồ Thị Ninh (Hồ Văn Mai)</t>
  </si>
  <si>
    <t>Hồ Thị Túa (Hồ Văn Dêng)</t>
  </si>
  <si>
    <t>Hồ Thị Hia (Hồ Văn Minh)</t>
  </si>
  <si>
    <t>Địa chỉ Đất sản xuất</t>
  </si>
  <si>
    <t>Đã công khai xã</t>
  </si>
  <si>
    <t>MĐSD</t>
  </si>
  <si>
    <t>Có 02 thửa đất nên loại 01 thửa</t>
  </si>
  <si>
    <t>Có 03 thửa đất nên loại 02 thửa</t>
  </si>
  <si>
    <t>Có 04 thửa đất nên loại 03 thửa</t>
  </si>
  <si>
    <t>không Có chủ sử dụng</t>
  </si>
  <si>
    <t>không Có hồ sơ đo đạc</t>
  </si>
  <si>
    <t>Họ và Tên</t>
  </si>
  <si>
    <t>Họ và Tên chủ hộ</t>
  </si>
  <si>
    <t>Tên chủ sử dụng đất không khớp</t>
  </si>
  <si>
    <t>sai Tên chủ sử dụng đất</t>
  </si>
  <si>
    <t>Chồng lấn thửa 13 GCN số BD770289</t>
  </si>
  <si>
    <t>Có 05 thửa đất nên loại 04 thửa</t>
  </si>
  <si>
    <t>Có 03 thửa đất nên loại 01 thửa</t>
  </si>
  <si>
    <t>Chồng lên thửa 02 GCN số BD770430</t>
  </si>
  <si>
    <t>Chồng lên thửa 17 BD679483</t>
  </si>
  <si>
    <t>Hồ A Nên (Hồ Thị Nhửi)</t>
  </si>
  <si>
    <t>Hồ Văn Hồi (Hồ Thị Êm) (Hồ Văn Hồi)</t>
  </si>
  <si>
    <t>Hồ Văn Hồi (Hồ Thị Êm)</t>
  </si>
  <si>
    <t>Hồ Thị May (Hồ Tư Lây)</t>
  </si>
  <si>
    <t>Côn Xuôi (Côn Xuôi (Hồ Văn Com))</t>
  </si>
  <si>
    <t>Hồ Thị Tùa (Hồ Văn Dềng)</t>
  </si>
  <si>
    <t>Hồ Thị Hia (Hồ Thị Hia (Hồ Văn Minh))</t>
  </si>
  <si>
    <t>Hồ Thị Dên (Hồ Thị Hia (Hồ Văn Minh))</t>
  </si>
  <si>
    <t>Hồ Thị Lý (Hồ Văn Nhứt)</t>
  </si>
  <si>
    <t>Hồ Thị Dên (Hồ Văn Xoa)</t>
  </si>
  <si>
    <t>Sản xuất cấp huyện</t>
  </si>
  <si>
    <t>Chồng lấn thửa 166,167,171 GCN số AO865637,AO865692,AO865681</t>
  </si>
  <si>
    <t>Đã được cấp GCN số AO865708</t>
  </si>
  <si>
    <t>Số TT hộ gia đình</t>
  </si>
  <si>
    <t>Họ và tên</t>
  </si>
  <si>
    <t>Đã cấp GCN số AO865692</t>
  </si>
  <si>
    <t>Đã cấp GCN số BD770554</t>
  </si>
  <si>
    <t>Chồng pháp lý thửa 14 GCN số BD 770433</t>
  </si>
  <si>
    <t>Chồng pháp lý thửa 110 GCN số BD679945</t>
  </si>
  <si>
    <t>Chồng pháp lý thửa 02 GCN số BD 679682</t>
  </si>
  <si>
    <t>Chồng pháp lý thửa 02 GCN số BD 770499</t>
  </si>
  <si>
    <t>Đã được cấp GCN số BD679314</t>
  </si>
  <si>
    <t>Đã được cấp GCN số BD679359</t>
  </si>
  <si>
    <t>Đã được cấp GCN số AO865695</t>
  </si>
  <si>
    <t>Đã được cấp GCN số AO865627</t>
  </si>
  <si>
    <t>Chồng lên thửa 31 GCN số BD770480</t>
  </si>
  <si>
    <t>Chồng lấn thửa 11 GCN số BD770239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</si>
</sst>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2"/>
      <color indexed="8"/>
      <name val="Times New Roman"/>
      <family val="1"/>
    </font>
    <font>
      <b/>
      <sz val="12"/>
      <name val="Times New Roman"/>
      <family val="1"/>
    </font>
    <font>
      <sz val="11"/>
      <color theme="1"/>
      <name val="Times New Roman"/>
      <family val="1"/>
    </font>
    <font>
      <b/>
      <sz val="13"/>
      <color theme="1"/>
      <name val="Times New Roman"/>
      <family val="1"/>
    </font>
    <font>
      <sz val="12"/>
      <color theme="1"/>
      <name val="Times New Roman"/>
      <family val="1"/>
    </font>
    <font>
      <b/>
      <sz val="13"/>
      <name val="Times New Roman"/>
      <family val="1"/>
    </font>
    <font>
      <i/>
      <sz val="13"/>
      <color theme="1"/>
      <name val="Times New Roman"/>
      <family val="1"/>
    </font>
    <font>
      <sz val="10"/>
      <name val="Tahoma"/>
      <family val="2"/>
    </font>
    <font>
      <sz val="13"/>
      <name val="Times New Roman"/>
      <family val="1"/>
    </font>
    <font>
      <sz val="13"/>
      <color theme="1"/>
      <name val="Times New Roman"/>
      <family val="1"/>
    </font>
    <font>
      <sz val="12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Times New Roman"/>
      <family val="2"/>
    </font>
    <font>
      <b/>
      <sz val="12"/>
      <name val=".VnTime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8" fillId="0" borderId="0"/>
    <xf numFmtId="0" fontId="14" fillId="0" borderId="0"/>
    <xf numFmtId="0" fontId="14" fillId="0" borderId="0"/>
    <xf numFmtId="0" fontId="15" fillId="0" borderId="0"/>
    <xf numFmtId="0" fontId="16" fillId="0" borderId="0"/>
  </cellStyleXfs>
  <cellXfs count="143">
    <xf numFmtId="0" fontId="0" fillId="0" borderId="0" xfId="0"/>
    <xf numFmtId="0" fontId="0" fillId="4" borderId="0" xfId="0" applyFill="1"/>
    <xf numFmtId="0" fontId="3" fillId="0" borderId="0" xfId="0" applyFo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/>
    <xf numFmtId="0" fontId="9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/>
    </xf>
    <xf numFmtId="0" fontId="9" fillId="0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5" fillId="4" borderId="0" xfId="0" applyFont="1" applyFill="1"/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1" fontId="11" fillId="0" borderId="1" xfId="0" applyNumberFormat="1" applyFont="1" applyFill="1" applyBorder="1" applyAlignment="1">
      <alignment horizontal="center" vertical="center"/>
    </xf>
    <xf numFmtId="0" fontId="10" fillId="0" borderId="1" xfId="0" applyFont="1" applyFill="1" applyBorder="1"/>
    <xf numFmtId="0" fontId="10" fillId="0" borderId="1" xfId="0" applyFont="1" applyFill="1" applyBorder="1" applyAlignment="1">
      <alignment horizontal="center"/>
    </xf>
    <xf numFmtId="0" fontId="10" fillId="0" borderId="1" xfId="0" applyFont="1" applyFill="1" applyBorder="1" applyAlignment="1">
      <alignment vertical="center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 vertical="center"/>
    </xf>
    <xf numFmtId="1" fontId="11" fillId="0" borderId="0" xfId="0" applyNumberFormat="1" applyFont="1" applyFill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0" fillId="0" borderId="0" xfId="0" applyFill="1"/>
    <xf numFmtId="0" fontId="9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/>
    </xf>
    <xf numFmtId="0" fontId="9" fillId="4" borderId="1" xfId="0" applyNumberFormat="1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left"/>
    </xf>
    <xf numFmtId="0" fontId="5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1" fontId="11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/>
    <xf numFmtId="0" fontId="10" fillId="4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10" fillId="4" borderId="0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1" fontId="11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left"/>
    </xf>
    <xf numFmtId="0" fontId="13" fillId="0" borderId="0" xfId="0" applyFont="1"/>
    <xf numFmtId="0" fontId="13" fillId="0" borderId="0" xfId="0" applyFont="1" applyBorder="1"/>
    <xf numFmtId="0" fontId="4" fillId="0" borderId="0" xfId="0" applyFont="1" applyAlignment="1"/>
    <xf numFmtId="0" fontId="10" fillId="0" borderId="0" xfId="0" applyFont="1"/>
    <xf numFmtId="0" fontId="13" fillId="0" borderId="1" xfId="0" applyFont="1" applyBorder="1"/>
    <xf numFmtId="0" fontId="4" fillId="0" borderId="1" xfId="0" applyFont="1" applyBorder="1"/>
    <xf numFmtId="0" fontId="10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1" xfId="0" applyFont="1" applyBorder="1"/>
    <xf numFmtId="0" fontId="10" fillId="0" borderId="1" xfId="0" applyFont="1" applyBorder="1" applyAlignment="1">
      <alignment horizontal="left"/>
    </xf>
    <xf numFmtId="0" fontId="10" fillId="0" borderId="1" xfId="0" applyFont="1" applyBorder="1" applyAlignment="1">
      <alignment horizontal="center" wrapText="1"/>
    </xf>
    <xf numFmtId="0" fontId="9" fillId="0" borderId="1" xfId="2" applyFont="1" applyBorder="1" applyAlignment="1">
      <alignment horizontal="center" vertical="center" wrapText="1"/>
    </xf>
    <xf numFmtId="0" fontId="9" fillId="0" borderId="1" xfId="3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/>
    <xf numFmtId="0" fontId="13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5" xfId="0" applyFont="1" applyFill="1" applyBorder="1" applyAlignment="1">
      <alignment horizontal="center"/>
    </xf>
    <xf numFmtId="0" fontId="10" fillId="0" borderId="5" xfId="0" applyFont="1" applyFill="1" applyBorder="1"/>
    <xf numFmtId="0" fontId="10" fillId="0" borderId="0" xfId="0" applyFont="1" applyBorder="1"/>
    <xf numFmtId="0" fontId="4" fillId="0" borderId="0" xfId="0" applyFont="1"/>
    <xf numFmtId="0" fontId="4" fillId="0" borderId="1" xfId="0" applyFont="1" applyFill="1" applyBorder="1" applyAlignment="1"/>
    <xf numFmtId="0" fontId="1" fillId="0" borderId="0" xfId="4" applyFont="1" applyAlignment="1">
      <alignment horizontal="center" vertical="center" wrapText="1"/>
    </xf>
    <xf numFmtId="0" fontId="1" fillId="2" borderId="1" xfId="4" applyFont="1" applyFill="1" applyBorder="1" applyAlignment="1">
      <alignment horizontal="center" vertical="center" wrapText="1"/>
    </xf>
    <xf numFmtId="0" fontId="1" fillId="3" borderId="1" xfId="4" applyFont="1" applyFill="1" applyBorder="1" applyAlignment="1">
      <alignment horizontal="center" vertical="center" wrapText="1"/>
    </xf>
    <xf numFmtId="0" fontId="15" fillId="0" borderId="0" xfId="4"/>
    <xf numFmtId="0" fontId="16" fillId="0" borderId="0" xfId="5"/>
    <xf numFmtId="0" fontId="9" fillId="0" borderId="1" xfId="5" applyFont="1" applyFill="1" applyBorder="1" applyAlignment="1">
      <alignment horizontal="center"/>
    </xf>
    <xf numFmtId="0" fontId="10" fillId="0" borderId="1" xfId="5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10" fillId="0" borderId="1" xfId="5" applyNumberFormat="1" applyFont="1" applyFill="1" applyBorder="1" applyAlignment="1">
      <alignment horizontal="center" vertical="center"/>
    </xf>
    <xf numFmtId="0" fontId="20" fillId="0" borderId="1" xfId="5" applyFont="1" applyBorder="1" applyAlignment="1">
      <alignment horizontal="center" vertical="center"/>
    </xf>
    <xf numFmtId="0" fontId="16" fillId="0" borderId="1" xfId="5" applyBorder="1" applyAlignment="1">
      <alignment horizontal="center"/>
    </xf>
    <xf numFmtId="0" fontId="10" fillId="0" borderId="1" xfId="5" applyFont="1" applyBorder="1" applyAlignment="1">
      <alignment vertical="center"/>
    </xf>
    <xf numFmtId="0" fontId="10" fillId="0" borderId="1" xfId="5" applyNumberFormat="1" applyFont="1" applyBorder="1" applyAlignment="1">
      <alignment horizontal="center" vertical="center"/>
    </xf>
    <xf numFmtId="0" fontId="5" fillId="0" borderId="1" xfId="5" applyFont="1" applyFill="1" applyBorder="1" applyAlignment="1">
      <alignment horizontal="center"/>
    </xf>
    <xf numFmtId="0" fontId="5" fillId="0" borderId="1" xfId="5" applyFont="1" applyFill="1" applyBorder="1" applyAlignment="1">
      <alignment horizontal="left"/>
    </xf>
    <xf numFmtId="0" fontId="5" fillId="0" borderId="1" xfId="5" applyFont="1" applyFill="1" applyBorder="1"/>
    <xf numFmtId="0" fontId="9" fillId="0" borderId="6" xfId="5" applyFont="1" applyFill="1" applyBorder="1" applyAlignment="1">
      <alignment horizontal="center"/>
    </xf>
    <xf numFmtId="0" fontId="10" fillId="0" borderId="6" xfId="5" applyFont="1" applyFill="1" applyBorder="1" applyAlignment="1">
      <alignment vertical="center"/>
    </xf>
    <xf numFmtId="0" fontId="10" fillId="0" borderId="6" xfId="5" applyFont="1" applyFill="1" applyBorder="1" applyAlignment="1">
      <alignment horizontal="center" vertical="center"/>
    </xf>
    <xf numFmtId="0" fontId="10" fillId="0" borderId="6" xfId="5" applyNumberFormat="1" applyFont="1" applyFill="1" applyBorder="1" applyAlignment="1">
      <alignment horizontal="center" vertical="center"/>
    </xf>
    <xf numFmtId="0" fontId="9" fillId="0" borderId="7" xfId="5" applyFont="1" applyFill="1" applyBorder="1" applyAlignment="1">
      <alignment horizontal="center"/>
    </xf>
    <xf numFmtId="0" fontId="10" fillId="0" borderId="7" xfId="5" applyFont="1" applyFill="1" applyBorder="1" applyAlignment="1">
      <alignment vertical="center"/>
    </xf>
    <xf numFmtId="0" fontId="10" fillId="0" borderId="7" xfId="5" applyNumberFormat="1" applyFont="1" applyFill="1" applyBorder="1" applyAlignment="1">
      <alignment horizontal="center" vertical="center"/>
    </xf>
    <xf numFmtId="0" fontId="10" fillId="0" borderId="8" xfId="5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5" fillId="0" borderId="1" xfId="0" applyFont="1" applyFill="1" applyBorder="1"/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0" fillId="0" borderId="5" xfId="0" applyFont="1" applyFill="1" applyBorder="1" applyAlignment="1">
      <alignment vertical="center"/>
    </xf>
    <xf numFmtId="0" fontId="5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7" fillId="0" borderId="1" xfId="5" applyFont="1" applyFill="1" applyBorder="1" applyAlignment="1">
      <alignment horizontal="center" vertical="center" wrapText="1"/>
    </xf>
    <xf numFmtId="2" fontId="17" fillId="0" borderId="1" xfId="5" applyNumberFormat="1" applyFont="1" applyFill="1" applyBorder="1" applyAlignment="1">
      <alignment horizontal="center" vertical="center" wrapText="1"/>
    </xf>
    <xf numFmtId="0" fontId="18" fillId="0" borderId="1" xfId="5" applyFont="1" applyBorder="1" applyAlignment="1">
      <alignment horizontal="center" vertical="center" wrapText="1"/>
    </xf>
    <xf numFmtId="0" fontId="2" fillId="0" borderId="1" xfId="5" applyFont="1" applyFill="1" applyBorder="1" applyAlignment="1">
      <alignment horizontal="center" vertical="center" wrapText="1"/>
    </xf>
    <xf numFmtId="0" fontId="19" fillId="0" borderId="1" xfId="5" applyFont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0" borderId="1" xfId="1" applyFont="1" applyFill="1" applyBorder="1" applyAlignment="1">
      <alignment horizontal="center" vertical="center" wrapText="1"/>
    </xf>
    <xf numFmtId="1" fontId="6" fillId="0" borderId="1" xfId="1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top" wrapText="1"/>
    </xf>
    <xf numFmtId="0" fontId="4" fillId="4" borderId="0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</cellXfs>
  <cellStyles count="6">
    <cellStyle name="Normal" xfId="0" builtinId="0"/>
    <cellStyle name="Normal 2" xfId="3"/>
    <cellStyle name="Normal 3" xfId="2"/>
    <cellStyle name="Normal 4" xfId="4"/>
    <cellStyle name="Normal 5" xfId="5"/>
    <cellStyle name="Normal_KP3-ODT.CDOI.DOT1CK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2</xdr:row>
      <xdr:rowOff>19050</xdr:rowOff>
    </xdr:from>
    <xdr:to>
      <xdr:col>5</xdr:col>
      <xdr:colOff>647700</xdr:colOff>
      <xdr:row>2</xdr:row>
      <xdr:rowOff>19051</xdr:rowOff>
    </xdr:to>
    <xdr:cxnSp macro="">
      <xdr:nvCxnSpPr>
        <xdr:cNvPr id="2" name="Straight Connector 1"/>
        <xdr:cNvCxnSpPr/>
      </xdr:nvCxnSpPr>
      <xdr:spPr>
        <a:xfrm flipV="1">
          <a:off x="3228975" y="514350"/>
          <a:ext cx="1819275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419100</xdr:colOff>
      <xdr:row>2</xdr:row>
      <xdr:rowOff>9525</xdr:rowOff>
    </xdr:from>
    <xdr:to>
      <xdr:col>1</xdr:col>
      <xdr:colOff>923925</xdr:colOff>
      <xdr:row>2</xdr:row>
      <xdr:rowOff>9525</xdr:rowOff>
    </xdr:to>
    <xdr:cxnSp macro="">
      <xdr:nvCxnSpPr>
        <xdr:cNvPr id="3" name="Straight Connector 2"/>
        <xdr:cNvCxnSpPr/>
      </xdr:nvCxnSpPr>
      <xdr:spPr>
        <a:xfrm>
          <a:off x="857250" y="504825"/>
          <a:ext cx="5048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2</xdr:row>
      <xdr:rowOff>0</xdr:rowOff>
    </xdr:from>
    <xdr:to>
      <xdr:col>5</xdr:col>
      <xdr:colOff>666750</xdr:colOff>
      <xdr:row>2</xdr:row>
      <xdr:rowOff>0</xdr:rowOff>
    </xdr:to>
    <xdr:cxnSp macro="">
      <xdr:nvCxnSpPr>
        <xdr:cNvPr id="2" name="Straight Connector 1"/>
        <xdr:cNvCxnSpPr/>
      </xdr:nvCxnSpPr>
      <xdr:spPr>
        <a:xfrm>
          <a:off x="3381375" y="457200"/>
          <a:ext cx="17430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609600</xdr:colOff>
      <xdr:row>2</xdr:row>
      <xdr:rowOff>0</xdr:rowOff>
    </xdr:from>
    <xdr:to>
      <xdr:col>1</xdr:col>
      <xdr:colOff>1209675</xdr:colOff>
      <xdr:row>2</xdr:row>
      <xdr:rowOff>0</xdr:rowOff>
    </xdr:to>
    <xdr:cxnSp macro="">
      <xdr:nvCxnSpPr>
        <xdr:cNvPr id="3" name="Straight Connector 2"/>
        <xdr:cNvCxnSpPr/>
      </xdr:nvCxnSpPr>
      <xdr:spPr>
        <a:xfrm>
          <a:off x="1009650" y="457200"/>
          <a:ext cx="6000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2</xdr:row>
      <xdr:rowOff>19050</xdr:rowOff>
    </xdr:from>
    <xdr:to>
      <xdr:col>5</xdr:col>
      <xdr:colOff>647700</xdr:colOff>
      <xdr:row>2</xdr:row>
      <xdr:rowOff>19051</xdr:rowOff>
    </xdr:to>
    <xdr:cxnSp macro="">
      <xdr:nvCxnSpPr>
        <xdr:cNvPr id="2" name="Straight Connector 1"/>
        <xdr:cNvCxnSpPr/>
      </xdr:nvCxnSpPr>
      <xdr:spPr>
        <a:xfrm flipV="1">
          <a:off x="3467100" y="514350"/>
          <a:ext cx="1905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419100</xdr:colOff>
      <xdr:row>2</xdr:row>
      <xdr:rowOff>9525</xdr:rowOff>
    </xdr:from>
    <xdr:to>
      <xdr:col>1</xdr:col>
      <xdr:colOff>923925</xdr:colOff>
      <xdr:row>2</xdr:row>
      <xdr:rowOff>9525</xdr:rowOff>
    </xdr:to>
    <xdr:cxnSp macro="">
      <xdr:nvCxnSpPr>
        <xdr:cNvPr id="3" name="Straight Connector 2"/>
        <xdr:cNvCxnSpPr/>
      </xdr:nvCxnSpPr>
      <xdr:spPr>
        <a:xfrm>
          <a:off x="885825" y="504825"/>
          <a:ext cx="5048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2</xdr:row>
      <xdr:rowOff>0</xdr:rowOff>
    </xdr:from>
    <xdr:to>
      <xdr:col>5</xdr:col>
      <xdr:colOff>666750</xdr:colOff>
      <xdr:row>2</xdr:row>
      <xdr:rowOff>0</xdr:rowOff>
    </xdr:to>
    <xdr:cxnSp macro="">
      <xdr:nvCxnSpPr>
        <xdr:cNvPr id="2" name="Straight Connector 1"/>
        <xdr:cNvCxnSpPr/>
      </xdr:nvCxnSpPr>
      <xdr:spPr>
        <a:xfrm>
          <a:off x="2019300" y="381000"/>
          <a:ext cx="19240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609600</xdr:colOff>
      <xdr:row>2</xdr:row>
      <xdr:rowOff>0</xdr:rowOff>
    </xdr:from>
    <xdr:to>
      <xdr:col>1</xdr:col>
      <xdr:colOff>1209675</xdr:colOff>
      <xdr:row>2</xdr:row>
      <xdr:rowOff>0</xdr:rowOff>
    </xdr:to>
    <xdr:cxnSp macro="">
      <xdr:nvCxnSpPr>
        <xdr:cNvPr id="3" name="Straight Connector 2"/>
        <xdr:cNvCxnSpPr/>
      </xdr:nvCxnSpPr>
      <xdr:spPr>
        <a:xfrm>
          <a:off x="1266825" y="381000"/>
          <a:ext cx="476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380999</xdr:colOff>
      <xdr:row>0</xdr:row>
      <xdr:rowOff>581025</xdr:rowOff>
    </xdr:from>
    <xdr:to>
      <xdr:col>7</xdr:col>
      <xdr:colOff>114299</xdr:colOff>
      <xdr:row>0</xdr:row>
      <xdr:rowOff>581025</xdr:rowOff>
    </xdr:to>
    <xdr:cxnSp macro="">
      <xdr:nvCxnSpPr>
        <xdr:cNvPr id="2" name="Straight Connector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5819774" y="581025"/>
          <a:ext cx="182880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514350</xdr:colOff>
      <xdr:row>0</xdr:row>
      <xdr:rowOff>552450</xdr:rowOff>
    </xdr:from>
    <xdr:to>
      <xdr:col>2</xdr:col>
      <xdr:colOff>325755</xdr:colOff>
      <xdr:row>0</xdr:row>
      <xdr:rowOff>552450</xdr:rowOff>
    </xdr:to>
    <xdr:cxnSp macro="">
      <xdr:nvCxnSpPr>
        <xdr:cNvPr id="3" name="Straight Connector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019175" y="552450"/>
          <a:ext cx="109728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685799</xdr:colOff>
      <xdr:row>1</xdr:row>
      <xdr:rowOff>0</xdr:rowOff>
    </xdr:from>
    <xdr:to>
      <xdr:col>5</xdr:col>
      <xdr:colOff>380999</xdr:colOff>
      <xdr:row>1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819524" y="466725"/>
          <a:ext cx="114300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685799</xdr:colOff>
      <xdr:row>1</xdr:row>
      <xdr:rowOff>0</xdr:rowOff>
    </xdr:from>
    <xdr:to>
      <xdr:col>5</xdr:col>
      <xdr:colOff>380999</xdr:colOff>
      <xdr:row>1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819524" y="466725"/>
          <a:ext cx="114300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685799</xdr:colOff>
      <xdr:row>1</xdr:row>
      <xdr:rowOff>0</xdr:rowOff>
    </xdr:from>
    <xdr:to>
      <xdr:col>5</xdr:col>
      <xdr:colOff>380999</xdr:colOff>
      <xdr:row>1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819524" y="466725"/>
          <a:ext cx="114300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380999</xdr:colOff>
      <xdr:row>0</xdr:row>
      <xdr:rowOff>581025</xdr:rowOff>
    </xdr:from>
    <xdr:to>
      <xdr:col>7</xdr:col>
      <xdr:colOff>114299</xdr:colOff>
      <xdr:row>0</xdr:row>
      <xdr:rowOff>581025</xdr:rowOff>
    </xdr:to>
    <xdr:cxnSp macro="">
      <xdr:nvCxnSpPr>
        <xdr:cNvPr id="2" name="Straight Connector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5819774" y="581025"/>
          <a:ext cx="182880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514350</xdr:colOff>
      <xdr:row>0</xdr:row>
      <xdr:rowOff>552450</xdr:rowOff>
    </xdr:from>
    <xdr:to>
      <xdr:col>2</xdr:col>
      <xdr:colOff>325755</xdr:colOff>
      <xdr:row>0</xdr:row>
      <xdr:rowOff>552450</xdr:rowOff>
    </xdr:to>
    <xdr:cxnSp macro="">
      <xdr:nvCxnSpPr>
        <xdr:cNvPr id="3" name="Straight Connector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019175" y="552450"/>
          <a:ext cx="109728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14"/>
  <sheetViews>
    <sheetView tabSelected="1" view="pageBreakPreview" topLeftCell="A21" zoomScaleNormal="100" zoomScaleSheetLayoutView="100" workbookViewId="0">
      <selection activeCell="E31" sqref="E1:E1048576"/>
    </sheetView>
  </sheetViews>
  <sheetFormatPr defaultRowHeight="15.75" x14ac:dyDescent="0.25"/>
  <cols>
    <col min="1" max="1" width="4.85546875" style="105" bestFit="1" customWidth="1"/>
    <col min="2" max="2" width="26.42578125" style="105" customWidth="1"/>
    <col min="3" max="3" width="23.42578125" style="141" bestFit="1" customWidth="1"/>
    <col min="4" max="4" width="17.28515625" style="105" bestFit="1" customWidth="1"/>
    <col min="5" max="5" width="16.42578125" style="105" bestFit="1" customWidth="1"/>
    <col min="6" max="6" width="8.42578125" style="105" bestFit="1" customWidth="1"/>
    <col min="7" max="7" width="9.5703125" style="105" bestFit="1" customWidth="1"/>
    <col min="8" max="8" width="8" style="105" bestFit="1" customWidth="1"/>
    <col min="9" max="9" width="37.5703125" style="141" bestFit="1" customWidth="1"/>
    <col min="10" max="16384" width="9.140625" style="105"/>
  </cols>
  <sheetData>
    <row r="1" spans="1:9" s="106" customFormat="1" x14ac:dyDescent="0.25">
      <c r="A1" s="107" t="s">
        <v>149</v>
      </c>
      <c r="B1" s="137" t="s">
        <v>644</v>
      </c>
      <c r="C1" s="137" t="s">
        <v>645</v>
      </c>
      <c r="D1" s="107" t="s">
        <v>562</v>
      </c>
      <c r="E1" s="107" t="s">
        <v>0</v>
      </c>
      <c r="F1" s="107" t="s">
        <v>1</v>
      </c>
      <c r="G1" s="107" t="s">
        <v>3</v>
      </c>
      <c r="H1" s="107" t="s">
        <v>616</v>
      </c>
      <c r="I1" s="142" t="s">
        <v>189</v>
      </c>
    </row>
    <row r="2" spans="1:9" x14ac:dyDescent="0.25">
      <c r="A2" s="108">
        <f>IF(D2&lt;&gt;"", SUBTOTAL(3, $D$2:D2), "")</f>
        <v>1</v>
      </c>
      <c r="B2" s="111">
        <v>1</v>
      </c>
      <c r="C2" s="111" t="s">
        <v>17</v>
      </c>
      <c r="D2" s="108" t="s">
        <v>163</v>
      </c>
      <c r="E2" s="108">
        <v>22</v>
      </c>
      <c r="F2" s="108">
        <v>22</v>
      </c>
      <c r="G2" s="108">
        <v>5636</v>
      </c>
      <c r="H2" s="108" t="s">
        <v>11</v>
      </c>
      <c r="I2" s="111" t="s">
        <v>626</v>
      </c>
    </row>
    <row r="3" spans="1:9" x14ac:dyDescent="0.25">
      <c r="A3" s="108">
        <f>IF(D3&lt;&gt;"", SUBTOTAL(3, $D$2:D3), "")</f>
        <v>2</v>
      </c>
      <c r="B3" s="138">
        <v>2</v>
      </c>
      <c r="C3" s="138" t="s">
        <v>18</v>
      </c>
      <c r="D3" s="108" t="s">
        <v>163</v>
      </c>
      <c r="E3" s="108">
        <v>21</v>
      </c>
      <c r="F3" s="108">
        <v>61</v>
      </c>
      <c r="G3" s="108">
        <v>14713</v>
      </c>
      <c r="H3" s="108" t="s">
        <v>11</v>
      </c>
      <c r="I3" s="111" t="s">
        <v>618</v>
      </c>
    </row>
    <row r="4" spans="1:9" x14ac:dyDescent="0.25">
      <c r="A4" s="108">
        <f>IF(D4&lt;&gt;"", SUBTOTAL(3, $D$2:D4), "")</f>
        <v>3</v>
      </c>
      <c r="B4" s="138"/>
      <c r="C4" s="138"/>
      <c r="D4" s="108" t="s">
        <v>163</v>
      </c>
      <c r="E4" s="108">
        <v>21</v>
      </c>
      <c r="F4" s="108">
        <v>62</v>
      </c>
      <c r="G4" s="108">
        <v>12240</v>
      </c>
      <c r="H4" s="108" t="s">
        <v>11</v>
      </c>
      <c r="I4" s="111" t="s">
        <v>618</v>
      </c>
    </row>
    <row r="5" spans="1:9" x14ac:dyDescent="0.25">
      <c r="A5" s="108">
        <f>IF(D5&lt;&gt;"", SUBTOTAL(3, $D$2:D5), "")</f>
        <v>4</v>
      </c>
      <c r="B5" s="111">
        <v>3</v>
      </c>
      <c r="C5" s="111" t="s">
        <v>22</v>
      </c>
      <c r="D5" s="108" t="s">
        <v>163</v>
      </c>
      <c r="E5" s="108">
        <v>21</v>
      </c>
      <c r="F5" s="108">
        <v>68</v>
      </c>
      <c r="G5" s="108">
        <v>15126</v>
      </c>
      <c r="H5" s="108" t="s">
        <v>11</v>
      </c>
      <c r="I5" s="111"/>
    </row>
    <row r="6" spans="1:9" x14ac:dyDescent="0.25">
      <c r="A6" s="108">
        <f>IF(D6&lt;&gt;"", SUBTOTAL(3, $D$2:D6), "")</f>
        <v>5</v>
      </c>
      <c r="B6" s="138">
        <v>4</v>
      </c>
      <c r="C6" s="138" t="s">
        <v>30</v>
      </c>
      <c r="D6" s="108" t="s">
        <v>163</v>
      </c>
      <c r="E6" s="108">
        <v>21</v>
      </c>
      <c r="F6" s="108">
        <v>83</v>
      </c>
      <c r="G6" s="108">
        <v>5917</v>
      </c>
      <c r="H6" s="108" t="s">
        <v>11</v>
      </c>
      <c r="I6" s="111" t="s">
        <v>618</v>
      </c>
    </row>
    <row r="7" spans="1:9" x14ac:dyDescent="0.25">
      <c r="A7" s="108">
        <f>IF(D7&lt;&gt;"", SUBTOTAL(3, $D$2:D7), "")</f>
        <v>6</v>
      </c>
      <c r="B7" s="138"/>
      <c r="C7" s="138"/>
      <c r="D7" s="108" t="s">
        <v>163</v>
      </c>
      <c r="E7" s="108">
        <v>21</v>
      </c>
      <c r="F7" s="108">
        <v>84</v>
      </c>
      <c r="G7" s="108">
        <v>3911</v>
      </c>
      <c r="H7" s="108" t="s">
        <v>11</v>
      </c>
      <c r="I7" s="111" t="s">
        <v>618</v>
      </c>
    </row>
    <row r="8" spans="1:9" x14ac:dyDescent="0.25">
      <c r="A8" s="108">
        <f>IF(D8&lt;&gt;"", SUBTOTAL(3, $D$2:D8), "")</f>
        <v>7</v>
      </c>
      <c r="B8" s="138"/>
      <c r="C8" s="138"/>
      <c r="D8" s="108" t="s">
        <v>163</v>
      </c>
      <c r="E8" s="108">
        <v>21</v>
      </c>
      <c r="F8" s="108">
        <v>85</v>
      </c>
      <c r="G8" s="108">
        <v>17141</v>
      </c>
      <c r="H8" s="108" t="s">
        <v>11</v>
      </c>
      <c r="I8" s="111" t="s">
        <v>618</v>
      </c>
    </row>
    <row r="9" spans="1:9" x14ac:dyDescent="0.25">
      <c r="A9" s="108">
        <f>IF(D9&lt;&gt;"", SUBTOTAL(3, $D$2:D9), "")</f>
        <v>8</v>
      </c>
      <c r="B9" s="138">
        <v>5</v>
      </c>
      <c r="C9" s="138" t="s">
        <v>32</v>
      </c>
      <c r="D9" s="108" t="s">
        <v>163</v>
      </c>
      <c r="E9" s="108">
        <v>21</v>
      </c>
      <c r="F9" s="108">
        <v>86</v>
      </c>
      <c r="G9" s="108">
        <v>8170</v>
      </c>
      <c r="H9" s="108" t="s">
        <v>11</v>
      </c>
      <c r="I9" s="111" t="s">
        <v>618</v>
      </c>
    </row>
    <row r="10" spans="1:9" x14ac:dyDescent="0.25">
      <c r="A10" s="108">
        <f>IF(D10&lt;&gt;"", SUBTOTAL(3, $D$2:D10), "")</f>
        <v>9</v>
      </c>
      <c r="B10" s="138"/>
      <c r="C10" s="138"/>
      <c r="D10" s="108" t="s">
        <v>163</v>
      </c>
      <c r="E10" s="108">
        <v>21</v>
      </c>
      <c r="F10" s="108">
        <v>87</v>
      </c>
      <c r="G10" s="108">
        <v>9745</v>
      </c>
      <c r="H10" s="108" t="s">
        <v>11</v>
      </c>
      <c r="I10" s="111" t="s">
        <v>618</v>
      </c>
    </row>
    <row r="11" spans="1:9" x14ac:dyDescent="0.25">
      <c r="A11" s="108">
        <f>IF(D11&lt;&gt;"", SUBTOTAL(3, $D$2:D11), "")</f>
        <v>10</v>
      </c>
      <c r="B11" s="138">
        <v>6</v>
      </c>
      <c r="C11" s="138" t="s">
        <v>61</v>
      </c>
      <c r="D11" s="108" t="s">
        <v>163</v>
      </c>
      <c r="E11" s="108">
        <v>21</v>
      </c>
      <c r="F11" s="108">
        <v>125</v>
      </c>
      <c r="G11" s="108">
        <v>9149</v>
      </c>
      <c r="H11" s="108" t="s">
        <v>11</v>
      </c>
      <c r="I11" s="111" t="s">
        <v>618</v>
      </c>
    </row>
    <row r="12" spans="1:9" x14ac:dyDescent="0.25">
      <c r="A12" s="108">
        <f>IF(D12&lt;&gt;"", SUBTOTAL(3, $D$2:D12), "")</f>
        <v>11</v>
      </c>
      <c r="B12" s="138"/>
      <c r="C12" s="138"/>
      <c r="D12" s="108" t="s">
        <v>163</v>
      </c>
      <c r="E12" s="108">
        <v>21</v>
      </c>
      <c r="F12" s="108">
        <v>126</v>
      </c>
      <c r="G12" s="108">
        <v>9151</v>
      </c>
      <c r="H12" s="108" t="s">
        <v>11</v>
      </c>
      <c r="I12" s="111" t="s">
        <v>618</v>
      </c>
    </row>
    <row r="13" spans="1:9" x14ac:dyDescent="0.25">
      <c r="A13" s="108">
        <f>IF(D13&lt;&gt;"", SUBTOTAL(3, $D$2:D13), "")</f>
        <v>12</v>
      </c>
      <c r="B13" s="138"/>
      <c r="C13" s="138"/>
      <c r="D13" s="108" t="s">
        <v>163</v>
      </c>
      <c r="E13" s="108">
        <v>21</v>
      </c>
      <c r="F13" s="108">
        <v>127</v>
      </c>
      <c r="G13" s="108">
        <v>5024</v>
      </c>
      <c r="H13" s="108" t="s">
        <v>11</v>
      </c>
      <c r="I13" s="111" t="s">
        <v>618</v>
      </c>
    </row>
    <row r="14" spans="1:9" x14ac:dyDescent="0.25">
      <c r="A14" s="108">
        <f>IF(D14&lt;&gt;"", SUBTOTAL(3, $D$2:D14), "")</f>
        <v>13</v>
      </c>
      <c r="B14" s="138">
        <v>7</v>
      </c>
      <c r="C14" s="138" t="s">
        <v>66</v>
      </c>
      <c r="D14" s="108" t="s">
        <v>163</v>
      </c>
      <c r="E14" s="108">
        <v>21</v>
      </c>
      <c r="F14" s="108">
        <v>133</v>
      </c>
      <c r="G14" s="108">
        <v>26490</v>
      </c>
      <c r="H14" s="108" t="s">
        <v>11</v>
      </c>
      <c r="I14" s="111" t="s">
        <v>618</v>
      </c>
    </row>
    <row r="15" spans="1:9" x14ac:dyDescent="0.25">
      <c r="A15" s="108">
        <f>IF(D15&lt;&gt;"", SUBTOTAL(3, $D$2:D15), "")</f>
        <v>14</v>
      </c>
      <c r="B15" s="138"/>
      <c r="C15" s="138"/>
      <c r="D15" s="108" t="s">
        <v>163</v>
      </c>
      <c r="E15" s="108">
        <v>21</v>
      </c>
      <c r="F15" s="108">
        <v>134</v>
      </c>
      <c r="G15" s="108">
        <v>6891</v>
      </c>
      <c r="H15" s="108" t="s">
        <v>11</v>
      </c>
      <c r="I15" s="111" t="s">
        <v>618</v>
      </c>
    </row>
    <row r="16" spans="1:9" x14ac:dyDescent="0.25">
      <c r="A16" s="108">
        <f>IF(D16&lt;&gt;"", SUBTOTAL(3, $D$2:D16), "")</f>
        <v>15</v>
      </c>
      <c r="B16" s="138"/>
      <c r="C16" s="138"/>
      <c r="D16" s="108" t="s">
        <v>163</v>
      </c>
      <c r="E16" s="108">
        <v>21</v>
      </c>
      <c r="F16" s="108">
        <v>135</v>
      </c>
      <c r="G16" s="108">
        <v>36590</v>
      </c>
      <c r="H16" s="108" t="s">
        <v>11</v>
      </c>
      <c r="I16" s="111" t="s">
        <v>618</v>
      </c>
    </row>
    <row r="17" spans="1:9" x14ac:dyDescent="0.25">
      <c r="A17" s="108">
        <f>IF(D17&lt;&gt;"", SUBTOTAL(3, $D$2:D17), "")</f>
        <v>16</v>
      </c>
      <c r="B17" s="111">
        <v>8</v>
      </c>
      <c r="C17" s="111" t="s">
        <v>74</v>
      </c>
      <c r="D17" s="108" t="s">
        <v>163</v>
      </c>
      <c r="E17" s="108">
        <v>21</v>
      </c>
      <c r="F17" s="108">
        <v>145</v>
      </c>
      <c r="G17" s="108">
        <v>2824</v>
      </c>
      <c r="H17" s="108" t="s">
        <v>11</v>
      </c>
      <c r="I17" s="111"/>
    </row>
    <row r="18" spans="1:9" x14ac:dyDescent="0.25">
      <c r="A18" s="108">
        <f>IF(D18&lt;&gt;"", SUBTOTAL(3, $D$2:D18), "")</f>
        <v>17</v>
      </c>
      <c r="B18" s="138">
        <v>9</v>
      </c>
      <c r="C18" s="138" t="s">
        <v>79</v>
      </c>
      <c r="D18" s="108" t="s">
        <v>163</v>
      </c>
      <c r="E18" s="108">
        <v>21</v>
      </c>
      <c r="F18" s="108">
        <v>150</v>
      </c>
      <c r="G18" s="108">
        <v>7258</v>
      </c>
      <c r="H18" s="108" t="s">
        <v>11</v>
      </c>
      <c r="I18" s="111" t="s">
        <v>618</v>
      </c>
    </row>
    <row r="19" spans="1:9" x14ac:dyDescent="0.25">
      <c r="A19" s="108">
        <f>IF(D19&lt;&gt;"", SUBTOTAL(3, $D$2:D19), "")</f>
        <v>18</v>
      </c>
      <c r="B19" s="138"/>
      <c r="C19" s="138"/>
      <c r="D19" s="108" t="s">
        <v>163</v>
      </c>
      <c r="E19" s="108">
        <v>21</v>
      </c>
      <c r="F19" s="108">
        <v>151</v>
      </c>
      <c r="G19" s="108">
        <v>11823</v>
      </c>
      <c r="H19" s="108" t="s">
        <v>11</v>
      </c>
      <c r="I19" s="111" t="s">
        <v>618</v>
      </c>
    </row>
    <row r="20" spans="1:9" x14ac:dyDescent="0.25">
      <c r="A20" s="108">
        <f>IF(D20&lt;&gt;"", SUBTOTAL(3, $D$2:D20), "")</f>
        <v>19</v>
      </c>
      <c r="B20" s="138"/>
      <c r="C20" s="138"/>
      <c r="D20" s="108" t="s">
        <v>163</v>
      </c>
      <c r="E20" s="108">
        <v>21</v>
      </c>
      <c r="F20" s="108">
        <v>152</v>
      </c>
      <c r="G20" s="108">
        <v>4680</v>
      </c>
      <c r="H20" s="108" t="s">
        <v>11</v>
      </c>
      <c r="I20" s="111" t="s">
        <v>618</v>
      </c>
    </row>
    <row r="21" spans="1:9" x14ac:dyDescent="0.25">
      <c r="A21" s="108">
        <f>IF(D21&lt;&gt;"", SUBTOTAL(3, $D$2:D21), "")</f>
        <v>20</v>
      </c>
      <c r="B21" s="138">
        <v>10</v>
      </c>
      <c r="C21" s="138" t="s">
        <v>82</v>
      </c>
      <c r="D21" s="108" t="s">
        <v>163</v>
      </c>
      <c r="E21" s="108">
        <v>21</v>
      </c>
      <c r="F21" s="108">
        <v>157</v>
      </c>
      <c r="G21" s="108">
        <v>5223</v>
      </c>
      <c r="H21" s="108" t="s">
        <v>11</v>
      </c>
      <c r="I21" s="111" t="s">
        <v>618</v>
      </c>
    </row>
    <row r="22" spans="1:9" x14ac:dyDescent="0.25">
      <c r="A22" s="108">
        <f>IF(D22&lt;&gt;"", SUBTOTAL(3, $D$2:D22), "")</f>
        <v>21</v>
      </c>
      <c r="B22" s="138"/>
      <c r="C22" s="138"/>
      <c r="D22" s="108" t="s">
        <v>163</v>
      </c>
      <c r="E22" s="108">
        <v>21</v>
      </c>
      <c r="F22" s="108">
        <v>159</v>
      </c>
      <c r="G22" s="108">
        <v>3403</v>
      </c>
      <c r="H22" s="108" t="s">
        <v>11</v>
      </c>
      <c r="I22" s="111" t="s">
        <v>618</v>
      </c>
    </row>
    <row r="23" spans="1:9" x14ac:dyDescent="0.25">
      <c r="A23" s="108">
        <f>IF(D23&lt;&gt;"", SUBTOTAL(3, $D$2:D23), "")</f>
        <v>22</v>
      </c>
      <c r="B23" s="138">
        <v>11</v>
      </c>
      <c r="C23" s="138" t="s">
        <v>83</v>
      </c>
      <c r="D23" s="108" t="s">
        <v>163</v>
      </c>
      <c r="E23" s="108">
        <v>21</v>
      </c>
      <c r="F23" s="108">
        <v>160</v>
      </c>
      <c r="G23" s="108">
        <v>6134</v>
      </c>
      <c r="H23" s="108" t="s">
        <v>11</v>
      </c>
      <c r="I23" s="111" t="s">
        <v>618</v>
      </c>
    </row>
    <row r="24" spans="1:9" x14ac:dyDescent="0.25">
      <c r="A24" s="108">
        <f>IF(D24&lt;&gt;"", SUBTOTAL(3, $D$2:D24), "")</f>
        <v>23</v>
      </c>
      <c r="B24" s="138"/>
      <c r="C24" s="138"/>
      <c r="D24" s="108" t="s">
        <v>163</v>
      </c>
      <c r="E24" s="108">
        <v>21</v>
      </c>
      <c r="F24" s="108">
        <v>161</v>
      </c>
      <c r="G24" s="108">
        <v>12699</v>
      </c>
      <c r="H24" s="108" t="s">
        <v>11</v>
      </c>
      <c r="I24" s="111" t="s">
        <v>618</v>
      </c>
    </row>
    <row r="25" spans="1:9" x14ac:dyDescent="0.25">
      <c r="A25" s="108">
        <f>IF(D25&lt;&gt;"", SUBTOTAL(3, $D$2:D25), "")</f>
        <v>24</v>
      </c>
      <c r="B25" s="138"/>
      <c r="C25" s="138"/>
      <c r="D25" s="108" t="s">
        <v>163</v>
      </c>
      <c r="E25" s="108">
        <v>21</v>
      </c>
      <c r="F25" s="108">
        <v>162</v>
      </c>
      <c r="G25" s="108">
        <v>16603</v>
      </c>
      <c r="H25" s="108" t="s">
        <v>11</v>
      </c>
      <c r="I25" s="111" t="s">
        <v>618</v>
      </c>
    </row>
    <row r="26" spans="1:9" x14ac:dyDescent="0.25">
      <c r="A26" s="108">
        <f>IF(D26&lt;&gt;"", SUBTOTAL(3, $D$2:D26), "")</f>
        <v>25</v>
      </c>
      <c r="B26" s="138">
        <v>12</v>
      </c>
      <c r="C26" s="138" t="s">
        <v>91</v>
      </c>
      <c r="D26" s="108" t="s">
        <v>163</v>
      </c>
      <c r="E26" s="108">
        <v>21</v>
      </c>
      <c r="F26" s="108">
        <v>182</v>
      </c>
      <c r="G26" s="108">
        <v>5395</v>
      </c>
      <c r="H26" s="108" t="s">
        <v>11</v>
      </c>
      <c r="I26" s="111" t="s">
        <v>618</v>
      </c>
    </row>
    <row r="27" spans="1:9" x14ac:dyDescent="0.25">
      <c r="A27" s="108">
        <f>IF(D27&lt;&gt;"", SUBTOTAL(3, $D$2:D27), "")</f>
        <v>26</v>
      </c>
      <c r="B27" s="138"/>
      <c r="C27" s="138"/>
      <c r="D27" s="108" t="s">
        <v>163</v>
      </c>
      <c r="E27" s="108">
        <v>21</v>
      </c>
      <c r="F27" s="108">
        <v>183</v>
      </c>
      <c r="G27" s="108">
        <v>7194</v>
      </c>
      <c r="H27" s="108" t="s">
        <v>11</v>
      </c>
      <c r="I27" s="111" t="s">
        <v>618</v>
      </c>
    </row>
    <row r="28" spans="1:9" x14ac:dyDescent="0.25">
      <c r="A28" s="108">
        <f>IF(D28&lt;&gt;"", SUBTOTAL(3, $D$2:D28), "")</f>
        <v>27</v>
      </c>
      <c r="B28" s="138">
        <v>13</v>
      </c>
      <c r="C28" s="138" t="s">
        <v>103</v>
      </c>
      <c r="D28" s="108" t="s">
        <v>163</v>
      </c>
      <c r="E28" s="108">
        <v>21</v>
      </c>
      <c r="F28" s="108">
        <v>197</v>
      </c>
      <c r="G28" s="108">
        <v>13396</v>
      </c>
      <c r="H28" s="108" t="s">
        <v>11</v>
      </c>
      <c r="I28" s="111" t="s">
        <v>618</v>
      </c>
    </row>
    <row r="29" spans="1:9" x14ac:dyDescent="0.25">
      <c r="A29" s="108">
        <f>IF(D29&lt;&gt;"", SUBTOTAL(3, $D$2:D29), "")</f>
        <v>28</v>
      </c>
      <c r="B29" s="138"/>
      <c r="C29" s="138"/>
      <c r="D29" s="108" t="s">
        <v>163</v>
      </c>
      <c r="E29" s="108">
        <v>21</v>
      </c>
      <c r="F29" s="108">
        <v>198</v>
      </c>
      <c r="G29" s="108">
        <v>4280</v>
      </c>
      <c r="H29" s="108" t="s">
        <v>11</v>
      </c>
      <c r="I29" s="111" t="s">
        <v>618</v>
      </c>
    </row>
    <row r="30" spans="1:9" x14ac:dyDescent="0.25">
      <c r="A30" s="108">
        <f>IF(D30&lt;&gt;"", SUBTOTAL(3, $D$2:D30), "")</f>
        <v>29</v>
      </c>
      <c r="B30" s="138">
        <v>14</v>
      </c>
      <c r="C30" s="138" t="s">
        <v>120</v>
      </c>
      <c r="D30" s="108" t="s">
        <v>163</v>
      </c>
      <c r="E30" s="108">
        <v>21</v>
      </c>
      <c r="F30" s="108">
        <v>223</v>
      </c>
      <c r="G30" s="108">
        <v>4096</v>
      </c>
      <c r="H30" s="108" t="s">
        <v>11</v>
      </c>
      <c r="I30" s="111" t="s">
        <v>618</v>
      </c>
    </row>
    <row r="31" spans="1:9" x14ac:dyDescent="0.25">
      <c r="A31" s="108">
        <f>IF(D31&lt;&gt;"", SUBTOTAL(3, $D$2:D31), "")</f>
        <v>30</v>
      </c>
      <c r="B31" s="138"/>
      <c r="C31" s="138"/>
      <c r="D31" s="108" t="s">
        <v>163</v>
      </c>
      <c r="E31" s="108">
        <v>21</v>
      </c>
      <c r="F31" s="108">
        <v>224</v>
      </c>
      <c r="G31" s="108">
        <v>9294</v>
      </c>
      <c r="H31" s="108" t="s">
        <v>11</v>
      </c>
      <c r="I31" s="111" t="s">
        <v>618</v>
      </c>
    </row>
    <row r="32" spans="1:9" x14ac:dyDescent="0.25">
      <c r="A32" s="108">
        <f>IF(D32&lt;&gt;"", SUBTOTAL(3, $D$2:D32), "")</f>
        <v>31</v>
      </c>
      <c r="B32" s="111">
        <v>15</v>
      </c>
      <c r="C32" s="111" t="s">
        <v>130</v>
      </c>
      <c r="D32" s="108" t="s">
        <v>163</v>
      </c>
      <c r="E32" s="108">
        <v>21</v>
      </c>
      <c r="F32" s="108">
        <v>233</v>
      </c>
      <c r="G32" s="108">
        <v>19045</v>
      </c>
      <c r="H32" s="108" t="s">
        <v>11</v>
      </c>
      <c r="I32" s="111"/>
    </row>
    <row r="33" spans="1:9" x14ac:dyDescent="0.25">
      <c r="A33" s="108">
        <f>IF(D33&lt;&gt;"", SUBTOTAL(3, $D$2:D33), "")</f>
        <v>32</v>
      </c>
      <c r="B33" s="111">
        <v>16</v>
      </c>
      <c r="C33" s="111" t="s">
        <v>23</v>
      </c>
      <c r="D33" s="108" t="s">
        <v>171</v>
      </c>
      <c r="E33" s="108">
        <v>21</v>
      </c>
      <c r="F33" s="108">
        <v>68</v>
      </c>
      <c r="G33" s="108">
        <v>3699</v>
      </c>
      <c r="H33" s="108" t="s">
        <v>11</v>
      </c>
      <c r="I33" s="111"/>
    </row>
    <row r="34" spans="1:9" x14ac:dyDescent="0.25">
      <c r="A34" s="108">
        <f>IF(D34&lt;&gt;"", SUBTOTAL(3, $D$2:D34), "")</f>
        <v>33</v>
      </c>
      <c r="B34" s="138">
        <v>17</v>
      </c>
      <c r="C34" s="138" t="s">
        <v>65</v>
      </c>
      <c r="D34" s="108" t="s">
        <v>171</v>
      </c>
      <c r="E34" s="108">
        <v>21</v>
      </c>
      <c r="F34" s="108">
        <v>132</v>
      </c>
      <c r="G34" s="108">
        <v>11540</v>
      </c>
      <c r="H34" s="108" t="s">
        <v>11</v>
      </c>
      <c r="I34" s="111" t="s">
        <v>627</v>
      </c>
    </row>
    <row r="35" spans="1:9" x14ac:dyDescent="0.25">
      <c r="A35" s="108">
        <f>IF(D35&lt;&gt;"", SUBTOTAL(3, $D$2:D35), "")</f>
        <v>34</v>
      </c>
      <c r="B35" s="138"/>
      <c r="C35" s="138"/>
      <c r="D35" s="108" t="s">
        <v>171</v>
      </c>
      <c r="E35" s="108">
        <v>21</v>
      </c>
      <c r="F35" s="108">
        <v>70</v>
      </c>
      <c r="G35" s="108">
        <v>8887</v>
      </c>
      <c r="H35" s="108" t="s">
        <v>11</v>
      </c>
      <c r="I35" s="111" t="s">
        <v>627</v>
      </c>
    </row>
    <row r="36" spans="1:9" x14ac:dyDescent="0.25">
      <c r="A36" s="108">
        <f>IF(D36&lt;&gt;"", SUBTOTAL(3, $D$2:D36), "")</f>
        <v>35</v>
      </c>
      <c r="B36" s="138"/>
      <c r="C36" s="138"/>
      <c r="D36" s="108" t="s">
        <v>171</v>
      </c>
      <c r="E36" s="108">
        <v>21</v>
      </c>
      <c r="F36" s="108">
        <v>71</v>
      </c>
      <c r="G36" s="108">
        <v>13915</v>
      </c>
      <c r="H36" s="108" t="s">
        <v>11</v>
      </c>
      <c r="I36" s="111" t="s">
        <v>627</v>
      </c>
    </row>
    <row r="37" spans="1:9" x14ac:dyDescent="0.25">
      <c r="A37" s="108">
        <f>IF(D37&lt;&gt;"", SUBTOTAL(3, $D$2:D37), "")</f>
        <v>36</v>
      </c>
      <c r="B37" s="138"/>
      <c r="C37" s="138"/>
      <c r="D37" s="108" t="s">
        <v>171</v>
      </c>
      <c r="E37" s="108">
        <v>21</v>
      </c>
      <c r="F37" s="108">
        <v>72</v>
      </c>
      <c r="G37" s="108">
        <v>11043</v>
      </c>
      <c r="H37" s="108" t="s">
        <v>11</v>
      </c>
      <c r="I37" s="111" t="s">
        <v>627</v>
      </c>
    </row>
    <row r="38" spans="1:9" x14ac:dyDescent="0.25">
      <c r="A38" s="108">
        <f>IF(D38&lt;&gt;"", SUBTOTAL(3, $D$2:D38), "")</f>
        <v>37</v>
      </c>
      <c r="B38" s="111">
        <v>18</v>
      </c>
      <c r="C38" s="111" t="s">
        <v>96</v>
      </c>
      <c r="D38" s="108" t="s">
        <v>307</v>
      </c>
      <c r="E38" s="108">
        <v>21</v>
      </c>
      <c r="F38" s="108">
        <v>191</v>
      </c>
      <c r="G38" s="108">
        <v>18950</v>
      </c>
      <c r="H38" s="108" t="s">
        <v>11</v>
      </c>
      <c r="I38" s="111"/>
    </row>
    <row r="39" spans="1:9" x14ac:dyDescent="0.25">
      <c r="A39" s="108">
        <f>IF(D39&lt;&gt;"", SUBTOTAL(3, $D$2:D39), "")</f>
        <v>38</v>
      </c>
      <c r="B39" s="111">
        <v>19</v>
      </c>
      <c r="C39" s="111" t="s">
        <v>64</v>
      </c>
      <c r="D39" s="108" t="s">
        <v>216</v>
      </c>
      <c r="E39" s="108">
        <v>33</v>
      </c>
      <c r="F39" s="108">
        <v>5</v>
      </c>
      <c r="G39" s="108">
        <v>9588</v>
      </c>
      <c r="H39" s="108" t="s">
        <v>11</v>
      </c>
      <c r="I39" s="111" t="s">
        <v>629</v>
      </c>
    </row>
    <row r="40" spans="1:9" x14ac:dyDescent="0.25">
      <c r="A40" s="108">
        <f>IF(D40&lt;&gt;"", SUBTOTAL(3, $D$2:D40), "")</f>
        <v>39</v>
      </c>
      <c r="B40" s="111">
        <v>20</v>
      </c>
      <c r="C40" s="111" t="s">
        <v>44</v>
      </c>
      <c r="D40" s="108" t="s">
        <v>195</v>
      </c>
      <c r="E40" s="108">
        <v>14</v>
      </c>
      <c r="F40" s="108">
        <v>27</v>
      </c>
      <c r="G40" s="108">
        <v>11025</v>
      </c>
      <c r="H40" s="108" t="s">
        <v>11</v>
      </c>
      <c r="I40" s="111" t="s">
        <v>630</v>
      </c>
    </row>
    <row r="41" spans="1:9" x14ac:dyDescent="0.25">
      <c r="A41" s="108">
        <f>IF(D41&lt;&gt;"", SUBTOTAL(3, $D$2:D41), "")</f>
        <v>40</v>
      </c>
      <c r="B41" s="111">
        <v>21</v>
      </c>
      <c r="C41" s="111" t="s">
        <v>97</v>
      </c>
      <c r="D41" s="108" t="s">
        <v>173</v>
      </c>
      <c r="E41" s="108">
        <v>8</v>
      </c>
      <c r="F41" s="108">
        <v>210</v>
      </c>
      <c r="G41" s="108">
        <v>4483</v>
      </c>
      <c r="H41" s="108" t="s">
        <v>11</v>
      </c>
      <c r="I41" s="111"/>
    </row>
    <row r="42" spans="1:9" x14ac:dyDescent="0.25">
      <c r="A42" s="108">
        <f>IF(D42&lt;&gt;"", SUBTOTAL(3, $D$2:D42), "")</f>
        <v>41</v>
      </c>
      <c r="B42" s="111">
        <v>22</v>
      </c>
      <c r="C42" s="111" t="s">
        <v>19</v>
      </c>
      <c r="D42" s="108" t="s">
        <v>164</v>
      </c>
      <c r="E42" s="108">
        <v>1</v>
      </c>
      <c r="F42" s="108">
        <v>167</v>
      </c>
      <c r="G42" s="108">
        <v>3672</v>
      </c>
      <c r="H42" s="108" t="s">
        <v>11</v>
      </c>
      <c r="I42" s="111" t="s">
        <v>646</v>
      </c>
    </row>
    <row r="43" spans="1:9" x14ac:dyDescent="0.25">
      <c r="A43" s="108">
        <f>IF(D43&lt;&gt;"", SUBTOTAL(3, $D$2:D43), "")</f>
        <v>42</v>
      </c>
      <c r="B43" s="111">
        <v>23</v>
      </c>
      <c r="C43" s="111" t="s">
        <v>37</v>
      </c>
      <c r="D43" s="108" t="s">
        <v>164</v>
      </c>
      <c r="E43" s="108">
        <v>1</v>
      </c>
      <c r="F43" s="108">
        <v>6</v>
      </c>
      <c r="G43" s="108">
        <v>6517</v>
      </c>
      <c r="H43" s="108" t="s">
        <v>11</v>
      </c>
      <c r="I43" s="111"/>
    </row>
    <row r="44" spans="1:9" x14ac:dyDescent="0.25">
      <c r="A44" s="108">
        <f>IF(D44&lt;&gt;"", SUBTOTAL(3, $D$2:D44), "")</f>
        <v>43</v>
      </c>
      <c r="B44" s="138">
        <v>24</v>
      </c>
      <c r="C44" s="138" t="s">
        <v>24</v>
      </c>
      <c r="D44" s="108" t="s">
        <v>407</v>
      </c>
      <c r="E44" s="108">
        <v>21</v>
      </c>
      <c r="F44" s="108">
        <v>70</v>
      </c>
      <c r="G44" s="108">
        <v>12571</v>
      </c>
      <c r="H44" s="108" t="s">
        <v>11</v>
      </c>
      <c r="I44" s="111" t="s">
        <v>628</v>
      </c>
    </row>
    <row r="45" spans="1:9" x14ac:dyDescent="0.25">
      <c r="A45" s="108">
        <f>IF(D45&lt;&gt;"", SUBTOTAL(3, $D$2:D45), "")</f>
        <v>44</v>
      </c>
      <c r="B45" s="138"/>
      <c r="C45" s="138"/>
      <c r="D45" s="108" t="s">
        <v>407</v>
      </c>
      <c r="E45" s="108">
        <v>21</v>
      </c>
      <c r="F45" s="108">
        <v>71</v>
      </c>
      <c r="G45" s="108">
        <v>7637</v>
      </c>
      <c r="H45" s="108" t="s">
        <v>11</v>
      </c>
      <c r="I45" s="111" t="s">
        <v>628</v>
      </c>
    </row>
    <row r="46" spans="1:9" ht="31.5" x14ac:dyDescent="0.25">
      <c r="A46" s="108">
        <f>IF(D46&lt;&gt;"", SUBTOTAL(3, $D$2:D46), "")</f>
        <v>45</v>
      </c>
      <c r="B46" s="111">
        <v>25</v>
      </c>
      <c r="C46" s="111" t="s">
        <v>632</v>
      </c>
      <c r="D46" s="108" t="s">
        <v>407</v>
      </c>
      <c r="E46" s="108">
        <v>21</v>
      </c>
      <c r="F46" s="108">
        <v>72</v>
      </c>
      <c r="G46" s="108">
        <v>17247</v>
      </c>
      <c r="H46" s="108" t="s">
        <v>11</v>
      </c>
      <c r="I46" s="111" t="s">
        <v>617</v>
      </c>
    </row>
    <row r="47" spans="1:9" x14ac:dyDescent="0.25">
      <c r="A47" s="108">
        <f>IF(D47&lt;&gt;"", SUBTOTAL(3, $D$2:D47), "")</f>
        <v>46</v>
      </c>
      <c r="B47" s="111">
        <v>26</v>
      </c>
      <c r="C47" s="111" t="s">
        <v>47</v>
      </c>
      <c r="D47" s="108" t="s">
        <v>407</v>
      </c>
      <c r="E47" s="108">
        <v>21</v>
      </c>
      <c r="F47" s="108">
        <v>102</v>
      </c>
      <c r="G47" s="108">
        <v>6352</v>
      </c>
      <c r="H47" s="108" t="s">
        <v>11</v>
      </c>
      <c r="I47" s="111"/>
    </row>
    <row r="48" spans="1:9" x14ac:dyDescent="0.25">
      <c r="A48" s="108">
        <f>IF(D48&lt;&gt;"", SUBTOTAL(3, $D$2:D48), "")</f>
        <v>47</v>
      </c>
      <c r="B48" s="138">
        <v>27</v>
      </c>
      <c r="C48" s="138" t="s">
        <v>55</v>
      </c>
      <c r="D48" s="108" t="s">
        <v>407</v>
      </c>
      <c r="E48" s="108">
        <v>21</v>
      </c>
      <c r="F48" s="108">
        <v>114</v>
      </c>
      <c r="G48" s="108">
        <v>11270</v>
      </c>
      <c r="H48" s="108" t="s">
        <v>11</v>
      </c>
      <c r="I48" s="111"/>
    </row>
    <row r="49" spans="1:9" x14ac:dyDescent="0.25">
      <c r="A49" s="108">
        <f>IF(D49&lt;&gt;"", SUBTOTAL(3, $D$2:D49), "")</f>
        <v>48</v>
      </c>
      <c r="B49" s="138"/>
      <c r="C49" s="138"/>
      <c r="D49" s="108" t="s">
        <v>407</v>
      </c>
      <c r="E49" s="108">
        <v>21</v>
      </c>
      <c r="F49" s="108">
        <v>115</v>
      </c>
      <c r="G49" s="108">
        <v>26358</v>
      </c>
      <c r="H49" s="108" t="s">
        <v>11</v>
      </c>
      <c r="I49" s="111" t="s">
        <v>624</v>
      </c>
    </row>
    <row r="50" spans="1:9" x14ac:dyDescent="0.25">
      <c r="A50" s="108">
        <f>IF(D50&lt;&gt;"", SUBTOTAL(3, $D$2:D50), "")</f>
        <v>49</v>
      </c>
      <c r="B50" s="138">
        <v>28</v>
      </c>
      <c r="C50" s="138" t="s">
        <v>604</v>
      </c>
      <c r="D50" s="108" t="s">
        <v>407</v>
      </c>
      <c r="E50" s="108">
        <v>33</v>
      </c>
      <c r="F50" s="108">
        <v>12</v>
      </c>
      <c r="G50" s="108">
        <v>9487</v>
      </c>
      <c r="H50" s="108" t="s">
        <v>11</v>
      </c>
      <c r="I50" s="111" t="s">
        <v>647</v>
      </c>
    </row>
    <row r="51" spans="1:9" x14ac:dyDescent="0.25">
      <c r="A51" s="108">
        <f>IF(D51&lt;&gt;"", SUBTOTAL(3, $D$2:D51), "")</f>
        <v>50</v>
      </c>
      <c r="B51" s="138"/>
      <c r="C51" s="138"/>
      <c r="D51" s="108" t="s">
        <v>407</v>
      </c>
      <c r="E51" s="108">
        <v>21</v>
      </c>
      <c r="F51" s="108">
        <v>121</v>
      </c>
      <c r="G51" s="108">
        <v>11402</v>
      </c>
      <c r="H51" s="108" t="s">
        <v>11</v>
      </c>
      <c r="I51" s="111"/>
    </row>
    <row r="52" spans="1:9" x14ac:dyDescent="0.25">
      <c r="A52" s="108">
        <f>IF(D52&lt;&gt;"", SUBTOTAL(3, $D$2:D52), "")</f>
        <v>51</v>
      </c>
      <c r="B52" s="138">
        <v>29</v>
      </c>
      <c r="C52" s="138" t="s">
        <v>60</v>
      </c>
      <c r="D52" s="108" t="s">
        <v>407</v>
      </c>
      <c r="E52" s="108">
        <v>21</v>
      </c>
      <c r="F52" s="108">
        <v>123</v>
      </c>
      <c r="G52" s="108">
        <v>1705</v>
      </c>
      <c r="H52" s="108" t="s">
        <v>11</v>
      </c>
      <c r="I52" s="111"/>
    </row>
    <row r="53" spans="1:9" x14ac:dyDescent="0.25">
      <c r="A53" s="108">
        <f>IF(D53&lt;&gt;"", SUBTOTAL(3, $D$2:D53), "")</f>
        <v>52</v>
      </c>
      <c r="B53" s="138"/>
      <c r="C53" s="138"/>
      <c r="D53" s="108" t="s">
        <v>407</v>
      </c>
      <c r="E53" s="108">
        <v>21</v>
      </c>
      <c r="F53" s="108">
        <v>124</v>
      </c>
      <c r="G53" s="108">
        <v>8766</v>
      </c>
      <c r="H53" s="108" t="s">
        <v>11</v>
      </c>
      <c r="I53" s="111"/>
    </row>
    <row r="54" spans="1:9" x14ac:dyDescent="0.25">
      <c r="A54" s="108">
        <f>IF(D54&lt;&gt;"", SUBTOTAL(3, $D$2:D54), "")</f>
        <v>53</v>
      </c>
      <c r="B54" s="111">
        <v>30</v>
      </c>
      <c r="C54" s="111" t="s">
        <v>87</v>
      </c>
      <c r="D54" s="108" t="s">
        <v>407</v>
      </c>
      <c r="E54" s="108">
        <v>21</v>
      </c>
      <c r="F54" s="108">
        <v>170</v>
      </c>
      <c r="G54" s="108">
        <v>7810</v>
      </c>
      <c r="H54" s="108" t="s">
        <v>11</v>
      </c>
      <c r="I54" s="111"/>
    </row>
    <row r="55" spans="1:9" x14ac:dyDescent="0.25">
      <c r="A55" s="108">
        <f>IF(D55&lt;&gt;"", SUBTOTAL(3, $D$2:D55), "")</f>
        <v>54</v>
      </c>
      <c r="B55" s="111">
        <v>31</v>
      </c>
      <c r="C55" s="111" t="s">
        <v>123</v>
      </c>
      <c r="D55" s="108" t="s">
        <v>407</v>
      </c>
      <c r="E55" s="108">
        <v>21</v>
      </c>
      <c r="F55" s="108">
        <v>229</v>
      </c>
      <c r="G55" s="108">
        <v>5084</v>
      </c>
      <c r="H55" s="108" t="s">
        <v>11</v>
      </c>
      <c r="I55" s="111"/>
    </row>
    <row r="56" spans="1:9" x14ac:dyDescent="0.25">
      <c r="A56" s="108">
        <f>IF(D56&lt;&gt;"", SUBTOTAL(3, $D$2:D56), "")</f>
        <v>55</v>
      </c>
      <c r="B56" s="111">
        <v>32</v>
      </c>
      <c r="C56" s="111" t="s">
        <v>141</v>
      </c>
      <c r="D56" s="108" t="s">
        <v>340</v>
      </c>
      <c r="E56" s="108">
        <v>21</v>
      </c>
      <c r="F56" s="108">
        <v>242</v>
      </c>
      <c r="G56" s="108">
        <v>4876</v>
      </c>
      <c r="H56" s="108" t="s">
        <v>11</v>
      </c>
      <c r="I56" s="111"/>
    </row>
    <row r="57" spans="1:9" x14ac:dyDescent="0.25">
      <c r="A57" s="108">
        <f>IF(D57&lt;&gt;"", SUBTOTAL(3, $D$2:D57), "")</f>
        <v>56</v>
      </c>
      <c r="B57" s="138">
        <v>33</v>
      </c>
      <c r="C57" s="138" t="s">
        <v>20</v>
      </c>
      <c r="D57" s="108" t="s">
        <v>608</v>
      </c>
      <c r="E57" s="108">
        <v>21</v>
      </c>
      <c r="F57" s="108">
        <v>63</v>
      </c>
      <c r="G57" s="108">
        <v>7913</v>
      </c>
      <c r="H57" s="108" t="s">
        <v>11</v>
      </c>
      <c r="I57" s="111" t="s">
        <v>618</v>
      </c>
    </row>
    <row r="58" spans="1:9" x14ac:dyDescent="0.25">
      <c r="A58" s="108">
        <f>IF(D58&lt;&gt;"", SUBTOTAL(3, $D$2:D58), "")</f>
        <v>57</v>
      </c>
      <c r="B58" s="138"/>
      <c r="C58" s="138"/>
      <c r="D58" s="108" t="s">
        <v>608</v>
      </c>
      <c r="E58" s="108">
        <v>21</v>
      </c>
      <c r="F58" s="108">
        <v>64</v>
      </c>
      <c r="G58" s="108">
        <v>5219</v>
      </c>
      <c r="H58" s="108" t="s">
        <v>11</v>
      </c>
      <c r="I58" s="111" t="s">
        <v>618</v>
      </c>
    </row>
    <row r="59" spans="1:9" x14ac:dyDescent="0.25">
      <c r="A59" s="108">
        <f>IF(D59&lt;&gt;"", SUBTOTAL(3, $D$2:D59), "")</f>
        <v>58</v>
      </c>
      <c r="B59" s="138">
        <v>34</v>
      </c>
      <c r="C59" s="138" t="s">
        <v>28</v>
      </c>
      <c r="D59" s="108" t="s">
        <v>608</v>
      </c>
      <c r="E59" s="108">
        <v>21</v>
      </c>
      <c r="F59" s="108">
        <v>79</v>
      </c>
      <c r="G59" s="108">
        <v>9667</v>
      </c>
      <c r="H59" s="108" t="s">
        <v>11</v>
      </c>
      <c r="I59" s="111" t="s">
        <v>618</v>
      </c>
    </row>
    <row r="60" spans="1:9" x14ac:dyDescent="0.25">
      <c r="A60" s="108">
        <f>IF(D60&lt;&gt;"", SUBTOTAL(3, $D$2:D60), "")</f>
        <v>59</v>
      </c>
      <c r="B60" s="138"/>
      <c r="C60" s="138"/>
      <c r="D60" s="108" t="s">
        <v>608</v>
      </c>
      <c r="E60" s="108">
        <v>21</v>
      </c>
      <c r="F60" s="108">
        <v>80</v>
      </c>
      <c r="G60" s="108">
        <v>13907</v>
      </c>
      <c r="H60" s="108" t="s">
        <v>11</v>
      </c>
      <c r="I60" s="111" t="s">
        <v>618</v>
      </c>
    </row>
    <row r="61" spans="1:9" x14ac:dyDescent="0.25">
      <c r="A61" s="108">
        <f>IF(D61&lt;&gt;"", SUBTOTAL(3, $D$2:D61), "")</f>
        <v>60</v>
      </c>
      <c r="B61" s="111">
        <v>35</v>
      </c>
      <c r="C61" s="111" t="s">
        <v>80</v>
      </c>
      <c r="D61" s="108" t="s">
        <v>608</v>
      </c>
      <c r="E61" s="108">
        <v>21</v>
      </c>
      <c r="F61" s="108">
        <v>153</v>
      </c>
      <c r="G61" s="108">
        <v>7804</v>
      </c>
      <c r="H61" s="108" t="s">
        <v>11</v>
      </c>
      <c r="I61" s="111" t="s">
        <v>617</v>
      </c>
    </row>
    <row r="62" spans="1:9" x14ac:dyDescent="0.25">
      <c r="A62" s="108">
        <f>IF(D62&lt;&gt;"", SUBTOTAL(3, $D$2:D62), "")</f>
        <v>61</v>
      </c>
      <c r="B62" s="138">
        <v>36</v>
      </c>
      <c r="C62" s="138" t="s">
        <v>110</v>
      </c>
      <c r="D62" s="108" t="s">
        <v>608</v>
      </c>
      <c r="E62" s="108">
        <v>22</v>
      </c>
      <c r="F62" s="108">
        <v>14</v>
      </c>
      <c r="G62" s="108">
        <v>7934</v>
      </c>
      <c r="H62" s="108" t="s">
        <v>11</v>
      </c>
      <c r="I62" s="111" t="s">
        <v>657</v>
      </c>
    </row>
    <row r="63" spans="1:9" x14ac:dyDescent="0.25">
      <c r="A63" s="108">
        <f>IF(D63&lt;&gt;"", SUBTOTAL(3, $D$2:D63), "")</f>
        <v>62</v>
      </c>
      <c r="B63" s="138"/>
      <c r="C63" s="138"/>
      <c r="D63" s="108" t="s">
        <v>608</v>
      </c>
      <c r="E63" s="108">
        <v>21</v>
      </c>
      <c r="F63" s="108">
        <v>208</v>
      </c>
      <c r="G63" s="108">
        <v>27215</v>
      </c>
      <c r="H63" s="108" t="s">
        <v>11</v>
      </c>
      <c r="I63" s="111"/>
    </row>
    <row r="64" spans="1:9" x14ac:dyDescent="0.25">
      <c r="A64" s="108">
        <f>IF(D64&lt;&gt;"", SUBTOTAL(3, $D$2:D64), "")</f>
        <v>63</v>
      </c>
      <c r="B64" s="138">
        <v>37</v>
      </c>
      <c r="C64" s="138" t="s">
        <v>121</v>
      </c>
      <c r="D64" s="108" t="s">
        <v>608</v>
      </c>
      <c r="E64" s="108">
        <v>32</v>
      </c>
      <c r="F64" s="108">
        <v>119</v>
      </c>
      <c r="G64" s="108">
        <v>6114</v>
      </c>
      <c r="H64" s="108" t="s">
        <v>11</v>
      </c>
      <c r="I64" s="111" t="s">
        <v>628</v>
      </c>
    </row>
    <row r="65" spans="1:9" x14ac:dyDescent="0.25">
      <c r="A65" s="108">
        <f>IF(D65&lt;&gt;"", SUBTOTAL(3, $D$2:D65), "")</f>
        <v>64</v>
      </c>
      <c r="B65" s="138"/>
      <c r="C65" s="138"/>
      <c r="D65" s="108" t="s">
        <v>608</v>
      </c>
      <c r="E65" s="108">
        <v>33</v>
      </c>
      <c r="F65" s="108">
        <v>6</v>
      </c>
      <c r="G65" s="108">
        <v>5752</v>
      </c>
      <c r="H65" s="108" t="s">
        <v>11</v>
      </c>
      <c r="I65" s="111" t="s">
        <v>618</v>
      </c>
    </row>
    <row r="66" spans="1:9" x14ac:dyDescent="0.25">
      <c r="A66" s="108">
        <f>IF(D66&lt;&gt;"", SUBTOTAL(3, $D$2:D66), "")</f>
        <v>65</v>
      </c>
      <c r="B66" s="138">
        <v>38</v>
      </c>
      <c r="C66" s="138" t="s">
        <v>119</v>
      </c>
      <c r="D66" s="108" t="s">
        <v>608</v>
      </c>
      <c r="E66" s="108">
        <v>21</v>
      </c>
      <c r="F66" s="108">
        <v>220</v>
      </c>
      <c r="G66" s="108">
        <v>11197</v>
      </c>
      <c r="H66" s="108" t="s">
        <v>11</v>
      </c>
      <c r="I66" s="111" t="s">
        <v>618</v>
      </c>
    </row>
    <row r="67" spans="1:9" x14ac:dyDescent="0.25">
      <c r="A67" s="108">
        <f>IF(D67&lt;&gt;"", SUBTOTAL(3, $D$2:D67), "")</f>
        <v>66</v>
      </c>
      <c r="B67" s="138"/>
      <c r="C67" s="138"/>
      <c r="D67" s="108" t="s">
        <v>608</v>
      </c>
      <c r="E67" s="108">
        <v>21</v>
      </c>
      <c r="F67" s="108">
        <v>221</v>
      </c>
      <c r="G67" s="108">
        <v>4587</v>
      </c>
      <c r="H67" s="108" t="s">
        <v>11</v>
      </c>
      <c r="I67" s="111" t="s">
        <v>618</v>
      </c>
    </row>
    <row r="68" spans="1:9" x14ac:dyDescent="0.25">
      <c r="A68" s="108">
        <f>IF(D68&lt;&gt;"", SUBTOTAL(3, $D$2:D68), "")</f>
        <v>67</v>
      </c>
      <c r="B68" s="138">
        <v>39</v>
      </c>
      <c r="C68" s="138" t="s">
        <v>76</v>
      </c>
      <c r="D68" s="108" t="s">
        <v>608</v>
      </c>
      <c r="E68" s="108">
        <v>21</v>
      </c>
      <c r="F68" s="108">
        <v>146</v>
      </c>
      <c r="G68" s="108">
        <v>7264</v>
      </c>
      <c r="H68" s="108" t="s">
        <v>11</v>
      </c>
      <c r="I68" s="111" t="s">
        <v>618</v>
      </c>
    </row>
    <row r="69" spans="1:9" x14ac:dyDescent="0.25">
      <c r="A69" s="108">
        <f>IF(D69&lt;&gt;"", SUBTOTAL(3, $D$2:D69), "")</f>
        <v>68</v>
      </c>
      <c r="B69" s="138"/>
      <c r="C69" s="138"/>
      <c r="D69" s="108" t="s">
        <v>608</v>
      </c>
      <c r="E69" s="108">
        <v>21</v>
      </c>
      <c r="F69" s="108">
        <v>147</v>
      </c>
      <c r="G69" s="108">
        <v>4738</v>
      </c>
      <c r="H69" s="108" t="s">
        <v>11</v>
      </c>
      <c r="I69" s="111" t="s">
        <v>618</v>
      </c>
    </row>
    <row r="70" spans="1:9" x14ac:dyDescent="0.25">
      <c r="A70" s="108">
        <f>IF(D70&lt;&gt;"", SUBTOTAL(3, $D$2:D70), "")</f>
        <v>69</v>
      </c>
      <c r="B70" s="111">
        <v>40</v>
      </c>
      <c r="C70" s="111" t="s">
        <v>148</v>
      </c>
      <c r="D70" s="108" t="s">
        <v>306</v>
      </c>
      <c r="E70" s="108">
        <v>21</v>
      </c>
      <c r="F70" s="108">
        <v>251</v>
      </c>
      <c r="G70" s="108">
        <v>6469</v>
      </c>
      <c r="H70" s="108" t="s">
        <v>11</v>
      </c>
      <c r="I70" s="111"/>
    </row>
    <row r="71" spans="1:9" x14ac:dyDescent="0.25">
      <c r="A71" s="108">
        <f>IF(D71&lt;&gt;"", SUBTOTAL(3, $D$2:D71), "")</f>
        <v>70</v>
      </c>
      <c r="B71" s="111">
        <v>41</v>
      </c>
      <c r="C71" s="111" t="s">
        <v>29</v>
      </c>
      <c r="D71" s="108" t="s">
        <v>603</v>
      </c>
      <c r="E71" s="108">
        <v>21</v>
      </c>
      <c r="F71" s="108">
        <v>82</v>
      </c>
      <c r="G71" s="108">
        <v>14524</v>
      </c>
      <c r="H71" s="108" t="s">
        <v>11</v>
      </c>
      <c r="I71" s="111" t="s">
        <v>617</v>
      </c>
    </row>
    <row r="72" spans="1:9" x14ac:dyDescent="0.25">
      <c r="A72" s="108">
        <f>IF(D72&lt;&gt;"", SUBTOTAL(3, $D$2:D72), "")</f>
        <v>71</v>
      </c>
      <c r="B72" s="138">
        <v>42</v>
      </c>
      <c r="C72" s="138" t="s">
        <v>49</v>
      </c>
      <c r="D72" s="108" t="s">
        <v>603</v>
      </c>
      <c r="E72" s="108">
        <v>21</v>
      </c>
      <c r="F72" s="108">
        <v>105</v>
      </c>
      <c r="G72" s="108">
        <v>2993</v>
      </c>
      <c r="H72" s="108" t="s">
        <v>11</v>
      </c>
      <c r="I72" s="111" t="s">
        <v>618</v>
      </c>
    </row>
    <row r="73" spans="1:9" x14ac:dyDescent="0.25">
      <c r="A73" s="108">
        <f>IF(D73&lt;&gt;"", SUBTOTAL(3, $D$2:D73), "")</f>
        <v>72</v>
      </c>
      <c r="B73" s="138"/>
      <c r="C73" s="138"/>
      <c r="D73" s="108" t="s">
        <v>603</v>
      </c>
      <c r="E73" s="108">
        <v>21</v>
      </c>
      <c r="F73" s="108">
        <v>69</v>
      </c>
      <c r="G73" s="108">
        <v>5865</v>
      </c>
      <c r="H73" s="108" t="s">
        <v>11</v>
      </c>
      <c r="I73" s="111" t="s">
        <v>618</v>
      </c>
    </row>
    <row r="74" spans="1:9" ht="31.5" x14ac:dyDescent="0.25">
      <c r="A74" s="108">
        <f>IF(D74&lt;&gt;"", SUBTOTAL(3, $D$2:D74), "")</f>
        <v>73</v>
      </c>
      <c r="B74" s="111">
        <v>43</v>
      </c>
      <c r="C74" s="111" t="s">
        <v>58</v>
      </c>
      <c r="D74" s="108" t="s">
        <v>603</v>
      </c>
      <c r="E74" s="108">
        <v>32</v>
      </c>
      <c r="F74" s="108">
        <v>52</v>
      </c>
      <c r="G74" s="108">
        <v>11176</v>
      </c>
      <c r="H74" s="108" t="s">
        <v>11</v>
      </c>
      <c r="I74" s="111" t="s">
        <v>648</v>
      </c>
    </row>
    <row r="75" spans="1:9" x14ac:dyDescent="0.25">
      <c r="A75" s="108">
        <f>IF(D75&lt;&gt;"", SUBTOTAL(3, $D$2:D75), "")</f>
        <v>74</v>
      </c>
      <c r="B75" s="111">
        <v>44</v>
      </c>
      <c r="C75" s="111" t="s">
        <v>73</v>
      </c>
      <c r="D75" s="108" t="s">
        <v>603</v>
      </c>
      <c r="E75" s="108">
        <v>21</v>
      </c>
      <c r="F75" s="108">
        <v>143</v>
      </c>
      <c r="G75" s="108">
        <v>10614</v>
      </c>
      <c r="H75" s="108" t="s">
        <v>11</v>
      </c>
      <c r="I75" s="111"/>
    </row>
    <row r="76" spans="1:9" x14ac:dyDescent="0.25">
      <c r="A76" s="108">
        <f>IF(D76&lt;&gt;"", SUBTOTAL(3, $D$2:D76), "")</f>
        <v>75</v>
      </c>
      <c r="B76" s="111">
        <v>45</v>
      </c>
      <c r="C76" s="111" t="s">
        <v>92</v>
      </c>
      <c r="D76" s="108" t="s">
        <v>603</v>
      </c>
      <c r="E76" s="108">
        <v>21</v>
      </c>
      <c r="F76" s="108">
        <v>74</v>
      </c>
      <c r="G76" s="108">
        <v>4352</v>
      </c>
      <c r="H76" s="108" t="s">
        <v>11</v>
      </c>
      <c r="I76" s="111" t="s">
        <v>617</v>
      </c>
    </row>
    <row r="77" spans="1:9" x14ac:dyDescent="0.25">
      <c r="A77" s="108">
        <f>IF(D77&lt;&gt;"", SUBTOTAL(3, $D$2:D77), "")</f>
        <v>76</v>
      </c>
      <c r="B77" s="111">
        <v>46</v>
      </c>
      <c r="C77" s="111" t="s">
        <v>118</v>
      </c>
      <c r="D77" s="108" t="s">
        <v>603</v>
      </c>
      <c r="E77" s="108">
        <v>21</v>
      </c>
      <c r="F77" s="108">
        <v>76</v>
      </c>
      <c r="G77" s="108">
        <v>7672</v>
      </c>
      <c r="H77" s="108" t="s">
        <v>11</v>
      </c>
      <c r="I77" s="111"/>
    </row>
    <row r="78" spans="1:9" x14ac:dyDescent="0.25">
      <c r="A78" s="108">
        <f>IF(D78&lt;&gt;"", SUBTOTAL(3, $D$2:D78), "")</f>
        <v>77</v>
      </c>
      <c r="B78" s="111">
        <v>47</v>
      </c>
      <c r="C78" s="111" t="s">
        <v>135</v>
      </c>
      <c r="D78" s="108" t="s">
        <v>603</v>
      </c>
      <c r="E78" s="108">
        <v>21</v>
      </c>
      <c r="F78" s="108">
        <v>236</v>
      </c>
      <c r="G78" s="108">
        <v>8046</v>
      </c>
      <c r="H78" s="108" t="s">
        <v>11</v>
      </c>
      <c r="I78" s="111" t="s">
        <v>617</v>
      </c>
    </row>
    <row r="79" spans="1:9" x14ac:dyDescent="0.25">
      <c r="A79" s="108">
        <f>IF(D79&lt;&gt;"", SUBTOTAL(3, $D$2:D79), "")</f>
        <v>78</v>
      </c>
      <c r="B79" s="111">
        <v>48</v>
      </c>
      <c r="C79" s="111" t="s">
        <v>57</v>
      </c>
      <c r="D79" s="108" t="s">
        <v>607</v>
      </c>
      <c r="E79" s="108">
        <v>21</v>
      </c>
      <c r="F79" s="108">
        <v>230</v>
      </c>
      <c r="G79" s="108">
        <v>7015</v>
      </c>
      <c r="H79" s="108" t="s">
        <v>11</v>
      </c>
      <c r="I79" s="111"/>
    </row>
    <row r="80" spans="1:9" ht="31.5" x14ac:dyDescent="0.25">
      <c r="A80" s="108">
        <f>IF(D80&lt;&gt;"", SUBTOTAL(3, $D$2:D80), "")</f>
        <v>79</v>
      </c>
      <c r="B80" s="111">
        <v>49</v>
      </c>
      <c r="C80" s="111" t="s">
        <v>100</v>
      </c>
      <c r="D80" s="108" t="s">
        <v>269</v>
      </c>
      <c r="E80" s="108">
        <v>36</v>
      </c>
      <c r="F80" s="108">
        <v>116</v>
      </c>
      <c r="G80" s="108">
        <v>2119</v>
      </c>
      <c r="H80" s="108" t="s">
        <v>11</v>
      </c>
      <c r="I80" s="111" t="s">
        <v>649</v>
      </c>
    </row>
    <row r="81" spans="1:9" x14ac:dyDescent="0.25">
      <c r="A81" s="108">
        <f>IF(D81&lt;&gt;"", SUBTOTAL(3, $D$2:D81), "")</f>
        <v>80</v>
      </c>
      <c r="B81" s="138">
        <v>50</v>
      </c>
      <c r="C81" s="138" t="s">
        <v>51</v>
      </c>
      <c r="D81" s="108" t="s">
        <v>323</v>
      </c>
      <c r="E81" s="108">
        <v>21</v>
      </c>
      <c r="F81" s="108">
        <v>107</v>
      </c>
      <c r="G81" s="108">
        <v>6979</v>
      </c>
      <c r="H81" s="108" t="s">
        <v>11</v>
      </c>
      <c r="I81" s="111" t="s">
        <v>619</v>
      </c>
    </row>
    <row r="82" spans="1:9" x14ac:dyDescent="0.25">
      <c r="A82" s="108">
        <f>IF(D82&lt;&gt;"", SUBTOTAL(3, $D$2:D82), "")</f>
        <v>81</v>
      </c>
      <c r="B82" s="138"/>
      <c r="C82" s="138"/>
      <c r="D82" s="108" t="s">
        <v>323</v>
      </c>
      <c r="E82" s="108">
        <v>21</v>
      </c>
      <c r="F82" s="108">
        <v>109</v>
      </c>
      <c r="G82" s="108">
        <v>3686</v>
      </c>
      <c r="H82" s="108" t="s">
        <v>11</v>
      </c>
      <c r="I82" s="111" t="s">
        <v>619</v>
      </c>
    </row>
    <row r="83" spans="1:9" x14ac:dyDescent="0.25">
      <c r="A83" s="108">
        <f>IF(D83&lt;&gt;"", SUBTOTAL(3, $D$2:D83), "")</f>
        <v>82</v>
      </c>
      <c r="B83" s="138"/>
      <c r="C83" s="138"/>
      <c r="D83" s="108" t="s">
        <v>323</v>
      </c>
      <c r="E83" s="108">
        <v>21</v>
      </c>
      <c r="F83" s="108">
        <v>110</v>
      </c>
      <c r="G83" s="108">
        <v>1672</v>
      </c>
      <c r="H83" s="108" t="s">
        <v>11</v>
      </c>
      <c r="I83" s="111" t="s">
        <v>619</v>
      </c>
    </row>
    <row r="84" spans="1:9" x14ac:dyDescent="0.25">
      <c r="A84" s="108">
        <f>IF(D84&lt;&gt;"", SUBTOTAL(3, $D$2:D84), "")</f>
        <v>83</v>
      </c>
      <c r="B84" s="138">
        <v>51</v>
      </c>
      <c r="C84" s="138" t="s">
        <v>88</v>
      </c>
      <c r="D84" s="108" t="s">
        <v>323</v>
      </c>
      <c r="E84" s="108">
        <v>21</v>
      </c>
      <c r="F84" s="108">
        <v>171</v>
      </c>
      <c r="G84" s="108">
        <v>3186</v>
      </c>
      <c r="H84" s="108" t="s">
        <v>11</v>
      </c>
      <c r="I84" s="111" t="s">
        <v>627</v>
      </c>
    </row>
    <row r="85" spans="1:9" x14ac:dyDescent="0.25">
      <c r="A85" s="108">
        <f>IF(D85&lt;&gt;"", SUBTOTAL(3, $D$2:D85), "")</f>
        <v>84</v>
      </c>
      <c r="B85" s="138"/>
      <c r="C85" s="138"/>
      <c r="D85" s="108" t="s">
        <v>323</v>
      </c>
      <c r="E85" s="108">
        <v>21</v>
      </c>
      <c r="F85" s="108">
        <v>173</v>
      </c>
      <c r="G85" s="108">
        <v>2547</v>
      </c>
      <c r="H85" s="108" t="s">
        <v>11</v>
      </c>
      <c r="I85" s="111" t="s">
        <v>627</v>
      </c>
    </row>
    <row r="86" spans="1:9" x14ac:dyDescent="0.25">
      <c r="A86" s="108">
        <f>IF(D86&lt;&gt;"", SUBTOTAL(3, $D$2:D86), "")</f>
        <v>85</v>
      </c>
      <c r="B86" s="138"/>
      <c r="C86" s="138"/>
      <c r="D86" s="108" t="s">
        <v>323</v>
      </c>
      <c r="E86" s="108">
        <v>21</v>
      </c>
      <c r="F86" s="108">
        <v>174</v>
      </c>
      <c r="G86" s="108">
        <v>11112</v>
      </c>
      <c r="H86" s="108" t="s">
        <v>11</v>
      </c>
      <c r="I86" s="111" t="s">
        <v>627</v>
      </c>
    </row>
    <row r="87" spans="1:9" x14ac:dyDescent="0.25">
      <c r="A87" s="108">
        <f>IF(D87&lt;&gt;"", SUBTOTAL(3, $D$2:D87), "")</f>
        <v>86</v>
      </c>
      <c r="B87" s="138"/>
      <c r="C87" s="138"/>
      <c r="D87" s="108" t="s">
        <v>323</v>
      </c>
      <c r="E87" s="108">
        <v>21</v>
      </c>
      <c r="F87" s="108">
        <v>176</v>
      </c>
      <c r="G87" s="108">
        <v>18329</v>
      </c>
      <c r="H87" s="108" t="s">
        <v>11</v>
      </c>
      <c r="I87" s="111" t="s">
        <v>627</v>
      </c>
    </row>
    <row r="88" spans="1:9" x14ac:dyDescent="0.25">
      <c r="A88" s="108">
        <f>IF(D88&lt;&gt;"", SUBTOTAL(3, $D$2:D88), "")</f>
        <v>87</v>
      </c>
      <c r="B88" s="111">
        <v>52</v>
      </c>
      <c r="C88" s="111" t="s">
        <v>106</v>
      </c>
      <c r="D88" s="108" t="s">
        <v>323</v>
      </c>
      <c r="E88" s="108">
        <v>21</v>
      </c>
      <c r="F88" s="108">
        <v>201</v>
      </c>
      <c r="G88" s="108">
        <v>10400</v>
      </c>
      <c r="H88" s="108" t="s">
        <v>11</v>
      </c>
      <c r="I88" s="111"/>
    </row>
    <row r="89" spans="1:9" x14ac:dyDescent="0.25">
      <c r="A89" s="108">
        <f>IF(D89&lt;&gt;"", SUBTOTAL(3, $D$2:D89), "")</f>
        <v>88</v>
      </c>
      <c r="B89" s="111">
        <v>53</v>
      </c>
      <c r="C89" s="111" t="s">
        <v>146</v>
      </c>
      <c r="D89" s="108" t="s">
        <v>323</v>
      </c>
      <c r="E89" s="108">
        <v>28</v>
      </c>
      <c r="F89" s="108">
        <v>149</v>
      </c>
      <c r="G89" s="108">
        <v>7824</v>
      </c>
      <c r="H89" s="108" t="s">
        <v>11</v>
      </c>
      <c r="I89" s="111" t="s">
        <v>656</v>
      </c>
    </row>
    <row r="90" spans="1:9" ht="31.5" x14ac:dyDescent="0.25">
      <c r="A90" s="108">
        <f>IF(D90&lt;&gt;"", SUBTOTAL(3, $D$2:D90), "")</f>
        <v>89</v>
      </c>
      <c r="B90" s="111">
        <v>54</v>
      </c>
      <c r="C90" s="111" t="s">
        <v>48</v>
      </c>
      <c r="D90" s="108" t="s">
        <v>323</v>
      </c>
      <c r="E90" s="108">
        <v>1</v>
      </c>
      <c r="F90" s="108">
        <v>2</v>
      </c>
      <c r="G90" s="108">
        <v>3777</v>
      </c>
      <c r="H90" s="108" t="s">
        <v>11</v>
      </c>
      <c r="I90" s="111" t="s">
        <v>642</v>
      </c>
    </row>
    <row r="91" spans="1:9" x14ac:dyDescent="0.25">
      <c r="A91" s="108">
        <f>IF(D91&lt;&gt;"", SUBTOTAL(3, $D$2:D91), "")</f>
        <v>90</v>
      </c>
      <c r="B91" s="139">
        <v>55</v>
      </c>
      <c r="C91" s="139" t="s">
        <v>122</v>
      </c>
      <c r="D91" s="108" t="s">
        <v>323</v>
      </c>
      <c r="E91" s="108">
        <v>21</v>
      </c>
      <c r="F91" s="108">
        <v>226</v>
      </c>
      <c r="G91" s="108">
        <v>6911</v>
      </c>
      <c r="H91" s="108" t="s">
        <v>11</v>
      </c>
      <c r="I91" s="111" t="s">
        <v>628</v>
      </c>
    </row>
    <row r="92" spans="1:9" x14ac:dyDescent="0.25">
      <c r="A92" s="108">
        <f>IF(D92&lt;&gt;"", SUBTOTAL(3, $D$2:D92), "")</f>
        <v>91</v>
      </c>
      <c r="B92" s="140"/>
      <c r="C92" s="140"/>
      <c r="D92" s="108" t="s">
        <v>323</v>
      </c>
      <c r="E92" s="108">
        <v>21</v>
      </c>
      <c r="F92" s="108">
        <v>227</v>
      </c>
      <c r="G92" s="108">
        <v>8079</v>
      </c>
      <c r="H92" s="108" t="s">
        <v>11</v>
      </c>
      <c r="I92" s="111" t="s">
        <v>628</v>
      </c>
    </row>
    <row r="93" spans="1:9" x14ac:dyDescent="0.25">
      <c r="A93" s="108">
        <f>IF(D93&lt;&gt;"", SUBTOTAL(3, $D$2:D93), "")</f>
        <v>92</v>
      </c>
      <c r="B93" s="111">
        <v>56</v>
      </c>
      <c r="C93" s="111" t="s">
        <v>122</v>
      </c>
      <c r="D93" s="108" t="s">
        <v>164</v>
      </c>
      <c r="E93" s="108">
        <v>1</v>
      </c>
      <c r="F93" s="108">
        <v>234</v>
      </c>
      <c r="G93" s="108">
        <v>2028</v>
      </c>
      <c r="H93" s="108" t="s">
        <v>11</v>
      </c>
      <c r="I93" s="111" t="s">
        <v>643</v>
      </c>
    </row>
    <row r="94" spans="1:9" x14ac:dyDescent="0.25">
      <c r="A94" s="108">
        <f>IF(D94&lt;&gt;"", SUBTOTAL(3, $D$2:D94), "")</f>
        <v>93</v>
      </c>
      <c r="B94" s="138">
        <v>57</v>
      </c>
      <c r="C94" s="138" t="s">
        <v>90</v>
      </c>
      <c r="D94" s="108" t="s">
        <v>163</v>
      </c>
      <c r="E94" s="108">
        <v>21</v>
      </c>
      <c r="F94" s="108">
        <v>178</v>
      </c>
      <c r="G94" s="108">
        <v>6472</v>
      </c>
      <c r="H94" s="108" t="s">
        <v>11</v>
      </c>
      <c r="I94" s="111" t="s">
        <v>619</v>
      </c>
    </row>
    <row r="95" spans="1:9" x14ac:dyDescent="0.25">
      <c r="A95" s="108">
        <f>IF(D95&lt;&gt;"", SUBTOTAL(3, $D$2:D95), "")</f>
        <v>94</v>
      </c>
      <c r="B95" s="138"/>
      <c r="C95" s="138"/>
      <c r="D95" s="108" t="s">
        <v>163</v>
      </c>
      <c r="E95" s="108">
        <v>21</v>
      </c>
      <c r="F95" s="108">
        <v>179</v>
      </c>
      <c r="G95" s="108">
        <v>10813</v>
      </c>
      <c r="H95" s="108" t="s">
        <v>11</v>
      </c>
      <c r="I95" s="111" t="s">
        <v>619</v>
      </c>
    </row>
    <row r="96" spans="1:9" x14ac:dyDescent="0.25">
      <c r="A96" s="108">
        <f>IF(D96&lt;&gt;"", SUBTOTAL(3, $D$2:D96), "")</f>
        <v>95</v>
      </c>
      <c r="B96" s="138"/>
      <c r="C96" s="138"/>
      <c r="D96" s="108" t="s">
        <v>163</v>
      </c>
      <c r="E96" s="108">
        <v>21</v>
      </c>
      <c r="F96" s="108">
        <v>180</v>
      </c>
      <c r="G96" s="108">
        <v>7786</v>
      </c>
      <c r="H96" s="108" t="s">
        <v>11</v>
      </c>
      <c r="I96" s="111" t="s">
        <v>619</v>
      </c>
    </row>
    <row r="97" spans="1:9" x14ac:dyDescent="0.25">
      <c r="A97" s="108">
        <f>IF(D97&lt;&gt;"", SUBTOTAL(3, $D$2:D97), "")</f>
        <v>96</v>
      </c>
      <c r="B97" s="111">
        <v>58</v>
      </c>
      <c r="C97" s="111" t="s">
        <v>115</v>
      </c>
      <c r="D97" s="108" t="s">
        <v>163</v>
      </c>
      <c r="E97" s="108">
        <v>21</v>
      </c>
      <c r="F97" s="108">
        <v>216</v>
      </c>
      <c r="G97" s="108">
        <v>16737</v>
      </c>
      <c r="H97" s="108" t="s">
        <v>11</v>
      </c>
      <c r="I97" s="111"/>
    </row>
    <row r="98" spans="1:9" x14ac:dyDescent="0.25">
      <c r="A98" s="108">
        <f>IF(D98&lt;&gt;"", SUBTOTAL(3, $D$2:D98), "")</f>
        <v>97</v>
      </c>
      <c r="B98" s="111">
        <v>59</v>
      </c>
      <c r="C98" s="111" t="s">
        <v>86</v>
      </c>
      <c r="D98" s="108" t="s">
        <v>285</v>
      </c>
      <c r="E98" s="108">
        <v>21</v>
      </c>
      <c r="F98" s="108">
        <v>169</v>
      </c>
      <c r="G98" s="108">
        <v>14540</v>
      </c>
      <c r="H98" s="108" t="s">
        <v>11</v>
      </c>
      <c r="I98" s="111"/>
    </row>
    <row r="99" spans="1:9" x14ac:dyDescent="0.25">
      <c r="A99" s="108">
        <f>IF(D99&lt;&gt;"", SUBTOTAL(3, $D$2:D99), "")</f>
        <v>98</v>
      </c>
      <c r="B99" s="111">
        <v>60</v>
      </c>
      <c r="C99" s="111" t="s">
        <v>109</v>
      </c>
      <c r="D99" s="108" t="s">
        <v>285</v>
      </c>
      <c r="E99" s="108">
        <v>21</v>
      </c>
      <c r="F99" s="108">
        <v>205</v>
      </c>
      <c r="G99" s="108">
        <v>11493</v>
      </c>
      <c r="H99" s="108" t="s">
        <v>11</v>
      </c>
      <c r="I99" s="111"/>
    </row>
    <row r="100" spans="1:9" x14ac:dyDescent="0.25">
      <c r="A100" s="108">
        <f>IF(D100&lt;&gt;"", SUBTOTAL(3, $D$2:D100), "")</f>
        <v>99</v>
      </c>
      <c r="B100" s="111">
        <v>61</v>
      </c>
      <c r="C100" s="111" t="s">
        <v>25</v>
      </c>
      <c r="D100" s="108" t="s">
        <v>171</v>
      </c>
      <c r="E100" s="108">
        <v>21</v>
      </c>
      <c r="F100" s="108">
        <v>74</v>
      </c>
      <c r="G100" s="108">
        <v>13882</v>
      </c>
      <c r="H100" s="108" t="s">
        <v>11</v>
      </c>
      <c r="I100" s="111" t="s">
        <v>617</v>
      </c>
    </row>
    <row r="101" spans="1:9" x14ac:dyDescent="0.25">
      <c r="A101" s="108">
        <f>IF(D101&lt;&gt;"", SUBTOTAL(3, $D$2:D101), "")</f>
        <v>100</v>
      </c>
      <c r="B101" s="111">
        <v>62</v>
      </c>
      <c r="C101" s="111" t="s">
        <v>63</v>
      </c>
      <c r="D101" s="108" t="s">
        <v>307</v>
      </c>
      <c r="E101" s="108">
        <v>1</v>
      </c>
      <c r="F101" s="108">
        <v>204</v>
      </c>
      <c r="G101" s="108">
        <v>4276</v>
      </c>
      <c r="H101" s="108" t="s">
        <v>11</v>
      </c>
      <c r="I101" s="111" t="s">
        <v>654</v>
      </c>
    </row>
    <row r="102" spans="1:9" x14ac:dyDescent="0.25">
      <c r="A102" s="108">
        <f>IF(D102&lt;&gt;"", SUBTOTAL(3, $D$2:D102), "")</f>
        <v>101</v>
      </c>
      <c r="B102" s="111">
        <v>63</v>
      </c>
      <c r="C102" s="111" t="s">
        <v>77</v>
      </c>
      <c r="D102" s="108" t="s">
        <v>307</v>
      </c>
      <c r="E102" s="108">
        <v>8</v>
      </c>
      <c r="F102" s="108">
        <v>244</v>
      </c>
      <c r="G102" s="108">
        <v>5208</v>
      </c>
      <c r="H102" s="108" t="s">
        <v>11</v>
      </c>
      <c r="I102" s="111" t="s">
        <v>617</v>
      </c>
    </row>
    <row r="103" spans="1:9" ht="31.5" x14ac:dyDescent="0.25">
      <c r="A103" s="108">
        <f>IF(D103&lt;&gt;"", SUBTOTAL(3, $D$2:D103), "")</f>
        <v>102</v>
      </c>
      <c r="B103" s="111">
        <v>64</v>
      </c>
      <c r="C103" s="111" t="s">
        <v>38</v>
      </c>
      <c r="D103" s="108" t="s">
        <v>216</v>
      </c>
      <c r="E103" s="108">
        <v>29</v>
      </c>
      <c r="F103" s="108">
        <v>40</v>
      </c>
      <c r="G103" s="108">
        <v>5918</v>
      </c>
      <c r="H103" s="108" t="s">
        <v>11</v>
      </c>
      <c r="I103" s="111" t="s">
        <v>651</v>
      </c>
    </row>
    <row r="104" spans="1:9" x14ac:dyDescent="0.25">
      <c r="A104" s="108">
        <f>IF(D104&lt;&gt;"", SUBTOTAL(3, $D$2:D104), "")</f>
        <v>103</v>
      </c>
      <c r="B104" s="111">
        <v>65</v>
      </c>
      <c r="C104" s="111" t="s">
        <v>59</v>
      </c>
      <c r="D104" s="108" t="s">
        <v>216</v>
      </c>
      <c r="E104" s="108">
        <v>7</v>
      </c>
      <c r="F104" s="108">
        <v>32</v>
      </c>
      <c r="G104" s="108">
        <v>3136</v>
      </c>
      <c r="H104" s="108" t="s">
        <v>11</v>
      </c>
      <c r="I104" s="111" t="s">
        <v>652</v>
      </c>
    </row>
    <row r="105" spans="1:9" x14ac:dyDescent="0.25">
      <c r="A105" s="108">
        <f>IF(D105&lt;&gt;"", SUBTOTAL(3, $D$2:D105), "")</f>
        <v>104</v>
      </c>
      <c r="B105" s="138">
        <v>66</v>
      </c>
      <c r="C105" s="138" t="s">
        <v>613</v>
      </c>
      <c r="D105" s="108" t="s">
        <v>216</v>
      </c>
      <c r="E105" s="108">
        <v>21</v>
      </c>
      <c r="F105" s="108">
        <v>195</v>
      </c>
      <c r="G105" s="108">
        <v>10616</v>
      </c>
      <c r="H105" s="108" t="s">
        <v>11</v>
      </c>
      <c r="I105" s="111"/>
    </row>
    <row r="106" spans="1:9" x14ac:dyDescent="0.25">
      <c r="A106" s="108">
        <f>IF(D106&lt;&gt;"", SUBTOTAL(3, $D$2:D106), "")</f>
        <v>105</v>
      </c>
      <c r="B106" s="138"/>
      <c r="C106" s="138"/>
      <c r="D106" s="108" t="s">
        <v>216</v>
      </c>
      <c r="E106" s="108">
        <v>8</v>
      </c>
      <c r="F106" s="108">
        <v>83</v>
      </c>
      <c r="G106" s="108">
        <v>3693</v>
      </c>
      <c r="H106" s="108" t="s">
        <v>11</v>
      </c>
      <c r="I106" s="111" t="s">
        <v>653</v>
      </c>
    </row>
    <row r="107" spans="1:9" x14ac:dyDescent="0.25">
      <c r="A107" s="108">
        <f>IF(D107&lt;&gt;"", SUBTOTAL(3, $D$2:D107), "")</f>
        <v>106</v>
      </c>
      <c r="B107" s="111">
        <v>67</v>
      </c>
      <c r="C107" s="111" t="s">
        <v>50</v>
      </c>
      <c r="D107" s="108" t="s">
        <v>216</v>
      </c>
      <c r="E107" s="108">
        <v>21</v>
      </c>
      <c r="F107" s="108">
        <v>106</v>
      </c>
      <c r="G107" s="108">
        <v>7931</v>
      </c>
      <c r="H107" s="108" t="s">
        <v>11</v>
      </c>
      <c r="I107" s="111"/>
    </row>
    <row r="108" spans="1:9" ht="31.5" x14ac:dyDescent="0.25">
      <c r="A108" s="108">
        <f>IF(D108&lt;&gt;"", SUBTOTAL(3, $D$2:D108), "")</f>
        <v>107</v>
      </c>
      <c r="B108" s="111">
        <v>68</v>
      </c>
      <c r="C108" s="111" t="s">
        <v>101</v>
      </c>
      <c r="D108" s="108" t="s">
        <v>195</v>
      </c>
      <c r="E108" s="108">
        <v>16</v>
      </c>
      <c r="F108" s="108">
        <v>47</v>
      </c>
      <c r="G108" s="108">
        <v>3989</v>
      </c>
      <c r="H108" s="108" t="s">
        <v>11</v>
      </c>
      <c r="I108" s="111" t="s">
        <v>650</v>
      </c>
    </row>
    <row r="109" spans="1:9" x14ac:dyDescent="0.25">
      <c r="A109" s="108">
        <f>IF(D109&lt;&gt;"", SUBTOTAL(3, $D$2:D109), "")</f>
        <v>108</v>
      </c>
      <c r="B109" s="111">
        <v>69</v>
      </c>
      <c r="C109" s="111" t="s">
        <v>142</v>
      </c>
      <c r="D109" s="108" t="s">
        <v>164</v>
      </c>
      <c r="E109" s="108">
        <v>21</v>
      </c>
      <c r="F109" s="108">
        <v>243</v>
      </c>
      <c r="G109" s="108">
        <v>9126</v>
      </c>
      <c r="H109" s="108" t="s">
        <v>11</v>
      </c>
      <c r="I109" s="111"/>
    </row>
    <row r="110" spans="1:9" x14ac:dyDescent="0.25">
      <c r="A110" s="108">
        <f>IF(D110&lt;&gt;"", SUBTOTAL(3, $D$2:D110), "")</f>
        <v>109</v>
      </c>
      <c r="B110" s="111">
        <v>70</v>
      </c>
      <c r="C110" s="111" t="s">
        <v>21</v>
      </c>
      <c r="D110" s="108" t="s">
        <v>164</v>
      </c>
      <c r="E110" s="108">
        <v>1</v>
      </c>
      <c r="F110" s="108">
        <v>88</v>
      </c>
      <c r="G110" s="108">
        <v>6895</v>
      </c>
      <c r="H110" s="108" t="s">
        <v>11</v>
      </c>
      <c r="I110" s="111" t="s">
        <v>655</v>
      </c>
    </row>
    <row r="111" spans="1:9" x14ac:dyDescent="0.25">
      <c r="A111" s="108">
        <f>IF(D111&lt;&gt;"", SUBTOTAL(3, $D$2:D111), "")</f>
        <v>110</v>
      </c>
      <c r="B111" s="138">
        <v>71</v>
      </c>
      <c r="C111" s="138" t="s">
        <v>84</v>
      </c>
      <c r="D111" s="108" t="s">
        <v>407</v>
      </c>
      <c r="E111" s="108">
        <v>21</v>
      </c>
      <c r="F111" s="108">
        <v>163</v>
      </c>
      <c r="G111" s="108">
        <v>10831</v>
      </c>
      <c r="H111" s="108" t="s">
        <v>11</v>
      </c>
      <c r="I111" s="111" t="s">
        <v>617</v>
      </c>
    </row>
    <row r="112" spans="1:9" x14ac:dyDescent="0.25">
      <c r="A112" s="108">
        <f>IF(D112&lt;&gt;"", SUBTOTAL(3, $D$2:D112), "")</f>
        <v>111</v>
      </c>
      <c r="B112" s="138"/>
      <c r="C112" s="138"/>
      <c r="D112" s="108" t="s">
        <v>407</v>
      </c>
      <c r="E112" s="108">
        <v>21</v>
      </c>
      <c r="F112" s="108">
        <v>165</v>
      </c>
      <c r="G112" s="108">
        <v>3672</v>
      </c>
      <c r="H112" s="108" t="s">
        <v>11</v>
      </c>
      <c r="I112" s="111" t="s">
        <v>617</v>
      </c>
    </row>
    <row r="113" spans="1:9" x14ac:dyDescent="0.25">
      <c r="A113" s="108">
        <f>IF(D113&lt;&gt;"", SUBTOTAL(3, $D$2:D113), "")</f>
        <v>112</v>
      </c>
      <c r="B113" s="111">
        <v>72</v>
      </c>
      <c r="C113" s="111" t="s">
        <v>139</v>
      </c>
      <c r="D113" s="108" t="s">
        <v>407</v>
      </c>
      <c r="E113" s="108">
        <v>21</v>
      </c>
      <c r="F113" s="108">
        <v>240</v>
      </c>
      <c r="G113" s="108">
        <v>10971</v>
      </c>
      <c r="H113" s="108" t="s">
        <v>11</v>
      </c>
      <c r="I113" s="111"/>
    </row>
    <row r="114" spans="1:9" x14ac:dyDescent="0.25">
      <c r="I114" s="141">
        <f>COUNTIF(I2:I113,"*")</f>
        <v>84</v>
      </c>
    </row>
  </sheetData>
  <mergeCells count="58">
    <mergeCell ref="C34:C37"/>
    <mergeCell ref="C3:C4"/>
    <mergeCell ref="C6:C8"/>
    <mergeCell ref="C9:C10"/>
    <mergeCell ref="C11:C13"/>
    <mergeCell ref="C14:C16"/>
    <mergeCell ref="C18:C20"/>
    <mergeCell ref="C21:C22"/>
    <mergeCell ref="C23:C25"/>
    <mergeCell ref="C26:C27"/>
    <mergeCell ref="C28:C29"/>
    <mergeCell ref="C30:C31"/>
    <mergeCell ref="C81:C83"/>
    <mergeCell ref="C44:C45"/>
    <mergeCell ref="C48:C49"/>
    <mergeCell ref="C50:C51"/>
    <mergeCell ref="C52:C53"/>
    <mergeCell ref="C57:C58"/>
    <mergeCell ref="C59:C60"/>
    <mergeCell ref="C62:C63"/>
    <mergeCell ref="C64:C65"/>
    <mergeCell ref="C66:C67"/>
    <mergeCell ref="C68:C69"/>
    <mergeCell ref="C72:C73"/>
    <mergeCell ref="B3:B4"/>
    <mergeCell ref="B6:B8"/>
    <mergeCell ref="B9:B10"/>
    <mergeCell ref="B11:B13"/>
    <mergeCell ref="B14:B16"/>
    <mergeCell ref="C84:C87"/>
    <mergeCell ref="C94:C96"/>
    <mergeCell ref="C105:C106"/>
    <mergeCell ref="C111:C112"/>
    <mergeCell ref="C91:C92"/>
    <mergeCell ref="B57:B58"/>
    <mergeCell ref="B18:B20"/>
    <mergeCell ref="B21:B22"/>
    <mergeCell ref="B23:B25"/>
    <mergeCell ref="B26:B27"/>
    <mergeCell ref="B28:B29"/>
    <mergeCell ref="B30:B31"/>
    <mergeCell ref="B34:B37"/>
    <mergeCell ref="B44:B45"/>
    <mergeCell ref="B48:B49"/>
    <mergeCell ref="B50:B51"/>
    <mergeCell ref="B52:B53"/>
    <mergeCell ref="B111:B112"/>
    <mergeCell ref="B59:B60"/>
    <mergeCell ref="B62:B63"/>
    <mergeCell ref="B64:B65"/>
    <mergeCell ref="B66:B67"/>
    <mergeCell ref="B68:B69"/>
    <mergeCell ref="B72:B73"/>
    <mergeCell ref="B81:B83"/>
    <mergeCell ref="B84:B87"/>
    <mergeCell ref="B94:B96"/>
    <mergeCell ref="B105:B106"/>
    <mergeCell ref="B91:B92"/>
  </mergeCells>
  <conditionalFormatting sqref="E1:E1048576">
    <cfRule type="cellIs" dxfId="0" priority="1" operator="equal">
      <formula>21</formula>
    </cfRule>
  </conditionalFormatting>
  <pageMargins left="0.7" right="0.7" top="0.75" bottom="0.75" header="0.3" footer="0.3"/>
  <pageSetup paperSize="9" scale="5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378"/>
  <sheetViews>
    <sheetView topLeftCell="A73" workbookViewId="0">
      <selection activeCell="B97" sqref="B97"/>
    </sheetView>
  </sheetViews>
  <sheetFormatPr defaultRowHeight="15" x14ac:dyDescent="0.25"/>
  <cols>
    <col min="2" max="2" width="30.42578125" bestFit="1" customWidth="1"/>
    <col min="3" max="3" width="15" bestFit="1" customWidth="1"/>
    <col min="5" max="5" width="10.28515625" bestFit="1" customWidth="1"/>
    <col min="6" max="6" width="10.7109375" bestFit="1" customWidth="1"/>
  </cols>
  <sheetData>
    <row r="1" spans="1:7" ht="49.5" x14ac:dyDescent="0.25">
      <c r="A1" s="61" t="s">
        <v>149</v>
      </c>
      <c r="B1" s="61" t="s">
        <v>622</v>
      </c>
      <c r="C1" s="61" t="s">
        <v>328</v>
      </c>
      <c r="D1" s="61" t="s">
        <v>1</v>
      </c>
      <c r="E1" s="61" t="s">
        <v>9</v>
      </c>
      <c r="F1" s="62" t="s">
        <v>327</v>
      </c>
      <c r="G1" s="61" t="s">
        <v>6</v>
      </c>
    </row>
    <row r="2" spans="1:7" ht="16.5" x14ac:dyDescent="0.25">
      <c r="A2" s="52">
        <f>IF(C2&lt;&gt;"", SUBTOTAL(3, $C$2:C2), "")</f>
        <v>1</v>
      </c>
      <c r="B2" s="17" t="s">
        <v>180</v>
      </c>
      <c r="C2" s="14" t="s">
        <v>608</v>
      </c>
      <c r="D2" s="52">
        <v>1</v>
      </c>
      <c r="E2" s="52" t="s">
        <v>229</v>
      </c>
      <c r="F2" s="52" t="s">
        <v>193</v>
      </c>
      <c r="G2" s="55"/>
    </row>
    <row r="3" spans="1:7" ht="16.5" x14ac:dyDescent="0.25">
      <c r="A3" s="52">
        <f>IF(C3&lt;&gt;"", SUBTOTAL(3, $C$2:C3), "")</f>
        <v>2</v>
      </c>
      <c r="B3" s="12" t="s">
        <v>20</v>
      </c>
      <c r="C3" s="14" t="s">
        <v>608</v>
      </c>
      <c r="D3" s="52">
        <v>1</v>
      </c>
      <c r="E3" s="52" t="s">
        <v>229</v>
      </c>
      <c r="F3" s="52" t="s">
        <v>193</v>
      </c>
      <c r="G3" s="55"/>
    </row>
    <row r="4" spans="1:7" ht="16.5" x14ac:dyDescent="0.25">
      <c r="A4" s="52">
        <f>IF(C4&lt;&gt;"", SUBTOTAL(3, $C$2:C4), "")</f>
        <v>3</v>
      </c>
      <c r="B4" s="19" t="s">
        <v>28</v>
      </c>
      <c r="C4" s="14" t="s">
        <v>608</v>
      </c>
      <c r="D4" s="52">
        <v>1</v>
      </c>
      <c r="E4" s="52" t="s">
        <v>229</v>
      </c>
      <c r="F4" s="52" t="s">
        <v>193</v>
      </c>
      <c r="G4" s="55"/>
    </row>
    <row r="5" spans="1:7" ht="16.5" x14ac:dyDescent="0.25">
      <c r="A5" s="52">
        <f>IF(C5&lt;&gt;"", SUBTOTAL(3, $C$2:C5), "")</f>
        <v>4</v>
      </c>
      <c r="B5" s="19" t="s">
        <v>609</v>
      </c>
      <c r="C5" s="14" t="s">
        <v>608</v>
      </c>
      <c r="D5" s="52">
        <v>1</v>
      </c>
      <c r="E5" s="52" t="s">
        <v>229</v>
      </c>
      <c r="F5" s="52" t="s">
        <v>193</v>
      </c>
      <c r="G5" s="55"/>
    </row>
    <row r="6" spans="1:7" ht="16.5" x14ac:dyDescent="0.25">
      <c r="A6" s="52">
        <f>IF(C6&lt;&gt;"", SUBTOTAL(3, $C$2:C6), "")</f>
        <v>5</v>
      </c>
      <c r="B6" s="19" t="s">
        <v>76</v>
      </c>
      <c r="C6" s="14" t="s">
        <v>608</v>
      </c>
      <c r="D6" s="52">
        <v>1</v>
      </c>
      <c r="E6" s="52" t="s">
        <v>229</v>
      </c>
      <c r="F6" s="52" t="s">
        <v>193</v>
      </c>
      <c r="G6" s="55"/>
    </row>
    <row r="7" spans="1:7" ht="16.5" x14ac:dyDescent="0.25">
      <c r="A7" s="52">
        <f>IF(C7&lt;&gt;"", SUBTOTAL(3, $C$2:C7), "")</f>
        <v>6</v>
      </c>
      <c r="B7" s="19" t="s">
        <v>80</v>
      </c>
      <c r="C7" s="14" t="s">
        <v>608</v>
      </c>
      <c r="D7" s="52">
        <v>1</v>
      </c>
      <c r="E7" s="52" t="s">
        <v>229</v>
      </c>
      <c r="F7" s="52" t="s">
        <v>193</v>
      </c>
      <c r="G7" s="55"/>
    </row>
    <row r="8" spans="1:7" ht="16.5" x14ac:dyDescent="0.25">
      <c r="A8" s="52">
        <f>IF(C8&lt;&gt;"", SUBTOTAL(3, $C$2:C8), "")</f>
        <v>7</v>
      </c>
      <c r="B8" s="19" t="s">
        <v>85</v>
      </c>
      <c r="C8" s="14" t="s">
        <v>608</v>
      </c>
      <c r="D8" s="52">
        <v>1</v>
      </c>
      <c r="E8" s="52" t="s">
        <v>229</v>
      </c>
      <c r="F8" s="52" t="s">
        <v>193</v>
      </c>
      <c r="G8" s="55"/>
    </row>
    <row r="9" spans="1:7" ht="16.5" x14ac:dyDescent="0.25">
      <c r="A9" s="52">
        <f>IF(C9&lt;&gt;"", SUBTOTAL(3, $C$2:C9), "")</f>
        <v>8</v>
      </c>
      <c r="B9" s="17" t="s">
        <v>88</v>
      </c>
      <c r="C9" s="14" t="s">
        <v>608</v>
      </c>
      <c r="D9" s="52">
        <v>1</v>
      </c>
      <c r="E9" s="52" t="s">
        <v>229</v>
      </c>
      <c r="F9" s="52" t="s">
        <v>193</v>
      </c>
      <c r="G9" s="55"/>
    </row>
    <row r="10" spans="1:7" ht="16.5" x14ac:dyDescent="0.25">
      <c r="A10" s="52">
        <f>IF(C10&lt;&gt;"", SUBTOTAL(3, $C$2:C10), "")</f>
        <v>9</v>
      </c>
      <c r="B10" s="100" t="s">
        <v>99</v>
      </c>
      <c r="C10" s="14" t="s">
        <v>608</v>
      </c>
      <c r="D10" s="52">
        <v>1</v>
      </c>
      <c r="E10" s="52" t="s">
        <v>229</v>
      </c>
      <c r="F10" s="52" t="s">
        <v>193</v>
      </c>
      <c r="G10" s="55"/>
    </row>
    <row r="11" spans="1:7" ht="16.5" x14ac:dyDescent="0.25">
      <c r="A11" s="52">
        <f>IF(C11&lt;&gt;"", SUBTOTAL(3, $C$2:C11), "")</f>
        <v>10</v>
      </c>
      <c r="B11" s="19" t="s">
        <v>102</v>
      </c>
      <c r="C11" s="14" t="s">
        <v>608</v>
      </c>
      <c r="D11" s="52">
        <v>1</v>
      </c>
      <c r="E11" s="52" t="s">
        <v>229</v>
      </c>
      <c r="F11" s="109" t="s">
        <v>193</v>
      </c>
      <c r="G11" s="55"/>
    </row>
    <row r="12" spans="1:7" ht="16.5" x14ac:dyDescent="0.25">
      <c r="A12" s="52">
        <f>IF(C12&lt;&gt;"", SUBTOTAL(3, $C$2:C12), "")</f>
        <v>11</v>
      </c>
      <c r="B12" s="100" t="s">
        <v>110</v>
      </c>
      <c r="C12" s="14" t="s">
        <v>608</v>
      </c>
      <c r="D12" s="52">
        <v>1</v>
      </c>
      <c r="E12" s="52" t="s">
        <v>229</v>
      </c>
      <c r="F12" s="52" t="s">
        <v>193</v>
      </c>
      <c r="G12" s="55"/>
    </row>
    <row r="13" spans="1:7" ht="16.5" x14ac:dyDescent="0.25">
      <c r="A13" s="52">
        <f>IF(C13&lt;&gt;"", SUBTOTAL(3, $C$2:C13), "")</f>
        <v>12</v>
      </c>
      <c r="B13" s="19" t="s">
        <v>119</v>
      </c>
      <c r="C13" s="14" t="s">
        <v>608</v>
      </c>
      <c r="D13" s="52">
        <v>1</v>
      </c>
      <c r="E13" s="52" t="s">
        <v>229</v>
      </c>
      <c r="F13" s="52" t="s">
        <v>193</v>
      </c>
      <c r="G13" s="55"/>
    </row>
    <row r="14" spans="1:7" ht="16.5" x14ac:dyDescent="0.25">
      <c r="A14" s="52">
        <f>IF(C14&lt;&gt;"", SUBTOTAL(3, $C$2:C14), "")</f>
        <v>13</v>
      </c>
      <c r="B14" s="110" t="s">
        <v>121</v>
      </c>
      <c r="C14" s="14" t="s">
        <v>608</v>
      </c>
      <c r="D14" s="52">
        <v>1</v>
      </c>
      <c r="E14" s="52" t="s">
        <v>229</v>
      </c>
      <c r="F14" s="52" t="s">
        <v>193</v>
      </c>
      <c r="G14" s="55"/>
    </row>
    <row r="15" spans="1:7" ht="16.5" x14ac:dyDescent="0.25">
      <c r="A15" s="52">
        <f>IF(C15&lt;&gt;"", SUBTOTAL(3, $C$2:C15), "")</f>
        <v>14</v>
      </c>
      <c r="B15" s="19" t="s">
        <v>147</v>
      </c>
      <c r="C15" s="14" t="s">
        <v>608</v>
      </c>
      <c r="D15" s="52">
        <v>1</v>
      </c>
      <c r="E15" s="52" t="s">
        <v>229</v>
      </c>
      <c r="F15" s="52" t="s">
        <v>193</v>
      </c>
      <c r="G15" s="55"/>
    </row>
    <row r="16" spans="1:7" ht="16.5" x14ac:dyDescent="0.25">
      <c r="A16" s="52">
        <f>IF(C16&lt;&gt;"", SUBTOTAL(3, $C$2:C16), "")</f>
        <v>15</v>
      </c>
      <c r="B16" s="19" t="s">
        <v>181</v>
      </c>
      <c r="C16" s="14" t="s">
        <v>608</v>
      </c>
      <c r="D16" s="52">
        <v>1</v>
      </c>
      <c r="E16" s="52" t="s">
        <v>229</v>
      </c>
      <c r="F16" s="52" t="s">
        <v>193</v>
      </c>
      <c r="G16" s="55"/>
    </row>
    <row r="17" spans="1:7" ht="16.5" x14ac:dyDescent="0.25">
      <c r="A17" s="52">
        <f>IF(C17&lt;&gt;"", SUBTOTAL(3, $C$2:C17), "")</f>
        <v>16</v>
      </c>
      <c r="B17" s="19" t="s">
        <v>45</v>
      </c>
      <c r="C17" s="14" t="s">
        <v>306</v>
      </c>
      <c r="D17" s="52">
        <v>1</v>
      </c>
      <c r="E17" s="52" t="s">
        <v>229</v>
      </c>
      <c r="F17" s="52" t="s">
        <v>193</v>
      </c>
      <c r="G17" s="55"/>
    </row>
    <row r="18" spans="1:7" ht="16.5" x14ac:dyDescent="0.25">
      <c r="A18" s="52">
        <f>IF(C18&lt;&gt;"", SUBTOTAL(3, $C$2:C18), "")</f>
        <v>17</v>
      </c>
      <c r="B18" s="19" t="s">
        <v>148</v>
      </c>
      <c r="C18" s="14" t="s">
        <v>306</v>
      </c>
      <c r="D18" s="52">
        <v>1</v>
      </c>
      <c r="E18" s="52" t="s">
        <v>229</v>
      </c>
      <c r="F18" s="52" t="s">
        <v>193</v>
      </c>
      <c r="G18" s="55"/>
    </row>
    <row r="19" spans="1:7" ht="16.5" x14ac:dyDescent="0.25">
      <c r="A19" s="52">
        <f>IF(C19&lt;&gt;"", SUBTOTAL(3, $C$2:C19), "")</f>
        <v>18</v>
      </c>
      <c r="B19" s="19" t="s">
        <v>635</v>
      </c>
      <c r="C19" s="14" t="s">
        <v>603</v>
      </c>
      <c r="D19" s="52">
        <v>1</v>
      </c>
      <c r="E19" s="52" t="s">
        <v>229</v>
      </c>
      <c r="F19" s="52" t="s">
        <v>193</v>
      </c>
      <c r="G19" s="55"/>
    </row>
    <row r="20" spans="1:7" ht="16.5" x14ac:dyDescent="0.25">
      <c r="A20" s="52">
        <f>IF(C20&lt;&gt;"", SUBTOTAL(3, $C$2:C20), "")</f>
        <v>19</v>
      </c>
      <c r="B20" s="17" t="s">
        <v>29</v>
      </c>
      <c r="C20" s="14" t="s">
        <v>603</v>
      </c>
      <c r="D20" s="52">
        <v>1</v>
      </c>
      <c r="E20" s="52" t="s">
        <v>229</v>
      </c>
      <c r="F20" s="52" t="s">
        <v>193</v>
      </c>
      <c r="G20" s="55"/>
    </row>
    <row r="21" spans="1:7" ht="16.5" x14ac:dyDescent="0.25">
      <c r="A21" s="52">
        <f>IF(C21&lt;&gt;"", SUBTOTAL(3, $C$2:C21), "")</f>
        <v>20</v>
      </c>
      <c r="B21" s="19" t="s">
        <v>36</v>
      </c>
      <c r="C21" s="14" t="s">
        <v>603</v>
      </c>
      <c r="D21" s="52">
        <v>1</v>
      </c>
      <c r="E21" s="52" t="s">
        <v>229</v>
      </c>
      <c r="F21" s="52" t="s">
        <v>193</v>
      </c>
      <c r="G21" s="55"/>
    </row>
    <row r="22" spans="1:7" ht="16.5" x14ac:dyDescent="0.25">
      <c r="A22" s="52">
        <f>IF(C22&lt;&gt;"", SUBTOTAL(3, $C$2:C22), "")</f>
        <v>21</v>
      </c>
      <c r="B22" s="19" t="s">
        <v>49</v>
      </c>
      <c r="C22" s="14" t="s">
        <v>603</v>
      </c>
      <c r="D22" s="52">
        <v>1</v>
      </c>
      <c r="E22" s="52" t="s">
        <v>229</v>
      </c>
      <c r="F22" s="52" t="s">
        <v>193</v>
      </c>
      <c r="G22" s="55"/>
    </row>
    <row r="23" spans="1:7" ht="16.5" x14ac:dyDescent="0.25">
      <c r="A23" s="52">
        <f>IF(C23&lt;&gt;"", SUBTOTAL(3, $C$2:C23), "")</f>
        <v>22</v>
      </c>
      <c r="B23" s="101" t="s">
        <v>54</v>
      </c>
      <c r="C23" s="14" t="s">
        <v>603</v>
      </c>
      <c r="D23" s="52">
        <v>1</v>
      </c>
      <c r="E23" s="52" t="s">
        <v>229</v>
      </c>
      <c r="F23" s="52" t="s">
        <v>193</v>
      </c>
      <c r="G23" s="55"/>
    </row>
    <row r="24" spans="1:7" ht="16.5" x14ac:dyDescent="0.25">
      <c r="A24" s="52">
        <f>IF(C24&lt;&gt;"", SUBTOTAL(3, $C$2:C24), "")</f>
        <v>23</v>
      </c>
      <c r="B24" s="19" t="s">
        <v>58</v>
      </c>
      <c r="C24" s="14" t="s">
        <v>603</v>
      </c>
      <c r="D24" s="52">
        <v>1</v>
      </c>
      <c r="E24" s="52" t="s">
        <v>229</v>
      </c>
      <c r="F24" s="52" t="s">
        <v>193</v>
      </c>
      <c r="G24" s="55"/>
    </row>
    <row r="25" spans="1:7" ht="16.5" x14ac:dyDescent="0.25">
      <c r="A25" s="52">
        <f>IF(C25&lt;&gt;"", SUBTOTAL(3, $C$2:C25), "")</f>
        <v>24</v>
      </c>
      <c r="B25" s="19" t="s">
        <v>62</v>
      </c>
      <c r="C25" s="14" t="s">
        <v>603</v>
      </c>
      <c r="D25" s="52">
        <v>1</v>
      </c>
      <c r="E25" s="52" t="s">
        <v>229</v>
      </c>
      <c r="F25" s="52" t="s">
        <v>193</v>
      </c>
      <c r="G25" s="55"/>
    </row>
    <row r="26" spans="1:7" ht="16.5" x14ac:dyDescent="0.25">
      <c r="A26" s="52">
        <f>IF(C26&lt;&gt;"", SUBTOTAL(3, $C$2:C26), "")</f>
        <v>25</v>
      </c>
      <c r="B26" s="19" t="s">
        <v>73</v>
      </c>
      <c r="C26" s="14" t="s">
        <v>603</v>
      </c>
      <c r="D26" s="52">
        <v>1</v>
      </c>
      <c r="E26" s="52" t="s">
        <v>229</v>
      </c>
      <c r="F26" s="52" t="s">
        <v>193</v>
      </c>
      <c r="G26" s="55"/>
    </row>
    <row r="27" spans="1:7" ht="16.5" x14ac:dyDescent="0.25">
      <c r="A27" s="52">
        <f>IF(C27&lt;&gt;"", SUBTOTAL(3, $C$2:C27), "")</f>
        <v>26</v>
      </c>
      <c r="B27" s="19" t="s">
        <v>92</v>
      </c>
      <c r="C27" s="14" t="s">
        <v>603</v>
      </c>
      <c r="D27" s="52">
        <v>1</v>
      </c>
      <c r="E27" s="52" t="s">
        <v>229</v>
      </c>
      <c r="F27" s="52" t="s">
        <v>193</v>
      </c>
      <c r="G27" s="55"/>
    </row>
    <row r="28" spans="1:7" ht="16.5" x14ac:dyDescent="0.25">
      <c r="A28" s="52">
        <f>IF(C28&lt;&gt;"", SUBTOTAL(3, $C$2:C28), "")</f>
        <v>27</v>
      </c>
      <c r="B28" s="100" t="s">
        <v>577</v>
      </c>
      <c r="C28" s="14" t="s">
        <v>603</v>
      </c>
      <c r="D28" s="52">
        <v>1</v>
      </c>
      <c r="E28" s="52" t="s">
        <v>229</v>
      </c>
      <c r="F28" s="52" t="s">
        <v>193</v>
      </c>
      <c r="G28" s="55"/>
    </row>
    <row r="29" spans="1:7" ht="16.5" x14ac:dyDescent="0.25">
      <c r="A29" s="52">
        <f>IF(C29&lt;&gt;"", SUBTOTAL(3, $C$2:C29), "")</f>
        <v>28</v>
      </c>
      <c r="B29" s="19" t="s">
        <v>118</v>
      </c>
      <c r="C29" s="14" t="s">
        <v>603</v>
      </c>
      <c r="D29" s="52">
        <v>1</v>
      </c>
      <c r="E29" s="52" t="s">
        <v>229</v>
      </c>
      <c r="F29" s="52" t="s">
        <v>193</v>
      </c>
      <c r="G29" s="55"/>
    </row>
    <row r="30" spans="1:7" ht="16.5" x14ac:dyDescent="0.25">
      <c r="A30" s="52">
        <f>IF(C30&lt;&gt;"", SUBTOTAL(3, $C$2:C30), "")</f>
        <v>29</v>
      </c>
      <c r="B30" s="19" t="s">
        <v>170</v>
      </c>
      <c r="C30" s="14" t="s">
        <v>603</v>
      </c>
      <c r="D30" s="52">
        <v>1</v>
      </c>
      <c r="E30" s="52" t="s">
        <v>229</v>
      </c>
      <c r="F30" s="52" t="s">
        <v>193</v>
      </c>
      <c r="G30" s="55"/>
    </row>
    <row r="31" spans="1:7" ht="16.5" x14ac:dyDescent="0.25">
      <c r="A31" s="52">
        <f>IF(C31&lt;&gt;"", SUBTOTAL(3, $C$2:C31), "")</f>
        <v>30</v>
      </c>
      <c r="B31" s="19" t="s">
        <v>138</v>
      </c>
      <c r="C31" s="14" t="s">
        <v>603</v>
      </c>
      <c r="D31" s="52">
        <v>1</v>
      </c>
      <c r="E31" s="52" t="s">
        <v>229</v>
      </c>
      <c r="F31" s="52" t="s">
        <v>193</v>
      </c>
      <c r="G31" s="55"/>
    </row>
    <row r="32" spans="1:7" ht="16.5" x14ac:dyDescent="0.25">
      <c r="A32" s="52">
        <f>IF(C32&lt;&gt;"", SUBTOTAL(3, $C$2:C32), "")</f>
        <v>31</v>
      </c>
      <c r="B32" s="19" t="s">
        <v>589</v>
      </c>
      <c r="C32" s="14" t="s">
        <v>607</v>
      </c>
      <c r="D32" s="52">
        <v>1</v>
      </c>
      <c r="E32" s="52" t="s">
        <v>194</v>
      </c>
      <c r="F32" s="52" t="s">
        <v>193</v>
      </c>
      <c r="G32" s="55"/>
    </row>
    <row r="33" spans="1:7" ht="16.5" x14ac:dyDescent="0.25">
      <c r="A33" s="52">
        <f>IF(C33&lt;&gt;"", SUBTOTAL(3, $C$2:C33), "")</f>
        <v>32</v>
      </c>
      <c r="B33" s="19" t="s">
        <v>41</v>
      </c>
      <c r="C33" s="14" t="s">
        <v>607</v>
      </c>
      <c r="D33" s="52">
        <v>1</v>
      </c>
      <c r="E33" s="52" t="s">
        <v>194</v>
      </c>
      <c r="F33" s="52" t="s">
        <v>193</v>
      </c>
      <c r="G33" s="55"/>
    </row>
    <row r="34" spans="1:7" ht="16.5" x14ac:dyDescent="0.25">
      <c r="A34" s="52">
        <f>IF(C34&lt;&gt;"", SUBTOTAL(3, $C$2:C34), "")</f>
        <v>33</v>
      </c>
      <c r="B34" s="19" t="s">
        <v>57</v>
      </c>
      <c r="C34" s="14" t="s">
        <v>607</v>
      </c>
      <c r="D34" s="52">
        <v>1</v>
      </c>
      <c r="E34" s="52" t="s">
        <v>194</v>
      </c>
      <c r="F34" s="52" t="s">
        <v>193</v>
      </c>
      <c r="G34" s="55"/>
    </row>
    <row r="35" spans="1:7" ht="16.5" x14ac:dyDescent="0.25">
      <c r="A35" s="52">
        <f>IF(C35&lt;&gt;"", SUBTOTAL(3, $C$2:C35), "")</f>
        <v>34</v>
      </c>
      <c r="B35" s="19" t="s">
        <v>143</v>
      </c>
      <c r="C35" s="14" t="s">
        <v>607</v>
      </c>
      <c r="D35" s="52">
        <v>1</v>
      </c>
      <c r="E35" s="52" t="s">
        <v>194</v>
      </c>
      <c r="F35" s="52" t="s">
        <v>193</v>
      </c>
      <c r="G35" s="55"/>
    </row>
    <row r="36" spans="1:7" ht="16.5" x14ac:dyDescent="0.25">
      <c r="A36" s="52">
        <f>IF(C36&lt;&gt;"", SUBTOTAL(3, $C$2:C36), "")</f>
        <v>35</v>
      </c>
      <c r="B36" s="19" t="s">
        <v>637</v>
      </c>
      <c r="C36" s="14" t="s">
        <v>241</v>
      </c>
      <c r="D36" s="52">
        <v>1</v>
      </c>
      <c r="E36" s="52" t="s">
        <v>229</v>
      </c>
      <c r="F36" s="52" t="s">
        <v>193</v>
      </c>
      <c r="G36" s="55"/>
    </row>
    <row r="37" spans="1:7" ht="16.5" x14ac:dyDescent="0.25">
      <c r="A37" s="52">
        <f>IF(C37&lt;&gt;"", SUBTOTAL(3, $C$2:C37), "")</f>
        <v>36</v>
      </c>
      <c r="B37" s="17" t="s">
        <v>242</v>
      </c>
      <c r="C37" s="14" t="s">
        <v>241</v>
      </c>
      <c r="D37" s="52">
        <v>1</v>
      </c>
      <c r="E37" s="52" t="s">
        <v>229</v>
      </c>
      <c r="F37" s="52" t="s">
        <v>193</v>
      </c>
      <c r="G37" s="55"/>
    </row>
    <row r="38" spans="1:7" ht="16.5" x14ac:dyDescent="0.25">
      <c r="A38" s="52">
        <f>IF(C38&lt;&gt;"", SUBTOTAL(3, $C$2:C38), "")</f>
        <v>37</v>
      </c>
      <c r="B38" s="19" t="s">
        <v>67</v>
      </c>
      <c r="C38" s="14" t="s">
        <v>241</v>
      </c>
      <c r="D38" s="52">
        <v>1</v>
      </c>
      <c r="E38" s="52" t="s">
        <v>229</v>
      </c>
      <c r="F38" s="52" t="s">
        <v>193</v>
      </c>
      <c r="G38" s="55"/>
    </row>
    <row r="39" spans="1:7" ht="16.5" x14ac:dyDescent="0.25">
      <c r="A39" s="52">
        <f>IF(C39&lt;&gt;"", SUBTOTAL(3, $C$2:C39), "")</f>
        <v>38</v>
      </c>
      <c r="B39" s="19" t="s">
        <v>75</v>
      </c>
      <c r="C39" s="14" t="s">
        <v>241</v>
      </c>
      <c r="D39" s="52">
        <v>1</v>
      </c>
      <c r="E39" s="52" t="s">
        <v>229</v>
      </c>
      <c r="F39" s="52" t="s">
        <v>193</v>
      </c>
      <c r="G39" s="55"/>
    </row>
    <row r="40" spans="1:7" ht="16.5" x14ac:dyDescent="0.25">
      <c r="A40" s="52">
        <f>IF(C40&lt;&gt;"", SUBTOTAL(3, $C$2:C40), "")</f>
        <v>39</v>
      </c>
      <c r="B40" s="101" t="s">
        <v>638</v>
      </c>
      <c r="C40" s="14" t="s">
        <v>269</v>
      </c>
      <c r="D40" s="52">
        <v>1</v>
      </c>
      <c r="E40" s="52" t="s">
        <v>229</v>
      </c>
      <c r="F40" s="52" t="s">
        <v>193</v>
      </c>
      <c r="G40" s="55"/>
    </row>
    <row r="41" spans="1:7" ht="16.5" x14ac:dyDescent="0.25">
      <c r="A41" s="52">
        <f>IF(C41&lt;&gt;"", SUBTOTAL(3, $C$2:C41), "")</f>
        <v>40</v>
      </c>
      <c r="B41" s="19" t="s">
        <v>270</v>
      </c>
      <c r="C41" s="14" t="s">
        <v>269</v>
      </c>
      <c r="D41" s="52">
        <v>1</v>
      </c>
      <c r="E41" s="52" t="s">
        <v>229</v>
      </c>
      <c r="F41" s="52" t="s">
        <v>193</v>
      </c>
      <c r="G41" s="55"/>
    </row>
    <row r="42" spans="1:7" ht="16.5" x14ac:dyDescent="0.25">
      <c r="A42" s="52">
        <f>IF(C42&lt;&gt;"", SUBTOTAL(3, $C$2:C42), "")</f>
        <v>41</v>
      </c>
      <c r="B42" s="19" t="s">
        <v>611</v>
      </c>
      <c r="C42" s="14" t="s">
        <v>269</v>
      </c>
      <c r="D42" s="52">
        <v>1</v>
      </c>
      <c r="E42" s="52" t="s">
        <v>229</v>
      </c>
      <c r="F42" s="52" t="s">
        <v>193</v>
      </c>
      <c r="G42" s="55"/>
    </row>
    <row r="43" spans="1:7" ht="16.5" x14ac:dyDescent="0.25">
      <c r="A43" s="52">
        <f>IF(C43&lt;&gt;"", SUBTOTAL(3, $C$2:C43), "")</f>
        <v>42</v>
      </c>
      <c r="B43" s="19" t="s">
        <v>612</v>
      </c>
      <c r="C43" s="14" t="s">
        <v>269</v>
      </c>
      <c r="D43" s="52">
        <v>1</v>
      </c>
      <c r="E43" s="52" t="s">
        <v>229</v>
      </c>
      <c r="F43" s="52" t="s">
        <v>193</v>
      </c>
      <c r="G43" s="55"/>
    </row>
    <row r="44" spans="1:7" ht="16.5" x14ac:dyDescent="0.25">
      <c r="A44" s="52">
        <f>IF(C44&lt;&gt;"", SUBTOTAL(3, $C$2:C44), "")</f>
        <v>43</v>
      </c>
      <c r="B44" s="19" t="s">
        <v>100</v>
      </c>
      <c r="C44" s="14" t="s">
        <v>269</v>
      </c>
      <c r="D44" s="52">
        <v>1</v>
      </c>
      <c r="E44" s="52" t="s">
        <v>229</v>
      </c>
      <c r="F44" s="52" t="s">
        <v>193</v>
      </c>
      <c r="G44" s="55"/>
    </row>
    <row r="45" spans="1:7" ht="16.5" x14ac:dyDescent="0.25">
      <c r="A45" s="52">
        <f>IF(C45&lt;&gt;"", SUBTOTAL(3, $C$2:C45), "")</f>
        <v>44</v>
      </c>
      <c r="B45" s="19" t="s">
        <v>273</v>
      </c>
      <c r="C45" s="14" t="s">
        <v>269</v>
      </c>
      <c r="D45" s="52">
        <v>1</v>
      </c>
      <c r="E45" s="52" t="s">
        <v>229</v>
      </c>
      <c r="F45" s="52" t="s">
        <v>193</v>
      </c>
      <c r="G45" s="55"/>
    </row>
    <row r="46" spans="1:7" ht="16.5" x14ac:dyDescent="0.25">
      <c r="A46" s="52">
        <f>IF(C46&lt;&gt;"", SUBTOTAL(3, $C$2:C46), "")</f>
        <v>45</v>
      </c>
      <c r="B46" s="19" t="s">
        <v>271</v>
      </c>
      <c r="C46" s="14" t="s">
        <v>269</v>
      </c>
      <c r="D46" s="52">
        <v>1</v>
      </c>
      <c r="E46" s="52" t="s">
        <v>229</v>
      </c>
      <c r="F46" s="52" t="s">
        <v>193</v>
      </c>
      <c r="G46" s="55"/>
    </row>
    <row r="47" spans="1:7" ht="16.5" x14ac:dyDescent="0.25">
      <c r="A47" s="52">
        <f>IF(C47&lt;&gt;"", SUBTOTAL(3, $C$2:C47), "")</f>
        <v>46</v>
      </c>
      <c r="B47" s="101" t="s">
        <v>133</v>
      </c>
      <c r="C47" s="14" t="s">
        <v>269</v>
      </c>
      <c r="D47" s="52">
        <v>1</v>
      </c>
      <c r="E47" s="52" t="s">
        <v>229</v>
      </c>
      <c r="F47" s="52" t="s">
        <v>193</v>
      </c>
      <c r="G47" s="55"/>
    </row>
    <row r="48" spans="1:7" ht="16.5" x14ac:dyDescent="0.25">
      <c r="A48" s="52">
        <f>IF(C48&lt;&gt;"", SUBTOTAL(3, $C$2:C48), "")</f>
        <v>47</v>
      </c>
      <c r="B48" s="17" t="s">
        <v>261</v>
      </c>
      <c r="C48" s="14" t="s">
        <v>260</v>
      </c>
      <c r="D48" s="52">
        <v>1</v>
      </c>
      <c r="E48" s="52" t="s">
        <v>229</v>
      </c>
      <c r="F48" s="52" t="s">
        <v>193</v>
      </c>
      <c r="G48" s="55"/>
    </row>
    <row r="49" spans="1:7" ht="16.5" x14ac:dyDescent="0.25">
      <c r="A49" s="52">
        <f>IF(C49&lt;&gt;"", SUBTOTAL(3, $C$2:C49), "")</f>
        <v>48</v>
      </c>
      <c r="B49" s="19" t="s">
        <v>77</v>
      </c>
      <c r="C49" s="14" t="s">
        <v>260</v>
      </c>
      <c r="D49" s="52">
        <v>1</v>
      </c>
      <c r="E49" s="52" t="s">
        <v>229</v>
      </c>
      <c r="F49" s="52" t="s">
        <v>193</v>
      </c>
      <c r="G49" s="55"/>
    </row>
    <row r="50" spans="1:7" ht="16.5" x14ac:dyDescent="0.25">
      <c r="A50" s="52">
        <f>IF(C50&lt;&gt;"", SUBTOTAL(3, $C$2:C50), "")</f>
        <v>49</v>
      </c>
      <c r="B50" s="100" t="s">
        <v>166</v>
      </c>
      <c r="C50" s="14" t="s">
        <v>323</v>
      </c>
      <c r="D50" s="52">
        <v>1</v>
      </c>
      <c r="E50" s="52" t="s">
        <v>229</v>
      </c>
      <c r="F50" s="52" t="s">
        <v>193</v>
      </c>
      <c r="G50" s="55"/>
    </row>
    <row r="51" spans="1:7" ht="16.5" x14ac:dyDescent="0.25">
      <c r="A51" s="52">
        <f>IF(C51&lt;&gt;"", SUBTOTAL(3, $C$2:C51), "")</f>
        <v>50</v>
      </c>
      <c r="B51" s="17" t="s">
        <v>605</v>
      </c>
      <c r="C51" s="14" t="s">
        <v>323</v>
      </c>
      <c r="D51" s="52">
        <v>1</v>
      </c>
      <c r="E51" s="52" t="s">
        <v>215</v>
      </c>
      <c r="F51" s="52" t="s">
        <v>193</v>
      </c>
      <c r="G51" s="55"/>
    </row>
    <row r="52" spans="1:7" ht="16.5" x14ac:dyDescent="0.25">
      <c r="A52" s="52">
        <f>IF(C52&lt;&gt;"", SUBTOTAL(3, $C$2:C52), "")</f>
        <v>51</v>
      </c>
      <c r="B52" s="17" t="s">
        <v>324</v>
      </c>
      <c r="C52" s="14" t="s">
        <v>323</v>
      </c>
      <c r="D52" s="52">
        <v>1</v>
      </c>
      <c r="E52" s="52" t="s">
        <v>229</v>
      </c>
      <c r="F52" s="52" t="s">
        <v>193</v>
      </c>
      <c r="G52" s="55"/>
    </row>
    <row r="53" spans="1:7" ht="16.5" x14ac:dyDescent="0.25">
      <c r="A53" s="52">
        <f>IF(C53&lt;&gt;"", SUBTOTAL(3, $C$2:C53), "")</f>
        <v>52</v>
      </c>
      <c r="B53" s="17" t="s">
        <v>325</v>
      </c>
      <c r="C53" s="14" t="s">
        <v>323</v>
      </c>
      <c r="D53" s="52">
        <v>1</v>
      </c>
      <c r="E53" s="52" t="s">
        <v>229</v>
      </c>
      <c r="F53" s="52" t="s">
        <v>193</v>
      </c>
      <c r="G53" s="55"/>
    </row>
    <row r="54" spans="1:7" ht="16.5" x14ac:dyDescent="0.25">
      <c r="A54" s="52">
        <f>IF(C54&lt;&gt;"", SUBTOTAL(3, $C$2:C54), "")</f>
        <v>53</v>
      </c>
      <c r="B54" s="19" t="s">
        <v>587</v>
      </c>
      <c r="C54" s="14" t="s">
        <v>323</v>
      </c>
      <c r="D54" s="52">
        <v>1</v>
      </c>
      <c r="E54" s="52" t="s">
        <v>229</v>
      </c>
      <c r="F54" s="52" t="s">
        <v>193</v>
      </c>
      <c r="G54" s="55"/>
    </row>
    <row r="55" spans="1:7" ht="16.5" x14ac:dyDescent="0.25">
      <c r="A55" s="52">
        <f>IF(C55&lt;&gt;"", SUBTOTAL(3, $C$2:C55), "")</f>
        <v>54</v>
      </c>
      <c r="B55" s="17" t="s">
        <v>48</v>
      </c>
      <c r="C55" s="14" t="s">
        <v>323</v>
      </c>
      <c r="D55" s="52">
        <v>1</v>
      </c>
      <c r="E55" s="52" t="s">
        <v>229</v>
      </c>
      <c r="F55" s="52" t="s">
        <v>193</v>
      </c>
      <c r="G55" s="55"/>
    </row>
    <row r="56" spans="1:7" ht="16.5" x14ac:dyDescent="0.25">
      <c r="A56" s="52">
        <f>IF(C56&lt;&gt;"", SUBTOTAL(3, $C$2:C56), "")</f>
        <v>55</v>
      </c>
      <c r="B56" s="19" t="s">
        <v>51</v>
      </c>
      <c r="C56" s="14" t="s">
        <v>323</v>
      </c>
      <c r="D56" s="52">
        <v>1</v>
      </c>
      <c r="E56" s="52" t="s">
        <v>215</v>
      </c>
      <c r="F56" s="52" t="s">
        <v>193</v>
      </c>
      <c r="G56" s="55"/>
    </row>
    <row r="57" spans="1:7" ht="16.5" x14ac:dyDescent="0.25">
      <c r="A57" s="52">
        <f>IF(C57&lt;&gt;"", SUBTOTAL(3, $C$2:C57), "")</f>
        <v>56</v>
      </c>
      <c r="B57" s="17" t="s">
        <v>326</v>
      </c>
      <c r="C57" s="14" t="s">
        <v>323</v>
      </c>
      <c r="D57" s="52">
        <v>1</v>
      </c>
      <c r="E57" s="52" t="s">
        <v>215</v>
      </c>
      <c r="F57" s="52" t="s">
        <v>193</v>
      </c>
      <c r="G57" s="55"/>
    </row>
    <row r="58" spans="1:7" ht="16.5" x14ac:dyDescent="0.25">
      <c r="A58" s="52">
        <f>IF(C58&lt;&gt;"", SUBTOTAL(3, $C$2:C58), "")</f>
        <v>57</v>
      </c>
      <c r="B58" s="19" t="s">
        <v>68</v>
      </c>
      <c r="C58" s="14" t="s">
        <v>323</v>
      </c>
      <c r="D58" s="52">
        <v>1</v>
      </c>
      <c r="E58" s="52" t="s">
        <v>215</v>
      </c>
      <c r="F58" s="52" t="s">
        <v>193</v>
      </c>
      <c r="G58" s="55"/>
    </row>
    <row r="59" spans="1:7" ht="16.5" x14ac:dyDescent="0.25">
      <c r="A59" s="52">
        <f>IF(C59&lt;&gt;"", SUBTOTAL(3, $C$2:C59), "")</f>
        <v>58</v>
      </c>
      <c r="B59" s="19" t="s">
        <v>81</v>
      </c>
      <c r="C59" s="14" t="s">
        <v>323</v>
      </c>
      <c r="D59" s="52">
        <v>1</v>
      </c>
      <c r="E59" s="52" t="s">
        <v>215</v>
      </c>
      <c r="F59" s="52" t="s">
        <v>193</v>
      </c>
      <c r="G59" s="55"/>
    </row>
    <row r="60" spans="1:7" ht="16.5" x14ac:dyDescent="0.25">
      <c r="A60" s="52">
        <f>IF(C60&lt;&gt;"", SUBTOTAL(3, $C$2:C60), "")</f>
        <v>59</v>
      </c>
      <c r="B60" s="68" t="s">
        <v>88</v>
      </c>
      <c r="C60" s="14" t="s">
        <v>323</v>
      </c>
      <c r="D60" s="109">
        <v>1</v>
      </c>
      <c r="E60" s="52" t="s">
        <v>215</v>
      </c>
      <c r="F60" s="109" t="s">
        <v>193</v>
      </c>
      <c r="G60" s="55"/>
    </row>
    <row r="61" spans="1:7" ht="16.5" x14ac:dyDescent="0.25">
      <c r="A61" s="52">
        <f>IF(C61&lt;&gt;"", SUBTOTAL(3, $C$2:C61), "")</f>
        <v>60</v>
      </c>
      <c r="B61" s="19" t="s">
        <v>89</v>
      </c>
      <c r="C61" s="14" t="s">
        <v>323</v>
      </c>
      <c r="D61" s="52">
        <v>1</v>
      </c>
      <c r="E61" s="52" t="s">
        <v>229</v>
      </c>
      <c r="F61" s="52" t="s">
        <v>193</v>
      </c>
      <c r="G61" s="55"/>
    </row>
    <row r="62" spans="1:7" ht="16.5" x14ac:dyDescent="0.25">
      <c r="A62" s="52">
        <f>IF(C62&lt;&gt;"", SUBTOTAL(3, $C$2:C62), "")</f>
        <v>61</v>
      </c>
      <c r="B62" s="12" t="s">
        <v>106</v>
      </c>
      <c r="C62" s="14" t="s">
        <v>323</v>
      </c>
      <c r="D62" s="52">
        <v>1</v>
      </c>
      <c r="E62" s="52" t="s">
        <v>229</v>
      </c>
      <c r="F62" s="52" t="s">
        <v>193</v>
      </c>
      <c r="G62" s="55"/>
    </row>
    <row r="63" spans="1:7" ht="16.5" x14ac:dyDescent="0.25">
      <c r="A63" s="52">
        <f>IF(C63&lt;&gt;"", SUBTOTAL(3, $C$2:C63), "")</f>
        <v>62</v>
      </c>
      <c r="B63" s="19" t="s">
        <v>107</v>
      </c>
      <c r="C63" s="14" t="s">
        <v>323</v>
      </c>
      <c r="D63" s="52">
        <v>1</v>
      </c>
      <c r="E63" s="52" t="s">
        <v>229</v>
      </c>
      <c r="F63" s="52" t="s">
        <v>193</v>
      </c>
      <c r="G63" s="55"/>
    </row>
    <row r="64" spans="1:7" ht="16.5" x14ac:dyDescent="0.25">
      <c r="A64" s="52">
        <f>IF(C64&lt;&gt;"", SUBTOTAL(3, $C$2:C64), "")</f>
        <v>63</v>
      </c>
      <c r="B64" s="19" t="s">
        <v>108</v>
      </c>
      <c r="C64" s="14" t="s">
        <v>323</v>
      </c>
      <c r="D64" s="52">
        <v>1</v>
      </c>
      <c r="E64" s="52" t="s">
        <v>229</v>
      </c>
      <c r="F64" s="52" t="s">
        <v>193</v>
      </c>
      <c r="G64" s="55"/>
    </row>
    <row r="65" spans="1:7" ht="16.5" x14ac:dyDescent="0.25">
      <c r="A65" s="52">
        <f>IF(C65&lt;&gt;"", SUBTOTAL(3, $C$2:C65), "")</f>
        <v>64</v>
      </c>
      <c r="B65" s="19" t="s">
        <v>122</v>
      </c>
      <c r="C65" s="14" t="s">
        <v>323</v>
      </c>
      <c r="D65" s="52">
        <v>1</v>
      </c>
      <c r="E65" s="52" t="s">
        <v>215</v>
      </c>
      <c r="F65" s="52" t="s">
        <v>193</v>
      </c>
      <c r="G65" s="55"/>
    </row>
    <row r="66" spans="1:7" ht="16.5" x14ac:dyDescent="0.25">
      <c r="A66" s="52">
        <f>IF(C66&lt;&gt;"", SUBTOTAL(3, $C$2:C66), "")</f>
        <v>65</v>
      </c>
      <c r="B66" s="17" t="s">
        <v>146</v>
      </c>
      <c r="C66" s="14" t="s">
        <v>323</v>
      </c>
      <c r="D66" s="52">
        <v>1</v>
      </c>
      <c r="E66" s="52" t="s">
        <v>229</v>
      </c>
      <c r="F66" s="52" t="s">
        <v>193</v>
      </c>
      <c r="G66" s="55"/>
    </row>
    <row r="67" spans="1:7" ht="16.5" x14ac:dyDescent="0.25">
      <c r="A67" s="52">
        <f>IF(C67&lt;&gt;"", SUBTOTAL(3, $C$2:C67), "")</f>
        <v>66</v>
      </c>
      <c r="B67" s="55" t="s">
        <v>447</v>
      </c>
      <c r="C67" s="52" t="s">
        <v>163</v>
      </c>
      <c r="D67" s="52">
        <v>1</v>
      </c>
      <c r="E67" s="52" t="s">
        <v>229</v>
      </c>
      <c r="F67" s="52" t="s">
        <v>351</v>
      </c>
      <c r="G67" s="55"/>
    </row>
    <row r="68" spans="1:7" ht="16.5" x14ac:dyDescent="0.25">
      <c r="A68" s="52">
        <f>IF(C68&lt;&gt;"", SUBTOTAL(3, $C$2:C68), "")</f>
        <v>67</v>
      </c>
      <c r="B68" s="55" t="s">
        <v>457</v>
      </c>
      <c r="C68" s="52" t="s">
        <v>163</v>
      </c>
      <c r="D68" s="52">
        <v>3</v>
      </c>
      <c r="E68" s="52" t="s">
        <v>229</v>
      </c>
      <c r="F68" s="52" t="s">
        <v>365</v>
      </c>
      <c r="G68" s="55"/>
    </row>
    <row r="69" spans="1:7" ht="16.5" x14ac:dyDescent="0.25">
      <c r="A69" s="52">
        <f>IF(C69&lt;&gt;"", SUBTOTAL(3, $C$2:C69), "")</f>
        <v>68</v>
      </c>
      <c r="B69" s="55" t="s">
        <v>17</v>
      </c>
      <c r="C69" s="52" t="s">
        <v>163</v>
      </c>
      <c r="D69" s="52">
        <v>4</v>
      </c>
      <c r="E69" s="52" t="s">
        <v>229</v>
      </c>
      <c r="F69" s="52" t="s">
        <v>365</v>
      </c>
      <c r="G69" s="55"/>
    </row>
    <row r="70" spans="1:7" ht="16.5" x14ac:dyDescent="0.25">
      <c r="A70" s="52">
        <f>IF(C70&lt;&gt;"", SUBTOTAL(3, $C$2:C70), "")</f>
        <v>69</v>
      </c>
      <c r="B70" s="55" t="s">
        <v>18</v>
      </c>
      <c r="C70" s="52" t="s">
        <v>163</v>
      </c>
      <c r="D70" s="52">
        <v>4</v>
      </c>
      <c r="E70" s="52" t="s">
        <v>229</v>
      </c>
      <c r="F70" s="52" t="s">
        <v>365</v>
      </c>
      <c r="G70" s="55"/>
    </row>
    <row r="71" spans="1:7" ht="16.5" x14ac:dyDescent="0.25">
      <c r="A71" s="52">
        <f>IF(C71&lt;&gt;"", SUBTOTAL(3, $C$2:C71), "")</f>
        <v>70</v>
      </c>
      <c r="B71" s="55" t="s">
        <v>22</v>
      </c>
      <c r="C71" s="52" t="s">
        <v>163</v>
      </c>
      <c r="D71" s="52">
        <v>3</v>
      </c>
      <c r="E71" s="52" t="s">
        <v>229</v>
      </c>
      <c r="F71" s="52" t="s">
        <v>351</v>
      </c>
      <c r="G71" s="55"/>
    </row>
    <row r="72" spans="1:7" ht="16.5" x14ac:dyDescent="0.25">
      <c r="A72" s="52">
        <f>IF(C72&lt;&gt;"", SUBTOTAL(3, $C$2:C72), "")</f>
        <v>71</v>
      </c>
      <c r="B72" s="55" t="s">
        <v>30</v>
      </c>
      <c r="C72" s="52" t="s">
        <v>163</v>
      </c>
      <c r="D72" s="52">
        <v>1</v>
      </c>
      <c r="E72" s="52" t="s">
        <v>229</v>
      </c>
      <c r="F72" s="52" t="s">
        <v>341</v>
      </c>
      <c r="G72" s="55"/>
    </row>
    <row r="73" spans="1:7" ht="16.5" x14ac:dyDescent="0.25">
      <c r="A73" s="52">
        <f>IF(C73&lt;&gt;"", SUBTOTAL(3, $C$2:C73), "")</f>
        <v>72</v>
      </c>
      <c r="B73" s="55" t="s">
        <v>454</v>
      </c>
      <c r="C73" s="52" t="s">
        <v>163</v>
      </c>
      <c r="D73" s="52">
        <v>2</v>
      </c>
      <c r="E73" s="52" t="s">
        <v>229</v>
      </c>
      <c r="F73" s="52" t="s">
        <v>341</v>
      </c>
      <c r="G73" s="55"/>
    </row>
    <row r="74" spans="1:7" ht="16.5" x14ac:dyDescent="0.25">
      <c r="A74" s="52">
        <f>IF(C74&lt;&gt;"", SUBTOTAL(3, $C$2:C74), "")</f>
        <v>73</v>
      </c>
      <c r="B74" s="55" t="s">
        <v>32</v>
      </c>
      <c r="C74" s="52" t="s">
        <v>163</v>
      </c>
      <c r="D74" s="52">
        <v>1</v>
      </c>
      <c r="E74" s="52" t="s">
        <v>229</v>
      </c>
      <c r="F74" s="52" t="s">
        <v>341</v>
      </c>
      <c r="G74" s="55"/>
    </row>
    <row r="75" spans="1:7" ht="16.5" x14ac:dyDescent="0.25">
      <c r="A75" s="52">
        <f>IF(C75&lt;&gt;"", SUBTOTAL(3, $C$2:C75), "")</f>
        <v>74</v>
      </c>
      <c r="B75" s="55" t="s">
        <v>449</v>
      </c>
      <c r="C75" s="52" t="s">
        <v>163</v>
      </c>
      <c r="D75" s="52">
        <v>1</v>
      </c>
      <c r="E75" s="52" t="s">
        <v>229</v>
      </c>
      <c r="F75" s="52" t="s">
        <v>341</v>
      </c>
      <c r="G75" s="55"/>
    </row>
    <row r="76" spans="1:7" ht="16.5" x14ac:dyDescent="0.25">
      <c r="A76" s="52">
        <f>IF(C76&lt;&gt;"", SUBTOTAL(3, $C$2:C76), "")</f>
        <v>75</v>
      </c>
      <c r="B76" s="55" t="s">
        <v>456</v>
      </c>
      <c r="C76" s="52" t="s">
        <v>163</v>
      </c>
      <c r="D76" s="52">
        <v>3</v>
      </c>
      <c r="E76" s="52" t="s">
        <v>229</v>
      </c>
      <c r="F76" s="52" t="s">
        <v>341</v>
      </c>
      <c r="G76" s="55"/>
    </row>
    <row r="77" spans="1:7" ht="16.5" x14ac:dyDescent="0.25">
      <c r="A77" s="52">
        <f>IF(C77&lt;&gt;"", SUBTOTAL(3, $C$2:C77), "")</f>
        <v>76</v>
      </c>
      <c r="B77" s="55" t="s">
        <v>177</v>
      </c>
      <c r="C77" s="52" t="s">
        <v>163</v>
      </c>
      <c r="D77" s="52">
        <v>1</v>
      </c>
      <c r="E77" s="52" t="s">
        <v>229</v>
      </c>
      <c r="F77" s="52" t="s">
        <v>341</v>
      </c>
      <c r="G77" s="55"/>
    </row>
    <row r="78" spans="1:7" ht="16.5" x14ac:dyDescent="0.25">
      <c r="A78" s="52">
        <f>IF(C78&lt;&gt;"", SUBTOTAL(3, $C$2:C78), "")</f>
        <v>77</v>
      </c>
      <c r="B78" s="55" t="s">
        <v>40</v>
      </c>
      <c r="C78" s="52" t="s">
        <v>163</v>
      </c>
      <c r="D78" s="52">
        <v>6</v>
      </c>
      <c r="E78" s="52" t="s">
        <v>229</v>
      </c>
      <c r="F78" s="52" t="s">
        <v>341</v>
      </c>
      <c r="G78" s="55"/>
    </row>
    <row r="79" spans="1:7" ht="16.5" x14ac:dyDescent="0.25">
      <c r="A79" s="52">
        <f>IF(C79&lt;&gt;"", SUBTOTAL(3, $C$2:C79), "")</f>
        <v>78</v>
      </c>
      <c r="B79" s="55" t="s">
        <v>452</v>
      </c>
      <c r="C79" s="52" t="s">
        <v>163</v>
      </c>
      <c r="D79" s="52">
        <v>2</v>
      </c>
      <c r="E79" s="52" t="s">
        <v>229</v>
      </c>
      <c r="F79" s="52" t="s">
        <v>351</v>
      </c>
      <c r="G79" s="55"/>
    </row>
    <row r="80" spans="1:7" ht="16.5" x14ac:dyDescent="0.25">
      <c r="A80" s="52">
        <f>IF(C80&lt;&gt;"", SUBTOTAL(3, $C$2:C80), "")</f>
        <v>79</v>
      </c>
      <c r="B80" s="55" t="s">
        <v>448</v>
      </c>
      <c r="C80" s="52" t="s">
        <v>163</v>
      </c>
      <c r="D80" s="52">
        <v>1</v>
      </c>
      <c r="E80" s="52" t="s">
        <v>229</v>
      </c>
      <c r="F80" s="52" t="s">
        <v>341</v>
      </c>
      <c r="G80" s="55"/>
    </row>
    <row r="81" spans="1:7" ht="16.5" x14ac:dyDescent="0.25">
      <c r="A81" s="52">
        <f>IF(C81&lt;&gt;"", SUBTOTAL(3, $C$2:C81), "")</f>
        <v>80</v>
      </c>
      <c r="B81" s="100" t="s">
        <v>52</v>
      </c>
      <c r="C81" s="14" t="s">
        <v>163</v>
      </c>
      <c r="D81" s="52">
        <v>1</v>
      </c>
      <c r="E81" s="52" t="s">
        <v>229</v>
      </c>
      <c r="F81" s="52" t="s">
        <v>193</v>
      </c>
      <c r="G81" s="55"/>
    </row>
    <row r="82" spans="1:7" ht="16.5" x14ac:dyDescent="0.25">
      <c r="A82" s="52">
        <f>IF(C82&lt;&gt;"", SUBTOTAL(3, $C$2:C82), "")</f>
        <v>81</v>
      </c>
      <c r="B82" s="55" t="s">
        <v>61</v>
      </c>
      <c r="C82" s="52" t="s">
        <v>163</v>
      </c>
      <c r="D82" s="52">
        <v>1</v>
      </c>
      <c r="E82" s="52" t="s">
        <v>229</v>
      </c>
      <c r="F82" s="52" t="s">
        <v>341</v>
      </c>
      <c r="G82" s="55"/>
    </row>
    <row r="83" spans="1:7" ht="16.5" x14ac:dyDescent="0.25">
      <c r="A83" s="52">
        <f>IF(C83&lt;&gt;"", SUBTOTAL(3, $C$2:C83), "")</f>
        <v>82</v>
      </c>
      <c r="B83" s="55" t="s">
        <v>66</v>
      </c>
      <c r="C83" s="52" t="s">
        <v>163</v>
      </c>
      <c r="D83" s="52">
        <v>3</v>
      </c>
      <c r="E83" s="52" t="s">
        <v>229</v>
      </c>
      <c r="F83" s="52" t="s">
        <v>365</v>
      </c>
      <c r="G83" s="55"/>
    </row>
    <row r="84" spans="1:7" ht="16.5" x14ac:dyDescent="0.25">
      <c r="A84" s="52">
        <f>IF(C84&lt;&gt;"", SUBTOTAL(3, $C$2:C84), "")</f>
        <v>83</v>
      </c>
      <c r="B84" s="55" t="s">
        <v>74</v>
      </c>
      <c r="C84" s="52" t="s">
        <v>163</v>
      </c>
      <c r="D84" s="52">
        <v>1</v>
      </c>
      <c r="E84" s="52" t="s">
        <v>229</v>
      </c>
      <c r="F84" s="52" t="s">
        <v>341</v>
      </c>
      <c r="G84" s="55"/>
    </row>
    <row r="85" spans="1:7" ht="16.5" x14ac:dyDescent="0.25">
      <c r="A85" s="52">
        <f>IF(C85&lt;&gt;"", SUBTOTAL(3, $C$2:C85), "")</f>
        <v>84</v>
      </c>
      <c r="B85" s="100" t="s">
        <v>78</v>
      </c>
      <c r="C85" s="14" t="s">
        <v>163</v>
      </c>
      <c r="D85" s="52">
        <v>1</v>
      </c>
      <c r="E85" s="52" t="s">
        <v>229</v>
      </c>
      <c r="F85" s="52" t="s">
        <v>193</v>
      </c>
      <c r="G85" s="55"/>
    </row>
    <row r="86" spans="1:7" ht="16.5" x14ac:dyDescent="0.25">
      <c r="A86" s="52">
        <f>IF(C86&lt;&gt;"", SUBTOTAL(3, $C$2:C86), "")</f>
        <v>85</v>
      </c>
      <c r="B86" s="55" t="s">
        <v>79</v>
      </c>
      <c r="C86" s="52" t="s">
        <v>163</v>
      </c>
      <c r="D86" s="52">
        <v>1</v>
      </c>
      <c r="E86" s="52" t="s">
        <v>229</v>
      </c>
      <c r="F86" s="52" t="s">
        <v>341</v>
      </c>
      <c r="G86" s="55"/>
    </row>
    <row r="87" spans="1:7" ht="16.5" x14ac:dyDescent="0.25">
      <c r="A87" s="52">
        <f>IF(C87&lt;&gt;"", SUBTOTAL(3, $C$2:C87), "")</f>
        <v>86</v>
      </c>
      <c r="B87" s="55" t="s">
        <v>82</v>
      </c>
      <c r="C87" s="52" t="s">
        <v>163</v>
      </c>
      <c r="D87" s="52">
        <v>1</v>
      </c>
      <c r="E87" s="52" t="s">
        <v>229</v>
      </c>
      <c r="F87" s="52" t="s">
        <v>351</v>
      </c>
      <c r="G87" s="55"/>
    </row>
    <row r="88" spans="1:7" ht="16.5" x14ac:dyDescent="0.25">
      <c r="A88" s="52">
        <f>IF(C88&lt;&gt;"", SUBTOTAL(3, $C$2:C88), "")</f>
        <v>87</v>
      </c>
      <c r="B88" s="55" t="s">
        <v>83</v>
      </c>
      <c r="C88" s="52" t="s">
        <v>163</v>
      </c>
      <c r="D88" s="52">
        <v>3</v>
      </c>
      <c r="E88" s="52" t="s">
        <v>229</v>
      </c>
      <c r="F88" s="52" t="s">
        <v>341</v>
      </c>
      <c r="G88" s="55"/>
    </row>
    <row r="89" spans="1:7" ht="16.5" x14ac:dyDescent="0.25">
      <c r="A89" s="52">
        <f>IF(C89&lt;&gt;"", SUBTOTAL(3, $C$2:C89), "")</f>
        <v>88</v>
      </c>
      <c r="B89" s="100" t="s">
        <v>86</v>
      </c>
      <c r="C89" s="14" t="s">
        <v>163</v>
      </c>
      <c r="D89" s="52">
        <v>1</v>
      </c>
      <c r="E89" s="52" t="s">
        <v>229</v>
      </c>
      <c r="F89" s="52" t="s">
        <v>193</v>
      </c>
      <c r="G89" s="55"/>
    </row>
    <row r="90" spans="1:7" ht="16.5" x14ac:dyDescent="0.25">
      <c r="A90" s="52">
        <f>IF(C90&lt;&gt;"", SUBTOTAL(3, $C$2:C90), "")</f>
        <v>89</v>
      </c>
      <c r="B90" s="17" t="s">
        <v>90</v>
      </c>
      <c r="C90" s="14" t="s">
        <v>163</v>
      </c>
      <c r="D90" s="52">
        <v>1</v>
      </c>
      <c r="E90" s="52" t="s">
        <v>229</v>
      </c>
      <c r="F90" s="52" t="s">
        <v>193</v>
      </c>
      <c r="G90" s="55"/>
    </row>
    <row r="91" spans="1:7" ht="16.5" x14ac:dyDescent="0.25">
      <c r="A91" s="52">
        <f>IF(C91&lt;&gt;"", SUBTOTAL(3, $C$2:C91), "")</f>
        <v>90</v>
      </c>
      <c r="B91" s="55" t="s">
        <v>91</v>
      </c>
      <c r="C91" s="52" t="s">
        <v>163</v>
      </c>
      <c r="D91" s="52">
        <v>1</v>
      </c>
      <c r="E91" s="52" t="s">
        <v>229</v>
      </c>
      <c r="F91" s="52" t="s">
        <v>341</v>
      </c>
      <c r="G91" s="55"/>
    </row>
    <row r="92" spans="1:7" ht="16.5" x14ac:dyDescent="0.25">
      <c r="A92" s="52">
        <f>IF(C92&lt;&gt;"", SUBTOTAL(3, $C$2:C92), "")</f>
        <v>91</v>
      </c>
      <c r="B92" s="55" t="s">
        <v>455</v>
      </c>
      <c r="C92" s="52" t="s">
        <v>163</v>
      </c>
      <c r="D92" s="52">
        <v>2</v>
      </c>
      <c r="E92" s="52" t="s">
        <v>229</v>
      </c>
      <c r="F92" s="52" t="s">
        <v>341</v>
      </c>
      <c r="G92" s="55"/>
    </row>
    <row r="93" spans="1:7" ht="16.5" x14ac:dyDescent="0.25">
      <c r="A93" s="52">
        <f>IF(C93&lt;&gt;"", SUBTOTAL(3, $C$2:C93), "")</f>
        <v>92</v>
      </c>
      <c r="B93" s="55" t="s">
        <v>613</v>
      </c>
      <c r="C93" s="52" t="s">
        <v>163</v>
      </c>
      <c r="D93" s="52">
        <v>1</v>
      </c>
      <c r="E93" s="52" t="s">
        <v>229</v>
      </c>
      <c r="F93" s="52" t="s">
        <v>341</v>
      </c>
      <c r="G93" s="55"/>
    </row>
    <row r="94" spans="1:7" ht="16.5" x14ac:dyDescent="0.25">
      <c r="A94" s="52">
        <f>IF(C94&lt;&gt;"", SUBTOTAL(3, $C$2:C94), "")</f>
        <v>93</v>
      </c>
      <c r="B94" s="55" t="s">
        <v>450</v>
      </c>
      <c r="C94" s="52" t="s">
        <v>163</v>
      </c>
      <c r="D94" s="52">
        <v>2</v>
      </c>
      <c r="E94" s="52" t="s">
        <v>229</v>
      </c>
      <c r="F94" s="52" t="s">
        <v>351</v>
      </c>
      <c r="G94" s="55"/>
    </row>
    <row r="95" spans="1:7" ht="16.5" x14ac:dyDescent="0.25">
      <c r="A95" s="52">
        <f>IF(C95&lt;&gt;"", SUBTOTAL(3, $C$2:C95), "")</f>
        <v>94</v>
      </c>
      <c r="B95" s="55" t="s">
        <v>103</v>
      </c>
      <c r="C95" s="52" t="s">
        <v>163</v>
      </c>
      <c r="D95" s="52">
        <v>2</v>
      </c>
      <c r="E95" s="52" t="s">
        <v>229</v>
      </c>
      <c r="F95" s="52" t="s">
        <v>351</v>
      </c>
      <c r="G95" s="55"/>
    </row>
    <row r="96" spans="1:7" ht="16.5" x14ac:dyDescent="0.25">
      <c r="A96" s="52">
        <f>IF(C96&lt;&gt;"", SUBTOTAL(3, $C$2:C96), "")</f>
        <v>95</v>
      </c>
      <c r="B96" s="55" t="s">
        <v>453</v>
      </c>
      <c r="C96" s="52" t="s">
        <v>163</v>
      </c>
      <c r="D96" s="52">
        <v>2</v>
      </c>
      <c r="E96" s="52" t="s">
        <v>229</v>
      </c>
      <c r="F96" s="52" t="s">
        <v>351</v>
      </c>
      <c r="G96" s="55"/>
    </row>
    <row r="97" spans="1:7" ht="16.5" x14ac:dyDescent="0.25">
      <c r="A97" s="52">
        <f>IF(C97&lt;&gt;"", SUBTOTAL(3, $C$2:C97), "")</f>
        <v>96</v>
      </c>
      <c r="B97" s="17" t="s">
        <v>115</v>
      </c>
      <c r="C97" s="14" t="s">
        <v>163</v>
      </c>
      <c r="D97" s="52">
        <v>1</v>
      </c>
      <c r="E97" s="52" t="s">
        <v>229</v>
      </c>
      <c r="F97" s="52" t="s">
        <v>193</v>
      </c>
      <c r="G97" s="55"/>
    </row>
    <row r="98" spans="1:7" ht="16.5" x14ac:dyDescent="0.25">
      <c r="A98" s="52">
        <f>IF(C98&lt;&gt;"", SUBTOTAL(3, $C$2:C98), "")</f>
        <v>97</v>
      </c>
      <c r="B98" s="55" t="s">
        <v>120</v>
      </c>
      <c r="C98" s="52" t="s">
        <v>163</v>
      </c>
      <c r="D98" s="52">
        <v>1</v>
      </c>
      <c r="E98" s="52" t="s">
        <v>229</v>
      </c>
      <c r="F98" s="52" t="s">
        <v>341</v>
      </c>
      <c r="G98" s="55"/>
    </row>
    <row r="99" spans="1:7" ht="16.5" x14ac:dyDescent="0.25">
      <c r="A99" s="52">
        <f>IF(C99&lt;&gt;"", SUBTOTAL(3, $C$2:C99), "")</f>
        <v>98</v>
      </c>
      <c r="B99" s="55" t="s">
        <v>451</v>
      </c>
      <c r="C99" s="52" t="s">
        <v>163</v>
      </c>
      <c r="D99" s="52">
        <v>2</v>
      </c>
      <c r="E99" s="52" t="s">
        <v>229</v>
      </c>
      <c r="F99" s="52" t="s">
        <v>351</v>
      </c>
      <c r="G99" s="55"/>
    </row>
    <row r="100" spans="1:7" ht="16.5" x14ac:dyDescent="0.25">
      <c r="A100" s="52">
        <f>IF(C100&lt;&gt;"", SUBTOTAL(3, $C$2:C100), "")</f>
        <v>99</v>
      </c>
      <c r="B100" s="55" t="s">
        <v>130</v>
      </c>
      <c r="C100" s="52" t="s">
        <v>163</v>
      </c>
      <c r="D100" s="52">
        <v>4</v>
      </c>
      <c r="E100" s="52" t="s">
        <v>229</v>
      </c>
      <c r="F100" s="52" t="s">
        <v>351</v>
      </c>
      <c r="G100" s="55"/>
    </row>
    <row r="101" spans="1:7" ht="16.5" x14ac:dyDescent="0.25">
      <c r="A101" s="52">
        <f>IF(C101&lt;&gt;"", SUBTOTAL(3, $C$2:C101), "")</f>
        <v>100</v>
      </c>
      <c r="B101" s="55" t="s">
        <v>141</v>
      </c>
      <c r="C101" s="52" t="s">
        <v>163</v>
      </c>
      <c r="D101" s="52">
        <v>2</v>
      </c>
      <c r="E101" s="52" t="s">
        <v>229</v>
      </c>
      <c r="F101" s="52" t="s">
        <v>341</v>
      </c>
      <c r="G101" s="55"/>
    </row>
    <row r="102" spans="1:7" ht="16.5" x14ac:dyDescent="0.25">
      <c r="A102" s="52">
        <f>IF(C102&lt;&gt;"", SUBTOTAL(3, $C$2:C102), "")</f>
        <v>101</v>
      </c>
      <c r="B102" s="55" t="s">
        <v>178</v>
      </c>
      <c r="C102" s="52" t="s">
        <v>163</v>
      </c>
      <c r="D102" s="52">
        <v>3</v>
      </c>
      <c r="E102" s="52" t="s">
        <v>229</v>
      </c>
      <c r="F102" s="52" t="s">
        <v>365</v>
      </c>
      <c r="G102" s="55"/>
    </row>
    <row r="103" spans="1:7" ht="16.5" x14ac:dyDescent="0.25">
      <c r="A103" s="52">
        <f>IF(C103&lt;&gt;"", SUBTOTAL(3, $C$2:C103), "")</f>
        <v>102</v>
      </c>
      <c r="B103" s="55" t="s">
        <v>446</v>
      </c>
      <c r="C103" s="52" t="s">
        <v>163</v>
      </c>
      <c r="D103" s="52">
        <v>4</v>
      </c>
      <c r="E103" s="52" t="s">
        <v>229</v>
      </c>
      <c r="F103" s="52" t="s">
        <v>351</v>
      </c>
      <c r="G103" s="55"/>
    </row>
    <row r="104" spans="1:7" ht="16.5" x14ac:dyDescent="0.25">
      <c r="A104" s="52">
        <f>IF(C104&lt;&gt;"", SUBTOTAL(3, $C$2:C104), "")</f>
        <v>103</v>
      </c>
      <c r="B104" s="55" t="s">
        <v>179</v>
      </c>
      <c r="C104" s="52" t="s">
        <v>163</v>
      </c>
      <c r="D104" s="52">
        <v>1</v>
      </c>
      <c r="E104" s="52" t="s">
        <v>229</v>
      </c>
      <c r="F104" s="52" t="s">
        <v>341</v>
      </c>
      <c r="G104" s="55"/>
    </row>
    <row r="105" spans="1:7" ht="16.5" x14ac:dyDescent="0.25">
      <c r="A105" s="52">
        <f>IF(C105&lt;&gt;"", SUBTOTAL(3, $C$2:C105), "")</f>
        <v>104</v>
      </c>
      <c r="B105" s="19" t="s">
        <v>294</v>
      </c>
      <c r="C105" s="14" t="s">
        <v>285</v>
      </c>
      <c r="D105" s="52">
        <v>2</v>
      </c>
      <c r="E105" s="52" t="s">
        <v>229</v>
      </c>
      <c r="F105" s="52" t="s">
        <v>193</v>
      </c>
      <c r="G105" s="55"/>
    </row>
    <row r="106" spans="1:7" ht="16.5" x14ac:dyDescent="0.25">
      <c r="A106" s="52">
        <f>IF(C106&lt;&gt;"", SUBTOTAL(3, $C$2:C106), "")</f>
        <v>105</v>
      </c>
      <c r="B106" s="55" t="s">
        <v>462</v>
      </c>
      <c r="C106" s="52" t="s">
        <v>285</v>
      </c>
      <c r="D106" s="52">
        <v>1</v>
      </c>
      <c r="E106" s="52" t="s">
        <v>229</v>
      </c>
      <c r="F106" s="52" t="s">
        <v>351</v>
      </c>
      <c r="G106" s="55"/>
    </row>
    <row r="107" spans="1:7" ht="16.5" x14ac:dyDescent="0.25">
      <c r="A107" s="52">
        <f>IF(C107&lt;&gt;"", SUBTOTAL(3, $C$2:C107), "")</f>
        <v>106</v>
      </c>
      <c r="B107" s="19" t="s">
        <v>295</v>
      </c>
      <c r="C107" s="14" t="s">
        <v>285</v>
      </c>
      <c r="D107" s="52">
        <v>1</v>
      </c>
      <c r="E107" s="52" t="s">
        <v>215</v>
      </c>
      <c r="F107" s="52" t="s">
        <v>193</v>
      </c>
      <c r="G107" s="55"/>
    </row>
    <row r="108" spans="1:7" ht="16.5" x14ac:dyDescent="0.25">
      <c r="A108" s="52">
        <f>IF(C108&lt;&gt;"", SUBTOTAL(3, $C$2:C108), "")</f>
        <v>107</v>
      </c>
      <c r="B108" s="19" t="s">
        <v>291</v>
      </c>
      <c r="C108" s="14" t="s">
        <v>285</v>
      </c>
      <c r="D108" s="52">
        <v>3</v>
      </c>
      <c r="E108" s="52" t="s">
        <v>229</v>
      </c>
      <c r="F108" s="52" t="s">
        <v>193</v>
      </c>
      <c r="G108" s="55"/>
    </row>
    <row r="109" spans="1:7" ht="16.5" x14ac:dyDescent="0.25">
      <c r="A109" s="52">
        <f>IF(C109&lt;&gt;"", SUBTOTAL(3, $C$2:C109), "")</f>
        <v>108</v>
      </c>
      <c r="B109" s="55" t="s">
        <v>463</v>
      </c>
      <c r="C109" s="52" t="s">
        <v>285</v>
      </c>
      <c r="D109" s="52">
        <v>1</v>
      </c>
      <c r="E109" s="52" t="s">
        <v>229</v>
      </c>
      <c r="F109" s="52" t="s">
        <v>341</v>
      </c>
      <c r="G109" s="55"/>
    </row>
    <row r="110" spans="1:7" ht="16.5" x14ac:dyDescent="0.25">
      <c r="A110" s="52">
        <f>IF(C110&lt;&gt;"", SUBTOTAL(3, $C$2:C110), "")</f>
        <v>109</v>
      </c>
      <c r="B110" s="19" t="s">
        <v>292</v>
      </c>
      <c r="C110" s="14" t="s">
        <v>285</v>
      </c>
      <c r="D110" s="52">
        <v>1</v>
      </c>
      <c r="E110" s="52" t="s">
        <v>229</v>
      </c>
      <c r="F110" s="52" t="s">
        <v>193</v>
      </c>
      <c r="G110" s="55"/>
    </row>
    <row r="111" spans="1:7" ht="16.5" x14ac:dyDescent="0.25">
      <c r="A111" s="52">
        <f>IF(C111&lt;&gt;"", SUBTOTAL(3, $C$2:C111), "")</f>
        <v>110</v>
      </c>
      <c r="B111" s="19" t="s">
        <v>304</v>
      </c>
      <c r="C111" s="14" t="s">
        <v>285</v>
      </c>
      <c r="D111" s="52">
        <v>1</v>
      </c>
      <c r="E111" s="52" t="s">
        <v>215</v>
      </c>
      <c r="F111" s="52" t="s">
        <v>193</v>
      </c>
      <c r="G111" s="55"/>
    </row>
    <row r="112" spans="1:7" ht="16.5" x14ac:dyDescent="0.25">
      <c r="A112" s="52">
        <f>IF(C112&lt;&gt;"", SUBTOTAL(3, $C$2:C112), "")</f>
        <v>111</v>
      </c>
      <c r="B112" s="19" t="s">
        <v>289</v>
      </c>
      <c r="C112" s="14" t="s">
        <v>285</v>
      </c>
      <c r="D112" s="52">
        <v>1</v>
      </c>
      <c r="E112" s="52" t="s">
        <v>229</v>
      </c>
      <c r="F112" s="52" t="s">
        <v>193</v>
      </c>
      <c r="G112" s="55"/>
    </row>
    <row r="113" spans="1:7" ht="16.5" x14ac:dyDescent="0.25">
      <c r="A113" s="52">
        <f>IF(C113&lt;&gt;"", SUBTOTAL(3, $C$2:C113), "")</f>
        <v>112</v>
      </c>
      <c r="B113" s="19" t="s">
        <v>303</v>
      </c>
      <c r="C113" s="14" t="s">
        <v>285</v>
      </c>
      <c r="D113" s="52">
        <v>1</v>
      </c>
      <c r="E113" s="52" t="s">
        <v>215</v>
      </c>
      <c r="F113" s="52" t="s">
        <v>193</v>
      </c>
      <c r="G113" s="55"/>
    </row>
    <row r="114" spans="1:7" ht="16.5" x14ac:dyDescent="0.25">
      <c r="A114" s="52">
        <f>IF(C114&lt;&gt;"", SUBTOTAL(3, $C$2:C114), "")</f>
        <v>113</v>
      </c>
      <c r="B114" s="19" t="s">
        <v>300</v>
      </c>
      <c r="C114" s="14" t="s">
        <v>285</v>
      </c>
      <c r="D114" s="52">
        <v>1</v>
      </c>
      <c r="E114" s="52" t="s">
        <v>215</v>
      </c>
      <c r="F114" s="52" t="s">
        <v>193</v>
      </c>
      <c r="G114" s="55"/>
    </row>
    <row r="115" spans="1:7" ht="16.5" x14ac:dyDescent="0.25">
      <c r="A115" s="52">
        <f>IF(C115&lt;&gt;"", SUBTOTAL(3, $C$2:C115), "")</f>
        <v>114</v>
      </c>
      <c r="B115" s="19" t="s">
        <v>286</v>
      </c>
      <c r="C115" s="14" t="s">
        <v>285</v>
      </c>
      <c r="D115" s="52">
        <v>1</v>
      </c>
      <c r="E115" s="52" t="s">
        <v>229</v>
      </c>
      <c r="F115" s="52" t="s">
        <v>193</v>
      </c>
      <c r="G115" s="55"/>
    </row>
    <row r="116" spans="1:7" ht="16.5" x14ac:dyDescent="0.25">
      <c r="A116" s="52">
        <f>IF(C116&lt;&gt;"", SUBTOTAL(3, $C$2:C116), "")</f>
        <v>115</v>
      </c>
      <c r="B116" s="19" t="s">
        <v>298</v>
      </c>
      <c r="C116" s="14" t="s">
        <v>285</v>
      </c>
      <c r="D116" s="52">
        <v>1</v>
      </c>
      <c r="E116" s="52" t="s">
        <v>215</v>
      </c>
      <c r="F116" s="52" t="s">
        <v>193</v>
      </c>
      <c r="G116" s="55"/>
    </row>
    <row r="117" spans="1:7" ht="16.5" x14ac:dyDescent="0.25">
      <c r="A117" s="52">
        <f>IF(C117&lt;&gt;"", SUBTOTAL(3, $C$2:C117), "")</f>
        <v>116</v>
      </c>
      <c r="B117" s="19" t="s">
        <v>305</v>
      </c>
      <c r="C117" s="14" t="s">
        <v>285</v>
      </c>
      <c r="D117" s="52">
        <v>1</v>
      </c>
      <c r="E117" s="52" t="s">
        <v>215</v>
      </c>
      <c r="F117" s="52" t="s">
        <v>193</v>
      </c>
      <c r="G117" s="55"/>
    </row>
    <row r="118" spans="1:7" ht="16.5" x14ac:dyDescent="0.25">
      <c r="A118" s="52">
        <f>IF(C118&lt;&gt;"", SUBTOTAL(3, $C$2:C118), "")</f>
        <v>117</v>
      </c>
      <c r="B118" s="19" t="s">
        <v>86</v>
      </c>
      <c r="C118" s="14" t="s">
        <v>285</v>
      </c>
      <c r="D118" s="52">
        <v>1</v>
      </c>
      <c r="E118" s="52" t="s">
        <v>215</v>
      </c>
      <c r="F118" s="52" t="s">
        <v>193</v>
      </c>
      <c r="G118" s="55"/>
    </row>
    <row r="119" spans="1:7" ht="16.5" x14ac:dyDescent="0.25">
      <c r="A119" s="52">
        <f>IF(C119&lt;&gt;"", SUBTOTAL(3, $C$2:C119), "")</f>
        <v>118</v>
      </c>
      <c r="B119" s="19" t="s">
        <v>297</v>
      </c>
      <c r="C119" s="14" t="s">
        <v>285</v>
      </c>
      <c r="D119" s="52">
        <v>1</v>
      </c>
      <c r="E119" s="52" t="s">
        <v>215</v>
      </c>
      <c r="F119" s="52" t="s">
        <v>193</v>
      </c>
      <c r="G119" s="55"/>
    </row>
    <row r="120" spans="1:7" ht="16.5" x14ac:dyDescent="0.25">
      <c r="A120" s="52">
        <f>IF(C120&lt;&gt;"", SUBTOTAL(3, $C$2:C120), "")</f>
        <v>119</v>
      </c>
      <c r="B120" s="19" t="s">
        <v>288</v>
      </c>
      <c r="C120" s="14" t="s">
        <v>285</v>
      </c>
      <c r="D120" s="52">
        <v>1</v>
      </c>
      <c r="E120" s="52" t="s">
        <v>229</v>
      </c>
      <c r="F120" s="52" t="s">
        <v>193</v>
      </c>
      <c r="G120" s="55"/>
    </row>
    <row r="121" spans="1:7" ht="16.5" x14ac:dyDescent="0.25">
      <c r="A121" s="52">
        <f>IF(C121&lt;&gt;"", SUBTOTAL(3, $C$2:C121), "")</f>
        <v>120</v>
      </c>
      <c r="B121" s="19" t="s">
        <v>244</v>
      </c>
      <c r="C121" s="14" t="s">
        <v>285</v>
      </c>
      <c r="D121" s="52">
        <v>2</v>
      </c>
      <c r="E121" s="52" t="s">
        <v>215</v>
      </c>
      <c r="F121" s="52" t="s">
        <v>193</v>
      </c>
      <c r="G121" s="55"/>
    </row>
    <row r="122" spans="1:7" ht="16.5" x14ac:dyDescent="0.25">
      <c r="A122" s="52">
        <f>IF(C122&lt;&gt;"", SUBTOTAL(3, $C$2:C122), "")</f>
        <v>121</v>
      </c>
      <c r="B122" s="55" t="s">
        <v>461</v>
      </c>
      <c r="C122" s="52" t="s">
        <v>285</v>
      </c>
      <c r="D122" s="52">
        <v>1</v>
      </c>
      <c r="E122" s="52" t="s">
        <v>229</v>
      </c>
      <c r="F122" s="52" t="s">
        <v>341</v>
      </c>
      <c r="G122" s="55"/>
    </row>
    <row r="123" spans="1:7" ht="16.5" x14ac:dyDescent="0.25">
      <c r="A123" s="52">
        <f>IF(C123&lt;&gt;"", SUBTOTAL(3, $C$2:C123), "")</f>
        <v>122</v>
      </c>
      <c r="B123" s="19" t="s">
        <v>302</v>
      </c>
      <c r="C123" s="14" t="s">
        <v>285</v>
      </c>
      <c r="D123" s="52">
        <v>1</v>
      </c>
      <c r="E123" s="52" t="s">
        <v>215</v>
      </c>
      <c r="F123" s="52" t="s">
        <v>193</v>
      </c>
      <c r="G123" s="55"/>
    </row>
    <row r="124" spans="1:7" ht="16.5" x14ac:dyDescent="0.25">
      <c r="A124" s="52">
        <f>IF(C124&lt;&gt;"", SUBTOTAL(3, $C$2:C124), "")</f>
        <v>123</v>
      </c>
      <c r="B124" s="19" t="s">
        <v>109</v>
      </c>
      <c r="C124" s="14" t="s">
        <v>285</v>
      </c>
      <c r="D124" s="52">
        <v>1</v>
      </c>
      <c r="E124" s="52" t="s">
        <v>229</v>
      </c>
      <c r="F124" s="52" t="s">
        <v>193</v>
      </c>
      <c r="G124" s="55"/>
    </row>
    <row r="125" spans="1:7" ht="16.5" x14ac:dyDescent="0.25">
      <c r="A125" s="52">
        <f>IF(C125&lt;&gt;"", SUBTOTAL(3, $C$2:C125), "")</f>
        <v>124</v>
      </c>
      <c r="B125" s="19" t="s">
        <v>290</v>
      </c>
      <c r="C125" s="14" t="s">
        <v>285</v>
      </c>
      <c r="D125" s="52">
        <v>1</v>
      </c>
      <c r="E125" s="52" t="s">
        <v>229</v>
      </c>
      <c r="F125" s="52" t="s">
        <v>193</v>
      </c>
      <c r="G125" s="55"/>
    </row>
    <row r="126" spans="1:7" ht="16.5" x14ac:dyDescent="0.25">
      <c r="A126" s="52">
        <f>IF(C126&lt;&gt;"", SUBTOTAL(3, $C$2:C126), "")</f>
        <v>125</v>
      </c>
      <c r="B126" s="55" t="s">
        <v>459</v>
      </c>
      <c r="C126" s="52" t="s">
        <v>285</v>
      </c>
      <c r="D126" s="52">
        <v>1</v>
      </c>
      <c r="E126" s="52" t="s">
        <v>229</v>
      </c>
      <c r="F126" s="52" t="s">
        <v>351</v>
      </c>
      <c r="G126" s="55"/>
    </row>
    <row r="127" spans="1:7" ht="16.5" x14ac:dyDescent="0.25">
      <c r="A127" s="52">
        <f>IF(C127&lt;&gt;"", SUBTOTAL(3, $C$2:C127), "")</f>
        <v>126</v>
      </c>
      <c r="B127" s="55" t="s">
        <v>460</v>
      </c>
      <c r="C127" s="52" t="s">
        <v>285</v>
      </c>
      <c r="D127" s="52">
        <v>2</v>
      </c>
      <c r="E127" s="52" t="s">
        <v>229</v>
      </c>
      <c r="F127" s="52" t="s">
        <v>351</v>
      </c>
      <c r="G127" s="55"/>
    </row>
    <row r="128" spans="1:7" ht="16.5" x14ac:dyDescent="0.25">
      <c r="A128" s="52">
        <f>IF(C128&lt;&gt;"", SUBTOTAL(3, $C$2:C128), "")</f>
        <v>127</v>
      </c>
      <c r="B128" s="19" t="s">
        <v>301</v>
      </c>
      <c r="C128" s="14" t="s">
        <v>285</v>
      </c>
      <c r="D128" s="52">
        <v>1</v>
      </c>
      <c r="E128" s="52" t="s">
        <v>215</v>
      </c>
      <c r="F128" s="52" t="s">
        <v>193</v>
      </c>
      <c r="G128" s="55"/>
    </row>
    <row r="129" spans="1:7" ht="16.5" x14ac:dyDescent="0.25">
      <c r="A129" s="52">
        <f>IF(C129&lt;&gt;"", SUBTOTAL(3, $C$2:C129), "")</f>
        <v>128</v>
      </c>
      <c r="B129" s="19" t="s">
        <v>296</v>
      </c>
      <c r="C129" s="14" t="s">
        <v>285</v>
      </c>
      <c r="D129" s="52">
        <v>1</v>
      </c>
      <c r="E129" s="52" t="s">
        <v>215</v>
      </c>
      <c r="F129" s="52" t="s">
        <v>193</v>
      </c>
      <c r="G129" s="55"/>
    </row>
    <row r="130" spans="1:7" ht="16.5" x14ac:dyDescent="0.25">
      <c r="A130" s="52">
        <f>IF(C130&lt;&gt;"", SUBTOTAL(3, $C$2:C130), "")</f>
        <v>129</v>
      </c>
      <c r="B130" s="19" t="s">
        <v>287</v>
      </c>
      <c r="C130" s="14" t="s">
        <v>285</v>
      </c>
      <c r="D130" s="52">
        <v>1</v>
      </c>
      <c r="E130" s="52" t="s">
        <v>229</v>
      </c>
      <c r="F130" s="52" t="s">
        <v>193</v>
      </c>
      <c r="G130" s="55"/>
    </row>
    <row r="131" spans="1:7" ht="16.5" x14ac:dyDescent="0.25">
      <c r="A131" s="52">
        <f>IF(C131&lt;&gt;"", SUBTOTAL(3, $C$2:C131), "")</f>
        <v>130</v>
      </c>
      <c r="B131" s="19" t="s">
        <v>293</v>
      </c>
      <c r="C131" s="14" t="s">
        <v>285</v>
      </c>
      <c r="D131" s="52">
        <v>2</v>
      </c>
      <c r="E131" s="52" t="s">
        <v>229</v>
      </c>
      <c r="F131" s="52" t="s">
        <v>193</v>
      </c>
      <c r="G131" s="55"/>
    </row>
    <row r="132" spans="1:7" ht="16.5" x14ac:dyDescent="0.25">
      <c r="A132" s="52">
        <f>IF(C132&lt;&gt;"", SUBTOTAL(3, $C$2:C132), "")</f>
        <v>131</v>
      </c>
      <c r="B132" s="19" t="s">
        <v>299</v>
      </c>
      <c r="C132" s="14" t="s">
        <v>285</v>
      </c>
      <c r="D132" s="52">
        <v>2</v>
      </c>
      <c r="E132" s="52" t="s">
        <v>215</v>
      </c>
      <c r="F132" s="52" t="s">
        <v>193</v>
      </c>
      <c r="G132" s="55"/>
    </row>
    <row r="133" spans="1:7" ht="16.5" x14ac:dyDescent="0.25">
      <c r="A133" s="52">
        <f>IF(C133&lt;&gt;"", SUBTOTAL(3, $C$2:C133), "")</f>
        <v>132</v>
      </c>
      <c r="B133" s="55" t="s">
        <v>458</v>
      </c>
      <c r="C133" s="52" t="s">
        <v>285</v>
      </c>
      <c r="D133" s="52">
        <v>1</v>
      </c>
      <c r="E133" s="52" t="s">
        <v>229</v>
      </c>
      <c r="F133" s="52" t="s">
        <v>351</v>
      </c>
      <c r="G133" s="55"/>
    </row>
    <row r="134" spans="1:7" ht="16.5" x14ac:dyDescent="0.25">
      <c r="A134" s="52">
        <f>IF(C134&lt;&gt;"", SUBTOTAL(3, $C$2:C134), "")</f>
        <v>133</v>
      </c>
      <c r="B134" s="55" t="s">
        <v>440</v>
      </c>
      <c r="C134" s="52" t="s">
        <v>171</v>
      </c>
      <c r="D134" s="52">
        <v>2</v>
      </c>
      <c r="E134" s="52" t="s">
        <v>229</v>
      </c>
      <c r="F134" s="52" t="s">
        <v>351</v>
      </c>
      <c r="G134" s="55"/>
    </row>
    <row r="135" spans="1:7" ht="16.5" x14ac:dyDescent="0.25">
      <c r="A135" s="52">
        <f>IF(C135&lt;&gt;"", SUBTOTAL(3, $C$2:C135), "")</f>
        <v>134</v>
      </c>
      <c r="B135" s="55" t="s">
        <v>438</v>
      </c>
      <c r="C135" s="52" t="s">
        <v>171</v>
      </c>
      <c r="D135" s="52">
        <v>2</v>
      </c>
      <c r="E135" s="52" t="s">
        <v>229</v>
      </c>
      <c r="F135" s="52" t="s">
        <v>351</v>
      </c>
      <c r="G135" s="55"/>
    </row>
    <row r="136" spans="1:7" ht="16.5" x14ac:dyDescent="0.25">
      <c r="A136" s="52">
        <f>IF(C136&lt;&gt;"", SUBTOTAL(3, $C$2:C136), "")</f>
        <v>135</v>
      </c>
      <c r="B136" s="55" t="s">
        <v>432</v>
      </c>
      <c r="C136" s="52" t="s">
        <v>171</v>
      </c>
      <c r="D136" s="52">
        <v>3</v>
      </c>
      <c r="E136" s="52" t="s">
        <v>229</v>
      </c>
      <c r="F136" s="52" t="s">
        <v>341</v>
      </c>
      <c r="G136" s="55"/>
    </row>
    <row r="137" spans="1:7" ht="16.5" x14ac:dyDescent="0.25">
      <c r="A137" s="52">
        <f>IF(C137&lt;&gt;"", SUBTOTAL(3, $C$2:C137), "")</f>
        <v>136</v>
      </c>
      <c r="B137" s="55" t="s">
        <v>433</v>
      </c>
      <c r="C137" s="52" t="s">
        <v>171</v>
      </c>
      <c r="D137" s="52">
        <v>3</v>
      </c>
      <c r="E137" s="52" t="s">
        <v>229</v>
      </c>
      <c r="F137" s="52" t="s">
        <v>365</v>
      </c>
      <c r="G137" s="55"/>
    </row>
    <row r="138" spans="1:7" ht="16.5" x14ac:dyDescent="0.25">
      <c r="A138" s="52">
        <f>IF(C138&lt;&gt;"", SUBTOTAL(3, $C$2:C138), "")</f>
        <v>137</v>
      </c>
      <c r="B138" s="55" t="s">
        <v>445</v>
      </c>
      <c r="C138" s="52" t="s">
        <v>171</v>
      </c>
      <c r="D138" s="52">
        <v>2</v>
      </c>
      <c r="E138" s="52" t="s">
        <v>229</v>
      </c>
      <c r="F138" s="52" t="s">
        <v>351</v>
      </c>
      <c r="G138" s="55"/>
    </row>
    <row r="139" spans="1:7" ht="16.5" x14ac:dyDescent="0.25">
      <c r="A139" s="52">
        <f>IF(C139&lt;&gt;"", SUBTOTAL(3, $C$2:C139), "")</f>
        <v>138</v>
      </c>
      <c r="B139" s="55" t="s">
        <v>23</v>
      </c>
      <c r="C139" s="52" t="s">
        <v>171</v>
      </c>
      <c r="D139" s="52">
        <v>2</v>
      </c>
      <c r="E139" s="52" t="s">
        <v>229</v>
      </c>
      <c r="F139" s="52" t="s">
        <v>341</v>
      </c>
      <c r="G139" s="55"/>
    </row>
    <row r="140" spans="1:7" ht="16.5" x14ac:dyDescent="0.25">
      <c r="A140" s="52">
        <f>IF(C140&lt;&gt;"", SUBTOTAL(3, $C$2:C140), "")</f>
        <v>139</v>
      </c>
      <c r="B140" s="55" t="s">
        <v>633</v>
      </c>
      <c r="C140" s="52" t="s">
        <v>171</v>
      </c>
      <c r="D140" s="52">
        <v>1</v>
      </c>
      <c r="E140" s="52" t="s">
        <v>229</v>
      </c>
      <c r="F140" s="52" t="s">
        <v>341</v>
      </c>
      <c r="G140" s="55"/>
    </row>
    <row r="141" spans="1:7" ht="16.5" x14ac:dyDescent="0.25">
      <c r="A141" s="52">
        <f>IF(C141&lt;&gt;"", SUBTOTAL(3, $C$2:C141), "")</f>
        <v>140</v>
      </c>
      <c r="B141" s="19" t="s">
        <v>25</v>
      </c>
      <c r="C141" s="14" t="s">
        <v>171</v>
      </c>
      <c r="D141" s="52">
        <v>1</v>
      </c>
      <c r="E141" s="52" t="s">
        <v>229</v>
      </c>
      <c r="F141" s="52" t="s">
        <v>193</v>
      </c>
      <c r="G141" s="55"/>
    </row>
    <row r="142" spans="1:7" ht="16.5" x14ac:dyDescent="0.25">
      <c r="A142" s="52">
        <f>IF(C142&lt;&gt;"", SUBTOTAL(3, $C$2:C142), "")</f>
        <v>141</v>
      </c>
      <c r="B142" s="55" t="s">
        <v>431</v>
      </c>
      <c r="C142" s="52" t="s">
        <v>171</v>
      </c>
      <c r="D142" s="52">
        <v>3</v>
      </c>
      <c r="E142" s="52" t="s">
        <v>229</v>
      </c>
      <c r="F142" s="52" t="s">
        <v>341</v>
      </c>
      <c r="G142" s="55"/>
    </row>
    <row r="143" spans="1:7" ht="16.5" x14ac:dyDescent="0.25">
      <c r="A143" s="52">
        <f>IF(C143&lt;&gt;"", SUBTOTAL(3, $C$2:C143), "")</f>
        <v>142</v>
      </c>
      <c r="B143" s="55" t="s">
        <v>435</v>
      </c>
      <c r="C143" s="52" t="s">
        <v>171</v>
      </c>
      <c r="D143" s="52">
        <v>4</v>
      </c>
      <c r="E143" s="52" t="s">
        <v>229</v>
      </c>
      <c r="F143" s="52" t="s">
        <v>341</v>
      </c>
      <c r="G143" s="55"/>
    </row>
    <row r="144" spans="1:7" ht="16.5" x14ac:dyDescent="0.25">
      <c r="A144" s="52">
        <f>IF(C144&lt;&gt;"", SUBTOTAL(3, $C$2:C144), "")</f>
        <v>143</v>
      </c>
      <c r="B144" s="55" t="s">
        <v>430</v>
      </c>
      <c r="C144" s="52" t="s">
        <v>171</v>
      </c>
      <c r="D144" s="52">
        <v>1</v>
      </c>
      <c r="E144" s="52" t="s">
        <v>229</v>
      </c>
      <c r="F144" s="52" t="s">
        <v>229</v>
      </c>
      <c r="G144" s="55"/>
    </row>
    <row r="145" spans="1:7" ht="16.5" x14ac:dyDescent="0.25">
      <c r="A145" s="52">
        <f>IF(C145&lt;&gt;"", SUBTOTAL(3, $C$2:C145), "")</f>
        <v>144</v>
      </c>
      <c r="B145" s="55" t="s">
        <v>264</v>
      </c>
      <c r="C145" s="52" t="s">
        <v>171</v>
      </c>
      <c r="D145" s="52">
        <v>1</v>
      </c>
      <c r="E145" s="52" t="s">
        <v>229</v>
      </c>
      <c r="F145" s="52" t="s">
        <v>341</v>
      </c>
      <c r="G145" s="55"/>
    </row>
    <row r="146" spans="1:7" ht="16.5" x14ac:dyDescent="0.25">
      <c r="A146" s="52">
        <f>IF(C146&lt;&gt;"", SUBTOTAL(3, $C$2:C146), "")</f>
        <v>145</v>
      </c>
      <c r="B146" s="55" t="s">
        <v>434</v>
      </c>
      <c r="C146" s="52" t="s">
        <v>171</v>
      </c>
      <c r="D146" s="52">
        <v>2</v>
      </c>
      <c r="E146" s="52" t="s">
        <v>229</v>
      </c>
      <c r="F146" s="52" t="s">
        <v>365</v>
      </c>
      <c r="G146" s="55"/>
    </row>
    <row r="147" spans="1:7" ht="16.5" x14ac:dyDescent="0.25">
      <c r="A147" s="52">
        <f>IF(C147&lt;&gt;"", SUBTOTAL(3, $C$2:C147), "")</f>
        <v>146</v>
      </c>
      <c r="B147" s="55" t="s">
        <v>444</v>
      </c>
      <c r="C147" s="52" t="s">
        <v>171</v>
      </c>
      <c r="D147" s="52">
        <v>1</v>
      </c>
      <c r="E147" s="52" t="s">
        <v>229</v>
      </c>
      <c r="F147" s="52" t="s">
        <v>351</v>
      </c>
      <c r="G147" s="55"/>
    </row>
    <row r="148" spans="1:7" ht="16.5" x14ac:dyDescent="0.25">
      <c r="A148" s="52">
        <f>IF(C148&lt;&gt;"", SUBTOTAL(3, $C$2:C148), "")</f>
        <v>147</v>
      </c>
      <c r="B148" s="55" t="s">
        <v>172</v>
      </c>
      <c r="C148" s="52" t="s">
        <v>171</v>
      </c>
      <c r="D148" s="52">
        <v>1</v>
      </c>
      <c r="E148" s="52" t="s">
        <v>229</v>
      </c>
      <c r="F148" s="52" t="s">
        <v>341</v>
      </c>
      <c r="G148" s="55"/>
    </row>
    <row r="149" spans="1:7" ht="16.5" x14ac:dyDescent="0.25">
      <c r="A149" s="52">
        <f>IF(C149&lt;&gt;"", SUBTOTAL(3, $C$2:C149), "")</f>
        <v>148</v>
      </c>
      <c r="B149" s="55" t="s">
        <v>65</v>
      </c>
      <c r="C149" s="52" t="s">
        <v>171</v>
      </c>
      <c r="D149" s="52">
        <v>4</v>
      </c>
      <c r="E149" s="52" t="s">
        <v>229</v>
      </c>
      <c r="F149" s="52" t="s">
        <v>341</v>
      </c>
      <c r="G149" s="55"/>
    </row>
    <row r="150" spans="1:7" ht="16.5" x14ac:dyDescent="0.25">
      <c r="A150" s="52">
        <f>IF(C150&lt;&gt;"", SUBTOTAL(3, $C$2:C150), "")</f>
        <v>149</v>
      </c>
      <c r="B150" s="55" t="s">
        <v>65</v>
      </c>
      <c r="C150" s="52" t="s">
        <v>171</v>
      </c>
      <c r="D150" s="52">
        <v>2</v>
      </c>
      <c r="E150" s="52" t="s">
        <v>229</v>
      </c>
      <c r="F150" s="52" t="s">
        <v>341</v>
      </c>
      <c r="G150" s="55"/>
    </row>
    <row r="151" spans="1:7" ht="16.5" x14ac:dyDescent="0.25">
      <c r="A151" s="52">
        <f>IF(C151&lt;&gt;"", SUBTOTAL(3, $C$2:C151), "")</f>
        <v>150</v>
      </c>
      <c r="B151" s="55" t="s">
        <v>298</v>
      </c>
      <c r="C151" s="52" t="s">
        <v>171</v>
      </c>
      <c r="D151" s="52">
        <v>2</v>
      </c>
      <c r="E151" s="52" t="s">
        <v>229</v>
      </c>
      <c r="F151" s="52" t="s">
        <v>229</v>
      </c>
      <c r="G151" s="55"/>
    </row>
    <row r="152" spans="1:7" ht="16.5" x14ac:dyDescent="0.25">
      <c r="A152" s="52">
        <f>IF(C152&lt;&gt;"", SUBTOTAL(3, $C$2:C152), "")</f>
        <v>151</v>
      </c>
      <c r="B152" s="55" t="s">
        <v>442</v>
      </c>
      <c r="C152" s="52" t="s">
        <v>171</v>
      </c>
      <c r="D152" s="52">
        <v>3</v>
      </c>
      <c r="E152" s="52" t="s">
        <v>229</v>
      </c>
      <c r="F152" s="52" t="s">
        <v>351</v>
      </c>
      <c r="G152" s="55"/>
    </row>
    <row r="153" spans="1:7" ht="16.5" x14ac:dyDescent="0.25">
      <c r="A153" s="52">
        <f>IF(C153&lt;&gt;"", SUBTOTAL(3, $C$2:C153), "")</f>
        <v>152</v>
      </c>
      <c r="B153" s="55" t="s">
        <v>429</v>
      </c>
      <c r="C153" s="52" t="s">
        <v>171</v>
      </c>
      <c r="D153" s="52">
        <v>1</v>
      </c>
      <c r="E153" s="52" t="s">
        <v>229</v>
      </c>
      <c r="F153" s="52" t="s">
        <v>341</v>
      </c>
      <c r="G153" s="55"/>
    </row>
    <row r="154" spans="1:7" ht="16.5" x14ac:dyDescent="0.25">
      <c r="A154" s="52">
        <f>IF(C154&lt;&gt;"", SUBTOTAL(3, $C$2:C154), "")</f>
        <v>153</v>
      </c>
      <c r="B154" s="55" t="s">
        <v>441</v>
      </c>
      <c r="C154" s="52" t="s">
        <v>171</v>
      </c>
      <c r="D154" s="52">
        <v>2</v>
      </c>
      <c r="E154" s="52" t="s">
        <v>229</v>
      </c>
      <c r="F154" s="52" t="s">
        <v>351</v>
      </c>
      <c r="G154" s="55"/>
    </row>
    <row r="155" spans="1:7" ht="16.5" x14ac:dyDescent="0.25">
      <c r="A155" s="52">
        <f>IF(C155&lt;&gt;"", SUBTOTAL(3, $C$2:C155), "")</f>
        <v>154</v>
      </c>
      <c r="B155" s="55" t="s">
        <v>443</v>
      </c>
      <c r="C155" s="52" t="s">
        <v>171</v>
      </c>
      <c r="D155" s="52">
        <v>3</v>
      </c>
      <c r="E155" s="52" t="s">
        <v>229</v>
      </c>
      <c r="F155" s="52" t="s">
        <v>351</v>
      </c>
      <c r="G155" s="55"/>
    </row>
    <row r="156" spans="1:7" ht="16.5" x14ac:dyDescent="0.25">
      <c r="A156" s="52">
        <f>IF(C156&lt;&gt;"", SUBTOTAL(3, $C$2:C156), "")</f>
        <v>155</v>
      </c>
      <c r="B156" s="55" t="s">
        <v>439</v>
      </c>
      <c r="C156" s="52" t="s">
        <v>171</v>
      </c>
      <c r="D156" s="52">
        <v>2</v>
      </c>
      <c r="E156" s="52" t="s">
        <v>229</v>
      </c>
      <c r="F156" s="52" t="s">
        <v>351</v>
      </c>
      <c r="G156" s="55"/>
    </row>
    <row r="157" spans="1:7" ht="16.5" x14ac:dyDescent="0.25">
      <c r="A157" s="52">
        <f>IF(C157&lt;&gt;"", SUBTOTAL(3, $C$2:C157), "")</f>
        <v>156</v>
      </c>
      <c r="B157" s="55" t="s">
        <v>436</v>
      </c>
      <c r="C157" s="52" t="s">
        <v>171</v>
      </c>
      <c r="D157" s="52">
        <v>2</v>
      </c>
      <c r="E157" s="52" t="s">
        <v>229</v>
      </c>
      <c r="F157" s="52" t="s">
        <v>341</v>
      </c>
      <c r="G157" s="55"/>
    </row>
    <row r="158" spans="1:7" ht="16.5" x14ac:dyDescent="0.25">
      <c r="A158" s="52">
        <f>IF(C158&lt;&gt;"", SUBTOTAL(3, $C$2:C158), "")</f>
        <v>157</v>
      </c>
      <c r="B158" s="55" t="s">
        <v>437</v>
      </c>
      <c r="C158" s="52" t="s">
        <v>171</v>
      </c>
      <c r="D158" s="52">
        <v>2</v>
      </c>
      <c r="E158" s="52" t="s">
        <v>229</v>
      </c>
      <c r="F158" s="52" t="s">
        <v>365</v>
      </c>
      <c r="G158" s="55"/>
    </row>
    <row r="159" spans="1:7" ht="16.5" x14ac:dyDescent="0.25">
      <c r="A159" s="52">
        <f>IF(C159&lt;&gt;"", SUBTOTAL(3, $C$2:C159), "")</f>
        <v>158</v>
      </c>
      <c r="B159" s="55" t="s">
        <v>423</v>
      </c>
      <c r="C159" s="52" t="s">
        <v>307</v>
      </c>
      <c r="D159" s="52">
        <v>1</v>
      </c>
      <c r="E159" s="52" t="s">
        <v>194</v>
      </c>
      <c r="F159" s="52" t="s">
        <v>341</v>
      </c>
      <c r="G159" s="55"/>
    </row>
    <row r="160" spans="1:7" ht="16.5" x14ac:dyDescent="0.25">
      <c r="A160" s="52">
        <f>IF(C160&lt;&gt;"", SUBTOTAL(3, $C$2:C160), "")</f>
        <v>159</v>
      </c>
      <c r="B160" s="55" t="s">
        <v>424</v>
      </c>
      <c r="C160" s="52" t="s">
        <v>307</v>
      </c>
      <c r="D160" s="52">
        <v>1</v>
      </c>
      <c r="E160" s="52" t="s">
        <v>194</v>
      </c>
      <c r="F160" s="52" t="s">
        <v>341</v>
      </c>
      <c r="G160" s="55"/>
    </row>
    <row r="161" spans="1:7" ht="16.5" x14ac:dyDescent="0.25">
      <c r="A161" s="52">
        <f>IF(C161&lt;&gt;"", SUBTOTAL(3, $C$2:C161), "")</f>
        <v>160</v>
      </c>
      <c r="B161" s="19" t="s">
        <v>312</v>
      </c>
      <c r="C161" s="14" t="s">
        <v>307</v>
      </c>
      <c r="D161" s="52">
        <v>1</v>
      </c>
      <c r="E161" s="52" t="s">
        <v>194</v>
      </c>
      <c r="F161" s="52" t="s">
        <v>193</v>
      </c>
      <c r="G161" s="55"/>
    </row>
    <row r="162" spans="1:7" ht="16.5" x14ac:dyDescent="0.25">
      <c r="A162" s="52">
        <f>IF(C162&lt;&gt;"", SUBTOTAL(3, $C$2:C162), "")</f>
        <v>161</v>
      </c>
      <c r="B162" s="19" t="s">
        <v>308</v>
      </c>
      <c r="C162" s="14" t="s">
        <v>307</v>
      </c>
      <c r="D162" s="52">
        <v>1</v>
      </c>
      <c r="E162" s="52" t="s">
        <v>194</v>
      </c>
      <c r="F162" s="52" t="s">
        <v>193</v>
      </c>
      <c r="G162" s="55"/>
    </row>
    <row r="163" spans="1:7" ht="16.5" x14ac:dyDescent="0.25">
      <c r="A163" s="52">
        <f>IF(C163&lt;&gt;"", SUBTOTAL(3, $C$2:C163), "")</f>
        <v>162</v>
      </c>
      <c r="B163" s="19" t="s">
        <v>311</v>
      </c>
      <c r="C163" s="14" t="s">
        <v>307</v>
      </c>
      <c r="D163" s="52">
        <v>1</v>
      </c>
      <c r="E163" s="52" t="s">
        <v>194</v>
      </c>
      <c r="F163" s="52" t="s">
        <v>193</v>
      </c>
      <c r="G163" s="55"/>
    </row>
    <row r="164" spans="1:7" ht="16.5" x14ac:dyDescent="0.25">
      <c r="A164" s="52">
        <f>IF(C164&lt;&gt;"", SUBTOTAL(3, $C$2:C164), "")</f>
        <v>163</v>
      </c>
      <c r="B164" s="19" t="s">
        <v>63</v>
      </c>
      <c r="C164" s="14" t="s">
        <v>307</v>
      </c>
      <c r="D164" s="52">
        <v>1</v>
      </c>
      <c r="E164" s="52" t="s">
        <v>194</v>
      </c>
      <c r="F164" s="52" t="s">
        <v>193</v>
      </c>
      <c r="G164" s="55"/>
    </row>
    <row r="165" spans="1:7" ht="16.5" x14ac:dyDescent="0.25">
      <c r="A165" s="52">
        <f>IF(C165&lt;&gt;"", SUBTOTAL(3, $C$2:C165), "")</f>
        <v>164</v>
      </c>
      <c r="B165" s="19" t="s">
        <v>316</v>
      </c>
      <c r="C165" s="14" t="s">
        <v>307</v>
      </c>
      <c r="D165" s="52">
        <v>1</v>
      </c>
      <c r="E165" s="52" t="s">
        <v>194</v>
      </c>
      <c r="F165" s="52" t="s">
        <v>193</v>
      </c>
      <c r="G165" s="55"/>
    </row>
    <row r="166" spans="1:7" ht="16.5" x14ac:dyDescent="0.25">
      <c r="A166" s="52">
        <f>IF(C166&lt;&gt;"", SUBTOTAL(3, $C$2:C166), "")</f>
        <v>165</v>
      </c>
      <c r="B166" s="19" t="s">
        <v>318</v>
      </c>
      <c r="C166" s="14" t="s">
        <v>307</v>
      </c>
      <c r="D166" s="52">
        <v>1</v>
      </c>
      <c r="E166" s="52" t="s">
        <v>229</v>
      </c>
      <c r="F166" s="52" t="s">
        <v>193</v>
      </c>
      <c r="G166" s="55"/>
    </row>
    <row r="167" spans="1:7" ht="16.5" x14ac:dyDescent="0.25">
      <c r="A167" s="52">
        <f>IF(C167&lt;&gt;"", SUBTOTAL(3, $C$2:C167), "")</f>
        <v>166</v>
      </c>
      <c r="B167" s="19" t="s">
        <v>319</v>
      </c>
      <c r="C167" s="14" t="s">
        <v>307</v>
      </c>
      <c r="D167" s="52">
        <v>1</v>
      </c>
      <c r="E167" s="52" t="s">
        <v>229</v>
      </c>
      <c r="F167" s="52" t="s">
        <v>193</v>
      </c>
      <c r="G167" s="55"/>
    </row>
    <row r="168" spans="1:7" ht="16.5" x14ac:dyDescent="0.25">
      <c r="A168" s="52">
        <f>IF(C168&lt;&gt;"", SUBTOTAL(3, $C$2:C168), "")</f>
        <v>167</v>
      </c>
      <c r="B168" s="19" t="s">
        <v>77</v>
      </c>
      <c r="C168" s="14" t="s">
        <v>307</v>
      </c>
      <c r="D168" s="52">
        <v>1</v>
      </c>
      <c r="E168" s="52" t="s">
        <v>229</v>
      </c>
      <c r="F168" s="52" t="s">
        <v>193</v>
      </c>
      <c r="G168" s="55"/>
    </row>
    <row r="169" spans="1:7" ht="16.5" x14ac:dyDescent="0.25">
      <c r="A169" s="52">
        <f>IF(C169&lt;&gt;"", SUBTOTAL(3, $C$2:C169), "")</f>
        <v>168</v>
      </c>
      <c r="B169" s="19" t="s">
        <v>313</v>
      </c>
      <c r="C169" s="14" t="s">
        <v>307</v>
      </c>
      <c r="D169" s="52">
        <v>1</v>
      </c>
      <c r="E169" s="52" t="s">
        <v>194</v>
      </c>
      <c r="F169" s="52" t="s">
        <v>193</v>
      </c>
      <c r="G169" s="55"/>
    </row>
    <row r="170" spans="1:7" ht="16.5" x14ac:dyDescent="0.25">
      <c r="A170" s="52">
        <f>IF(C170&lt;&gt;"", SUBTOTAL(3, $C$2:C170), "")</f>
        <v>169</v>
      </c>
      <c r="B170" s="55" t="s">
        <v>96</v>
      </c>
      <c r="C170" s="52" t="s">
        <v>307</v>
      </c>
      <c r="D170" s="52">
        <v>1</v>
      </c>
      <c r="E170" s="52" t="s">
        <v>194</v>
      </c>
      <c r="F170" s="52" t="s">
        <v>341</v>
      </c>
      <c r="G170" s="55"/>
    </row>
    <row r="171" spans="1:7" ht="16.5" x14ac:dyDescent="0.25">
      <c r="A171" s="52">
        <f>IF(C171&lt;&gt;"", SUBTOTAL(3, $C$2:C171), "")</f>
        <v>170</v>
      </c>
      <c r="B171" s="19" t="s">
        <v>244</v>
      </c>
      <c r="C171" s="14" t="s">
        <v>307</v>
      </c>
      <c r="D171" s="52">
        <v>1</v>
      </c>
      <c r="E171" s="52" t="s">
        <v>194</v>
      </c>
      <c r="F171" s="52" t="s">
        <v>193</v>
      </c>
      <c r="G171" s="55"/>
    </row>
    <row r="172" spans="1:7" ht="16.5" x14ac:dyDescent="0.25">
      <c r="A172" s="52">
        <f>IF(C172&lt;&gt;"", SUBTOTAL(3, $C$2:C172), "")</f>
        <v>171</v>
      </c>
      <c r="B172" s="19" t="s">
        <v>320</v>
      </c>
      <c r="C172" s="14" t="s">
        <v>307</v>
      </c>
      <c r="D172" s="52">
        <v>1</v>
      </c>
      <c r="E172" s="52" t="s">
        <v>229</v>
      </c>
      <c r="F172" s="52" t="s">
        <v>193</v>
      </c>
      <c r="G172" s="55"/>
    </row>
    <row r="173" spans="1:7" ht="16.5" x14ac:dyDescent="0.25">
      <c r="A173" s="52">
        <f>IF(C173&lt;&gt;"", SUBTOTAL(3, $C$2:C173), "")</f>
        <v>172</v>
      </c>
      <c r="B173" s="19" t="s">
        <v>315</v>
      </c>
      <c r="C173" s="14" t="s">
        <v>307</v>
      </c>
      <c r="D173" s="52">
        <v>1</v>
      </c>
      <c r="E173" s="52" t="s">
        <v>194</v>
      </c>
      <c r="F173" s="52" t="s">
        <v>193</v>
      </c>
      <c r="G173" s="55"/>
    </row>
    <row r="174" spans="1:7" ht="16.5" x14ac:dyDescent="0.25">
      <c r="A174" s="52">
        <f>IF(C174&lt;&gt;"", SUBTOTAL(3, $C$2:C174), "")</f>
        <v>173</v>
      </c>
      <c r="B174" s="55" t="s">
        <v>428</v>
      </c>
      <c r="C174" s="52" t="s">
        <v>307</v>
      </c>
      <c r="D174" s="52">
        <v>2</v>
      </c>
      <c r="E174" s="52" t="s">
        <v>194</v>
      </c>
      <c r="F174" s="52" t="s">
        <v>341</v>
      </c>
      <c r="G174" s="55"/>
    </row>
    <row r="175" spans="1:7" ht="16.5" x14ac:dyDescent="0.25">
      <c r="A175" s="52">
        <f>IF(C175&lt;&gt;"", SUBTOTAL(3, $C$2:C175), "")</f>
        <v>174</v>
      </c>
      <c r="B175" s="55" t="s">
        <v>427</v>
      </c>
      <c r="C175" s="52" t="s">
        <v>307</v>
      </c>
      <c r="D175" s="52">
        <v>1</v>
      </c>
      <c r="E175" s="52" t="s">
        <v>229</v>
      </c>
      <c r="F175" s="52" t="s">
        <v>341</v>
      </c>
      <c r="G175" s="55"/>
    </row>
    <row r="176" spans="1:7" ht="16.5" x14ac:dyDescent="0.25">
      <c r="A176" s="52">
        <f>IF(C176&lt;&gt;"", SUBTOTAL(3, $C$2:C176), "")</f>
        <v>175</v>
      </c>
      <c r="B176" s="19" t="s">
        <v>314</v>
      </c>
      <c r="C176" s="14" t="s">
        <v>307</v>
      </c>
      <c r="D176" s="52">
        <v>1</v>
      </c>
      <c r="E176" s="52" t="s">
        <v>194</v>
      </c>
      <c r="F176" s="52" t="s">
        <v>193</v>
      </c>
      <c r="G176" s="55"/>
    </row>
    <row r="177" spans="1:7" ht="16.5" x14ac:dyDescent="0.25">
      <c r="A177" s="52">
        <f>IF(C177&lt;&gt;"", SUBTOTAL(3, $C$2:C177), "")</f>
        <v>176</v>
      </c>
      <c r="B177" s="19" t="s">
        <v>321</v>
      </c>
      <c r="C177" s="14" t="s">
        <v>307</v>
      </c>
      <c r="D177" s="52">
        <v>1</v>
      </c>
      <c r="E177" s="52" t="s">
        <v>229</v>
      </c>
      <c r="F177" s="52" t="s">
        <v>193</v>
      </c>
      <c r="G177" s="55"/>
    </row>
    <row r="178" spans="1:7" ht="16.5" x14ac:dyDescent="0.25">
      <c r="A178" s="52">
        <f>IF(C178&lt;&gt;"", SUBTOTAL(3, $C$2:C178), "")</f>
        <v>177</v>
      </c>
      <c r="B178" s="19" t="s">
        <v>322</v>
      </c>
      <c r="C178" s="14" t="s">
        <v>307</v>
      </c>
      <c r="D178" s="52">
        <v>1</v>
      </c>
      <c r="E178" s="52" t="s">
        <v>229</v>
      </c>
      <c r="F178" s="52" t="s">
        <v>193</v>
      </c>
      <c r="G178" s="55"/>
    </row>
    <row r="179" spans="1:7" ht="16.5" x14ac:dyDescent="0.25">
      <c r="A179" s="52">
        <f>IF(C179&lt;&gt;"", SUBTOTAL(3, $C$2:C179), "")</f>
        <v>178</v>
      </c>
      <c r="B179" s="55" t="s">
        <v>425</v>
      </c>
      <c r="C179" s="52" t="s">
        <v>307</v>
      </c>
      <c r="D179" s="52">
        <v>1</v>
      </c>
      <c r="E179" s="52" t="s">
        <v>194</v>
      </c>
      <c r="F179" s="52" t="s">
        <v>341</v>
      </c>
      <c r="G179" s="55"/>
    </row>
    <row r="180" spans="1:7" ht="16.5" x14ac:dyDescent="0.25">
      <c r="A180" s="52">
        <f>IF(C180&lt;&gt;"", SUBTOTAL(3, $C$2:C180), "")</f>
        <v>179</v>
      </c>
      <c r="B180" s="19" t="s">
        <v>317</v>
      </c>
      <c r="C180" s="14" t="s">
        <v>307</v>
      </c>
      <c r="D180" s="52">
        <v>1</v>
      </c>
      <c r="E180" s="52" t="s">
        <v>194</v>
      </c>
      <c r="F180" s="52" t="s">
        <v>193</v>
      </c>
      <c r="G180" s="55"/>
    </row>
    <row r="181" spans="1:7" ht="16.5" x14ac:dyDescent="0.25">
      <c r="A181" s="52">
        <f>IF(C181&lt;&gt;"", SUBTOTAL(3, $C$2:C181), "")</f>
        <v>180</v>
      </c>
      <c r="B181" s="19" t="s">
        <v>310</v>
      </c>
      <c r="C181" s="14" t="s">
        <v>307</v>
      </c>
      <c r="D181" s="52">
        <v>1</v>
      </c>
      <c r="E181" s="52" t="s">
        <v>194</v>
      </c>
      <c r="F181" s="52" t="s">
        <v>193</v>
      </c>
      <c r="G181" s="55"/>
    </row>
    <row r="182" spans="1:7" ht="16.5" x14ac:dyDescent="0.25">
      <c r="A182" s="52">
        <f>IF(C182&lt;&gt;"", SUBTOTAL(3, $C$2:C182), "")</f>
        <v>181</v>
      </c>
      <c r="B182" s="55" t="s">
        <v>426</v>
      </c>
      <c r="C182" s="52" t="s">
        <v>307</v>
      </c>
      <c r="D182" s="52">
        <v>1</v>
      </c>
      <c r="E182" s="52" t="s">
        <v>194</v>
      </c>
      <c r="F182" s="52" t="s">
        <v>365</v>
      </c>
      <c r="G182" s="55"/>
    </row>
    <row r="183" spans="1:7" ht="16.5" x14ac:dyDescent="0.25">
      <c r="A183" s="52">
        <f>IF(C183&lt;&gt;"", SUBTOTAL(3, $C$2:C183), "")</f>
        <v>182</v>
      </c>
      <c r="B183" s="19" t="s">
        <v>309</v>
      </c>
      <c r="C183" s="14" t="s">
        <v>307</v>
      </c>
      <c r="D183" s="52">
        <v>1</v>
      </c>
      <c r="E183" s="52" t="s">
        <v>194</v>
      </c>
      <c r="F183" s="52" t="s">
        <v>193</v>
      </c>
      <c r="G183" s="55"/>
    </row>
    <row r="184" spans="1:7" ht="16.5" x14ac:dyDescent="0.25">
      <c r="A184" s="52">
        <f>IF(C184&lt;&gt;"", SUBTOTAL(3, $C$2:C184), "")</f>
        <v>183</v>
      </c>
      <c r="B184" s="55" t="s">
        <v>378</v>
      </c>
      <c r="C184" s="52" t="s">
        <v>216</v>
      </c>
      <c r="D184" s="52">
        <v>1</v>
      </c>
      <c r="E184" s="52" t="s">
        <v>229</v>
      </c>
      <c r="F184" s="52" t="s">
        <v>351</v>
      </c>
      <c r="G184" s="55"/>
    </row>
    <row r="185" spans="1:7" ht="16.5" x14ac:dyDescent="0.25">
      <c r="A185" s="52">
        <f>IF(C185&lt;&gt;"", SUBTOTAL(3, $C$2:C185), "")</f>
        <v>184</v>
      </c>
      <c r="B185" s="55" t="s">
        <v>375</v>
      </c>
      <c r="C185" s="52" t="s">
        <v>216</v>
      </c>
      <c r="D185" s="52">
        <v>1</v>
      </c>
      <c r="E185" s="52" t="s">
        <v>229</v>
      </c>
      <c r="F185" s="52" t="s">
        <v>351</v>
      </c>
      <c r="G185" s="55"/>
    </row>
    <row r="186" spans="1:7" ht="16.5" x14ac:dyDescent="0.25">
      <c r="A186" s="52">
        <f>IF(C186&lt;&gt;"", SUBTOTAL(3, $C$2:C186), "")</f>
        <v>185</v>
      </c>
      <c r="B186" s="55" t="s">
        <v>15</v>
      </c>
      <c r="C186" s="52" t="s">
        <v>216</v>
      </c>
      <c r="D186" s="52">
        <v>2</v>
      </c>
      <c r="E186" s="52" t="s">
        <v>229</v>
      </c>
      <c r="F186" s="52" t="s">
        <v>351</v>
      </c>
      <c r="G186" s="55"/>
    </row>
    <row r="187" spans="1:7" ht="16.5" x14ac:dyDescent="0.25">
      <c r="A187" s="52">
        <f>IF(C187&lt;&gt;"", SUBTOTAL(3, $C$2:C187), "")</f>
        <v>186</v>
      </c>
      <c r="B187" s="54" t="s">
        <v>226</v>
      </c>
      <c r="C187" s="53" t="s">
        <v>216</v>
      </c>
      <c r="D187" s="52">
        <v>1</v>
      </c>
      <c r="E187" s="52" t="s">
        <v>215</v>
      </c>
      <c r="F187" s="52" t="s">
        <v>193</v>
      </c>
      <c r="G187" s="55"/>
    </row>
    <row r="188" spans="1:7" ht="16.5" x14ac:dyDescent="0.25">
      <c r="A188" s="52">
        <f>IF(C188&lt;&gt;"", SUBTOTAL(3, $C$2:C188), "")</f>
        <v>187</v>
      </c>
      <c r="B188" s="55" t="s">
        <v>240</v>
      </c>
      <c r="C188" s="52" t="s">
        <v>216</v>
      </c>
      <c r="D188" s="52">
        <v>1</v>
      </c>
      <c r="E188" s="52" t="s">
        <v>215</v>
      </c>
      <c r="F188" s="52" t="s">
        <v>193</v>
      </c>
      <c r="G188" s="55"/>
    </row>
    <row r="189" spans="1:7" ht="16.5" x14ac:dyDescent="0.25">
      <c r="A189" s="52">
        <f>IF(C189&lt;&gt;"", SUBTOTAL(3, $C$2:C189), "")</f>
        <v>188</v>
      </c>
      <c r="B189" s="55" t="s">
        <v>374</v>
      </c>
      <c r="C189" s="52" t="s">
        <v>216</v>
      </c>
      <c r="D189" s="52">
        <v>2</v>
      </c>
      <c r="E189" s="52" t="s">
        <v>229</v>
      </c>
      <c r="F189" s="52" t="s">
        <v>341</v>
      </c>
      <c r="G189" s="55"/>
    </row>
    <row r="190" spans="1:7" ht="16.5" x14ac:dyDescent="0.25">
      <c r="A190" s="52">
        <f>IF(C190&lt;&gt;"", SUBTOTAL(3, $C$2:C190), "")</f>
        <v>189</v>
      </c>
      <c r="B190" s="55" t="s">
        <v>380</v>
      </c>
      <c r="C190" s="52" t="s">
        <v>216</v>
      </c>
      <c r="D190" s="52">
        <v>1</v>
      </c>
      <c r="E190" s="52" t="s">
        <v>229</v>
      </c>
      <c r="F190" s="52" t="s">
        <v>343</v>
      </c>
      <c r="G190" s="55"/>
    </row>
    <row r="191" spans="1:7" ht="16.5" x14ac:dyDescent="0.25">
      <c r="A191" s="52">
        <f>IF(C191&lt;&gt;"", SUBTOTAL(3, $C$2:C191), "")</f>
        <v>190</v>
      </c>
      <c r="B191" s="55" t="s">
        <v>379</v>
      </c>
      <c r="C191" s="52" t="s">
        <v>216</v>
      </c>
      <c r="D191" s="52">
        <v>1</v>
      </c>
      <c r="E191" s="52" t="s">
        <v>229</v>
      </c>
      <c r="F191" s="52" t="s">
        <v>343</v>
      </c>
      <c r="G191" s="55"/>
    </row>
    <row r="192" spans="1:7" ht="16.5" x14ac:dyDescent="0.25">
      <c r="A192" s="52">
        <f>IF(C192&lt;&gt;"", SUBTOTAL(3, $C$2:C192), "")</f>
        <v>191</v>
      </c>
      <c r="B192" s="54" t="s">
        <v>220</v>
      </c>
      <c r="C192" s="53" t="s">
        <v>216</v>
      </c>
      <c r="D192" s="52">
        <v>1</v>
      </c>
      <c r="E192" s="52" t="s">
        <v>215</v>
      </c>
      <c r="F192" s="52" t="s">
        <v>193</v>
      </c>
      <c r="G192" s="55"/>
    </row>
    <row r="193" spans="1:7" ht="16.5" x14ac:dyDescent="0.25">
      <c r="A193" s="52">
        <f>IF(C193&lt;&gt;"", SUBTOTAL(3, $C$2:C193), "")</f>
        <v>192</v>
      </c>
      <c r="B193" s="55" t="s">
        <v>371</v>
      </c>
      <c r="C193" s="52" t="s">
        <v>216</v>
      </c>
      <c r="D193" s="52">
        <v>2</v>
      </c>
      <c r="E193" s="52" t="s">
        <v>229</v>
      </c>
      <c r="F193" s="52" t="s">
        <v>341</v>
      </c>
      <c r="G193" s="55"/>
    </row>
    <row r="194" spans="1:7" ht="16.5" x14ac:dyDescent="0.25">
      <c r="A194" s="52">
        <f>IF(C194&lt;&gt;"", SUBTOTAL(3, $C$2:C194), "")</f>
        <v>193</v>
      </c>
      <c r="B194" s="55" t="s">
        <v>376</v>
      </c>
      <c r="C194" s="52" t="s">
        <v>216</v>
      </c>
      <c r="D194" s="52">
        <v>1</v>
      </c>
      <c r="E194" s="52" t="s">
        <v>229</v>
      </c>
      <c r="F194" s="52" t="s">
        <v>351</v>
      </c>
      <c r="G194" s="55"/>
    </row>
    <row r="195" spans="1:7" ht="16.5" x14ac:dyDescent="0.25">
      <c r="A195" s="52">
        <f>IF(C195&lt;&gt;"", SUBTOTAL(3, $C$2:C195), "")</f>
        <v>194</v>
      </c>
      <c r="B195" s="56" t="s">
        <v>230</v>
      </c>
      <c r="C195" s="52" t="s">
        <v>216</v>
      </c>
      <c r="D195" s="52">
        <v>1</v>
      </c>
      <c r="E195" s="52" t="s">
        <v>229</v>
      </c>
      <c r="F195" s="52" t="s">
        <v>228</v>
      </c>
      <c r="G195" s="55"/>
    </row>
    <row r="196" spans="1:7" ht="16.5" x14ac:dyDescent="0.25">
      <c r="A196" s="52">
        <f>IF(C196&lt;&gt;"", SUBTOTAL(3, $C$2:C196), "")</f>
        <v>195</v>
      </c>
      <c r="B196" s="55" t="s">
        <v>38</v>
      </c>
      <c r="C196" s="52" t="s">
        <v>216</v>
      </c>
      <c r="D196" s="52">
        <v>1</v>
      </c>
      <c r="E196" s="52" t="s">
        <v>215</v>
      </c>
      <c r="F196" s="52" t="s">
        <v>193</v>
      </c>
      <c r="G196" s="55"/>
    </row>
    <row r="197" spans="1:7" ht="16.5" x14ac:dyDescent="0.25">
      <c r="A197" s="52">
        <f>IF(C197&lt;&gt;"", SUBTOTAL(3, $C$2:C197), "")</f>
        <v>196</v>
      </c>
      <c r="B197" s="55" t="s">
        <v>377</v>
      </c>
      <c r="C197" s="52" t="s">
        <v>216</v>
      </c>
      <c r="D197" s="52">
        <v>2</v>
      </c>
      <c r="E197" s="52" t="s">
        <v>229</v>
      </c>
      <c r="F197" s="52" t="s">
        <v>351</v>
      </c>
      <c r="G197" s="55"/>
    </row>
    <row r="198" spans="1:7" ht="16.5" x14ac:dyDescent="0.25">
      <c r="A198" s="52">
        <f>IF(C198&lt;&gt;"", SUBTOTAL(3, $C$2:C198), "")</f>
        <v>197</v>
      </c>
      <c r="B198" s="55" t="s">
        <v>381</v>
      </c>
      <c r="C198" s="52" t="s">
        <v>216</v>
      </c>
      <c r="D198" s="52">
        <v>1</v>
      </c>
      <c r="E198" s="52" t="s">
        <v>229</v>
      </c>
      <c r="F198" s="52" t="s">
        <v>351</v>
      </c>
      <c r="G198" s="55"/>
    </row>
    <row r="199" spans="1:7" ht="16.5" x14ac:dyDescent="0.25">
      <c r="A199" s="52">
        <f>IF(C199&lt;&gt;"", SUBTOTAL(3, $C$2:C199), "")</f>
        <v>198</v>
      </c>
      <c r="B199" s="55" t="s">
        <v>383</v>
      </c>
      <c r="C199" s="52" t="s">
        <v>216</v>
      </c>
      <c r="D199" s="52">
        <v>1</v>
      </c>
      <c r="E199" s="52" t="s">
        <v>229</v>
      </c>
      <c r="F199" s="52" t="s">
        <v>341</v>
      </c>
      <c r="G199" s="55"/>
    </row>
    <row r="200" spans="1:7" ht="16.5" x14ac:dyDescent="0.25">
      <c r="A200" s="52">
        <f>IF(C200&lt;&gt;"", SUBTOTAL(3, $C$2:C200), "")</f>
        <v>199</v>
      </c>
      <c r="B200" s="55" t="s">
        <v>50</v>
      </c>
      <c r="C200" s="52" t="s">
        <v>216</v>
      </c>
      <c r="D200" s="52">
        <v>1</v>
      </c>
      <c r="E200" s="52" t="s">
        <v>215</v>
      </c>
      <c r="F200" s="52" t="s">
        <v>193</v>
      </c>
      <c r="G200" s="55"/>
    </row>
    <row r="201" spans="1:7" ht="16.5" x14ac:dyDescent="0.25">
      <c r="A201" s="52">
        <f>IF(C201&lt;&gt;"", SUBTOTAL(3, $C$2:C201), "")</f>
        <v>200</v>
      </c>
      <c r="B201" s="54" t="s">
        <v>235</v>
      </c>
      <c r="C201" s="53" t="s">
        <v>216</v>
      </c>
      <c r="D201" s="52">
        <v>1</v>
      </c>
      <c r="E201" s="52" t="s">
        <v>215</v>
      </c>
      <c r="F201" s="52" t="s">
        <v>193</v>
      </c>
      <c r="G201" s="55"/>
    </row>
    <row r="202" spans="1:7" ht="16.5" x14ac:dyDescent="0.25">
      <c r="A202" s="52">
        <f>IF(C202&lt;&gt;"", SUBTOTAL(3, $C$2:C202), "")</f>
        <v>201</v>
      </c>
      <c r="B202" s="54" t="s">
        <v>217</v>
      </c>
      <c r="C202" s="53" t="s">
        <v>216</v>
      </c>
      <c r="D202" s="52">
        <v>1</v>
      </c>
      <c r="E202" s="52" t="s">
        <v>215</v>
      </c>
      <c r="F202" s="52" t="s">
        <v>193</v>
      </c>
      <c r="G202" s="55"/>
    </row>
    <row r="203" spans="1:7" ht="16.5" x14ac:dyDescent="0.25">
      <c r="A203" s="52">
        <f>IF(C203&lt;&gt;"", SUBTOTAL(3, $C$2:C203), "")</f>
        <v>202</v>
      </c>
      <c r="B203" s="54" t="s">
        <v>59</v>
      </c>
      <c r="C203" s="53" t="s">
        <v>216</v>
      </c>
      <c r="D203" s="52">
        <v>1</v>
      </c>
      <c r="E203" s="52" t="s">
        <v>215</v>
      </c>
      <c r="F203" s="52" t="s">
        <v>193</v>
      </c>
      <c r="G203" s="55"/>
    </row>
    <row r="204" spans="1:7" ht="16.5" x14ac:dyDescent="0.25">
      <c r="A204" s="52">
        <f>IF(C204&lt;&gt;"", SUBTOTAL(3, $C$2:C204), "")</f>
        <v>203</v>
      </c>
      <c r="B204" s="54" t="s">
        <v>219</v>
      </c>
      <c r="C204" s="53" t="s">
        <v>216</v>
      </c>
      <c r="D204" s="52">
        <v>1</v>
      </c>
      <c r="E204" s="52" t="s">
        <v>215</v>
      </c>
      <c r="F204" s="52" t="s">
        <v>193</v>
      </c>
      <c r="G204" s="55"/>
    </row>
    <row r="205" spans="1:7" ht="16.5" x14ac:dyDescent="0.25">
      <c r="A205" s="52">
        <f>IF(C205&lt;&gt;"", SUBTOTAL(3, $C$2:C205), "")</f>
        <v>204</v>
      </c>
      <c r="B205" s="54" t="s">
        <v>227</v>
      </c>
      <c r="C205" s="53" t="s">
        <v>216</v>
      </c>
      <c r="D205" s="52">
        <v>1</v>
      </c>
      <c r="E205" s="52" t="s">
        <v>215</v>
      </c>
      <c r="F205" s="52" t="s">
        <v>193</v>
      </c>
      <c r="G205" s="55"/>
    </row>
    <row r="206" spans="1:7" ht="16.5" x14ac:dyDescent="0.25">
      <c r="A206" s="52">
        <f>IF(C206&lt;&gt;"", SUBTOTAL(3, $C$2:C206), "")</f>
        <v>205</v>
      </c>
      <c r="B206" s="54" t="s">
        <v>234</v>
      </c>
      <c r="C206" s="53" t="s">
        <v>216</v>
      </c>
      <c r="D206" s="52">
        <v>1</v>
      </c>
      <c r="E206" s="52" t="s">
        <v>215</v>
      </c>
      <c r="F206" s="52" t="s">
        <v>193</v>
      </c>
      <c r="G206" s="55"/>
    </row>
    <row r="207" spans="1:7" ht="16.5" x14ac:dyDescent="0.25">
      <c r="A207" s="52">
        <f>IF(C207&lt;&gt;"", SUBTOTAL(3, $C$2:C207), "")</f>
        <v>206</v>
      </c>
      <c r="B207" s="54" t="s">
        <v>236</v>
      </c>
      <c r="C207" s="53" t="s">
        <v>216</v>
      </c>
      <c r="D207" s="52">
        <v>1</v>
      </c>
      <c r="E207" s="52" t="s">
        <v>215</v>
      </c>
      <c r="F207" s="52" t="s">
        <v>193</v>
      </c>
      <c r="G207" s="55"/>
    </row>
    <row r="208" spans="1:7" ht="16.5" x14ac:dyDescent="0.25">
      <c r="A208" s="52">
        <f>IF(C208&lt;&gt;"", SUBTOTAL(3, $C$2:C208), "")</f>
        <v>207</v>
      </c>
      <c r="B208" s="54" t="s">
        <v>233</v>
      </c>
      <c r="C208" s="53" t="s">
        <v>216</v>
      </c>
      <c r="D208" s="52">
        <v>1</v>
      </c>
      <c r="E208" s="52" t="s">
        <v>215</v>
      </c>
      <c r="F208" s="52" t="s">
        <v>193</v>
      </c>
      <c r="G208" s="55"/>
    </row>
    <row r="209" spans="1:7" ht="16.5" x14ac:dyDescent="0.25">
      <c r="A209" s="52">
        <f>IF(C209&lt;&gt;"", SUBTOTAL(3, $C$2:C209), "")</f>
        <v>208</v>
      </c>
      <c r="B209" s="55" t="s">
        <v>387</v>
      </c>
      <c r="C209" s="52" t="s">
        <v>216</v>
      </c>
      <c r="D209" s="52">
        <v>3</v>
      </c>
      <c r="E209" s="52" t="s">
        <v>229</v>
      </c>
      <c r="F209" s="52" t="s">
        <v>351</v>
      </c>
      <c r="G209" s="55"/>
    </row>
    <row r="210" spans="1:7" ht="16.5" x14ac:dyDescent="0.25">
      <c r="A210" s="52">
        <f>IF(C210&lt;&gt;"", SUBTOTAL(3, $C$2:C210), "")</f>
        <v>209</v>
      </c>
      <c r="B210" s="55" t="s">
        <v>64</v>
      </c>
      <c r="C210" s="52" t="s">
        <v>216</v>
      </c>
      <c r="D210" s="52">
        <v>1</v>
      </c>
      <c r="E210" s="52" t="s">
        <v>229</v>
      </c>
      <c r="F210" s="52" t="s">
        <v>351</v>
      </c>
      <c r="G210" s="55"/>
    </row>
    <row r="211" spans="1:7" ht="16.5" x14ac:dyDescent="0.25">
      <c r="A211" s="52">
        <f>IF(C211&lt;&gt;"", SUBTOTAL(3, $C$2:C211), "")</f>
        <v>210</v>
      </c>
      <c r="B211" s="55" t="s">
        <v>373</v>
      </c>
      <c r="C211" s="52" t="s">
        <v>216</v>
      </c>
      <c r="D211" s="52">
        <v>1</v>
      </c>
      <c r="E211" s="52" t="s">
        <v>229</v>
      </c>
      <c r="F211" s="52" t="s">
        <v>341</v>
      </c>
      <c r="G211" s="55"/>
    </row>
    <row r="212" spans="1:7" ht="16.5" x14ac:dyDescent="0.25">
      <c r="A212" s="52">
        <f>IF(C212&lt;&gt;"", SUBTOTAL(3, $C$2:C212), "")</f>
        <v>211</v>
      </c>
      <c r="B212" s="54" t="s">
        <v>225</v>
      </c>
      <c r="C212" s="53" t="s">
        <v>216</v>
      </c>
      <c r="D212" s="52">
        <v>1</v>
      </c>
      <c r="E212" s="52" t="s">
        <v>215</v>
      </c>
      <c r="F212" s="52" t="s">
        <v>193</v>
      </c>
      <c r="G212" s="55"/>
    </row>
    <row r="213" spans="1:7" ht="16.5" x14ac:dyDescent="0.25">
      <c r="A213" s="52">
        <f>IF(C213&lt;&gt;"", SUBTOTAL(3, $C$2:C213), "")</f>
        <v>212</v>
      </c>
      <c r="B213" s="55" t="s">
        <v>386</v>
      </c>
      <c r="C213" s="52" t="s">
        <v>216</v>
      </c>
      <c r="D213" s="52">
        <v>1</v>
      </c>
      <c r="E213" s="52" t="s">
        <v>229</v>
      </c>
      <c r="F213" s="52" t="s">
        <v>341</v>
      </c>
      <c r="G213" s="55"/>
    </row>
    <row r="214" spans="1:7" ht="16.5" x14ac:dyDescent="0.25">
      <c r="A214" s="52">
        <f>IF(C214&lt;&gt;"", SUBTOTAL(3, $C$2:C214), "")</f>
        <v>213</v>
      </c>
      <c r="B214" s="54" t="s">
        <v>222</v>
      </c>
      <c r="C214" s="53" t="s">
        <v>216</v>
      </c>
      <c r="D214" s="52">
        <v>1</v>
      </c>
      <c r="E214" s="52" t="s">
        <v>215</v>
      </c>
      <c r="F214" s="52" t="s">
        <v>193</v>
      </c>
      <c r="G214" s="55"/>
    </row>
    <row r="215" spans="1:7" ht="16.5" x14ac:dyDescent="0.25">
      <c r="A215" s="52">
        <f>IF(C215&lt;&gt;"", SUBTOTAL(3, $C$2:C215), "")</f>
        <v>214</v>
      </c>
      <c r="B215" s="54" t="s">
        <v>613</v>
      </c>
      <c r="C215" s="53" t="s">
        <v>216</v>
      </c>
      <c r="D215" s="52">
        <v>1</v>
      </c>
      <c r="E215" s="52" t="s">
        <v>215</v>
      </c>
      <c r="F215" s="52" t="s">
        <v>193</v>
      </c>
      <c r="G215" s="55"/>
    </row>
    <row r="216" spans="1:7" ht="16.5" x14ac:dyDescent="0.25">
      <c r="A216" s="52">
        <f>IF(C216&lt;&gt;"", SUBTOTAL(3, $C$2:C216), "")</f>
        <v>215</v>
      </c>
      <c r="B216" s="54" t="s">
        <v>231</v>
      </c>
      <c r="C216" s="53" t="s">
        <v>216</v>
      </c>
      <c r="D216" s="52">
        <v>1</v>
      </c>
      <c r="E216" s="52" t="s">
        <v>215</v>
      </c>
      <c r="F216" s="52" t="s">
        <v>193</v>
      </c>
      <c r="G216" s="55"/>
    </row>
    <row r="217" spans="1:7" ht="16.5" x14ac:dyDescent="0.25">
      <c r="A217" s="52">
        <f>IF(C217&lt;&gt;"", SUBTOTAL(3, $C$2:C217), "")</f>
        <v>216</v>
      </c>
      <c r="B217" s="54" t="s">
        <v>232</v>
      </c>
      <c r="C217" s="53" t="s">
        <v>216</v>
      </c>
      <c r="D217" s="52">
        <v>1</v>
      </c>
      <c r="E217" s="52" t="s">
        <v>215</v>
      </c>
      <c r="F217" s="52" t="s">
        <v>193</v>
      </c>
      <c r="G217" s="55"/>
    </row>
    <row r="218" spans="1:7" ht="16.5" x14ac:dyDescent="0.25">
      <c r="A218" s="52">
        <f>IF(C218&lt;&gt;"", SUBTOTAL(3, $C$2:C218), "")</f>
        <v>217</v>
      </c>
      <c r="B218" s="54" t="s">
        <v>221</v>
      </c>
      <c r="C218" s="53" t="s">
        <v>216</v>
      </c>
      <c r="D218" s="52">
        <v>1</v>
      </c>
      <c r="E218" s="52" t="s">
        <v>215</v>
      </c>
      <c r="F218" s="52" t="s">
        <v>193</v>
      </c>
      <c r="G218" s="55"/>
    </row>
    <row r="219" spans="1:7" ht="16.5" x14ac:dyDescent="0.25">
      <c r="A219" s="52">
        <f>IF(C219&lt;&gt;"", SUBTOTAL(3, $C$2:C219), "")</f>
        <v>218</v>
      </c>
      <c r="B219" s="55" t="s">
        <v>384</v>
      </c>
      <c r="C219" s="52" t="s">
        <v>216</v>
      </c>
      <c r="D219" s="52">
        <v>1</v>
      </c>
      <c r="E219" s="52" t="s">
        <v>229</v>
      </c>
      <c r="F219" s="52" t="s">
        <v>351</v>
      </c>
      <c r="G219" s="55"/>
    </row>
    <row r="220" spans="1:7" ht="16.5" x14ac:dyDescent="0.25">
      <c r="A220" s="52">
        <f>IF(C220&lt;&gt;"", SUBTOTAL(3, $C$2:C220), "")</f>
        <v>219</v>
      </c>
      <c r="B220" s="55" t="s">
        <v>385</v>
      </c>
      <c r="C220" s="52" t="s">
        <v>216</v>
      </c>
      <c r="D220" s="52">
        <v>2</v>
      </c>
      <c r="E220" s="52" t="s">
        <v>229</v>
      </c>
      <c r="F220" s="52" t="s">
        <v>341</v>
      </c>
      <c r="G220" s="55"/>
    </row>
    <row r="221" spans="1:7" ht="16.5" x14ac:dyDescent="0.25">
      <c r="A221" s="52">
        <f>IF(C221&lt;&gt;"", SUBTOTAL(3, $C$2:C221), "")</f>
        <v>220</v>
      </c>
      <c r="B221" s="55" t="s">
        <v>237</v>
      </c>
      <c r="C221" s="52" t="s">
        <v>216</v>
      </c>
      <c r="D221" s="52">
        <v>1</v>
      </c>
      <c r="E221" s="52" t="s">
        <v>215</v>
      </c>
      <c r="F221" s="52" t="s">
        <v>193</v>
      </c>
      <c r="G221" s="55"/>
    </row>
    <row r="222" spans="1:7" ht="16.5" x14ac:dyDescent="0.25">
      <c r="A222" s="52">
        <f>IF(C222&lt;&gt;"", SUBTOTAL(3, $C$2:C222), "")</f>
        <v>221</v>
      </c>
      <c r="B222" s="55" t="s">
        <v>239</v>
      </c>
      <c r="C222" s="52" t="s">
        <v>216</v>
      </c>
      <c r="D222" s="52">
        <v>1</v>
      </c>
      <c r="E222" s="52" t="s">
        <v>215</v>
      </c>
      <c r="F222" s="52" t="s">
        <v>193</v>
      </c>
      <c r="G222" s="55"/>
    </row>
    <row r="223" spans="1:7" ht="16.5" x14ac:dyDescent="0.25">
      <c r="A223" s="52">
        <f>IF(C223&lt;&gt;"", SUBTOTAL(3, $C$2:C223), "")</f>
        <v>222</v>
      </c>
      <c r="B223" s="55" t="s">
        <v>238</v>
      </c>
      <c r="C223" s="52" t="s">
        <v>216</v>
      </c>
      <c r="D223" s="52">
        <v>1</v>
      </c>
      <c r="E223" s="52" t="s">
        <v>215</v>
      </c>
      <c r="F223" s="52" t="s">
        <v>193</v>
      </c>
      <c r="G223" s="55"/>
    </row>
    <row r="224" spans="1:7" ht="16.5" x14ac:dyDescent="0.25">
      <c r="A224" s="52">
        <f>IF(C224&lt;&gt;"", SUBTOTAL(3, $C$2:C224), "")</f>
        <v>223</v>
      </c>
      <c r="B224" s="55" t="s">
        <v>372</v>
      </c>
      <c r="C224" s="52" t="s">
        <v>216</v>
      </c>
      <c r="D224" s="52">
        <v>4</v>
      </c>
      <c r="E224" s="52" t="s">
        <v>229</v>
      </c>
      <c r="F224" s="52" t="s">
        <v>341</v>
      </c>
      <c r="G224" s="55"/>
    </row>
    <row r="225" spans="1:7" ht="16.5" x14ac:dyDescent="0.25">
      <c r="A225" s="52">
        <f>IF(C225&lt;&gt;"", SUBTOTAL(3, $C$2:C225), "")</f>
        <v>224</v>
      </c>
      <c r="B225" s="54" t="s">
        <v>223</v>
      </c>
      <c r="C225" s="53" t="s">
        <v>216</v>
      </c>
      <c r="D225" s="52">
        <v>1</v>
      </c>
      <c r="E225" s="52" t="s">
        <v>215</v>
      </c>
      <c r="F225" s="52" t="s">
        <v>193</v>
      </c>
      <c r="G225" s="55"/>
    </row>
    <row r="226" spans="1:7" ht="16.5" x14ac:dyDescent="0.25">
      <c r="A226" s="52">
        <f>IF(C226&lt;&gt;"", SUBTOTAL(3, $C$2:C226), "")</f>
        <v>225</v>
      </c>
      <c r="B226" s="54" t="s">
        <v>218</v>
      </c>
      <c r="C226" s="53" t="s">
        <v>216</v>
      </c>
      <c r="D226" s="52">
        <v>1</v>
      </c>
      <c r="E226" s="52" t="s">
        <v>215</v>
      </c>
      <c r="F226" s="52" t="s">
        <v>193</v>
      </c>
      <c r="G226" s="55"/>
    </row>
    <row r="227" spans="1:7" ht="16.5" x14ac:dyDescent="0.25">
      <c r="A227" s="52">
        <f>IF(C227&lt;&gt;"", SUBTOTAL(3, $C$2:C227), "")</f>
        <v>226</v>
      </c>
      <c r="B227" s="54" t="s">
        <v>224</v>
      </c>
      <c r="C227" s="53" t="s">
        <v>216</v>
      </c>
      <c r="D227" s="52">
        <v>1</v>
      </c>
      <c r="E227" s="52" t="s">
        <v>215</v>
      </c>
      <c r="F227" s="52" t="s">
        <v>193</v>
      </c>
      <c r="G227" s="55"/>
    </row>
    <row r="228" spans="1:7" ht="16.5" x14ac:dyDescent="0.25">
      <c r="A228" s="52">
        <f>IF(C228&lt;&gt;"", SUBTOTAL(3, $C$2:C228), "")</f>
        <v>227</v>
      </c>
      <c r="B228" s="55" t="s">
        <v>382</v>
      </c>
      <c r="C228" s="52" t="s">
        <v>216</v>
      </c>
      <c r="D228" s="52">
        <v>2</v>
      </c>
      <c r="E228" s="52" t="s">
        <v>229</v>
      </c>
      <c r="F228" s="52" t="s">
        <v>351</v>
      </c>
      <c r="G228" s="55"/>
    </row>
    <row r="229" spans="1:7" ht="16.5" x14ac:dyDescent="0.25">
      <c r="A229" s="52">
        <f>IF(C229&lt;&gt;"", SUBTOTAL(3, $C$2:C229), "")</f>
        <v>228</v>
      </c>
      <c r="B229" s="55" t="s">
        <v>391</v>
      </c>
      <c r="C229" s="18" t="s">
        <v>195</v>
      </c>
      <c r="D229" s="52">
        <v>2</v>
      </c>
      <c r="E229" s="52" t="s">
        <v>194</v>
      </c>
      <c r="F229" s="52" t="s">
        <v>341</v>
      </c>
      <c r="G229" s="55"/>
    </row>
    <row r="230" spans="1:7" ht="16.5" x14ac:dyDescent="0.25">
      <c r="A230" s="52">
        <f>IF(C230&lt;&gt;"", SUBTOTAL(3, $C$2:C230), "")</f>
        <v>229</v>
      </c>
      <c r="B230" s="55" t="s">
        <v>390</v>
      </c>
      <c r="C230" s="18" t="s">
        <v>195</v>
      </c>
      <c r="D230" s="52">
        <v>1</v>
      </c>
      <c r="E230" s="52" t="s">
        <v>194</v>
      </c>
      <c r="F230" s="52" t="s">
        <v>341</v>
      </c>
      <c r="G230" s="55"/>
    </row>
    <row r="231" spans="1:7" ht="16.5" x14ac:dyDescent="0.25">
      <c r="A231" s="52">
        <f>IF(C231&lt;&gt;"", SUBTOTAL(3, $C$2:C231), "")</f>
        <v>230</v>
      </c>
      <c r="B231" s="55" t="s">
        <v>398</v>
      </c>
      <c r="C231" s="18" t="s">
        <v>195</v>
      </c>
      <c r="D231" s="52">
        <v>1</v>
      </c>
      <c r="E231" s="52" t="s">
        <v>194</v>
      </c>
      <c r="F231" s="52" t="s">
        <v>341</v>
      </c>
      <c r="G231" s="55"/>
    </row>
    <row r="232" spans="1:7" ht="16.5" x14ac:dyDescent="0.25">
      <c r="A232" s="52">
        <f>IF(C232&lt;&gt;"", SUBTOTAL(3, $C$2:C232), "")</f>
        <v>231</v>
      </c>
      <c r="B232" s="54" t="s">
        <v>203</v>
      </c>
      <c r="C232" s="53" t="s">
        <v>195</v>
      </c>
      <c r="D232" s="52">
        <v>1</v>
      </c>
      <c r="E232" s="52" t="s">
        <v>194</v>
      </c>
      <c r="F232" s="52" t="s">
        <v>193</v>
      </c>
      <c r="G232" s="52"/>
    </row>
    <row r="233" spans="1:7" ht="16.5" x14ac:dyDescent="0.25">
      <c r="A233" s="52">
        <f>IF(C233&lt;&gt;"", SUBTOTAL(3, $C$2:C233), "")</f>
        <v>232</v>
      </c>
      <c r="B233" s="54" t="s">
        <v>201</v>
      </c>
      <c r="C233" s="53" t="s">
        <v>195</v>
      </c>
      <c r="D233" s="52">
        <v>1</v>
      </c>
      <c r="E233" s="52" t="s">
        <v>194</v>
      </c>
      <c r="F233" s="52" t="s">
        <v>193</v>
      </c>
      <c r="G233" s="52"/>
    </row>
    <row r="234" spans="1:7" ht="16.5" x14ac:dyDescent="0.25">
      <c r="A234" s="52">
        <f>IF(C234&lt;&gt;"", SUBTOTAL(3, $C$2:C234), "")</f>
        <v>233</v>
      </c>
      <c r="B234" s="54" t="s">
        <v>200</v>
      </c>
      <c r="C234" s="53" t="s">
        <v>195</v>
      </c>
      <c r="D234" s="52">
        <v>1</v>
      </c>
      <c r="E234" s="52" t="s">
        <v>194</v>
      </c>
      <c r="F234" s="52" t="s">
        <v>193</v>
      </c>
      <c r="G234" s="52"/>
    </row>
    <row r="235" spans="1:7" ht="16.5" x14ac:dyDescent="0.25">
      <c r="A235" s="52">
        <f>IF(C235&lt;&gt;"", SUBTOTAL(3, $C$2:C235), "")</f>
        <v>234</v>
      </c>
      <c r="B235" s="55" t="s">
        <v>395</v>
      </c>
      <c r="C235" s="18" t="s">
        <v>195</v>
      </c>
      <c r="D235" s="52">
        <v>1</v>
      </c>
      <c r="E235" s="52" t="s">
        <v>194</v>
      </c>
      <c r="F235" s="52" t="s">
        <v>341</v>
      </c>
      <c r="G235" s="55"/>
    </row>
    <row r="236" spans="1:7" ht="16.5" x14ac:dyDescent="0.25">
      <c r="A236" s="52">
        <f>IF(C236&lt;&gt;"", SUBTOTAL(3, $C$2:C236), "")</f>
        <v>235</v>
      </c>
      <c r="B236" s="54" t="s">
        <v>213</v>
      </c>
      <c r="C236" s="53" t="s">
        <v>195</v>
      </c>
      <c r="D236" s="52">
        <v>1</v>
      </c>
      <c r="E236" s="52" t="s">
        <v>194</v>
      </c>
      <c r="F236" s="52" t="s">
        <v>193</v>
      </c>
      <c r="G236" s="52"/>
    </row>
    <row r="237" spans="1:7" ht="16.5" x14ac:dyDescent="0.25">
      <c r="A237" s="52">
        <f>IF(C237&lt;&gt;"", SUBTOTAL(3, $C$2:C237), "")</f>
        <v>236</v>
      </c>
      <c r="B237" s="54" t="s">
        <v>67</v>
      </c>
      <c r="C237" s="53" t="s">
        <v>195</v>
      </c>
      <c r="D237" s="52">
        <v>1</v>
      </c>
      <c r="E237" s="52" t="s">
        <v>194</v>
      </c>
      <c r="F237" s="52" t="s">
        <v>193</v>
      </c>
      <c r="G237" s="52"/>
    </row>
    <row r="238" spans="1:7" ht="16.5" x14ac:dyDescent="0.25">
      <c r="A238" s="52">
        <f>IF(C238&lt;&gt;"", SUBTOTAL(3, $C$2:C238), "")</f>
        <v>237</v>
      </c>
      <c r="B238" s="55" t="s">
        <v>397</v>
      </c>
      <c r="C238" s="18" t="s">
        <v>195</v>
      </c>
      <c r="D238" s="52">
        <v>1</v>
      </c>
      <c r="E238" s="52" t="s">
        <v>194</v>
      </c>
      <c r="F238" s="52" t="s">
        <v>341</v>
      </c>
      <c r="G238" s="55"/>
    </row>
    <row r="239" spans="1:7" ht="16.5" x14ac:dyDescent="0.25">
      <c r="A239" s="52">
        <f>IF(C239&lt;&gt;"", SUBTOTAL(3, $C$2:C239), "")</f>
        <v>238</v>
      </c>
      <c r="B239" s="54" t="s">
        <v>204</v>
      </c>
      <c r="C239" s="53" t="s">
        <v>195</v>
      </c>
      <c r="D239" s="52">
        <v>1</v>
      </c>
      <c r="E239" s="52" t="s">
        <v>194</v>
      </c>
      <c r="F239" s="52" t="s">
        <v>193</v>
      </c>
      <c r="G239" s="52"/>
    </row>
    <row r="240" spans="1:7" ht="16.5" x14ac:dyDescent="0.25">
      <c r="A240" s="52">
        <f>IF(C240&lt;&gt;"", SUBTOTAL(3, $C$2:C240), "")</f>
        <v>239</v>
      </c>
      <c r="B240" s="54" t="s">
        <v>209</v>
      </c>
      <c r="C240" s="53" t="s">
        <v>195</v>
      </c>
      <c r="D240" s="52">
        <v>1</v>
      </c>
      <c r="E240" s="52" t="s">
        <v>194</v>
      </c>
      <c r="F240" s="52" t="s">
        <v>193</v>
      </c>
      <c r="G240" s="52"/>
    </row>
    <row r="241" spans="1:7" ht="16.5" x14ac:dyDescent="0.25">
      <c r="A241" s="52">
        <f>IF(C241&lt;&gt;"", SUBTOTAL(3, $C$2:C241), "")</f>
        <v>240</v>
      </c>
      <c r="B241" s="54" t="s">
        <v>211</v>
      </c>
      <c r="C241" s="53" t="s">
        <v>195</v>
      </c>
      <c r="D241" s="52">
        <v>1</v>
      </c>
      <c r="E241" s="52" t="s">
        <v>194</v>
      </c>
      <c r="F241" s="52" t="s">
        <v>193</v>
      </c>
      <c r="G241" s="52"/>
    </row>
    <row r="242" spans="1:7" ht="16.5" x14ac:dyDescent="0.25">
      <c r="A242" s="52">
        <f>IF(C242&lt;&gt;"", SUBTOTAL(3, $C$2:C242), "")</f>
        <v>241</v>
      </c>
      <c r="B242" s="55" t="s">
        <v>396</v>
      </c>
      <c r="C242" s="18" t="s">
        <v>195</v>
      </c>
      <c r="D242" s="52">
        <v>1</v>
      </c>
      <c r="E242" s="52" t="s">
        <v>194</v>
      </c>
      <c r="F242" s="52" t="s">
        <v>365</v>
      </c>
      <c r="G242" s="55"/>
    </row>
    <row r="243" spans="1:7" ht="16.5" x14ac:dyDescent="0.25">
      <c r="A243" s="52">
        <f>IF(C243&lt;&gt;"", SUBTOTAL(3, $C$2:C243), "")</f>
        <v>242</v>
      </c>
      <c r="B243" s="54" t="s">
        <v>208</v>
      </c>
      <c r="C243" s="53" t="s">
        <v>195</v>
      </c>
      <c r="D243" s="52">
        <v>1</v>
      </c>
      <c r="E243" s="52" t="s">
        <v>194</v>
      </c>
      <c r="F243" s="52" t="s">
        <v>193</v>
      </c>
      <c r="G243" s="52"/>
    </row>
    <row r="244" spans="1:7" ht="16.5" x14ac:dyDescent="0.25">
      <c r="A244" s="52">
        <f>IF(C244&lt;&gt;"", SUBTOTAL(3, $C$2:C244), "")</f>
        <v>243</v>
      </c>
      <c r="B244" s="54" t="s">
        <v>101</v>
      </c>
      <c r="C244" s="53" t="s">
        <v>195</v>
      </c>
      <c r="D244" s="52">
        <v>1</v>
      </c>
      <c r="E244" s="52" t="s">
        <v>194</v>
      </c>
      <c r="F244" s="52" t="s">
        <v>193</v>
      </c>
      <c r="G244" s="52"/>
    </row>
    <row r="245" spans="1:7" ht="16.5" x14ac:dyDescent="0.25">
      <c r="A245" s="52">
        <f>IF(C245&lt;&gt;"", SUBTOTAL(3, $C$2:C245), "")</f>
        <v>244</v>
      </c>
      <c r="B245" s="54" t="s">
        <v>207</v>
      </c>
      <c r="C245" s="53" t="s">
        <v>195</v>
      </c>
      <c r="D245" s="52">
        <v>1</v>
      </c>
      <c r="E245" s="52" t="s">
        <v>194</v>
      </c>
      <c r="F245" s="52" t="s">
        <v>193</v>
      </c>
      <c r="G245" s="52"/>
    </row>
    <row r="246" spans="1:7" ht="16.5" x14ac:dyDescent="0.25">
      <c r="A246" s="52">
        <f>IF(C246&lt;&gt;"", SUBTOTAL(3, $C$2:C246), "")</f>
        <v>245</v>
      </c>
      <c r="B246" s="54" t="s">
        <v>197</v>
      </c>
      <c r="C246" s="53" t="s">
        <v>195</v>
      </c>
      <c r="D246" s="52">
        <v>1</v>
      </c>
      <c r="E246" s="52" t="s">
        <v>194</v>
      </c>
      <c r="F246" s="52" t="s">
        <v>193</v>
      </c>
      <c r="G246" s="52"/>
    </row>
    <row r="247" spans="1:7" ht="16.5" x14ac:dyDescent="0.25">
      <c r="A247" s="52">
        <f>IF(C247&lt;&gt;"", SUBTOTAL(3, $C$2:C247), "")</f>
        <v>246</v>
      </c>
      <c r="B247" s="55" t="s">
        <v>388</v>
      </c>
      <c r="C247" s="18" t="s">
        <v>195</v>
      </c>
      <c r="D247" s="52">
        <v>1</v>
      </c>
      <c r="E247" s="52" t="s">
        <v>194</v>
      </c>
      <c r="F247" s="52" t="s">
        <v>341</v>
      </c>
      <c r="G247" s="55"/>
    </row>
    <row r="248" spans="1:7" ht="16.5" x14ac:dyDescent="0.25">
      <c r="A248" s="52">
        <f>IF(C248&lt;&gt;"", SUBTOTAL(3, $C$2:C248), "")</f>
        <v>247</v>
      </c>
      <c r="B248" s="54" t="s">
        <v>196</v>
      </c>
      <c r="C248" s="53" t="s">
        <v>195</v>
      </c>
      <c r="D248" s="52">
        <v>1</v>
      </c>
      <c r="E248" s="52" t="s">
        <v>194</v>
      </c>
      <c r="F248" s="52" t="s">
        <v>193</v>
      </c>
      <c r="G248" s="52"/>
    </row>
    <row r="249" spans="1:7" ht="16.5" x14ac:dyDescent="0.25">
      <c r="A249" s="52">
        <f>IF(C249&lt;&gt;"", SUBTOTAL(3, $C$2:C249), "")</f>
        <v>248</v>
      </c>
      <c r="B249" s="55" t="s">
        <v>392</v>
      </c>
      <c r="C249" s="18" t="s">
        <v>195</v>
      </c>
      <c r="D249" s="52">
        <v>3</v>
      </c>
      <c r="E249" s="52" t="s">
        <v>194</v>
      </c>
      <c r="F249" s="52" t="s">
        <v>341</v>
      </c>
      <c r="G249" s="55"/>
    </row>
    <row r="250" spans="1:7" ht="16.5" x14ac:dyDescent="0.25">
      <c r="A250" s="52">
        <f>IF(C250&lt;&gt;"", SUBTOTAL(3, $C$2:C250), "")</f>
        <v>249</v>
      </c>
      <c r="B250" s="17" t="s">
        <v>393</v>
      </c>
      <c r="C250" s="18" t="s">
        <v>195</v>
      </c>
      <c r="D250" s="18">
        <v>1</v>
      </c>
      <c r="E250" s="52" t="s">
        <v>194</v>
      </c>
      <c r="F250" s="18" t="s">
        <v>341</v>
      </c>
      <c r="G250" s="55"/>
    </row>
    <row r="251" spans="1:7" ht="16.5" x14ac:dyDescent="0.25">
      <c r="A251" s="52">
        <f>IF(C251&lt;&gt;"", SUBTOTAL(3, $C$2:C251), "")</f>
        <v>250</v>
      </c>
      <c r="B251" s="54" t="s">
        <v>202</v>
      </c>
      <c r="C251" s="53" t="s">
        <v>195</v>
      </c>
      <c r="D251" s="52">
        <v>1</v>
      </c>
      <c r="E251" s="52" t="s">
        <v>194</v>
      </c>
      <c r="F251" s="52" t="s">
        <v>193</v>
      </c>
      <c r="G251" s="52"/>
    </row>
    <row r="252" spans="1:7" ht="16.5" x14ac:dyDescent="0.25">
      <c r="A252" s="52">
        <f>IF(C252&lt;&gt;"", SUBTOTAL(3, $C$2:C252), "")</f>
        <v>251</v>
      </c>
      <c r="B252" s="54" t="s">
        <v>205</v>
      </c>
      <c r="C252" s="53" t="s">
        <v>195</v>
      </c>
      <c r="D252" s="52">
        <v>1</v>
      </c>
      <c r="E252" s="52" t="s">
        <v>194</v>
      </c>
      <c r="F252" s="52" t="s">
        <v>193</v>
      </c>
      <c r="G252" s="52"/>
    </row>
    <row r="253" spans="1:7" ht="16.5" x14ac:dyDescent="0.25">
      <c r="A253" s="52">
        <f>IF(C253&lt;&gt;"", SUBTOTAL(3, $C$2:C253), "")</f>
        <v>252</v>
      </c>
      <c r="B253" s="55" t="s">
        <v>394</v>
      </c>
      <c r="C253" s="18" t="s">
        <v>195</v>
      </c>
      <c r="D253" s="52">
        <v>3</v>
      </c>
      <c r="E253" s="52" t="s">
        <v>194</v>
      </c>
      <c r="F253" s="52" t="s">
        <v>341</v>
      </c>
      <c r="G253" s="55"/>
    </row>
    <row r="254" spans="1:7" ht="16.5" x14ac:dyDescent="0.25">
      <c r="A254" s="52">
        <f>IF(C254&lt;&gt;"", SUBTOTAL(3, $C$2:C254), "")</f>
        <v>253</v>
      </c>
      <c r="B254" s="54" t="s">
        <v>214</v>
      </c>
      <c r="C254" s="53" t="s">
        <v>195</v>
      </c>
      <c r="D254" s="52">
        <v>1</v>
      </c>
      <c r="E254" s="52" t="s">
        <v>194</v>
      </c>
      <c r="F254" s="52" t="s">
        <v>193</v>
      </c>
      <c r="G254" s="52"/>
    </row>
    <row r="255" spans="1:7" ht="16.5" x14ac:dyDescent="0.25">
      <c r="A255" s="52">
        <f>IF(C255&lt;&gt;"", SUBTOTAL(3, $C$2:C255), "")</f>
        <v>254</v>
      </c>
      <c r="B255" s="55" t="s">
        <v>389</v>
      </c>
      <c r="C255" s="18" t="s">
        <v>195</v>
      </c>
      <c r="D255" s="52">
        <v>2</v>
      </c>
      <c r="E255" s="52" t="s">
        <v>194</v>
      </c>
      <c r="F255" s="52" t="s">
        <v>341</v>
      </c>
      <c r="G255" s="55"/>
    </row>
    <row r="256" spans="1:7" ht="16.5" x14ac:dyDescent="0.25">
      <c r="A256" s="52">
        <f>IF(C256&lt;&gt;"", SUBTOTAL(3, $C$2:C256), "")</f>
        <v>255</v>
      </c>
      <c r="B256" s="55" t="s">
        <v>119</v>
      </c>
      <c r="C256" s="18" t="s">
        <v>195</v>
      </c>
      <c r="D256" s="52">
        <v>2</v>
      </c>
      <c r="E256" s="52" t="s">
        <v>194</v>
      </c>
      <c r="F256" s="52" t="s">
        <v>341</v>
      </c>
      <c r="G256" s="55"/>
    </row>
    <row r="257" spans="1:7" ht="16.5" x14ac:dyDescent="0.25">
      <c r="A257" s="52">
        <f>IF(C257&lt;&gt;"", SUBTOTAL(3, $C$2:C257), "")</f>
        <v>256</v>
      </c>
      <c r="B257" s="54" t="s">
        <v>199</v>
      </c>
      <c r="C257" s="53" t="s">
        <v>195</v>
      </c>
      <c r="D257" s="52">
        <v>1</v>
      </c>
      <c r="E257" s="52" t="s">
        <v>194</v>
      </c>
      <c r="F257" s="52" t="s">
        <v>193</v>
      </c>
      <c r="G257" s="52"/>
    </row>
    <row r="258" spans="1:7" ht="16.5" x14ac:dyDescent="0.25">
      <c r="A258" s="52">
        <f>IF(C258&lt;&gt;"", SUBTOTAL(3, $C$2:C258), "")</f>
        <v>257</v>
      </c>
      <c r="B258" s="54" t="s">
        <v>210</v>
      </c>
      <c r="C258" s="53" t="s">
        <v>195</v>
      </c>
      <c r="D258" s="52">
        <v>1</v>
      </c>
      <c r="E258" s="52" t="s">
        <v>194</v>
      </c>
      <c r="F258" s="52" t="s">
        <v>193</v>
      </c>
      <c r="G258" s="52"/>
    </row>
    <row r="259" spans="1:7" ht="16.5" x14ac:dyDescent="0.25">
      <c r="A259" s="52">
        <f>IF(C259&lt;&gt;"", SUBTOTAL(3, $C$2:C259), "")</f>
        <v>258</v>
      </c>
      <c r="B259" s="54" t="s">
        <v>206</v>
      </c>
      <c r="C259" s="53" t="s">
        <v>195</v>
      </c>
      <c r="D259" s="52">
        <v>1</v>
      </c>
      <c r="E259" s="52" t="s">
        <v>194</v>
      </c>
      <c r="F259" s="52" t="s">
        <v>193</v>
      </c>
      <c r="G259" s="52"/>
    </row>
    <row r="260" spans="1:7" ht="16.5" x14ac:dyDescent="0.25">
      <c r="A260" s="52">
        <f>IF(C260&lt;&gt;"", SUBTOTAL(3, $C$2:C260), "")</f>
        <v>259</v>
      </c>
      <c r="B260" s="54" t="s">
        <v>198</v>
      </c>
      <c r="C260" s="53" t="s">
        <v>195</v>
      </c>
      <c r="D260" s="52">
        <v>1</v>
      </c>
      <c r="E260" s="52" t="s">
        <v>194</v>
      </c>
      <c r="F260" s="52" t="s">
        <v>193</v>
      </c>
      <c r="G260" s="52"/>
    </row>
    <row r="261" spans="1:7" ht="16.5" x14ac:dyDescent="0.25">
      <c r="A261" s="52">
        <f>IF(C261&lt;&gt;"", SUBTOTAL(3, $C$2:C261), "")</f>
        <v>260</v>
      </c>
      <c r="B261" s="54" t="s">
        <v>212</v>
      </c>
      <c r="C261" s="53" t="s">
        <v>195</v>
      </c>
      <c r="D261" s="52">
        <v>1</v>
      </c>
      <c r="E261" s="52" t="s">
        <v>194</v>
      </c>
      <c r="F261" s="52" t="s">
        <v>193</v>
      </c>
      <c r="G261" s="52"/>
    </row>
    <row r="262" spans="1:7" ht="16.5" x14ac:dyDescent="0.25">
      <c r="A262" s="52">
        <f>IF(C262&lt;&gt;"", SUBTOTAL(3, $C$2:C262), "")</f>
        <v>261</v>
      </c>
      <c r="B262" s="54" t="s">
        <v>266</v>
      </c>
      <c r="C262" s="58" t="s">
        <v>173</v>
      </c>
      <c r="D262" s="52">
        <v>1</v>
      </c>
      <c r="E262" s="57" t="s">
        <v>215</v>
      </c>
      <c r="F262" s="57" t="s">
        <v>193</v>
      </c>
      <c r="G262" s="57"/>
    </row>
    <row r="263" spans="1:7" ht="16.5" x14ac:dyDescent="0.25">
      <c r="A263" s="52">
        <f>IF(C263&lt;&gt;"", SUBTOTAL(3, $C$2:C263), "")</f>
        <v>262</v>
      </c>
      <c r="B263" s="54" t="s">
        <v>262</v>
      </c>
      <c r="C263" s="58" t="s">
        <v>173</v>
      </c>
      <c r="D263" s="52">
        <v>1</v>
      </c>
      <c r="E263" s="57" t="s">
        <v>215</v>
      </c>
      <c r="F263" s="57" t="s">
        <v>193</v>
      </c>
      <c r="G263" s="57"/>
    </row>
    <row r="264" spans="1:7" ht="16.5" x14ac:dyDescent="0.25">
      <c r="A264" s="52">
        <f>IF(C264&lt;&gt;"", SUBTOTAL(3, $C$2:C264), "")</f>
        <v>263</v>
      </c>
      <c r="B264" s="19" t="s">
        <v>272</v>
      </c>
      <c r="C264" s="14" t="s">
        <v>173</v>
      </c>
      <c r="D264" s="52">
        <v>1</v>
      </c>
      <c r="E264" s="52" t="s">
        <v>229</v>
      </c>
      <c r="F264" s="52" t="s">
        <v>193</v>
      </c>
      <c r="G264" s="55"/>
    </row>
    <row r="265" spans="1:7" ht="16.5" x14ac:dyDescent="0.25">
      <c r="A265" s="52">
        <f>IF(C265&lt;&gt;"", SUBTOTAL(3, $C$2:C265), "")</f>
        <v>264</v>
      </c>
      <c r="B265" s="54" t="s">
        <v>263</v>
      </c>
      <c r="C265" s="58" t="s">
        <v>173</v>
      </c>
      <c r="D265" s="52">
        <v>1</v>
      </c>
      <c r="E265" s="57" t="s">
        <v>215</v>
      </c>
      <c r="F265" s="57" t="s">
        <v>193</v>
      </c>
      <c r="G265" s="57"/>
    </row>
    <row r="266" spans="1:7" ht="16.5" x14ac:dyDescent="0.25">
      <c r="A266" s="52">
        <f>IF(C266&lt;&gt;"", SUBTOTAL(3, $C$2:C266), "")</f>
        <v>265</v>
      </c>
      <c r="B266" s="55" t="s">
        <v>400</v>
      </c>
      <c r="C266" s="52" t="s">
        <v>173</v>
      </c>
      <c r="D266" s="52">
        <v>2</v>
      </c>
      <c r="E266" s="52" t="s">
        <v>229</v>
      </c>
      <c r="F266" s="52" t="s">
        <v>341</v>
      </c>
      <c r="G266" s="55"/>
    </row>
    <row r="267" spans="1:7" ht="16.5" x14ac:dyDescent="0.25">
      <c r="A267" s="52">
        <f>IF(C267&lt;&gt;"", SUBTOTAL(3, $C$2:C267), "")</f>
        <v>266</v>
      </c>
      <c r="B267" s="55" t="s">
        <v>50</v>
      </c>
      <c r="C267" s="52" t="s">
        <v>173</v>
      </c>
      <c r="D267" s="52">
        <v>1</v>
      </c>
      <c r="E267" s="52" t="s">
        <v>229</v>
      </c>
      <c r="F267" s="52" t="s">
        <v>341</v>
      </c>
      <c r="G267" s="55"/>
    </row>
    <row r="268" spans="1:7" ht="16.5" x14ac:dyDescent="0.25">
      <c r="A268" s="52">
        <f>IF(C268&lt;&gt;"", SUBTOTAL(3, $C$2:C268), "")</f>
        <v>267</v>
      </c>
      <c r="B268" s="54" t="s">
        <v>268</v>
      </c>
      <c r="C268" s="58" t="s">
        <v>173</v>
      </c>
      <c r="D268" s="52">
        <v>1</v>
      </c>
      <c r="E268" s="57" t="s">
        <v>215</v>
      </c>
      <c r="F268" s="57" t="s">
        <v>193</v>
      </c>
      <c r="G268" s="57"/>
    </row>
    <row r="269" spans="1:7" ht="16.5" x14ac:dyDescent="0.25">
      <c r="A269" s="52">
        <f>IF(C269&lt;&gt;"", SUBTOTAL(3, $C$2:C269), "")</f>
        <v>268</v>
      </c>
      <c r="B269" s="54" t="s">
        <v>265</v>
      </c>
      <c r="C269" s="58" t="s">
        <v>173</v>
      </c>
      <c r="D269" s="52">
        <v>1</v>
      </c>
      <c r="E269" s="57" t="s">
        <v>215</v>
      </c>
      <c r="F269" s="57" t="s">
        <v>193</v>
      </c>
      <c r="G269" s="57"/>
    </row>
    <row r="270" spans="1:7" ht="16.5" x14ac:dyDescent="0.25">
      <c r="A270" s="52">
        <f>IF(C270&lt;&gt;"", SUBTOTAL(3, $C$2:C270), "")</f>
        <v>269</v>
      </c>
      <c r="B270" s="54" t="s">
        <v>264</v>
      </c>
      <c r="C270" s="58" t="s">
        <v>173</v>
      </c>
      <c r="D270" s="52">
        <v>1</v>
      </c>
      <c r="E270" s="57" t="s">
        <v>215</v>
      </c>
      <c r="F270" s="57" t="s">
        <v>193</v>
      </c>
      <c r="G270" s="57"/>
    </row>
    <row r="271" spans="1:7" ht="16.5" x14ac:dyDescent="0.25">
      <c r="A271" s="52">
        <f>IF(C271&lt;&gt;"", SUBTOTAL(3, $C$2:C271), "")</f>
        <v>270</v>
      </c>
      <c r="B271" s="55" t="s">
        <v>406</v>
      </c>
      <c r="C271" s="52" t="s">
        <v>173</v>
      </c>
      <c r="D271" s="52">
        <v>2</v>
      </c>
      <c r="E271" s="52" t="s">
        <v>229</v>
      </c>
      <c r="F271" s="52" t="s">
        <v>351</v>
      </c>
      <c r="G271" s="55"/>
    </row>
    <row r="272" spans="1:7" ht="16.5" x14ac:dyDescent="0.25">
      <c r="A272" s="52">
        <f>IF(C272&lt;&gt;"", SUBTOTAL(3, $C$2:C272), "")</f>
        <v>271</v>
      </c>
      <c r="B272" s="55" t="s">
        <v>401</v>
      </c>
      <c r="C272" s="52" t="s">
        <v>173</v>
      </c>
      <c r="D272" s="52">
        <v>1</v>
      </c>
      <c r="E272" s="52" t="s">
        <v>229</v>
      </c>
      <c r="F272" s="52" t="s">
        <v>341</v>
      </c>
      <c r="G272" s="55"/>
    </row>
    <row r="273" spans="1:7" ht="16.5" x14ac:dyDescent="0.25">
      <c r="A273" s="52">
        <f>IF(C273&lt;&gt;"", SUBTOTAL(3, $C$2:C273), "")</f>
        <v>272</v>
      </c>
      <c r="B273" s="55" t="s">
        <v>76</v>
      </c>
      <c r="C273" s="52" t="s">
        <v>173</v>
      </c>
      <c r="D273" s="52">
        <v>2</v>
      </c>
      <c r="E273" s="52" t="s">
        <v>229</v>
      </c>
      <c r="F273" s="52" t="s">
        <v>341</v>
      </c>
      <c r="G273" s="55"/>
    </row>
    <row r="274" spans="1:7" ht="16.5" x14ac:dyDescent="0.25">
      <c r="A274" s="52">
        <f>IF(C274&lt;&gt;"", SUBTOTAL(3, $C$2:C274), "")</f>
        <v>273</v>
      </c>
      <c r="B274" s="55" t="s">
        <v>97</v>
      </c>
      <c r="C274" s="52" t="s">
        <v>173</v>
      </c>
      <c r="D274" s="52">
        <v>1</v>
      </c>
      <c r="E274" s="52" t="s">
        <v>229</v>
      </c>
      <c r="F274" s="52" t="s">
        <v>365</v>
      </c>
      <c r="G274" s="55"/>
    </row>
    <row r="275" spans="1:7" ht="16.5" x14ac:dyDescent="0.25">
      <c r="A275" s="52">
        <f>IF(C275&lt;&gt;"", SUBTOTAL(3, $C$2:C275), "")</f>
        <v>274</v>
      </c>
      <c r="B275" s="55" t="s">
        <v>405</v>
      </c>
      <c r="C275" s="52" t="s">
        <v>173</v>
      </c>
      <c r="D275" s="52">
        <v>2</v>
      </c>
      <c r="E275" s="52" t="s">
        <v>229</v>
      </c>
      <c r="F275" s="52" t="s">
        <v>341</v>
      </c>
      <c r="G275" s="55"/>
    </row>
    <row r="276" spans="1:7" ht="16.5" x14ac:dyDescent="0.25">
      <c r="A276" s="52">
        <f>IF(C276&lt;&gt;"", SUBTOTAL(3, $C$2:C276), "")</f>
        <v>275</v>
      </c>
      <c r="B276" s="55" t="s">
        <v>402</v>
      </c>
      <c r="C276" s="52" t="s">
        <v>173</v>
      </c>
      <c r="D276" s="52">
        <v>2</v>
      </c>
      <c r="E276" s="52" t="s">
        <v>229</v>
      </c>
      <c r="F276" s="52" t="s">
        <v>341</v>
      </c>
      <c r="G276" s="55"/>
    </row>
    <row r="277" spans="1:7" ht="16.5" x14ac:dyDescent="0.25">
      <c r="A277" s="52">
        <f>IF(C277&lt;&gt;"", SUBTOTAL(3, $C$2:C277), "")</f>
        <v>276</v>
      </c>
      <c r="B277" s="55" t="s">
        <v>403</v>
      </c>
      <c r="C277" s="52" t="s">
        <v>173</v>
      </c>
      <c r="D277" s="52">
        <v>1</v>
      </c>
      <c r="E277" s="52" t="s">
        <v>229</v>
      </c>
      <c r="F277" s="52" t="s">
        <v>341</v>
      </c>
      <c r="G277" s="55"/>
    </row>
    <row r="278" spans="1:7" ht="16.5" x14ac:dyDescent="0.25">
      <c r="A278" s="52">
        <f>IF(C278&lt;&gt;"", SUBTOTAL(3, $C$2:C278), "")</f>
        <v>277</v>
      </c>
      <c r="B278" s="55" t="s">
        <v>399</v>
      </c>
      <c r="C278" s="52" t="s">
        <v>173</v>
      </c>
      <c r="D278" s="52">
        <v>1</v>
      </c>
      <c r="E278" s="52" t="s">
        <v>229</v>
      </c>
      <c r="F278" s="52" t="s">
        <v>341</v>
      </c>
      <c r="G278" s="55"/>
    </row>
    <row r="279" spans="1:7" ht="16.5" x14ac:dyDescent="0.25">
      <c r="A279" s="52">
        <f>IF(C279&lt;&gt;"", SUBTOTAL(3, $C$2:C279), "")</f>
        <v>278</v>
      </c>
      <c r="B279" s="19" t="s">
        <v>129</v>
      </c>
      <c r="C279" s="14" t="s">
        <v>173</v>
      </c>
      <c r="D279" s="52">
        <v>1</v>
      </c>
      <c r="E279" s="52" t="s">
        <v>229</v>
      </c>
      <c r="F279" s="52" t="s">
        <v>193</v>
      </c>
      <c r="G279" s="55"/>
    </row>
    <row r="280" spans="1:7" ht="16.5" x14ac:dyDescent="0.25">
      <c r="A280" s="52">
        <f>IF(C280&lt;&gt;"", SUBTOTAL(3, $C$2:C280), "")</f>
        <v>279</v>
      </c>
      <c r="B280" s="54" t="s">
        <v>267</v>
      </c>
      <c r="C280" s="58" t="s">
        <v>173</v>
      </c>
      <c r="D280" s="52">
        <v>1</v>
      </c>
      <c r="E280" s="57" t="s">
        <v>215</v>
      </c>
      <c r="F280" s="57" t="s">
        <v>193</v>
      </c>
      <c r="G280" s="57"/>
    </row>
    <row r="281" spans="1:7" ht="16.5" x14ac:dyDescent="0.25">
      <c r="A281" s="52">
        <f>IF(C281&lt;&gt;"", SUBTOTAL(3, $C$2:C281), "")</f>
        <v>280</v>
      </c>
      <c r="B281" s="55" t="s">
        <v>404</v>
      </c>
      <c r="C281" s="52" t="s">
        <v>173</v>
      </c>
      <c r="D281" s="52">
        <v>1</v>
      </c>
      <c r="E281" s="52" t="s">
        <v>229</v>
      </c>
      <c r="F281" s="52" t="s">
        <v>351</v>
      </c>
      <c r="G281" s="55"/>
    </row>
    <row r="282" spans="1:7" ht="16.5" x14ac:dyDescent="0.25">
      <c r="A282" s="52">
        <f>IF(C282&lt;&gt;"", SUBTOTAL(3, $C$2:C282), "")</f>
        <v>281</v>
      </c>
      <c r="B282" s="19" t="s">
        <v>140</v>
      </c>
      <c r="C282" s="14" t="s">
        <v>173</v>
      </c>
      <c r="D282" s="52">
        <v>1</v>
      </c>
      <c r="E282" s="52" t="s">
        <v>229</v>
      </c>
      <c r="F282" s="52" t="s">
        <v>193</v>
      </c>
      <c r="G282" s="55"/>
    </row>
    <row r="283" spans="1:7" ht="16.5" x14ac:dyDescent="0.25">
      <c r="A283" s="52">
        <f>IF(C283&lt;&gt;"", SUBTOTAL(3, $C$2:C283), "")</f>
        <v>282</v>
      </c>
      <c r="B283" s="55" t="s">
        <v>245</v>
      </c>
      <c r="C283" s="52" t="s">
        <v>164</v>
      </c>
      <c r="D283" s="52">
        <v>1</v>
      </c>
      <c r="E283" s="52" t="s">
        <v>215</v>
      </c>
      <c r="F283" s="52" t="s">
        <v>193</v>
      </c>
      <c r="G283" s="55"/>
    </row>
    <row r="284" spans="1:7" ht="16.5" x14ac:dyDescent="0.25">
      <c r="A284" s="52">
        <f>IF(C284&lt;&gt;"", SUBTOTAL(3, $C$2:C284), "")</f>
        <v>283</v>
      </c>
      <c r="B284" s="55" t="s">
        <v>358</v>
      </c>
      <c r="C284" s="52" t="s">
        <v>164</v>
      </c>
      <c r="D284" s="52">
        <v>1</v>
      </c>
      <c r="E284" s="52" t="s">
        <v>229</v>
      </c>
      <c r="F284" s="52" t="s">
        <v>351</v>
      </c>
      <c r="G284" s="55"/>
    </row>
    <row r="285" spans="1:7" ht="16.5" x14ac:dyDescent="0.25">
      <c r="A285" s="52">
        <f>IF(C285&lt;&gt;"", SUBTOTAL(3, $C$2:C285), "")</f>
        <v>284</v>
      </c>
      <c r="B285" s="55" t="s">
        <v>246</v>
      </c>
      <c r="C285" s="52" t="s">
        <v>164</v>
      </c>
      <c r="D285" s="52">
        <v>1</v>
      </c>
      <c r="E285" s="52" t="s">
        <v>215</v>
      </c>
      <c r="F285" s="52" t="s">
        <v>193</v>
      </c>
      <c r="G285" s="55"/>
    </row>
    <row r="286" spans="1:7" ht="16.5" x14ac:dyDescent="0.25">
      <c r="A286" s="52">
        <f>IF(C286&lt;&gt;"", SUBTOTAL(3, $C$2:C286), "")</f>
        <v>285</v>
      </c>
      <c r="B286" s="55" t="s">
        <v>355</v>
      </c>
      <c r="C286" s="52" t="s">
        <v>164</v>
      </c>
      <c r="D286" s="52">
        <v>3</v>
      </c>
      <c r="E286" s="52" t="s">
        <v>229</v>
      </c>
      <c r="F286" s="52" t="s">
        <v>351</v>
      </c>
      <c r="G286" s="55"/>
    </row>
    <row r="287" spans="1:7" ht="16.5" x14ac:dyDescent="0.25">
      <c r="A287" s="52">
        <f>IF(C287&lt;&gt;"", SUBTOTAL(3, $C$2:C287), "")</f>
        <v>286</v>
      </c>
      <c r="B287" s="54" t="s">
        <v>249</v>
      </c>
      <c r="C287" s="53" t="s">
        <v>164</v>
      </c>
      <c r="D287" s="52">
        <v>1</v>
      </c>
      <c r="E287" s="52" t="s">
        <v>215</v>
      </c>
      <c r="F287" s="52" t="s">
        <v>193</v>
      </c>
      <c r="G287" s="55"/>
    </row>
    <row r="288" spans="1:7" ht="16.5" x14ac:dyDescent="0.25">
      <c r="A288" s="52">
        <f>IF(C288&lt;&gt;"", SUBTOTAL(3, $C$2:C288), "")</f>
        <v>287</v>
      </c>
      <c r="B288" s="55" t="s">
        <v>19</v>
      </c>
      <c r="C288" s="52" t="s">
        <v>164</v>
      </c>
      <c r="D288" s="52">
        <v>1</v>
      </c>
      <c r="E288" s="52" t="s">
        <v>229</v>
      </c>
      <c r="F288" s="52" t="s">
        <v>341</v>
      </c>
      <c r="G288" s="55"/>
    </row>
    <row r="289" spans="1:7" ht="16.5" x14ac:dyDescent="0.25">
      <c r="A289" s="52">
        <f>IF(C289&lt;&gt;"", SUBTOTAL(3, $C$2:C289), "")</f>
        <v>288</v>
      </c>
      <c r="B289" s="55" t="s">
        <v>369</v>
      </c>
      <c r="C289" s="52" t="s">
        <v>164</v>
      </c>
      <c r="D289" s="52">
        <v>3</v>
      </c>
      <c r="E289" s="52" t="s">
        <v>229</v>
      </c>
      <c r="F289" s="52" t="s">
        <v>341</v>
      </c>
      <c r="G289" s="55"/>
    </row>
    <row r="290" spans="1:7" ht="16.5" x14ac:dyDescent="0.25">
      <c r="A290" s="52">
        <f>IF(C290&lt;&gt;"", SUBTOTAL(3, $C$2:C290), "")</f>
        <v>289</v>
      </c>
      <c r="B290" s="55" t="s">
        <v>243</v>
      </c>
      <c r="C290" s="52" t="s">
        <v>164</v>
      </c>
      <c r="D290" s="52">
        <v>1</v>
      </c>
      <c r="E290" s="52" t="s">
        <v>215</v>
      </c>
      <c r="F290" s="52" t="s">
        <v>193</v>
      </c>
      <c r="G290" s="55"/>
    </row>
    <row r="291" spans="1:7" ht="16.5" x14ac:dyDescent="0.25">
      <c r="A291" s="52">
        <f>IF(C291&lt;&gt;"", SUBTOTAL(3, $C$2:C291), "")</f>
        <v>290</v>
      </c>
      <c r="B291" s="55" t="s">
        <v>21</v>
      </c>
      <c r="C291" s="52" t="s">
        <v>164</v>
      </c>
      <c r="D291" s="52">
        <v>5</v>
      </c>
      <c r="E291" s="52" t="s">
        <v>229</v>
      </c>
      <c r="F291" s="52" t="s">
        <v>341</v>
      </c>
      <c r="G291" s="55"/>
    </row>
    <row r="292" spans="1:7" ht="16.5" x14ac:dyDescent="0.25">
      <c r="A292" s="52">
        <f>IF(C292&lt;&gt;"", SUBTOTAL(3, $C$2:C292), "")</f>
        <v>291</v>
      </c>
      <c r="B292" s="54" t="s">
        <v>21</v>
      </c>
      <c r="C292" s="53" t="s">
        <v>164</v>
      </c>
      <c r="D292" s="52">
        <v>1</v>
      </c>
      <c r="E292" s="52" t="s">
        <v>215</v>
      </c>
      <c r="F292" s="52" t="s">
        <v>193</v>
      </c>
      <c r="G292" s="55"/>
    </row>
    <row r="293" spans="1:7" ht="16.5" x14ac:dyDescent="0.25">
      <c r="A293" s="52">
        <f>IF(C293&lt;&gt;"", SUBTOTAL(3, $C$2:C293), "")</f>
        <v>292</v>
      </c>
      <c r="B293" s="54" t="s">
        <v>253</v>
      </c>
      <c r="C293" s="53" t="s">
        <v>164</v>
      </c>
      <c r="D293" s="52">
        <v>1</v>
      </c>
      <c r="E293" s="52" t="s">
        <v>215</v>
      </c>
      <c r="F293" s="52" t="s">
        <v>193</v>
      </c>
      <c r="G293" s="55"/>
    </row>
    <row r="294" spans="1:7" ht="16.5" x14ac:dyDescent="0.25">
      <c r="A294" s="52">
        <f>IF(C294&lt;&gt;"", SUBTOTAL(3, $C$2:C294), "")</f>
        <v>293</v>
      </c>
      <c r="B294" s="54" t="s">
        <v>247</v>
      </c>
      <c r="C294" s="53" t="s">
        <v>164</v>
      </c>
      <c r="D294" s="52">
        <v>1</v>
      </c>
      <c r="E294" s="52" t="s">
        <v>215</v>
      </c>
      <c r="F294" s="52" t="s">
        <v>193</v>
      </c>
      <c r="G294" s="55"/>
    </row>
    <row r="295" spans="1:7" ht="16.5" x14ac:dyDescent="0.25">
      <c r="A295" s="52">
        <f>IF(C295&lt;&gt;"", SUBTOTAL(3, $C$2:C295), "")</f>
        <v>294</v>
      </c>
      <c r="B295" s="55" t="s">
        <v>357</v>
      </c>
      <c r="C295" s="52" t="s">
        <v>164</v>
      </c>
      <c r="D295" s="52">
        <v>1</v>
      </c>
      <c r="E295" s="52" t="s">
        <v>229</v>
      </c>
      <c r="F295" s="52" t="s">
        <v>341</v>
      </c>
      <c r="G295" s="55"/>
    </row>
    <row r="296" spans="1:7" ht="16.5" x14ac:dyDescent="0.25">
      <c r="A296" s="52">
        <f>IF(C296&lt;&gt;"", SUBTOTAL(3, $C$2:C296), "")</f>
        <v>295</v>
      </c>
      <c r="B296" s="55" t="s">
        <v>37</v>
      </c>
      <c r="C296" s="52" t="s">
        <v>164</v>
      </c>
      <c r="D296" s="52">
        <v>1</v>
      </c>
      <c r="E296" s="52" t="s">
        <v>229</v>
      </c>
      <c r="F296" s="52" t="s">
        <v>341</v>
      </c>
      <c r="G296" s="55"/>
    </row>
    <row r="297" spans="1:7" ht="16.5" x14ac:dyDescent="0.25">
      <c r="A297" s="52">
        <f>IF(C297&lt;&gt;"", SUBTOTAL(3, $C$2:C297), "")</f>
        <v>296</v>
      </c>
      <c r="B297" s="55" t="s">
        <v>359</v>
      </c>
      <c r="C297" s="52" t="s">
        <v>164</v>
      </c>
      <c r="D297" s="52">
        <v>5</v>
      </c>
      <c r="E297" s="52" t="s">
        <v>229</v>
      </c>
      <c r="F297" s="52" t="s">
        <v>351</v>
      </c>
      <c r="G297" s="55"/>
    </row>
    <row r="298" spans="1:7" ht="16.5" x14ac:dyDescent="0.25">
      <c r="A298" s="52">
        <f>IF(C298&lt;&gt;"", SUBTOTAL(3, $C$2:C298), "")</f>
        <v>297</v>
      </c>
      <c r="B298" s="54" t="s">
        <v>256</v>
      </c>
      <c r="C298" s="53" t="s">
        <v>164</v>
      </c>
      <c r="D298" s="52">
        <v>1</v>
      </c>
      <c r="E298" s="52" t="s">
        <v>215</v>
      </c>
      <c r="F298" s="52" t="s">
        <v>193</v>
      </c>
      <c r="G298" s="55"/>
    </row>
    <row r="299" spans="1:7" ht="16.5" x14ac:dyDescent="0.25">
      <c r="A299" s="52">
        <f>IF(C299&lt;&gt;"", SUBTOTAL(3, $C$2:C299), "")</f>
        <v>298</v>
      </c>
      <c r="B299" s="54" t="s">
        <v>248</v>
      </c>
      <c r="C299" s="53" t="s">
        <v>164</v>
      </c>
      <c r="D299" s="52">
        <v>1</v>
      </c>
      <c r="E299" s="52" t="s">
        <v>215</v>
      </c>
      <c r="F299" s="52" t="s">
        <v>193</v>
      </c>
      <c r="G299" s="55"/>
    </row>
    <row r="300" spans="1:7" ht="16.5" x14ac:dyDescent="0.25">
      <c r="A300" s="52">
        <f>IF(C300&lt;&gt;"", SUBTOTAL(3, $C$2:C300), "")</f>
        <v>299</v>
      </c>
      <c r="B300" s="55" t="s">
        <v>48</v>
      </c>
      <c r="C300" s="52" t="s">
        <v>164</v>
      </c>
      <c r="D300" s="52">
        <v>2</v>
      </c>
      <c r="E300" s="52" t="s">
        <v>229</v>
      </c>
      <c r="F300" s="52" t="s">
        <v>341</v>
      </c>
      <c r="G300" s="55"/>
    </row>
    <row r="301" spans="1:7" ht="16.5" x14ac:dyDescent="0.25">
      <c r="A301" s="52">
        <f>IF(C301&lt;&gt;"", SUBTOTAL(3, $C$2:C301), "")</f>
        <v>300</v>
      </c>
      <c r="B301" s="54" t="s">
        <v>258</v>
      </c>
      <c r="C301" s="53" t="s">
        <v>164</v>
      </c>
      <c r="D301" s="52">
        <v>1</v>
      </c>
      <c r="E301" s="52" t="s">
        <v>215</v>
      </c>
      <c r="F301" s="52" t="s">
        <v>193</v>
      </c>
      <c r="G301" s="55"/>
    </row>
    <row r="302" spans="1:7" ht="16.5" x14ac:dyDescent="0.25">
      <c r="A302" s="52">
        <f>IF(C302&lt;&gt;"", SUBTOTAL(3, $C$2:C302), "")</f>
        <v>301</v>
      </c>
      <c r="B302" s="55" t="s">
        <v>368</v>
      </c>
      <c r="C302" s="52" t="s">
        <v>164</v>
      </c>
      <c r="D302" s="52">
        <v>3</v>
      </c>
      <c r="E302" s="52" t="s">
        <v>229</v>
      </c>
      <c r="F302" s="52" t="s">
        <v>341</v>
      </c>
      <c r="G302" s="55"/>
    </row>
    <row r="303" spans="1:7" ht="16.5" x14ac:dyDescent="0.25">
      <c r="A303" s="52">
        <f>IF(C303&lt;&gt;"", SUBTOTAL(3, $C$2:C303), "")</f>
        <v>302</v>
      </c>
      <c r="B303" s="55" t="s">
        <v>366</v>
      </c>
      <c r="C303" s="52" t="s">
        <v>164</v>
      </c>
      <c r="D303" s="52">
        <v>2</v>
      </c>
      <c r="E303" s="52" t="s">
        <v>229</v>
      </c>
      <c r="F303" s="52" t="s">
        <v>341</v>
      </c>
      <c r="G303" s="55"/>
    </row>
    <row r="304" spans="1:7" ht="16.5" x14ac:dyDescent="0.25">
      <c r="A304" s="52">
        <f>IF(C304&lt;&gt;"", SUBTOTAL(3, $C$2:C304), "")</f>
        <v>303</v>
      </c>
      <c r="B304" s="54" t="s">
        <v>252</v>
      </c>
      <c r="C304" s="53" t="s">
        <v>164</v>
      </c>
      <c r="D304" s="52">
        <v>1</v>
      </c>
      <c r="E304" s="52" t="s">
        <v>215</v>
      </c>
      <c r="F304" s="52" t="s">
        <v>193</v>
      </c>
      <c r="G304" s="55"/>
    </row>
    <row r="305" spans="1:7" ht="16.5" x14ac:dyDescent="0.25">
      <c r="A305" s="52">
        <f>IF(C305&lt;&gt;"", SUBTOTAL(3, $C$2:C305), "")</f>
        <v>304</v>
      </c>
      <c r="B305" s="54" t="s">
        <v>318</v>
      </c>
      <c r="C305" s="53" t="s">
        <v>164</v>
      </c>
      <c r="D305" s="52">
        <v>1</v>
      </c>
      <c r="E305" s="52" t="s">
        <v>215</v>
      </c>
      <c r="F305" s="52" t="s">
        <v>193</v>
      </c>
      <c r="G305" s="55"/>
    </row>
    <row r="306" spans="1:7" ht="16.5" x14ac:dyDescent="0.25">
      <c r="A306" s="52">
        <f>IF(C306&lt;&gt;"", SUBTOTAL(3, $C$2:C306), "")</f>
        <v>305</v>
      </c>
      <c r="B306" s="55" t="s">
        <v>361</v>
      </c>
      <c r="C306" s="52" t="s">
        <v>164</v>
      </c>
      <c r="D306" s="52">
        <v>1</v>
      </c>
      <c r="E306" s="52" t="s">
        <v>229</v>
      </c>
      <c r="F306" s="52" t="s">
        <v>351</v>
      </c>
      <c r="G306" s="55"/>
    </row>
    <row r="307" spans="1:7" ht="16.5" x14ac:dyDescent="0.25">
      <c r="A307" s="52">
        <f>IF(C307&lt;&gt;"", SUBTOTAL(3, $C$2:C307), "")</f>
        <v>306</v>
      </c>
      <c r="B307" s="55" t="s">
        <v>353</v>
      </c>
      <c r="C307" s="52" t="s">
        <v>164</v>
      </c>
      <c r="D307" s="52">
        <v>4</v>
      </c>
      <c r="E307" s="52" t="s">
        <v>229</v>
      </c>
      <c r="F307" s="52" t="s">
        <v>341</v>
      </c>
      <c r="G307" s="55"/>
    </row>
    <row r="308" spans="1:7" ht="16.5" x14ac:dyDescent="0.25">
      <c r="A308" s="52">
        <f>IF(C308&lt;&gt;"", SUBTOTAL(3, $C$2:C308), "")</f>
        <v>307</v>
      </c>
      <c r="B308" s="55" t="s">
        <v>363</v>
      </c>
      <c r="C308" s="52" t="s">
        <v>164</v>
      </c>
      <c r="D308" s="52">
        <v>1</v>
      </c>
      <c r="E308" s="52" t="s">
        <v>229</v>
      </c>
      <c r="F308" s="52" t="s">
        <v>351</v>
      </c>
      <c r="G308" s="55"/>
    </row>
    <row r="309" spans="1:7" ht="16.5" x14ac:dyDescent="0.25">
      <c r="A309" s="52">
        <f>IF(C309&lt;&gt;"", SUBTOTAL(3, $C$2:C309), "")</f>
        <v>308</v>
      </c>
      <c r="B309" s="54" t="s">
        <v>250</v>
      </c>
      <c r="C309" s="53" t="s">
        <v>164</v>
      </c>
      <c r="D309" s="52">
        <v>1</v>
      </c>
      <c r="E309" s="52" t="s">
        <v>215</v>
      </c>
      <c r="F309" s="52" t="s">
        <v>193</v>
      </c>
      <c r="G309" s="55"/>
    </row>
    <row r="310" spans="1:7" ht="16.5" x14ac:dyDescent="0.25">
      <c r="A310" s="52">
        <f>IF(C310&lt;&gt;"", SUBTOTAL(3, $C$2:C310), "")</f>
        <v>309</v>
      </c>
      <c r="B310" s="54" t="s">
        <v>251</v>
      </c>
      <c r="C310" s="53" t="s">
        <v>164</v>
      </c>
      <c r="D310" s="52">
        <v>1</v>
      </c>
      <c r="E310" s="52" t="s">
        <v>215</v>
      </c>
      <c r="F310" s="52" t="s">
        <v>193</v>
      </c>
      <c r="G310" s="55"/>
    </row>
    <row r="311" spans="1:7" ht="16.5" x14ac:dyDescent="0.25">
      <c r="A311" s="52">
        <f>IF(C311&lt;&gt;"", SUBTOTAL(3, $C$2:C311), "")</f>
        <v>310</v>
      </c>
      <c r="B311" s="55" t="s">
        <v>244</v>
      </c>
      <c r="C311" s="52" t="s">
        <v>164</v>
      </c>
      <c r="D311" s="52">
        <v>1</v>
      </c>
      <c r="E311" s="52" t="s">
        <v>215</v>
      </c>
      <c r="F311" s="52" t="s">
        <v>193</v>
      </c>
      <c r="G311" s="55"/>
    </row>
    <row r="312" spans="1:7" ht="16.5" x14ac:dyDescent="0.25">
      <c r="A312" s="52">
        <f>IF(C312&lt;&gt;"", SUBTOTAL(3, $C$2:C312), "")</f>
        <v>311</v>
      </c>
      <c r="B312" s="55" t="s">
        <v>182</v>
      </c>
      <c r="C312" s="52" t="s">
        <v>164</v>
      </c>
      <c r="D312" s="52">
        <v>1</v>
      </c>
      <c r="E312" s="52" t="s">
        <v>229</v>
      </c>
      <c r="F312" s="52" t="s">
        <v>341</v>
      </c>
      <c r="G312" s="55"/>
    </row>
    <row r="313" spans="1:7" ht="16.5" x14ac:dyDescent="0.25">
      <c r="A313" s="52">
        <f>IF(C313&lt;&gt;"", SUBTOTAL(3, $C$2:C313), "")</f>
        <v>312</v>
      </c>
      <c r="B313" s="54" t="s">
        <v>182</v>
      </c>
      <c r="C313" s="53" t="s">
        <v>164</v>
      </c>
      <c r="D313" s="52">
        <v>1</v>
      </c>
      <c r="E313" s="52" t="s">
        <v>215</v>
      </c>
      <c r="F313" s="52" t="s">
        <v>193</v>
      </c>
      <c r="G313" s="55"/>
    </row>
    <row r="314" spans="1:7" ht="16.5" x14ac:dyDescent="0.25">
      <c r="A314" s="52">
        <f>IF(C314&lt;&gt;"", SUBTOTAL(3, $C$2:C314), "")</f>
        <v>313</v>
      </c>
      <c r="B314" s="54" t="s">
        <v>255</v>
      </c>
      <c r="C314" s="53" t="s">
        <v>164</v>
      </c>
      <c r="D314" s="52">
        <v>1</v>
      </c>
      <c r="E314" s="52" t="s">
        <v>215</v>
      </c>
      <c r="F314" s="52" t="s">
        <v>193</v>
      </c>
      <c r="G314" s="55"/>
    </row>
    <row r="315" spans="1:7" ht="16.5" x14ac:dyDescent="0.25">
      <c r="A315" s="52">
        <f>IF(C315&lt;&gt;"", SUBTOTAL(3, $C$2:C315), "")</f>
        <v>314</v>
      </c>
      <c r="B315" s="17" t="s">
        <v>354</v>
      </c>
      <c r="C315" s="52" t="s">
        <v>164</v>
      </c>
      <c r="D315" s="52">
        <v>4</v>
      </c>
      <c r="E315" s="52" t="s">
        <v>229</v>
      </c>
      <c r="F315" s="52" t="s">
        <v>351</v>
      </c>
      <c r="G315" s="55"/>
    </row>
    <row r="316" spans="1:7" ht="16.5" x14ac:dyDescent="0.25">
      <c r="A316" s="52">
        <f>IF(C316&lt;&gt;"", SUBTOTAL(3, $C$2:C316), "")</f>
        <v>315</v>
      </c>
      <c r="B316" s="54" t="s">
        <v>254</v>
      </c>
      <c r="C316" s="53" t="s">
        <v>164</v>
      </c>
      <c r="D316" s="52">
        <v>1</v>
      </c>
      <c r="E316" s="52" t="s">
        <v>215</v>
      </c>
      <c r="F316" s="52" t="s">
        <v>193</v>
      </c>
      <c r="G316" s="55"/>
    </row>
    <row r="317" spans="1:7" ht="16.5" x14ac:dyDescent="0.25">
      <c r="A317" s="52">
        <f>IF(C317&lt;&gt;"", SUBTOTAL(3, $C$2:C317), "")</f>
        <v>316</v>
      </c>
      <c r="B317" s="54" t="s">
        <v>259</v>
      </c>
      <c r="C317" s="53" t="s">
        <v>164</v>
      </c>
      <c r="D317" s="52">
        <v>1</v>
      </c>
      <c r="E317" s="52" t="s">
        <v>215</v>
      </c>
      <c r="F317" s="52" t="s">
        <v>193</v>
      </c>
      <c r="G317" s="55"/>
    </row>
    <row r="318" spans="1:7" ht="16.5" x14ac:dyDescent="0.25">
      <c r="A318" s="52">
        <f>IF(C318&lt;&gt;"", SUBTOTAL(3, $C$2:C318), "")</f>
        <v>317</v>
      </c>
      <c r="B318" s="55" t="s">
        <v>356</v>
      </c>
      <c r="C318" s="52" t="s">
        <v>164</v>
      </c>
      <c r="D318" s="52">
        <v>2</v>
      </c>
      <c r="E318" s="52" t="s">
        <v>229</v>
      </c>
      <c r="F318" s="52" t="s">
        <v>351</v>
      </c>
      <c r="G318" s="55"/>
    </row>
    <row r="319" spans="1:7" ht="16.5" x14ac:dyDescent="0.25">
      <c r="A319" s="52">
        <f>IF(C319&lt;&gt;"", SUBTOTAL(3, $C$2:C319), "")</f>
        <v>318</v>
      </c>
      <c r="B319" s="55" t="s">
        <v>370</v>
      </c>
      <c r="C319" s="52" t="s">
        <v>164</v>
      </c>
      <c r="D319" s="52">
        <v>3</v>
      </c>
      <c r="E319" s="52" t="s">
        <v>229</v>
      </c>
      <c r="F319" s="52" t="s">
        <v>341</v>
      </c>
      <c r="G319" s="55"/>
    </row>
    <row r="320" spans="1:7" ht="16.5" x14ac:dyDescent="0.25">
      <c r="A320" s="52">
        <f>IF(C320&lt;&gt;"", SUBTOTAL(3, $C$2:C320), "")</f>
        <v>319</v>
      </c>
      <c r="B320" s="54" t="s">
        <v>257</v>
      </c>
      <c r="C320" s="53" t="s">
        <v>164</v>
      </c>
      <c r="D320" s="52">
        <v>1</v>
      </c>
      <c r="E320" s="52" t="s">
        <v>215</v>
      </c>
      <c r="F320" s="52" t="s">
        <v>193</v>
      </c>
      <c r="G320" s="55"/>
    </row>
    <row r="321" spans="1:7" ht="16.5" x14ac:dyDescent="0.25">
      <c r="A321" s="52">
        <f>IF(C321&lt;&gt;"", SUBTOTAL(3, $C$2:C321), "")</f>
        <v>320</v>
      </c>
      <c r="B321" s="55" t="s">
        <v>367</v>
      </c>
      <c r="C321" s="52" t="s">
        <v>164</v>
      </c>
      <c r="D321" s="52">
        <v>2</v>
      </c>
      <c r="E321" s="52" t="s">
        <v>229</v>
      </c>
      <c r="F321" s="52" t="s">
        <v>351</v>
      </c>
      <c r="G321" s="55"/>
    </row>
    <row r="322" spans="1:7" ht="16.5" x14ac:dyDescent="0.25">
      <c r="A322" s="52">
        <f>IF(C322&lt;&gt;"", SUBTOTAL(3, $C$2:C322), "")</f>
        <v>321</v>
      </c>
      <c r="B322" s="55" t="s">
        <v>122</v>
      </c>
      <c r="C322" s="52" t="s">
        <v>164</v>
      </c>
      <c r="D322" s="52">
        <v>1</v>
      </c>
      <c r="E322" s="52" t="s">
        <v>229</v>
      </c>
      <c r="F322" s="52" t="s">
        <v>351</v>
      </c>
      <c r="G322" s="55"/>
    </row>
    <row r="323" spans="1:7" ht="16.5" x14ac:dyDescent="0.25">
      <c r="A323" s="52">
        <f>IF(C323&lt;&gt;"", SUBTOTAL(3, $C$2:C323), "")</f>
        <v>322</v>
      </c>
      <c r="B323" s="55" t="s">
        <v>138</v>
      </c>
      <c r="C323" s="52" t="s">
        <v>164</v>
      </c>
      <c r="D323" s="52">
        <v>1</v>
      </c>
      <c r="E323" s="52" t="s">
        <v>229</v>
      </c>
      <c r="F323" s="52" t="s">
        <v>341</v>
      </c>
      <c r="G323" s="55"/>
    </row>
    <row r="324" spans="1:7" ht="16.5" x14ac:dyDescent="0.25">
      <c r="A324" s="52">
        <f>IF(C324&lt;&gt;"", SUBTOTAL(3, $C$2:C324), "")</f>
        <v>323</v>
      </c>
      <c r="B324" s="55" t="s">
        <v>138</v>
      </c>
      <c r="C324" s="52" t="s">
        <v>164</v>
      </c>
      <c r="D324" s="52">
        <v>1</v>
      </c>
      <c r="E324" s="52" t="s">
        <v>215</v>
      </c>
      <c r="F324" s="52" t="s">
        <v>193</v>
      </c>
      <c r="G324" s="55"/>
    </row>
    <row r="325" spans="1:7" ht="16.5" x14ac:dyDescent="0.25">
      <c r="A325" s="52">
        <f>IF(C325&lt;&gt;"", SUBTOTAL(3, $C$2:C325), "")</f>
        <v>324</v>
      </c>
      <c r="B325" s="54" t="s">
        <v>142</v>
      </c>
      <c r="C325" s="53" t="s">
        <v>164</v>
      </c>
      <c r="D325" s="52">
        <v>1</v>
      </c>
      <c r="E325" s="52" t="s">
        <v>215</v>
      </c>
      <c r="F325" s="52" t="s">
        <v>193</v>
      </c>
      <c r="G325" s="55"/>
    </row>
    <row r="326" spans="1:7" ht="16.5" x14ac:dyDescent="0.25">
      <c r="A326" s="52">
        <f>IF(C326&lt;&gt;"", SUBTOTAL(3, $C$2:C326), "")</f>
        <v>325</v>
      </c>
      <c r="B326" s="55" t="s">
        <v>364</v>
      </c>
      <c r="C326" s="52" t="s">
        <v>164</v>
      </c>
      <c r="D326" s="52">
        <v>2</v>
      </c>
      <c r="E326" s="52" t="s">
        <v>229</v>
      </c>
      <c r="F326" s="52" t="s">
        <v>365</v>
      </c>
      <c r="G326" s="55"/>
    </row>
    <row r="327" spans="1:7" ht="16.5" x14ac:dyDescent="0.25">
      <c r="A327" s="52">
        <f>IF(C327&lt;&gt;"", SUBTOTAL(3, $C$2:C327), "")</f>
        <v>326</v>
      </c>
      <c r="B327" s="55" t="s">
        <v>362</v>
      </c>
      <c r="C327" s="52" t="s">
        <v>164</v>
      </c>
      <c r="D327" s="52">
        <v>2</v>
      </c>
      <c r="E327" s="52" t="s">
        <v>229</v>
      </c>
      <c r="F327" s="52" t="s">
        <v>351</v>
      </c>
      <c r="G327" s="55"/>
    </row>
    <row r="328" spans="1:7" ht="16.5" x14ac:dyDescent="0.25">
      <c r="A328" s="52">
        <f>IF(C328&lt;&gt;"", SUBTOTAL(3, $C$2:C328), "")</f>
        <v>327</v>
      </c>
      <c r="B328" s="55" t="s">
        <v>360</v>
      </c>
      <c r="C328" s="52" t="s">
        <v>164</v>
      </c>
      <c r="D328" s="52">
        <v>3</v>
      </c>
      <c r="E328" s="52" t="s">
        <v>229</v>
      </c>
      <c r="F328" s="52" t="s">
        <v>351</v>
      </c>
      <c r="G328" s="55"/>
    </row>
    <row r="329" spans="1:7" ht="16.5" x14ac:dyDescent="0.25">
      <c r="A329" s="52">
        <f>IF(C329&lt;&gt;"", SUBTOTAL(3, $C$2:C329), "")</f>
        <v>328</v>
      </c>
      <c r="B329" s="55" t="s">
        <v>24</v>
      </c>
      <c r="C329" s="52" t="s">
        <v>407</v>
      </c>
      <c r="D329" s="52">
        <v>2</v>
      </c>
      <c r="E329" s="52" t="s">
        <v>229</v>
      </c>
      <c r="F329" s="52" t="s">
        <v>365</v>
      </c>
      <c r="G329" s="55"/>
    </row>
    <row r="330" spans="1:7" ht="16.5" x14ac:dyDescent="0.25">
      <c r="A330" s="52">
        <f>IF(C330&lt;&gt;"", SUBTOTAL(3, $C$2:C330), "")</f>
        <v>329</v>
      </c>
      <c r="B330" s="55" t="s">
        <v>633</v>
      </c>
      <c r="C330" s="52" t="s">
        <v>407</v>
      </c>
      <c r="D330" s="52">
        <v>2</v>
      </c>
      <c r="E330" s="52" t="s">
        <v>229</v>
      </c>
      <c r="F330" s="52" t="s">
        <v>417</v>
      </c>
      <c r="G330" s="55"/>
    </row>
    <row r="331" spans="1:7" ht="16.5" x14ac:dyDescent="0.25">
      <c r="A331" s="52">
        <f>IF(C331&lt;&gt;"", SUBTOTAL(3, $C$2:C331), "")</f>
        <v>330</v>
      </c>
      <c r="B331" s="55" t="s">
        <v>168</v>
      </c>
      <c r="C331" s="52" t="s">
        <v>407</v>
      </c>
      <c r="D331" s="52">
        <v>4</v>
      </c>
      <c r="E331" s="52" t="s">
        <v>229</v>
      </c>
      <c r="F331" s="52" t="s">
        <v>341</v>
      </c>
      <c r="G331" s="55"/>
    </row>
    <row r="332" spans="1:7" ht="16.5" x14ac:dyDescent="0.25">
      <c r="A332" s="52">
        <f>IF(C332&lt;&gt;"", SUBTOTAL(3, $C$2:C332), "")</f>
        <v>331</v>
      </c>
      <c r="B332" s="55" t="s">
        <v>169</v>
      </c>
      <c r="C332" s="52" t="s">
        <v>407</v>
      </c>
      <c r="D332" s="52">
        <v>3</v>
      </c>
      <c r="E332" s="52" t="s">
        <v>229</v>
      </c>
      <c r="F332" s="52" t="s">
        <v>351</v>
      </c>
      <c r="G332" s="55"/>
    </row>
    <row r="333" spans="1:7" ht="16.5" x14ac:dyDescent="0.25">
      <c r="A333" s="52">
        <f>IF(C333&lt;&gt;"", SUBTOTAL(3, $C$2:C333), "")</f>
        <v>332</v>
      </c>
      <c r="B333" s="17" t="s">
        <v>606</v>
      </c>
      <c r="C333" s="14" t="s">
        <v>407</v>
      </c>
      <c r="D333" s="52">
        <v>1</v>
      </c>
      <c r="E333" s="52" t="s">
        <v>229</v>
      </c>
      <c r="F333" s="52" t="s">
        <v>193</v>
      </c>
      <c r="G333" s="55"/>
    </row>
    <row r="334" spans="1:7" ht="16.5" x14ac:dyDescent="0.25">
      <c r="A334" s="52">
        <f>IF(C334&lt;&gt;"", SUBTOTAL(3, $C$2:C334), "")</f>
        <v>333</v>
      </c>
      <c r="B334" s="55" t="s">
        <v>415</v>
      </c>
      <c r="C334" s="52" t="s">
        <v>407</v>
      </c>
      <c r="D334" s="52">
        <v>1</v>
      </c>
      <c r="E334" s="52" t="s">
        <v>229</v>
      </c>
      <c r="F334" s="52" t="s">
        <v>351</v>
      </c>
      <c r="G334" s="55"/>
    </row>
    <row r="335" spans="1:7" ht="16.5" x14ac:dyDescent="0.25">
      <c r="A335" s="52">
        <f>IF(C335&lt;&gt;"", SUBTOTAL(3, $C$2:C335), "")</f>
        <v>334</v>
      </c>
      <c r="B335" s="55" t="s">
        <v>408</v>
      </c>
      <c r="C335" s="52" t="s">
        <v>407</v>
      </c>
      <c r="D335" s="52">
        <v>1</v>
      </c>
      <c r="E335" s="52" t="s">
        <v>194</v>
      </c>
      <c r="F335" s="52" t="s">
        <v>341</v>
      </c>
      <c r="G335" s="55"/>
    </row>
    <row r="336" spans="1:7" ht="16.5" x14ac:dyDescent="0.25">
      <c r="A336" s="52">
        <f>IF(C336&lt;&gt;"", SUBTOTAL(3, $C$2:C336), "")</f>
        <v>335</v>
      </c>
      <c r="B336" s="55" t="s">
        <v>420</v>
      </c>
      <c r="C336" s="52" t="s">
        <v>407</v>
      </c>
      <c r="D336" s="52">
        <v>1</v>
      </c>
      <c r="E336" s="52" t="s">
        <v>229</v>
      </c>
      <c r="F336" s="52" t="s">
        <v>341</v>
      </c>
      <c r="G336" s="55"/>
    </row>
    <row r="337" spans="1:7" ht="16.5" x14ac:dyDescent="0.25">
      <c r="A337" s="52">
        <f>IF(C337&lt;&gt;"", SUBTOTAL(3, $C$2:C337), "")</f>
        <v>336</v>
      </c>
      <c r="B337" s="55" t="s">
        <v>47</v>
      </c>
      <c r="C337" s="52" t="s">
        <v>407</v>
      </c>
      <c r="D337" s="52">
        <v>2</v>
      </c>
      <c r="E337" s="52" t="s">
        <v>229</v>
      </c>
      <c r="F337" s="52" t="s">
        <v>341</v>
      </c>
      <c r="G337" s="55"/>
    </row>
    <row r="338" spans="1:7" ht="16.5" x14ac:dyDescent="0.25">
      <c r="A338" s="52">
        <f>IF(C338&lt;&gt;"", SUBTOTAL(3, $C$2:C338), "")</f>
        <v>337</v>
      </c>
      <c r="B338" s="55" t="s">
        <v>55</v>
      </c>
      <c r="C338" s="52" t="s">
        <v>407</v>
      </c>
      <c r="D338" s="52">
        <v>2</v>
      </c>
      <c r="E338" s="52" t="s">
        <v>229</v>
      </c>
      <c r="F338" s="52" t="s">
        <v>365</v>
      </c>
      <c r="G338" s="55"/>
    </row>
    <row r="339" spans="1:7" ht="16.5" x14ac:dyDescent="0.25">
      <c r="A339" s="52">
        <f>IF(C339&lt;&gt;"", SUBTOTAL(3, $C$2:C339), "")</f>
        <v>338</v>
      </c>
      <c r="B339" s="55" t="s">
        <v>604</v>
      </c>
      <c r="C339" s="52" t="s">
        <v>407</v>
      </c>
      <c r="D339" s="52">
        <v>1</v>
      </c>
      <c r="E339" s="52" t="s">
        <v>229</v>
      </c>
      <c r="F339" s="52" t="s">
        <v>365</v>
      </c>
      <c r="G339" s="55"/>
    </row>
    <row r="340" spans="1:7" ht="16.5" x14ac:dyDescent="0.25">
      <c r="A340" s="52">
        <f>IF(C340&lt;&gt;"", SUBTOTAL(3, $C$2:C340), "")</f>
        <v>339</v>
      </c>
      <c r="B340" s="55" t="s">
        <v>411</v>
      </c>
      <c r="C340" s="52" t="s">
        <v>407</v>
      </c>
      <c r="D340" s="52">
        <v>1</v>
      </c>
      <c r="E340" s="52" t="s">
        <v>229</v>
      </c>
      <c r="F340" s="52" t="s">
        <v>341</v>
      </c>
      <c r="G340" s="55"/>
    </row>
    <row r="341" spans="1:7" ht="16.5" x14ac:dyDescent="0.25">
      <c r="A341" s="52">
        <f>IF(C341&lt;&gt;"", SUBTOTAL(3, $C$2:C341), "")</f>
        <v>340</v>
      </c>
      <c r="B341" s="55" t="s">
        <v>60</v>
      </c>
      <c r="C341" s="52" t="s">
        <v>407</v>
      </c>
      <c r="D341" s="52">
        <v>2</v>
      </c>
      <c r="E341" s="52" t="s">
        <v>229</v>
      </c>
      <c r="F341" s="52" t="s">
        <v>341</v>
      </c>
      <c r="G341" s="55"/>
    </row>
    <row r="342" spans="1:7" ht="16.5" x14ac:dyDescent="0.25">
      <c r="A342" s="52">
        <f>IF(C342&lt;&gt;"", SUBTOTAL(3, $C$2:C342), "")</f>
        <v>341</v>
      </c>
      <c r="B342" s="55" t="s">
        <v>414</v>
      </c>
      <c r="C342" s="52" t="s">
        <v>407</v>
      </c>
      <c r="D342" s="52">
        <v>1</v>
      </c>
      <c r="E342" s="52" t="s">
        <v>229</v>
      </c>
      <c r="F342" s="52" t="s">
        <v>351</v>
      </c>
      <c r="G342" s="55"/>
    </row>
    <row r="343" spans="1:7" ht="16.5" x14ac:dyDescent="0.25">
      <c r="A343" s="52">
        <f>IF(C343&lt;&gt;"", SUBTOTAL(3, $C$2:C343), "")</f>
        <v>342</v>
      </c>
      <c r="B343" s="55" t="s">
        <v>419</v>
      </c>
      <c r="C343" s="52" t="s">
        <v>407</v>
      </c>
      <c r="D343" s="52">
        <v>2</v>
      </c>
      <c r="E343" s="52" t="s">
        <v>229</v>
      </c>
      <c r="F343" s="52" t="s">
        <v>351</v>
      </c>
      <c r="G343" s="55"/>
    </row>
    <row r="344" spans="1:7" ht="16.5" x14ac:dyDescent="0.25">
      <c r="A344" s="52">
        <f>IF(C344&lt;&gt;"", SUBTOTAL(3, $C$2:C344), "")</f>
        <v>343</v>
      </c>
      <c r="B344" s="55" t="s">
        <v>418</v>
      </c>
      <c r="C344" s="52" t="s">
        <v>407</v>
      </c>
      <c r="D344" s="52">
        <v>2</v>
      </c>
      <c r="E344" s="52" t="s">
        <v>229</v>
      </c>
      <c r="F344" s="52" t="s">
        <v>351</v>
      </c>
      <c r="G344" s="55"/>
    </row>
    <row r="345" spans="1:7" ht="16.5" x14ac:dyDescent="0.25">
      <c r="A345" s="52">
        <f>IF(C345&lt;&gt;"", SUBTOTAL(3, $C$2:C345), "")</f>
        <v>344</v>
      </c>
      <c r="B345" s="17" t="s">
        <v>84</v>
      </c>
      <c r="C345" s="14" t="s">
        <v>407</v>
      </c>
      <c r="D345" s="52">
        <v>1</v>
      </c>
      <c r="E345" s="52" t="s">
        <v>215</v>
      </c>
      <c r="F345" s="52" t="s">
        <v>193</v>
      </c>
      <c r="G345" s="55"/>
    </row>
    <row r="346" spans="1:7" ht="16.5" x14ac:dyDescent="0.25">
      <c r="A346" s="52">
        <f>IF(C346&lt;&gt;"", SUBTOTAL(3, $C$2:C346), "")</f>
        <v>345</v>
      </c>
      <c r="B346" s="55" t="s">
        <v>410</v>
      </c>
      <c r="C346" s="52" t="s">
        <v>407</v>
      </c>
      <c r="D346" s="52">
        <v>1</v>
      </c>
      <c r="E346" s="52" t="s">
        <v>229</v>
      </c>
      <c r="F346" s="52" t="s">
        <v>341</v>
      </c>
      <c r="G346" s="55"/>
    </row>
    <row r="347" spans="1:7" ht="16.5" x14ac:dyDescent="0.25">
      <c r="A347" s="52">
        <f>IF(C347&lt;&gt;"", SUBTOTAL(3, $C$2:C347), "")</f>
        <v>346</v>
      </c>
      <c r="B347" s="55" t="s">
        <v>409</v>
      </c>
      <c r="C347" s="52" t="s">
        <v>407</v>
      </c>
      <c r="D347" s="52">
        <v>1</v>
      </c>
      <c r="E347" s="52" t="s">
        <v>229</v>
      </c>
      <c r="F347" s="52" t="s">
        <v>351</v>
      </c>
      <c r="G347" s="55"/>
    </row>
    <row r="348" spans="1:7" ht="16.5" x14ac:dyDescent="0.25">
      <c r="A348" s="52">
        <f>IF(C348&lt;&gt;"", SUBTOTAL(3, $C$2:C348), "")</f>
        <v>347</v>
      </c>
      <c r="B348" s="55" t="s">
        <v>123</v>
      </c>
      <c r="C348" s="52" t="s">
        <v>407</v>
      </c>
      <c r="D348" s="52">
        <v>2</v>
      </c>
      <c r="E348" s="52" t="s">
        <v>229</v>
      </c>
      <c r="F348" s="52" t="s">
        <v>341</v>
      </c>
      <c r="G348" s="55"/>
    </row>
    <row r="349" spans="1:7" ht="16.5" x14ac:dyDescent="0.25">
      <c r="A349" s="52">
        <f>IF(C349&lt;&gt;"", SUBTOTAL(3, $C$2:C349), "")</f>
        <v>348</v>
      </c>
      <c r="B349" s="55" t="s">
        <v>421</v>
      </c>
      <c r="C349" s="52" t="s">
        <v>407</v>
      </c>
      <c r="D349" s="52">
        <v>3</v>
      </c>
      <c r="E349" s="52" t="s">
        <v>229</v>
      </c>
      <c r="F349" s="52" t="s">
        <v>341</v>
      </c>
      <c r="G349" s="55"/>
    </row>
    <row r="350" spans="1:7" ht="16.5" x14ac:dyDescent="0.25">
      <c r="A350" s="52">
        <f>IF(C350&lt;&gt;"", SUBTOTAL(3, $C$2:C350), "")</f>
        <v>349</v>
      </c>
      <c r="B350" s="55" t="s">
        <v>422</v>
      </c>
      <c r="C350" s="52" t="s">
        <v>407</v>
      </c>
      <c r="D350" s="52">
        <v>1</v>
      </c>
      <c r="E350" s="52" t="s">
        <v>229</v>
      </c>
      <c r="F350" s="52" t="s">
        <v>341</v>
      </c>
      <c r="G350" s="55"/>
    </row>
    <row r="351" spans="1:7" ht="16.5" x14ac:dyDescent="0.25">
      <c r="A351" s="52">
        <f>IF(C351&lt;&gt;"", SUBTOTAL(3, $C$2:C351), "")</f>
        <v>350</v>
      </c>
      <c r="B351" s="55" t="s">
        <v>416</v>
      </c>
      <c r="C351" s="52" t="s">
        <v>407</v>
      </c>
      <c r="D351" s="52">
        <v>3</v>
      </c>
      <c r="E351" s="52" t="s">
        <v>229</v>
      </c>
      <c r="F351" s="52" t="s">
        <v>341</v>
      </c>
      <c r="G351" s="55"/>
    </row>
    <row r="352" spans="1:7" ht="16.5" x14ac:dyDescent="0.25">
      <c r="A352" s="52">
        <f>IF(C352&lt;&gt;"", SUBTOTAL(3, $C$2:C352), "")</f>
        <v>351</v>
      </c>
      <c r="B352" s="19" t="s">
        <v>139</v>
      </c>
      <c r="C352" s="14" t="s">
        <v>407</v>
      </c>
      <c r="D352" s="52">
        <v>1</v>
      </c>
      <c r="E352" s="52" t="s">
        <v>229</v>
      </c>
      <c r="F352" s="52" t="s">
        <v>193</v>
      </c>
      <c r="G352" s="55"/>
    </row>
    <row r="353" spans="1:7" ht="16.5" x14ac:dyDescent="0.25">
      <c r="A353" s="52">
        <f>IF(C353&lt;&gt;"", SUBTOTAL(3, $C$2:C353), "")</f>
        <v>352</v>
      </c>
      <c r="B353" s="55" t="s">
        <v>412</v>
      </c>
      <c r="C353" s="52" t="s">
        <v>407</v>
      </c>
      <c r="D353" s="52">
        <v>1</v>
      </c>
      <c r="E353" s="52" t="s">
        <v>229</v>
      </c>
      <c r="F353" s="52" t="s">
        <v>365</v>
      </c>
      <c r="G353" s="55"/>
    </row>
    <row r="354" spans="1:7" ht="16.5" x14ac:dyDescent="0.25">
      <c r="A354" s="52">
        <f>IF(C354&lt;&gt;"", SUBTOTAL(3, $C$2:C354), "")</f>
        <v>353</v>
      </c>
      <c r="B354" s="55" t="s">
        <v>413</v>
      </c>
      <c r="C354" s="52" t="s">
        <v>407</v>
      </c>
      <c r="D354" s="52">
        <v>1</v>
      </c>
      <c r="E354" s="52" t="s">
        <v>229</v>
      </c>
      <c r="F354" s="52" t="s">
        <v>341</v>
      </c>
      <c r="G354" s="55"/>
    </row>
    <row r="355" spans="1:7" ht="16.5" x14ac:dyDescent="0.25">
      <c r="A355" s="52">
        <f>IF(C355&lt;&gt;"", SUBTOTAL(3, $C$2:C355), "")</f>
        <v>354</v>
      </c>
      <c r="B355" s="55" t="s">
        <v>352</v>
      </c>
      <c r="C355" s="52" t="s">
        <v>340</v>
      </c>
      <c r="D355" s="52">
        <v>2</v>
      </c>
      <c r="E355" s="52" t="s">
        <v>229</v>
      </c>
      <c r="F355" s="18" t="s">
        <v>341</v>
      </c>
      <c r="G355" s="55"/>
    </row>
    <row r="356" spans="1:7" ht="16.5" x14ac:dyDescent="0.25">
      <c r="A356" s="52">
        <f>IF(C356&lt;&gt;"", SUBTOTAL(3, $C$2:C356), "")</f>
        <v>355</v>
      </c>
      <c r="B356" s="55" t="s">
        <v>348</v>
      </c>
      <c r="C356" s="52" t="s">
        <v>340</v>
      </c>
      <c r="D356" s="52">
        <v>2</v>
      </c>
      <c r="E356" s="52" t="s">
        <v>229</v>
      </c>
      <c r="F356" s="52" t="s">
        <v>341</v>
      </c>
      <c r="G356" s="55"/>
    </row>
    <row r="357" spans="1:7" ht="16.5" x14ac:dyDescent="0.25">
      <c r="A357" s="52">
        <f>IF(C357&lt;&gt;"", SUBTOTAL(3, $C$2:C357), "")</f>
        <v>356</v>
      </c>
      <c r="B357" s="54" t="s">
        <v>284</v>
      </c>
      <c r="C357" s="59" t="s">
        <v>274</v>
      </c>
      <c r="D357" s="52">
        <v>1</v>
      </c>
      <c r="E357" s="57" t="s">
        <v>215</v>
      </c>
      <c r="F357" s="57" t="s">
        <v>193</v>
      </c>
      <c r="G357" s="57"/>
    </row>
    <row r="358" spans="1:7" ht="16.5" x14ac:dyDescent="0.25">
      <c r="A358" s="52">
        <f>IF(C358&lt;&gt;"", SUBTOTAL(3, $C$2:C358), "")</f>
        <v>357</v>
      </c>
      <c r="B358" s="54" t="s">
        <v>610</v>
      </c>
      <c r="C358" s="59" t="s">
        <v>274</v>
      </c>
      <c r="D358" s="52">
        <v>1</v>
      </c>
      <c r="E358" s="57" t="s">
        <v>215</v>
      </c>
      <c r="F358" s="57" t="s">
        <v>193</v>
      </c>
      <c r="G358" s="57"/>
    </row>
    <row r="359" spans="1:7" ht="16.5" x14ac:dyDescent="0.25">
      <c r="A359" s="52">
        <f>IF(C359&lt;&gt;"", SUBTOTAL(3, $C$2:C359), "")</f>
        <v>358</v>
      </c>
      <c r="B359" s="55" t="s">
        <v>349</v>
      </c>
      <c r="C359" s="52" t="s">
        <v>340</v>
      </c>
      <c r="D359" s="52">
        <v>1</v>
      </c>
      <c r="E359" s="52" t="s">
        <v>229</v>
      </c>
      <c r="F359" s="52" t="s">
        <v>341</v>
      </c>
      <c r="G359" s="55"/>
    </row>
    <row r="360" spans="1:7" ht="16.5" x14ac:dyDescent="0.25">
      <c r="A360" s="52">
        <f>IF(C360&lt;&gt;"", SUBTOTAL(3, $C$2:C360), "")</f>
        <v>359</v>
      </c>
      <c r="B360" s="54" t="s">
        <v>275</v>
      </c>
      <c r="C360" s="59" t="s">
        <v>274</v>
      </c>
      <c r="D360" s="52">
        <v>1</v>
      </c>
      <c r="E360" s="57" t="s">
        <v>215</v>
      </c>
      <c r="F360" s="57" t="s">
        <v>193</v>
      </c>
      <c r="G360" s="57"/>
    </row>
    <row r="361" spans="1:7" ht="16.5" x14ac:dyDescent="0.25">
      <c r="A361" s="52">
        <f>IF(C361&lt;&gt;"", SUBTOTAL(3, $C$2:C361), "")</f>
        <v>360</v>
      </c>
      <c r="B361" s="55" t="s">
        <v>344</v>
      </c>
      <c r="C361" s="52" t="s">
        <v>340</v>
      </c>
      <c r="D361" s="52">
        <v>1</v>
      </c>
      <c r="E361" s="52" t="s">
        <v>229</v>
      </c>
      <c r="F361" s="52" t="s">
        <v>341</v>
      </c>
      <c r="G361" s="55"/>
    </row>
    <row r="362" spans="1:7" ht="16.5" x14ac:dyDescent="0.25">
      <c r="A362" s="52">
        <f>IF(C362&lt;&gt;"", SUBTOTAL(3, $C$2:C362), "")</f>
        <v>361</v>
      </c>
      <c r="B362" s="55" t="s">
        <v>346</v>
      </c>
      <c r="C362" s="52" t="s">
        <v>340</v>
      </c>
      <c r="D362" s="52">
        <v>2</v>
      </c>
      <c r="E362" s="52" t="s">
        <v>229</v>
      </c>
      <c r="F362" s="52" t="s">
        <v>341</v>
      </c>
      <c r="G362" s="55"/>
    </row>
    <row r="363" spans="1:7" ht="16.5" x14ac:dyDescent="0.25">
      <c r="A363" s="52">
        <f>IF(C363&lt;&gt;"", SUBTOTAL(3, $C$2:C363), "")</f>
        <v>362</v>
      </c>
      <c r="B363" s="55" t="s">
        <v>342</v>
      </c>
      <c r="C363" s="52" t="s">
        <v>340</v>
      </c>
      <c r="D363" s="52">
        <v>2</v>
      </c>
      <c r="E363" s="52" t="s">
        <v>229</v>
      </c>
      <c r="F363" s="52" t="s">
        <v>343</v>
      </c>
      <c r="G363" s="55"/>
    </row>
    <row r="364" spans="1:7" ht="16.5" x14ac:dyDescent="0.25">
      <c r="A364" s="52">
        <f>IF(C364&lt;&gt;"", SUBTOTAL(3, $C$2:C364), "")</f>
        <v>363</v>
      </c>
      <c r="B364" s="55" t="s">
        <v>347</v>
      </c>
      <c r="C364" s="52" t="s">
        <v>340</v>
      </c>
      <c r="D364" s="52">
        <v>1</v>
      </c>
      <c r="E364" s="52" t="s">
        <v>229</v>
      </c>
      <c r="F364" s="52" t="s">
        <v>341</v>
      </c>
      <c r="G364" s="55"/>
    </row>
    <row r="365" spans="1:7" ht="16.5" x14ac:dyDescent="0.25">
      <c r="A365" s="52">
        <f>IF(C365&lt;&gt;"", SUBTOTAL(3, $C$2:C365), "")</f>
        <v>364</v>
      </c>
      <c r="B365" s="54" t="s">
        <v>509</v>
      </c>
      <c r="C365" s="59" t="s">
        <v>274</v>
      </c>
      <c r="D365" s="52">
        <v>1</v>
      </c>
      <c r="E365" s="57" t="s">
        <v>215</v>
      </c>
      <c r="F365" s="57" t="s">
        <v>193</v>
      </c>
      <c r="G365" s="57"/>
    </row>
    <row r="366" spans="1:7" ht="16.5" x14ac:dyDescent="0.25">
      <c r="A366" s="52">
        <f>IF(C366&lt;&gt;"", SUBTOTAL(3, $C$2:C366), "")</f>
        <v>365</v>
      </c>
      <c r="B366" s="54" t="s">
        <v>283</v>
      </c>
      <c r="C366" s="59" t="s">
        <v>274</v>
      </c>
      <c r="D366" s="52">
        <v>1</v>
      </c>
      <c r="E366" s="57" t="s">
        <v>215</v>
      </c>
      <c r="F366" s="57" t="s">
        <v>193</v>
      </c>
      <c r="G366" s="57"/>
    </row>
    <row r="367" spans="1:7" ht="16.5" x14ac:dyDescent="0.25">
      <c r="A367" s="52">
        <f>IF(C367&lt;&gt;"", SUBTOTAL(3, $C$2:C367), "")</f>
        <v>366</v>
      </c>
      <c r="B367" s="54" t="s">
        <v>278</v>
      </c>
      <c r="C367" s="59" t="s">
        <v>274</v>
      </c>
      <c r="D367" s="52">
        <v>1</v>
      </c>
      <c r="E367" s="57" t="s">
        <v>215</v>
      </c>
      <c r="F367" s="57" t="s">
        <v>193</v>
      </c>
      <c r="G367" s="57"/>
    </row>
    <row r="368" spans="1:7" ht="16.5" x14ac:dyDescent="0.25">
      <c r="A368" s="52">
        <f>IF(C368&lt;&gt;"", SUBTOTAL(3, $C$2:C368), "")</f>
        <v>367</v>
      </c>
      <c r="B368" s="54" t="s">
        <v>277</v>
      </c>
      <c r="C368" s="59" t="s">
        <v>274</v>
      </c>
      <c r="D368" s="52">
        <v>1</v>
      </c>
      <c r="E368" s="57" t="s">
        <v>215</v>
      </c>
      <c r="F368" s="57" t="s">
        <v>193</v>
      </c>
      <c r="G368" s="57"/>
    </row>
    <row r="369" spans="1:7" ht="16.5" x14ac:dyDescent="0.25">
      <c r="A369" s="52">
        <f>IF(C369&lt;&gt;"", SUBTOTAL(3, $C$2:C369), "")</f>
        <v>368</v>
      </c>
      <c r="B369" s="54" t="s">
        <v>281</v>
      </c>
      <c r="C369" s="59" t="s">
        <v>274</v>
      </c>
      <c r="D369" s="52">
        <v>1</v>
      </c>
      <c r="E369" s="57" t="s">
        <v>215</v>
      </c>
      <c r="F369" s="57" t="s">
        <v>193</v>
      </c>
      <c r="G369" s="57"/>
    </row>
    <row r="370" spans="1:7" ht="16.5" x14ac:dyDescent="0.25">
      <c r="A370" s="52">
        <f>IF(C370&lt;&gt;"", SUBTOTAL(3, $C$2:C370), "")</f>
        <v>369</v>
      </c>
      <c r="B370" s="54" t="s">
        <v>519</v>
      </c>
      <c r="C370" s="59" t="s">
        <v>274</v>
      </c>
      <c r="D370" s="52">
        <v>1</v>
      </c>
      <c r="E370" s="57" t="s">
        <v>215</v>
      </c>
      <c r="F370" s="57" t="s">
        <v>193</v>
      </c>
      <c r="G370" s="57"/>
    </row>
    <row r="371" spans="1:7" ht="16.5" x14ac:dyDescent="0.25">
      <c r="A371" s="52">
        <f>IF(C371&lt;&gt;"", SUBTOTAL(3, $C$2:C371), "")</f>
        <v>370</v>
      </c>
      <c r="B371" s="55" t="s">
        <v>345</v>
      </c>
      <c r="C371" s="52" t="s">
        <v>340</v>
      </c>
      <c r="D371" s="52">
        <v>2</v>
      </c>
      <c r="E371" s="52" t="s">
        <v>229</v>
      </c>
      <c r="F371" s="52" t="s">
        <v>343</v>
      </c>
      <c r="G371" s="55"/>
    </row>
    <row r="372" spans="1:7" ht="16.5" x14ac:dyDescent="0.25">
      <c r="A372" s="52">
        <f>IF(C372&lt;&gt;"", SUBTOTAL(3, $C$2:C372), "")</f>
        <v>371</v>
      </c>
      <c r="B372" s="55" t="s">
        <v>350</v>
      </c>
      <c r="C372" s="52" t="s">
        <v>340</v>
      </c>
      <c r="D372" s="52">
        <v>1</v>
      </c>
      <c r="E372" s="52" t="s">
        <v>229</v>
      </c>
      <c r="F372" s="52" t="s">
        <v>351</v>
      </c>
      <c r="G372" s="55"/>
    </row>
    <row r="373" spans="1:7" ht="16.5" x14ac:dyDescent="0.25">
      <c r="A373" s="52">
        <f>IF(C373&lt;&gt;"", SUBTOTAL(3, $C$2:C373), "")</f>
        <v>372</v>
      </c>
      <c r="B373" s="54" t="s">
        <v>279</v>
      </c>
      <c r="C373" s="59" t="s">
        <v>274</v>
      </c>
      <c r="D373" s="52">
        <v>1</v>
      </c>
      <c r="E373" s="57" t="s">
        <v>215</v>
      </c>
      <c r="F373" s="57" t="s">
        <v>193</v>
      </c>
      <c r="G373" s="57"/>
    </row>
    <row r="374" spans="1:7" ht="16.5" x14ac:dyDescent="0.25">
      <c r="A374" s="52">
        <f>IF(C374&lt;&gt;"", SUBTOTAL(3, $C$2:C374), "")</f>
        <v>373</v>
      </c>
      <c r="B374" s="54" t="s">
        <v>282</v>
      </c>
      <c r="C374" s="59" t="s">
        <v>274</v>
      </c>
      <c r="D374" s="52">
        <v>1</v>
      </c>
      <c r="E374" s="57" t="s">
        <v>215</v>
      </c>
      <c r="F374" s="57" t="s">
        <v>193</v>
      </c>
      <c r="G374" s="57"/>
    </row>
    <row r="375" spans="1:7" ht="16.5" x14ac:dyDescent="0.25">
      <c r="A375" s="52">
        <f>IF(C375&lt;&gt;"", SUBTOTAL(3, $C$2:C375), "")</f>
        <v>374</v>
      </c>
      <c r="B375" s="54" t="s">
        <v>596</v>
      </c>
      <c r="C375" s="59" t="s">
        <v>274</v>
      </c>
      <c r="D375" s="52">
        <v>2</v>
      </c>
      <c r="E375" s="57" t="s">
        <v>215</v>
      </c>
      <c r="F375" s="57" t="s">
        <v>193</v>
      </c>
      <c r="G375" s="57"/>
    </row>
    <row r="376" spans="1:7" ht="16.5" x14ac:dyDescent="0.25">
      <c r="A376" s="52">
        <f>IF(C376&lt;&gt;"", SUBTOTAL(3, $C$2:C376), "")</f>
        <v>375</v>
      </c>
      <c r="B376" s="54" t="s">
        <v>280</v>
      </c>
      <c r="C376" s="59" t="s">
        <v>274</v>
      </c>
      <c r="D376" s="52">
        <v>1</v>
      </c>
      <c r="E376" s="57" t="s">
        <v>215</v>
      </c>
      <c r="F376" s="57" t="s">
        <v>193</v>
      </c>
      <c r="G376" s="57"/>
    </row>
    <row r="377" spans="1:7" ht="16.5" x14ac:dyDescent="0.25">
      <c r="A377" s="52">
        <f>IF(C377&lt;&gt;"", SUBTOTAL(3, $C$2:C377), "")</f>
        <v>376</v>
      </c>
      <c r="B377" s="55" t="s">
        <v>141</v>
      </c>
      <c r="C377" s="52" t="s">
        <v>340</v>
      </c>
      <c r="D377" s="52">
        <v>2</v>
      </c>
      <c r="E377" s="52" t="s">
        <v>229</v>
      </c>
      <c r="F377" s="52" t="s">
        <v>341</v>
      </c>
      <c r="G377" s="55"/>
    </row>
    <row r="378" spans="1:7" ht="16.5" x14ac:dyDescent="0.25">
      <c r="A378" s="52">
        <f>IF(C378&lt;&gt;"", SUBTOTAL(3, $C$2:C378), "")</f>
        <v>377</v>
      </c>
      <c r="B378" s="54" t="s">
        <v>276</v>
      </c>
      <c r="C378" s="59" t="s">
        <v>274</v>
      </c>
      <c r="D378" s="52">
        <v>1</v>
      </c>
      <c r="E378" s="57" t="s">
        <v>215</v>
      </c>
      <c r="F378" s="57" t="s">
        <v>193</v>
      </c>
      <c r="G378" s="5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S253"/>
  <sheetViews>
    <sheetView topLeftCell="M250" zoomScaleNormal="100" zoomScaleSheetLayoutView="100" workbookViewId="0">
      <selection activeCell="J12" sqref="J12:J13"/>
    </sheetView>
  </sheetViews>
  <sheetFormatPr defaultColWidth="21.5703125" defaultRowHeight="15" x14ac:dyDescent="0.25"/>
  <cols>
    <col min="1" max="1" width="21.5703125" style="4"/>
    <col min="2" max="2" width="25" style="4" bestFit="1" customWidth="1"/>
    <col min="3" max="8" width="21.5703125" style="4"/>
    <col min="9" max="9" width="21.5703125" style="99"/>
    <col min="10" max="11" width="21.5703125" style="97"/>
    <col min="12" max="12" width="21.5703125" style="4"/>
    <col min="13" max="14" width="28.42578125" style="4" bestFit="1" customWidth="1"/>
    <col min="15" max="15" width="28.42578125" style="4" customWidth="1"/>
    <col min="16" max="16" width="32" style="4" customWidth="1"/>
    <col min="17" max="17" width="27" style="4" customWidth="1"/>
    <col min="18" max="18" width="28.42578125" style="4" bestFit="1" customWidth="1"/>
    <col min="19" max="19" width="22.85546875" style="4" customWidth="1"/>
    <col min="20" max="16384" width="21.5703125" style="4"/>
  </cols>
  <sheetData>
    <row r="1" spans="1:19" s="3" customFormat="1" ht="15.75" x14ac:dyDescent="0.25">
      <c r="A1" s="3" t="s">
        <v>149</v>
      </c>
      <c r="B1" s="3" t="s">
        <v>623</v>
      </c>
      <c r="C1" s="3" t="s">
        <v>562</v>
      </c>
      <c r="D1" s="3" t="s">
        <v>0</v>
      </c>
      <c r="E1" s="3" t="s">
        <v>1</v>
      </c>
      <c r="F1" s="3" t="s">
        <v>3</v>
      </c>
      <c r="G1" s="3" t="s">
        <v>7</v>
      </c>
      <c r="H1" s="3" t="s">
        <v>602</v>
      </c>
      <c r="I1" s="98" t="s">
        <v>599</v>
      </c>
      <c r="J1" s="96" t="s">
        <v>614</v>
      </c>
      <c r="K1" s="96" t="s">
        <v>641</v>
      </c>
      <c r="L1" s="3" t="s">
        <v>466</v>
      </c>
      <c r="M1" s="3" t="s">
        <v>328</v>
      </c>
      <c r="N1" s="3" t="s">
        <v>467</v>
      </c>
      <c r="O1" s="3" t="s">
        <v>601</v>
      </c>
      <c r="P1" s="3" t="s">
        <v>468</v>
      </c>
      <c r="Q1" s="3" t="s">
        <v>600</v>
      </c>
      <c r="R1" s="3" t="s">
        <v>469</v>
      </c>
      <c r="S1" s="3" t="s">
        <v>561</v>
      </c>
    </row>
    <row r="2" spans="1:19" ht="14.45" customHeight="1" x14ac:dyDescent="0.25">
      <c r="A2" s="4">
        <f>IF(B2&lt;&gt;"", SUBTOTAL(3, $B$2:B2), "")</f>
        <v>1</v>
      </c>
      <c r="B2" s="4" t="s">
        <v>12</v>
      </c>
      <c r="C2" s="4" t="str">
        <f t="shared" ref="C2:C65" si="0">IF(J2&lt;&gt;"", J2, IF(L2&lt;&gt;"", L2, IF(M2&lt;&gt;"", M2, IF(N2&lt;&gt;"", N2, IF(O2&lt;&gt;"", O2, IF(P2&lt;&gt;"", P2, IF(Q2&lt;&gt;"", Q2, IF(R2&lt;&gt;"", R2, S2))))))))</f>
        <v>Kỳ Tăng</v>
      </c>
      <c r="D2" s="4">
        <v>21</v>
      </c>
      <c r="E2" s="4">
        <v>57</v>
      </c>
      <c r="F2" s="4">
        <v>13074</v>
      </c>
      <c r="G2" s="4" t="s">
        <v>11</v>
      </c>
      <c r="H2" s="4" t="str">
        <f t="array" ref="H2">IFERROR(INDEX(DSCKXA!$B$3:$B$73, MATCH(1, (DSCKXA!$D$3:$D$73=BC_SINH!D2)*(DSCKXA!$E$3:$E$73=BC_SINH!E2), 0)),"")</f>
        <v/>
      </c>
      <c r="I2" s="99" t="str">
        <f>IFERROR(INDEX(DSCKXA!$C$3:$C$73, MATCH(1, (DSCKXA!$D$3:$D$73=BC_SINH!D2)*(DSCKXA!$E$3:$E$73=BC_SINH!E2), 0)),"")</f>
        <v/>
      </c>
      <c r="J2" s="97" t="str">
        <f>IFERROR(VLOOKUP(B2,'Đất sản xuất'!$B$9:$C$216,2,0),"")</f>
        <v/>
      </c>
      <c r="K2" s="97" t="str">
        <f>IFERROR(VLOOKUP(B2,'Sản xuất cấp huyên'!$B$9:$C$177,2,0),"")</f>
        <v/>
      </c>
      <c r="L2" s="4" t="str">
        <f>IFERROR(VLOOKUP(B2,'4069'!$B$9:$C$177,2,0),"")</f>
        <v/>
      </c>
      <c r="M2" s="4" t="str">
        <f t="array" ref="M2">IFERROR(INDEX(KODUDK!$C$8:$C$79, MATCH(1, (KODUDK!$D$8:$D$79=BC_SINH!D2)*(KODUDK!$E$8:$E$79=BC_SINH!E2), 0)),"")</f>
        <v/>
      </c>
      <c r="N2" s="4" t="str">
        <f t="array" ref="N2">IFERROR(INDEX(KODUDK!$H$8:$H$79, MATCH(1, (KODUDK!$D$8:$D$79=BC_SINH!D2)*(KODUDK!$E$8:$E$79=BC_SINH!E2), 0)),"")</f>
        <v/>
      </c>
      <c r="O2" s="4" t="str">
        <f t="array" ref="O2">IFERROR(INDEX('KO DU ĐK NQ10'!$C$8:$C$48, MATCH(1, ('KO DU ĐK NQ10'!$D$8:$D$48=BC_SINH!D2)*('KO DU ĐK NQ10'!$E$8:$E$48=BC_SINH!E2), 0)),"")</f>
        <v/>
      </c>
      <c r="P2" s="4" t="str">
        <f>IFERROR(INDEX('KO DU ĐK NQ10'!$H$8:$H$48, MATCH(1, ('KO DU ĐK NQ10'!$D$8:$D$48=BC_SINH!D2)*('KO DU ĐK NQ10'!$E$8:$E$48=BC_SINH!E2), 0)),"")</f>
        <v/>
      </c>
      <c r="Q2" s="4" t="str">
        <f t="array" ref="Q2">IFERROR(INDEX('KO DU ĐK 4069'!$C$8:$C$38, MATCH(1, ('KO DU ĐK 4069'!$D$8:$D$38=BC_SINH!D2)*('KO DU ĐK 4069'!$E$8:$E$38=BC_SINH!E2), 0)),"")</f>
        <v/>
      </c>
      <c r="R2" s="4" t="str">
        <f t="array" ref="R2">IFERROR(INDEX('KO DU ĐK 4069'!$H$8:$H$38, MATCH(1, ('KO DU ĐK 4069'!$D$8:$D$38=BC_SINH!D2)*('KO DU ĐK 4069'!$E$8:$E$38=BC_SINH!E2), 0)),"")</f>
        <v/>
      </c>
      <c r="S2" s="4" t="str">
        <f t="array" ref="S2">IFERROR(INDEX(KeKhaiDangKy!$H$2:$H$4889, MATCH(1, (KeKhaiDangKy!$A$2:$A$4889=BC_SINH!D2)*(KeKhaiDangKy!$B$2:$B$4889=BC_SINH!E2), 0)),"")</f>
        <v>Kỳ Tăng</v>
      </c>
    </row>
    <row r="3" spans="1:19" ht="14.45" customHeight="1" x14ac:dyDescent="0.25">
      <c r="A3" s="4">
        <f>IF(B3&lt;&gt;"", SUBTOTAL(3, $B$2:B3), "")</f>
        <v>2</v>
      </c>
      <c r="B3" s="4" t="s">
        <v>631</v>
      </c>
      <c r="C3" s="4" t="str">
        <f t="shared" si="0"/>
        <v/>
      </c>
      <c r="D3" s="4">
        <v>21</v>
      </c>
      <c r="E3" s="4">
        <v>58</v>
      </c>
      <c r="F3" s="4">
        <v>24514</v>
      </c>
      <c r="G3" s="4" t="s">
        <v>11</v>
      </c>
      <c r="H3" s="4" t="str">
        <f t="array" ref="H3">IFERROR(INDEX(DSCKXA!$B$3:$B$73, MATCH(1, (DSCKXA!$D$3:$D$73=BC_SINH!D3)*(DSCKXA!$E$3:$E$73=BC_SINH!E3), 0)),"")</f>
        <v>Hồ Thị Nhửi</v>
      </c>
      <c r="I3" s="99" t="str">
        <f t="array" ref="I3">IFERROR(INDEX(DSCKXA!$C$3:$C$73, MATCH(1, (DSCKXA!$D$3:$D$73=BC_SINH!D3)*(DSCKXA!$E$3:$E$73=BC_SINH!E3), 0)),"")</f>
        <v>Thôn Kỳ Tăng</v>
      </c>
      <c r="J3" s="97" t="str">
        <f>IFERROR(VLOOKUP(B3,'Đất sản xuất'!$B$9:$C$216,2,0),"")</f>
        <v/>
      </c>
      <c r="K3" s="97" t="str">
        <f>IFERROR(VLOOKUP(B3,'Sản xuất cấp huyên'!$B$9:$C$177,2,0),"")</f>
        <v/>
      </c>
      <c r="L3" s="4" t="str">
        <f>IFERROR(VLOOKUP(B3,'4069'!$B$9:$C$177,2,0),"")</f>
        <v/>
      </c>
      <c r="M3" s="4" t="str">
        <f t="array" ref="M3">IFERROR(INDEX(KODUDK!$C$8:$C$79, MATCH(1, (KODUDK!$D$8:$D$79=BC_SINH!D3)*(KODUDK!$E$8:$E$79=BC_SINH!E3), 0)),"")</f>
        <v/>
      </c>
      <c r="N3" s="4" t="str">
        <f t="array" ref="N3">IFERROR(INDEX(KODUDK!$H$8:$H$79, MATCH(1, (KODUDK!$D$8:$D$79=BC_SINH!D3)*(KODUDK!$E$8:$E$79=BC_SINH!E3), 0)),"")</f>
        <v/>
      </c>
      <c r="O3" s="4" t="str">
        <f t="array" ref="O3">IFERROR(INDEX('KO DU ĐK NQ10'!$C$8:$C$48, MATCH(1, ('KO DU ĐK NQ10'!$D$8:$D$48=BC_SINH!D3)*('KO DU ĐK NQ10'!$E$8:$E$48=BC_SINH!E3), 0)),"")</f>
        <v/>
      </c>
      <c r="P3" s="4" t="str">
        <f t="array" ref="P3">IFERROR(INDEX('KO DU ĐK NQ10'!$H$8:$H$48, MATCH(1, ('KO DU ĐK NQ10'!$D$8:$D$48=BC_SINH!D3)*('KO DU ĐK NQ10'!$E$8:$E$48=BC_SINH!E3), 0)),"")</f>
        <v/>
      </c>
      <c r="Q3" s="4" t="str">
        <f t="array" ref="Q3">IFERROR(INDEX('KO DU ĐK 4069'!$C$8:$C$38, MATCH(1, ('KO DU ĐK 4069'!$D$8:$D$38=BC_SINH!D3)*('KO DU ĐK 4069'!$E$8:$E$38=BC_SINH!E3), 0)),"")</f>
        <v/>
      </c>
      <c r="R3" s="4" t="str">
        <f t="array" ref="R3">IFERROR(INDEX('KO DU ĐK 4069'!$H$8:$H$38, MATCH(1, ('KO DU ĐK 4069'!$D$8:$D$38=BC_SINH!D3)*('KO DU ĐK 4069'!$E$8:$E$38=BC_SINH!E3), 0)),"")</f>
        <v/>
      </c>
      <c r="S3" s="4" t="str">
        <f t="array" ref="S3">IFERROR(INDEX(KeKhaiDangKy!$H$2:$H$4889, MATCH(1, (KeKhaiDangKy!$A$2:$A$4889=BC_SINH!D3)*(KeKhaiDangKy!$B$2:$B$4889=BC_SINH!E3), 0)),"")</f>
        <v/>
      </c>
    </row>
    <row r="4" spans="1:19" ht="14.45" customHeight="1" x14ac:dyDescent="0.25">
      <c r="A4" s="4">
        <f>IF(B4&lt;&gt;"", SUBTOTAL(3, $B$2:B4), "")</f>
        <v>3</v>
      </c>
      <c r="B4" s="4" t="s">
        <v>14</v>
      </c>
      <c r="C4" s="4" t="str">
        <f t="shared" si="0"/>
        <v>Kỳ Tăng</v>
      </c>
      <c r="D4" s="4">
        <v>33</v>
      </c>
      <c r="E4" s="4">
        <v>34</v>
      </c>
      <c r="F4" s="4">
        <v>5058</v>
      </c>
      <c r="G4" s="4" t="s">
        <v>11</v>
      </c>
      <c r="H4" s="4" t="str">
        <f t="array" ref="H4">IFERROR(INDEX(DSCKXA!$B$3:$B$73, MATCH(1, (DSCKXA!$D$3:$D$73=BC_SINH!D4)*(DSCKXA!$E$3:$E$73=BC_SINH!E4), 0)),"")</f>
        <v/>
      </c>
      <c r="I4" s="99" t="str">
        <f t="array" ref="I4">IFERROR(INDEX(DSCKXA!$C$3:$C$73, MATCH(1, (DSCKXA!$D$3:$D$73=BC_SINH!D4)*(DSCKXA!$E$3:$E$73=BC_SINH!E4), 0)),"")</f>
        <v/>
      </c>
      <c r="J4" s="97" t="str">
        <f>IFERROR(VLOOKUP(B4,'Đất sản xuất'!$B$9:$C$216,2,0),"")</f>
        <v/>
      </c>
      <c r="K4" s="97" t="str">
        <f>IFERROR(VLOOKUP(B4,'Sản xuất cấp huyên'!$B$9:$C$177,2,0),"")</f>
        <v/>
      </c>
      <c r="L4" s="4" t="str">
        <f>IFERROR(VLOOKUP(B4,'4069'!$B$9:$C$177,2,0),"")</f>
        <v/>
      </c>
      <c r="M4" s="4" t="str">
        <f t="array" ref="M4">IFERROR(INDEX(KODUDK!$C$8:$C$79, MATCH(1, (KODUDK!$D$8:$D$79=BC_SINH!D4)*(KODUDK!$E$8:$E$79=BC_SINH!E4), 0)),"")</f>
        <v/>
      </c>
      <c r="N4" s="4" t="str">
        <f t="array" ref="N4">IFERROR(INDEX(KODUDK!$H$8:$H$79, MATCH(1, (KODUDK!$D$8:$D$79=BC_SINH!D4)*(KODUDK!$E$8:$E$79=BC_SINH!E4), 0)),"")</f>
        <v/>
      </c>
      <c r="O4" s="4" t="str">
        <f t="array" ref="O4">IFERROR(INDEX('KO DU ĐK NQ10'!$C$8:$C$48, MATCH(1, ('KO DU ĐK NQ10'!$D$8:$D$48=BC_SINH!D4)*('KO DU ĐK NQ10'!$E$8:$E$48=BC_SINH!E4), 0)),"")</f>
        <v/>
      </c>
      <c r="P4" s="4" t="str">
        <f t="array" ref="P4">IFERROR(INDEX('KO DU ĐK NQ10'!$H$8:$H$48, MATCH(1, ('KO DU ĐK NQ10'!$D$8:$D$48=BC_SINH!D4)*('KO DU ĐK NQ10'!$E$8:$E$48=BC_SINH!E4), 0)),"")</f>
        <v/>
      </c>
      <c r="Q4" s="4" t="str">
        <f t="array" ref="Q4">IFERROR(INDEX('KO DU ĐK 4069'!$C$8:$C$38, MATCH(1, ('KO DU ĐK 4069'!$D$8:$D$38=BC_SINH!D4)*('KO DU ĐK 4069'!$E$8:$E$38=BC_SINH!E4), 0)),"")</f>
        <v/>
      </c>
      <c r="R4" s="4" t="str">
        <f t="array" ref="R4">IFERROR(INDEX('KO DU ĐK 4069'!$H$8:$H$38, MATCH(1, ('KO DU ĐK 4069'!$D$8:$D$38=BC_SINH!D4)*('KO DU ĐK 4069'!$E$8:$E$38=BC_SINH!E4), 0)),"")</f>
        <v/>
      </c>
      <c r="S4" s="4" t="str">
        <f t="array" ref="S4">IFERROR(INDEX(KeKhaiDangKy!$H$2:$H$4889, MATCH(1, (KeKhaiDangKy!$A$2:$A$4889=BC_SINH!D4)*(KeKhaiDangKy!$B$2:$B$4889=BC_SINH!E4), 0)),"")</f>
        <v>Kỳ Tăng</v>
      </c>
    </row>
    <row r="5" spans="1:19" ht="14.45" customHeight="1" x14ac:dyDescent="0.25">
      <c r="A5" s="4">
        <f>IF(B5&lt;&gt;"", SUBTOTAL(3, $B$2:B5), "")</f>
        <v>4</v>
      </c>
      <c r="B5" s="4" t="s">
        <v>15</v>
      </c>
      <c r="C5" s="4" t="str">
        <f t="shared" si="0"/>
        <v>A Xau</v>
      </c>
      <c r="D5" s="4">
        <v>5</v>
      </c>
      <c r="E5" s="4">
        <v>23</v>
      </c>
      <c r="F5" s="4">
        <v>3744</v>
      </c>
      <c r="G5" s="4" t="s">
        <v>11</v>
      </c>
      <c r="H5" s="4" t="str">
        <f t="array" ref="H5">IFERROR(INDEX(DSCKXA!$B$3:$B$73, MATCH(1, (DSCKXA!$D$3:$D$73=BC_SINH!D5)*(DSCKXA!$E$3:$E$73=BC_SINH!E5), 0)),"")</f>
        <v>Hồ Bun Nhây</v>
      </c>
      <c r="I5" s="99" t="str">
        <f t="array" ref="I5">IFERROR(INDEX(DSCKXA!$C$3:$C$73, MATCH(1, (DSCKXA!$D$3:$D$73=BC_SINH!D5)*(DSCKXA!$E$3:$E$73=BC_SINH!E5), 0)),"")</f>
        <v>Thôn A Xau</v>
      </c>
      <c r="J5" s="97" t="str">
        <f>IFERROR(VLOOKUP(B5,'Đất sản xuất'!$B$9:$C$216,2,0),"")</f>
        <v/>
      </c>
      <c r="K5" s="97" t="str">
        <f>IFERROR(VLOOKUP(B5,'Sản xuất cấp huyên'!$B$9:$C$177,2,0),"")</f>
        <v>A Xau</v>
      </c>
      <c r="L5" s="4" t="str">
        <f>IFERROR(VLOOKUP(B5,'4069'!$B$9:$C$177,2,0),"")</f>
        <v>A Xau</v>
      </c>
      <c r="M5" s="4" t="str">
        <f t="array" ref="M5">IFERROR(INDEX(KODUDK!$C$8:$C$79, MATCH(1, (KODUDK!$D$8:$D$79=BC_SINH!D5)*(KODUDK!$E$8:$E$79=BC_SINH!E5), 0)),"")</f>
        <v/>
      </c>
      <c r="N5" s="4" t="str">
        <f t="array" ref="N5">IFERROR(INDEX(KODUDK!$H$8:$H$79, MATCH(1, (KODUDK!$D$8:$D$79=BC_SINH!D5)*(KODUDK!$E$8:$E$79=BC_SINH!E5), 0)),"")</f>
        <v/>
      </c>
      <c r="O5" s="4" t="str">
        <f t="array" ref="O5">IFERROR(INDEX('KO DU ĐK NQ10'!$C$8:$C$48, MATCH(1, ('KO DU ĐK NQ10'!$D$8:$D$48=BC_SINH!D5)*('KO DU ĐK NQ10'!$E$8:$E$48=BC_SINH!E5), 0)),"")</f>
        <v/>
      </c>
      <c r="P5" s="4" t="str">
        <f t="array" ref="P5">IFERROR(INDEX('KO DU ĐK NQ10'!$H$8:$H$48, MATCH(1, ('KO DU ĐK NQ10'!$D$8:$D$48=BC_SINH!D5)*('KO DU ĐK NQ10'!$E$8:$E$48=BC_SINH!E5), 0)),"")</f>
        <v/>
      </c>
      <c r="Q5" s="4" t="str">
        <f t="array" ref="Q5">IFERROR(INDEX('KO DU ĐK 4069'!$C$8:$C$38, MATCH(1, ('KO DU ĐK 4069'!$D$8:$D$38=BC_SINH!D5)*('KO DU ĐK 4069'!$E$8:$E$38=BC_SINH!E5), 0)),"")</f>
        <v/>
      </c>
      <c r="R5" s="4" t="str">
        <f t="array" ref="R5">IFERROR(INDEX('KO DU ĐK 4069'!$H$8:$H$38, MATCH(1, ('KO DU ĐK 4069'!$D$8:$D$38=BC_SINH!D5)*('KO DU ĐK 4069'!$E$8:$E$38=BC_SINH!E5), 0)),"")</f>
        <v/>
      </c>
      <c r="S5" s="4" t="str">
        <f t="array" ref="S5">IFERROR(INDEX(KeKhaiDangKy!$H$2:$H$4889, MATCH(1, (KeKhaiDangKy!$A$2:$A$4889=BC_SINH!D5)*(KeKhaiDangKy!$B$2:$B$4889=BC_SINH!E5), 0)),"")</f>
        <v/>
      </c>
    </row>
    <row r="6" spans="1:19" ht="14.45" customHeight="1" x14ac:dyDescent="0.25">
      <c r="A6" s="4">
        <f>IF(B6&lt;&gt;"", SUBTOTAL(3, $B$2:B6), "")</f>
        <v>5</v>
      </c>
      <c r="B6" s="4" t="s">
        <v>16</v>
      </c>
      <c r="C6" s="4" t="str">
        <f t="shared" si="0"/>
        <v>Thôn A Máy</v>
      </c>
      <c r="D6" s="4">
        <v>21</v>
      </c>
      <c r="E6" s="4">
        <v>59</v>
      </c>
      <c r="F6" s="4">
        <v>8712</v>
      </c>
      <c r="G6" s="4" t="s">
        <v>11</v>
      </c>
      <c r="H6" s="4" t="str">
        <f t="array" ref="H6">IFERROR(INDEX(DSCKXA!$B$3:$B$73, MATCH(1, (DSCKXA!$D$3:$D$73=BC_SINH!D6)*(DSCKXA!$E$3:$E$73=BC_SINH!E6), 0)),"")</f>
        <v/>
      </c>
      <c r="I6" s="99" t="str">
        <f t="array" ref="I6">IFERROR(INDEX(DSCKXA!$C$3:$C$73, MATCH(1, (DSCKXA!$D$3:$D$73=BC_SINH!D6)*(DSCKXA!$E$3:$E$73=BC_SINH!E6), 0)),"")</f>
        <v/>
      </c>
      <c r="J6" s="97" t="str">
        <f>IFERROR(VLOOKUP(B6,'Đất sản xuất'!$B$9:$C$216,2,0),"")</f>
        <v/>
      </c>
      <c r="K6" s="97" t="str">
        <f>IFERROR(VLOOKUP(B6,'Sản xuất cấp huyên'!$B$9:$C$177,2,0),"")</f>
        <v/>
      </c>
      <c r="L6" s="4" t="str">
        <f>IFERROR(VLOOKUP(B6,'4069'!$B$9:$C$177,2,0),"")</f>
        <v/>
      </c>
      <c r="M6" s="4" t="str">
        <f t="array" ref="M6">IFERROR(INDEX(KODUDK!$C$8:$C$79, MATCH(1, (KODUDK!$D$8:$D$79=BC_SINH!D6)*(KODUDK!$E$8:$E$79=BC_SINH!E6), 0)),"")</f>
        <v>Thôn A Máy</v>
      </c>
      <c r="N6" s="4" t="str">
        <f t="array" ref="N6">IFERROR(INDEX(KODUDK!$H$8:$H$79, MATCH(1, (KODUDK!$D$8:$D$79=BC_SINH!D6)*(KODUDK!$E$8:$E$79=BC_SINH!E6), 0)),"")</f>
        <v>Có 02 thửa đất nên loại 01 thửa</v>
      </c>
      <c r="O6" s="4" t="str">
        <f t="array" ref="O6">IFERROR(INDEX('KO DU ĐK NQ10'!$C$8:$C$48, MATCH(1, ('KO DU ĐK NQ10'!$D$8:$D$48=BC_SINH!D6)*('KO DU ĐK NQ10'!$E$8:$E$48=BC_SINH!E6), 0)),"")</f>
        <v>Thôn A Máy</v>
      </c>
      <c r="P6" s="4" t="str">
        <f t="array" ref="P6">IFERROR(INDEX('KO DU ĐK NQ10'!$H$8:$H$48, MATCH(1, ('KO DU ĐK NQ10'!$D$8:$D$48=BC_SINH!D6)*('KO DU ĐK NQ10'!$E$8:$E$48=BC_SINH!E6), 0)),"")</f>
        <v>Có 02 thửa đất nên loại 01 thửa</v>
      </c>
      <c r="Q6" s="4" t="str">
        <f t="array" ref="Q6">IFERROR(INDEX('KO DU ĐK 4069'!$C$8:$C$38, MATCH(1, ('KO DU ĐK 4069'!$D$8:$D$38=BC_SINH!D6)*('KO DU ĐK 4069'!$E$8:$E$38=BC_SINH!E6), 0)),"")</f>
        <v/>
      </c>
      <c r="R6" s="4" t="str">
        <f t="array" ref="R6">IFERROR(INDEX('KO DU ĐK 4069'!$H$8:$H$38, MATCH(1, ('KO DU ĐK 4069'!$D$8:$D$38=BC_SINH!D6)*('KO DU ĐK 4069'!$E$8:$E$38=BC_SINH!E6), 0)),"")</f>
        <v/>
      </c>
      <c r="S6" s="4" t="str">
        <f t="array" ref="S6">IFERROR(INDEX(KeKhaiDangKy!$H$2:$H$4889, MATCH(1, (KeKhaiDangKy!$A$2:$A$4889=BC_SINH!D6)*(KeKhaiDangKy!$B$2:$B$4889=BC_SINH!E6), 0)),"")</f>
        <v/>
      </c>
    </row>
    <row r="7" spans="1:19" ht="14.45" customHeight="1" x14ac:dyDescent="0.25">
      <c r="A7" s="4">
        <f>IF(B7&lt;&gt;"", SUBTOTAL(3, $B$2:B7), "")</f>
        <v>6</v>
      </c>
      <c r="B7" s="4" t="s">
        <v>17</v>
      </c>
      <c r="C7" s="4" t="str">
        <f t="shared" si="0"/>
        <v>A Máy</v>
      </c>
      <c r="D7" s="4">
        <v>22</v>
      </c>
      <c r="E7" s="4">
        <v>22</v>
      </c>
      <c r="F7" s="4">
        <v>5636</v>
      </c>
      <c r="G7" s="4" t="s">
        <v>11</v>
      </c>
      <c r="H7" s="4" t="str">
        <f t="array" ref="H7">IFERROR(INDEX(DSCKXA!$B$3:$B$73, MATCH(1, (DSCKXA!$D$3:$D$73=BC_SINH!D7)*(DSCKXA!$E$3:$E$73=BC_SINH!E7), 0)),"")</f>
        <v/>
      </c>
      <c r="I7" s="99" t="str">
        <f t="array" ref="I7">IFERROR(INDEX(DSCKXA!$C$3:$C$73, MATCH(1, (DSCKXA!$D$3:$D$73=BC_SINH!D7)*(DSCKXA!$E$3:$E$73=BC_SINH!E7), 0)),"")</f>
        <v/>
      </c>
      <c r="J7" s="97" t="str">
        <f>IFERROR(VLOOKUP(B7,'Đất sản xuất'!$B$9:$C$216,2,0),"")</f>
        <v/>
      </c>
      <c r="K7" s="97" t="str">
        <f>IFERROR(VLOOKUP(B7,'Sản xuất cấp huyên'!$B$9:$C$177,2,0),"")</f>
        <v>A Máy</v>
      </c>
      <c r="L7" s="4" t="str">
        <f>IFERROR(VLOOKUP(B7,'4069'!$B$9:$C$177,2,0),"")</f>
        <v>A Máy</v>
      </c>
      <c r="M7" s="4" t="str">
        <f t="array" ref="M7">IFERROR(INDEX(KODUDK!$C$8:$C$79, MATCH(1, (KODUDK!$D$8:$D$79=BC_SINH!D7)*(KODUDK!$E$8:$E$79=BC_SINH!E7), 0)),"")</f>
        <v/>
      </c>
      <c r="N7" s="4" t="str">
        <f t="array" ref="N7">IFERROR(INDEX(KODUDK!$H$8:$H$79, MATCH(1, (KODUDK!$D$8:$D$79=BC_SINH!D7)*(KODUDK!$E$8:$E$79=BC_SINH!E7), 0)),"")</f>
        <v/>
      </c>
      <c r="O7" s="4" t="str">
        <f t="array" ref="O7">IFERROR(INDEX('KO DU ĐK NQ10'!$C$8:$C$48, MATCH(1, ('KO DU ĐK NQ10'!$D$8:$D$48=BC_SINH!D7)*('KO DU ĐK NQ10'!$E$8:$E$48=BC_SINH!E7), 0)),"")</f>
        <v/>
      </c>
      <c r="P7" s="4" t="str">
        <f t="array" ref="P7">IFERROR(INDEX('KO DU ĐK NQ10'!$H$8:$H$48, MATCH(1, ('KO DU ĐK NQ10'!$D$8:$D$48=BC_SINH!D7)*('KO DU ĐK NQ10'!$E$8:$E$48=BC_SINH!E7), 0)),"")</f>
        <v/>
      </c>
      <c r="Q7" s="4" t="str">
        <f t="array" ref="Q7">IFERROR(INDEX('KO DU ĐK 4069'!$C$8:$C$38, MATCH(1, ('KO DU ĐK 4069'!$D$8:$D$38=BC_SINH!D7)*('KO DU ĐK 4069'!$E$8:$E$38=BC_SINH!E7), 0)),"")</f>
        <v/>
      </c>
      <c r="R7" s="4" t="str">
        <f t="array" ref="R7">IFERROR(INDEX('KO DU ĐK 4069'!$H$8:$H$38, MATCH(1, ('KO DU ĐK 4069'!$D$8:$D$38=BC_SINH!D7)*('KO DU ĐK 4069'!$E$8:$E$38=BC_SINH!E7), 0)),"")</f>
        <v/>
      </c>
      <c r="S7" s="4" t="str">
        <f t="array" ref="S7">IFERROR(INDEX(KeKhaiDangKy!$H$2:$H$4889, MATCH(1, (KeKhaiDangKy!$A$2:$A$4889=BC_SINH!D7)*(KeKhaiDangKy!$B$2:$B$4889=BC_SINH!E7), 0)),"")</f>
        <v/>
      </c>
    </row>
    <row r="8" spans="1:19" ht="14.45" customHeight="1" x14ac:dyDescent="0.25">
      <c r="A8" s="4">
        <f>IF(B8&lt;&gt;"", SUBTOTAL(3, $B$2:B8), "")</f>
        <v>7</v>
      </c>
      <c r="B8" s="4" t="s">
        <v>180</v>
      </c>
      <c r="C8" s="4" t="str">
        <f t="shared" si="0"/>
        <v xml:space="preserve"> A Máy</v>
      </c>
      <c r="D8" s="4">
        <v>21</v>
      </c>
      <c r="E8" s="4">
        <v>60</v>
      </c>
      <c r="F8" s="4">
        <v>23170</v>
      </c>
      <c r="G8" s="4" t="s">
        <v>11</v>
      </c>
      <c r="H8" s="4" t="str">
        <f t="array" ref="H8">IFERROR(INDEX(DSCKXA!$B$3:$B$73, MATCH(1, (DSCKXA!$D$3:$D$73=BC_SINH!D8)*(DSCKXA!$E$3:$E$73=BC_SINH!E8), 0)),"")</f>
        <v>Hồ Kô Tả</v>
      </c>
      <c r="I8" s="99" t="str">
        <f t="array" ref="I8">IFERROR(INDEX(DSCKXA!$C$3:$C$73, MATCH(1, (DSCKXA!$D$3:$D$73=BC_SINH!D8)*(DSCKXA!$E$3:$E$73=BC_SINH!E8), 0)),"")</f>
        <v>Thôn A Máy</v>
      </c>
      <c r="J8" s="97" t="str">
        <f>IFERROR(VLOOKUP(B8,'Đất sản xuất'!$B$9:$C$216,2,0),"")</f>
        <v xml:space="preserve"> A Máy</v>
      </c>
      <c r="K8" s="97" t="str">
        <f>IFERROR(VLOOKUP(B8,'Sản xuất cấp huyên'!$B$9:$C$177,2,0),"")</f>
        <v/>
      </c>
      <c r="L8" s="4" t="str">
        <f>IFERROR(VLOOKUP(B8,'4069'!$B$9:$C$177,2,0),"")</f>
        <v/>
      </c>
      <c r="M8" s="4" t="str">
        <f t="array" ref="M8">IFERROR(INDEX(KODUDK!$C$8:$C$79, MATCH(1, (KODUDK!$D$8:$D$79=BC_SINH!D8)*(KODUDK!$E$8:$E$79=BC_SINH!E8), 0)),"")</f>
        <v>Thôn A Máy</v>
      </c>
      <c r="N8" s="4" t="str">
        <f t="array" ref="N8">IFERROR(INDEX(KODUDK!$H$8:$H$79, MATCH(1, (KODUDK!$D$8:$D$79=BC_SINH!D8)*(KODUDK!$E$8:$E$79=BC_SINH!E8), 0)),"")</f>
        <v>Có 02 thửa đất nên loại 01 thửa</v>
      </c>
      <c r="O8" s="4" t="str">
        <f t="array" ref="O8">IFERROR(INDEX('KO DU ĐK NQ10'!$C$8:$C$48, MATCH(1, ('KO DU ĐK NQ10'!$D$8:$D$48=BC_SINH!D8)*('KO DU ĐK NQ10'!$E$8:$E$48=BC_SINH!E8), 0)),"")</f>
        <v>Thôn A Máy</v>
      </c>
      <c r="P8" s="4" t="str">
        <f t="array" ref="P8">IFERROR(INDEX('KO DU ĐK NQ10'!$H$8:$H$48, MATCH(1, ('KO DU ĐK NQ10'!$D$8:$D$48=BC_SINH!D8)*('KO DU ĐK NQ10'!$E$8:$E$48=BC_SINH!E8), 0)),"")</f>
        <v>Có 02 thửa đất nên loại 01 thửa</v>
      </c>
      <c r="Q8" s="4" t="str">
        <f t="array" ref="Q8">IFERROR(INDEX('KO DU ĐK 4069'!$C$8:$C$38, MATCH(1, ('KO DU ĐK 4069'!$D$8:$D$38=BC_SINH!D8)*('KO DU ĐK 4069'!$E$8:$E$38=BC_SINH!E8), 0)),"")</f>
        <v/>
      </c>
      <c r="R8" s="4" t="str">
        <f t="array" ref="R8">IFERROR(INDEX('KO DU ĐK 4069'!$H$8:$H$38, MATCH(1, ('KO DU ĐK 4069'!$D$8:$D$38=BC_SINH!D8)*('KO DU ĐK 4069'!$E$8:$E$38=BC_SINH!E8), 0)),"")</f>
        <v/>
      </c>
      <c r="S8" s="4" t="str">
        <f t="array" ref="S8">IFERROR(INDEX(KeKhaiDangKy!$H$2:$H$4889, MATCH(1, (KeKhaiDangKy!$A$2:$A$4889=BC_SINH!D8)*(KeKhaiDangKy!$B$2:$B$4889=BC_SINH!E8), 0)),"")</f>
        <v/>
      </c>
    </row>
    <row r="9" spans="1:19" ht="14.45" customHeight="1" x14ac:dyDescent="0.25">
      <c r="A9" s="4">
        <f>IF(B9&lt;&gt;"", SUBTOTAL(3, $B$2:B9), "")</f>
        <v>8</v>
      </c>
      <c r="B9" s="4" t="s">
        <v>18</v>
      </c>
      <c r="C9" s="4" t="str">
        <f t="shared" si="0"/>
        <v>A Máy</v>
      </c>
      <c r="D9" s="4">
        <v>21</v>
      </c>
      <c r="E9" s="4">
        <v>61</v>
      </c>
      <c r="F9" s="4">
        <v>14713</v>
      </c>
      <c r="G9" s="4" t="s">
        <v>11</v>
      </c>
      <c r="H9" s="4" t="str">
        <f t="array" ref="H9">IFERROR(INDEX(DSCKXA!$B$3:$B$73, MATCH(1, (DSCKXA!$D$3:$D$73=BC_SINH!D9)*(DSCKXA!$E$3:$E$73=BC_SINH!E9), 0)),"")</f>
        <v/>
      </c>
      <c r="I9" s="99" t="str">
        <f t="array" ref="I9">IFERROR(INDEX(DSCKXA!$C$3:$C$73, MATCH(1, (DSCKXA!$D$3:$D$73=BC_SINH!D9)*(DSCKXA!$E$3:$E$73=BC_SINH!E9), 0)),"")</f>
        <v/>
      </c>
      <c r="J9" s="97" t="str">
        <f>IFERROR(VLOOKUP(B9,'Đất sản xuất'!$B$9:$C$216,2,0),"")</f>
        <v/>
      </c>
      <c r="K9" s="97" t="str">
        <f>IFERROR(VLOOKUP(B9,'Sản xuất cấp huyên'!$B$9:$C$177,2,0),"")</f>
        <v>A Máy</v>
      </c>
      <c r="L9" s="4" t="str">
        <f>IFERROR(VLOOKUP(B9,'4069'!$B$9:$C$177,2,0),"")</f>
        <v>A Máy</v>
      </c>
      <c r="M9" s="4" t="str">
        <f t="array" ref="M9">IFERROR(INDEX(KODUDK!$C$8:$C$79, MATCH(1, (KODUDK!$D$8:$D$79=BC_SINH!D9)*(KODUDK!$E$8:$E$79=BC_SINH!E9), 0)),"")</f>
        <v/>
      </c>
      <c r="N9" s="4" t="str">
        <f t="array" ref="N9">IFERROR(INDEX(KODUDK!$H$8:$H$79, MATCH(1, (KODUDK!$D$8:$D$79=BC_SINH!D9)*(KODUDK!$E$8:$E$79=BC_SINH!E9), 0)),"")</f>
        <v/>
      </c>
      <c r="O9" s="4" t="str">
        <f t="array" ref="O9">IFERROR(INDEX('KO DU ĐK NQ10'!$C$8:$C$48, MATCH(1, ('KO DU ĐK NQ10'!$D$8:$D$48=BC_SINH!D9)*('KO DU ĐK NQ10'!$E$8:$E$48=BC_SINH!E9), 0)),"")</f>
        <v/>
      </c>
      <c r="P9" s="4" t="str">
        <f t="array" ref="P9">IFERROR(INDEX('KO DU ĐK NQ10'!$H$8:$H$48, MATCH(1, ('KO DU ĐK NQ10'!$D$8:$D$48=BC_SINH!D9)*('KO DU ĐK NQ10'!$E$8:$E$48=BC_SINH!E9), 0)),"")</f>
        <v/>
      </c>
      <c r="Q9" s="4" t="str">
        <f t="array" ref="Q9">IFERROR(INDEX('KO DU ĐK 4069'!$C$8:$C$38, MATCH(1, ('KO DU ĐK 4069'!$D$8:$D$38=BC_SINH!D9)*('KO DU ĐK 4069'!$E$8:$E$38=BC_SINH!E9), 0)),"")</f>
        <v/>
      </c>
      <c r="R9" s="4" t="str">
        <f t="array" ref="R9">IFERROR(INDEX('KO DU ĐK 4069'!$H$8:$H$38, MATCH(1, ('KO DU ĐK 4069'!$D$8:$D$38=BC_SINH!D9)*('KO DU ĐK 4069'!$E$8:$E$38=BC_SINH!E9), 0)),"")</f>
        <v/>
      </c>
      <c r="S9" s="4" t="str">
        <f t="array" ref="S9">IFERROR(INDEX(KeKhaiDangKy!$H$2:$H$4889, MATCH(1, (KeKhaiDangKy!$A$2:$A$4889=BC_SINH!D9)*(KeKhaiDangKy!$B$2:$B$4889=BC_SINH!E9), 0)),"")</f>
        <v/>
      </c>
    </row>
    <row r="10" spans="1:19" ht="14.45" customHeight="1" x14ac:dyDescent="0.25">
      <c r="A10" s="4">
        <f>IF(B10&lt;&gt;"", SUBTOTAL(3, $B$2:B10), "")</f>
        <v>9</v>
      </c>
      <c r="B10" s="4" t="s">
        <v>18</v>
      </c>
      <c r="C10" s="4" t="str">
        <f t="shared" si="0"/>
        <v>A Máy</v>
      </c>
      <c r="D10" s="4">
        <v>21</v>
      </c>
      <c r="E10" s="4">
        <v>62</v>
      </c>
      <c r="F10" s="4">
        <v>12240</v>
      </c>
      <c r="G10" s="4" t="s">
        <v>11</v>
      </c>
      <c r="H10" s="4" t="str">
        <f t="array" ref="H10">IFERROR(INDEX(DSCKXA!$B$3:$B$73, MATCH(1, (DSCKXA!$D$3:$D$73=BC_SINH!D10)*(DSCKXA!$E$3:$E$73=BC_SINH!E10), 0)),"")</f>
        <v/>
      </c>
      <c r="I10" s="99" t="str">
        <f t="array" ref="I10">IFERROR(INDEX(DSCKXA!$C$3:$C$73, MATCH(1, (DSCKXA!$D$3:$D$73=BC_SINH!D10)*(DSCKXA!$E$3:$E$73=BC_SINH!E10), 0)),"")</f>
        <v/>
      </c>
      <c r="J10" s="97" t="str">
        <f>IFERROR(VLOOKUP(B10,'Đất sản xuất'!$B$9:$C$216,2,0),"")</f>
        <v/>
      </c>
      <c r="K10" s="97" t="str">
        <f>IFERROR(VLOOKUP(B10,'Sản xuất cấp huyên'!$B$9:$C$177,2,0),"")</f>
        <v>A Máy</v>
      </c>
      <c r="L10" s="4" t="str">
        <f>IFERROR(VLOOKUP(B10,'4069'!$B$9:$C$177,2,0),"")</f>
        <v>A Máy</v>
      </c>
      <c r="M10" s="4" t="str">
        <f t="array" ref="M10">IFERROR(INDEX(KODUDK!$C$8:$C$79, MATCH(1, (KODUDK!$D$8:$D$79=BC_SINH!D10)*(KODUDK!$E$8:$E$79=BC_SINH!E10), 0)),"")</f>
        <v>Thôn A Máy</v>
      </c>
      <c r="N10" s="4" t="str">
        <f t="array" ref="N10">IFERROR(INDEX(KODUDK!$H$8:$H$79, MATCH(1, (KODUDK!$D$8:$D$79=BC_SINH!D10)*(KODUDK!$E$8:$E$79=BC_SINH!E10), 0)),"")</f>
        <v>Có 02 thửa đất nên loại 01 thửa</v>
      </c>
      <c r="O10" s="4" t="str">
        <f t="array" ref="O10">IFERROR(INDEX('KO DU ĐK NQ10'!$C$8:$C$48, MATCH(1, ('KO DU ĐK NQ10'!$D$8:$D$48=BC_SINH!D10)*('KO DU ĐK NQ10'!$E$8:$E$48=BC_SINH!E10), 0)),"")</f>
        <v/>
      </c>
      <c r="P10" s="4" t="str">
        <f t="array" ref="P10">IFERROR(INDEX('KO DU ĐK NQ10'!$H$8:$H$48, MATCH(1, ('KO DU ĐK NQ10'!$D$8:$D$48=BC_SINH!D10)*('KO DU ĐK NQ10'!$E$8:$E$48=BC_SINH!E10), 0)),"")</f>
        <v/>
      </c>
      <c r="Q10" s="4" t="str">
        <f t="array" ref="Q10">IFERROR(INDEX('KO DU ĐK 4069'!$C$8:$C$38, MATCH(1, ('KO DU ĐK 4069'!$D$8:$D$38=BC_SINH!D10)*('KO DU ĐK 4069'!$E$8:$E$38=BC_SINH!E10), 0)),"")</f>
        <v>Thôn A Máy</v>
      </c>
      <c r="R10" s="4" t="str">
        <f t="array" ref="R10">IFERROR(INDEX('KO DU ĐK 4069'!$H$8:$H$38, MATCH(1, ('KO DU ĐK 4069'!$D$8:$D$38=BC_SINH!D10)*('KO DU ĐK 4069'!$E$8:$E$38=BC_SINH!E10), 0)),"")</f>
        <v>Có 02 thửa đất nên loại 01 thửa</v>
      </c>
      <c r="S10" s="4" t="str">
        <f t="array" ref="S10">IFERROR(INDEX(KeKhaiDangKy!$H$2:$H$4889, MATCH(1, (KeKhaiDangKy!$A$2:$A$4889=BC_SINH!D10)*(KeKhaiDangKy!$B$2:$B$4889=BC_SINH!E10), 0)),"")</f>
        <v/>
      </c>
    </row>
    <row r="11" spans="1:19" ht="14.45" customHeight="1" x14ac:dyDescent="0.25">
      <c r="A11" s="4">
        <f>IF(B11&lt;&gt;"", SUBTOTAL(3, $B$2:B11), "")</f>
        <v>10</v>
      </c>
      <c r="B11" s="4" t="s">
        <v>19</v>
      </c>
      <c r="C11" s="4" t="str">
        <f t="shared" si="0"/>
        <v>Kỳ Nơi</v>
      </c>
      <c r="D11" s="4">
        <v>1</v>
      </c>
      <c r="E11" s="4">
        <v>167</v>
      </c>
      <c r="F11" s="4">
        <v>3672</v>
      </c>
      <c r="G11" s="4" t="s">
        <v>11</v>
      </c>
      <c r="H11" s="4" t="str">
        <f t="array" ref="H11">IFERROR(INDEX(DSCKXA!$B$3:$B$73, MATCH(1, (DSCKXA!$D$3:$D$73=BC_SINH!D11)*(DSCKXA!$E$3:$E$73=BC_SINH!E11), 0)),"")</f>
        <v/>
      </c>
      <c r="I11" s="99" t="str">
        <f t="array" ref="I11">IFERROR(INDEX(DSCKXA!$C$3:$C$73, MATCH(1, (DSCKXA!$D$3:$D$73=BC_SINH!D11)*(DSCKXA!$E$3:$E$73=BC_SINH!E11), 0)),"")</f>
        <v/>
      </c>
      <c r="J11" s="97" t="str">
        <f>IFERROR(VLOOKUP(B11,'Đất sản xuất'!$B$9:$C$216,2,0),"")</f>
        <v/>
      </c>
      <c r="K11" s="97" t="str">
        <f>IFERROR(VLOOKUP(B11,'Sản xuất cấp huyên'!$B$9:$C$177,2,0),"")</f>
        <v>Kỳ Nơi</v>
      </c>
      <c r="L11" s="4" t="str">
        <f>IFERROR(VLOOKUP(B11,'4069'!$B$9:$C$177,2,0),"")</f>
        <v>Kỳ Nơi</v>
      </c>
      <c r="M11" s="4" t="str">
        <f t="array" ref="M11">IFERROR(INDEX(KODUDK!$C$8:$C$79, MATCH(1, (KODUDK!$D$8:$D$79=BC_SINH!D11)*(KODUDK!$E$8:$E$79=BC_SINH!E11), 0)),"")</f>
        <v/>
      </c>
      <c r="N11" s="4" t="str">
        <f t="array" ref="N11">IFERROR(INDEX(KODUDK!$H$8:$H$79, MATCH(1, (KODUDK!$D$8:$D$79=BC_SINH!D11)*(KODUDK!$E$8:$E$79=BC_SINH!E11), 0)),"")</f>
        <v/>
      </c>
      <c r="O11" s="4" t="str">
        <f t="array" ref="O11">IFERROR(INDEX('KO DU ĐK NQ10'!$C$8:$C$48, MATCH(1, ('KO DU ĐK NQ10'!$D$8:$D$48=BC_SINH!D11)*('KO DU ĐK NQ10'!$E$8:$E$48=BC_SINH!E11), 0)),"")</f>
        <v/>
      </c>
      <c r="P11" s="4" t="str">
        <f t="array" ref="P11">IFERROR(INDEX('KO DU ĐK NQ10'!$H$8:$H$48, MATCH(1, ('KO DU ĐK NQ10'!$D$8:$D$48=BC_SINH!D11)*('KO DU ĐK NQ10'!$E$8:$E$48=BC_SINH!E11), 0)),"")</f>
        <v/>
      </c>
      <c r="Q11" s="4" t="str">
        <f t="array" ref="Q11">IFERROR(INDEX('KO DU ĐK 4069'!$C$8:$C$38, MATCH(1, ('KO DU ĐK 4069'!$D$8:$D$38=BC_SINH!D11)*('KO DU ĐK 4069'!$E$8:$E$38=BC_SINH!E11), 0)),"")</f>
        <v/>
      </c>
      <c r="R11" s="4" t="str">
        <f t="array" ref="R11">IFERROR(INDEX('KO DU ĐK 4069'!$H$8:$H$38, MATCH(1, ('KO DU ĐK 4069'!$D$8:$D$38=BC_SINH!D11)*('KO DU ĐK 4069'!$E$8:$E$38=BC_SINH!E11), 0)),"")</f>
        <v/>
      </c>
      <c r="S11" s="4" t="str">
        <f t="array" ref="S11">IFERROR(INDEX(KeKhaiDangKy!$H$2:$H$4889, MATCH(1, (KeKhaiDangKy!$A$2:$A$4889=BC_SINH!D11)*(KeKhaiDangKy!$B$2:$B$4889=BC_SINH!E11), 0)),"")</f>
        <v>Kỳ Nơi</v>
      </c>
    </row>
    <row r="12" spans="1:19" ht="14.45" customHeight="1" x14ac:dyDescent="0.25">
      <c r="A12" s="4">
        <f>IF(B12&lt;&gt;"", SUBTOTAL(3, $B$2:B12), "")</f>
        <v>11</v>
      </c>
      <c r="B12" s="4" t="s">
        <v>20</v>
      </c>
      <c r="C12" s="4" t="str">
        <f t="shared" si="0"/>
        <v xml:space="preserve"> A Máy</v>
      </c>
      <c r="D12" s="4">
        <v>21</v>
      </c>
      <c r="E12" s="4">
        <v>63</v>
      </c>
      <c r="F12" s="4">
        <v>7913</v>
      </c>
      <c r="G12" s="4" t="s">
        <v>11</v>
      </c>
      <c r="H12" s="4" t="str">
        <f t="array" ref="H12">IFERROR(INDEX(DSCKXA!$B$3:$B$73, MATCH(1, (DSCKXA!$D$3:$D$73=BC_SINH!D12)*(DSCKXA!$E$3:$E$73=BC_SINH!E12), 0)),"")</f>
        <v/>
      </c>
      <c r="I12" s="99" t="str">
        <f t="array" ref="I12">IFERROR(INDEX(DSCKXA!$C$3:$C$73, MATCH(1, (DSCKXA!$D$3:$D$73=BC_SINH!D12)*(DSCKXA!$E$3:$E$73=BC_SINH!E12), 0)),"")</f>
        <v/>
      </c>
      <c r="J12" s="97" t="str">
        <f>IFERROR(VLOOKUP(B12,'Đất sản xuất'!$B$9:$C$216,2,0),"")</f>
        <v xml:space="preserve"> A Máy</v>
      </c>
      <c r="K12" s="97" t="str">
        <f>IFERROR(VLOOKUP(B12,'Sản xuất cấp huyên'!$B$9:$C$177,2,0),"")</f>
        <v/>
      </c>
      <c r="L12" s="4" t="str">
        <f>IFERROR(VLOOKUP(B12,'4069'!$B$9:$C$177,2,0),"")</f>
        <v/>
      </c>
      <c r="M12" s="4" t="str">
        <f t="array" ref="M12">IFERROR(INDEX(KODUDK!$C$8:$C$79, MATCH(1, (KODUDK!$D$8:$D$79=BC_SINH!D12)*(KODUDK!$E$8:$E$79=BC_SINH!E12), 0)),"")</f>
        <v>Thôn A Máy</v>
      </c>
      <c r="N12" s="4" t="str">
        <f t="array" ref="N12">IFERROR(INDEX(KODUDK!$H$8:$H$79, MATCH(1, (KODUDK!$D$8:$D$79=BC_SINH!D12)*(KODUDK!$E$8:$E$79=BC_SINH!E12), 0)),"")</f>
        <v>Có 02 thửa đất nên loại 01 thửa</v>
      </c>
      <c r="O12" s="4" t="str">
        <f t="array" ref="O12">IFERROR(INDEX('KO DU ĐK NQ10'!$C$8:$C$48, MATCH(1, ('KO DU ĐK NQ10'!$D$8:$D$48=BC_SINH!D12)*('KO DU ĐK NQ10'!$E$8:$E$48=BC_SINH!E12), 0)),"")</f>
        <v>Thôn A Máy</v>
      </c>
      <c r="P12" s="4" t="str">
        <f t="array" ref="P12">IFERROR(INDEX('KO DU ĐK NQ10'!$H$8:$H$48, MATCH(1, ('KO DU ĐK NQ10'!$D$8:$D$48=BC_SINH!D12)*('KO DU ĐK NQ10'!$E$8:$E$48=BC_SINH!E12), 0)),"")</f>
        <v>Có 02 thửa đất nên loại 01 thửa</v>
      </c>
      <c r="Q12" s="4" t="str">
        <f t="array" ref="Q12">IFERROR(INDEX('KO DU ĐK 4069'!$C$8:$C$38, MATCH(1, ('KO DU ĐK 4069'!$D$8:$D$38=BC_SINH!D12)*('KO DU ĐK 4069'!$E$8:$E$38=BC_SINH!E12), 0)),"")</f>
        <v/>
      </c>
      <c r="R12" s="4" t="str">
        <f t="array" ref="R12">IFERROR(INDEX('KO DU ĐK 4069'!$H$8:$H$38, MATCH(1, ('KO DU ĐK 4069'!$D$8:$D$38=BC_SINH!D12)*('KO DU ĐK 4069'!$E$8:$E$38=BC_SINH!E12), 0)),"")</f>
        <v/>
      </c>
      <c r="S12" s="4" t="str">
        <f t="array" ref="S12">IFERROR(INDEX(KeKhaiDangKy!$H$2:$H$4889, MATCH(1, (KeKhaiDangKy!$A$2:$A$4889=BC_SINH!D12)*(KeKhaiDangKy!$B$2:$B$4889=BC_SINH!E12), 0)),"")</f>
        <v/>
      </c>
    </row>
    <row r="13" spans="1:19" ht="14.45" customHeight="1" x14ac:dyDescent="0.25">
      <c r="A13" s="4">
        <f>IF(B13&lt;&gt;"", SUBTOTAL(3, $B$2:B13), "")</f>
        <v>12</v>
      </c>
      <c r="B13" s="4" t="s">
        <v>20</v>
      </c>
      <c r="C13" s="4" t="str">
        <f t="shared" si="0"/>
        <v xml:space="preserve"> A Máy</v>
      </c>
      <c r="D13" s="4">
        <v>21</v>
      </c>
      <c r="E13" s="4">
        <v>64</v>
      </c>
      <c r="F13" s="4">
        <v>5219</v>
      </c>
      <c r="G13" s="4" t="s">
        <v>11</v>
      </c>
      <c r="H13" s="4" t="str">
        <f t="array" ref="H13">IFERROR(INDEX(DSCKXA!$B$3:$B$73, MATCH(1, (DSCKXA!$D$3:$D$73=BC_SINH!D13)*(DSCKXA!$E$3:$E$73=BC_SINH!E13), 0)),"")</f>
        <v/>
      </c>
      <c r="I13" s="99" t="str">
        <f t="array" ref="I13">IFERROR(INDEX(DSCKXA!$C$3:$C$73, MATCH(1, (DSCKXA!$D$3:$D$73=BC_SINH!D13)*(DSCKXA!$E$3:$E$73=BC_SINH!E13), 0)),"")</f>
        <v/>
      </c>
      <c r="J13" s="97" t="str">
        <f>IFERROR(VLOOKUP(B13,'Đất sản xuất'!$B$9:$C$216,2,0),"")</f>
        <v xml:space="preserve"> A Máy</v>
      </c>
      <c r="K13" s="97" t="str">
        <f>IFERROR(VLOOKUP(B13,'Sản xuất cấp huyên'!$B$9:$C$177,2,0),"")</f>
        <v/>
      </c>
      <c r="L13" s="4" t="str">
        <f>IFERROR(VLOOKUP(B13,'4069'!$B$9:$C$177,2,0),"")</f>
        <v/>
      </c>
      <c r="M13" s="4" t="str">
        <f t="array" ref="M13">IFERROR(INDEX(KODUDK!$C$8:$C$79, MATCH(1, (KODUDK!$D$8:$D$79=BC_SINH!D13)*(KODUDK!$E$8:$E$79=BC_SINH!E13), 0)),"")</f>
        <v/>
      </c>
      <c r="N13" s="4" t="str">
        <f t="array" ref="N13">IFERROR(INDEX(KODUDK!$H$8:$H$79, MATCH(1, (KODUDK!$D$8:$D$79=BC_SINH!D13)*(KODUDK!$E$8:$E$79=BC_SINH!E13), 0)),"")</f>
        <v/>
      </c>
      <c r="O13" s="4" t="str">
        <f t="array" ref="O13">IFERROR(INDEX('KO DU ĐK NQ10'!$C$8:$C$48, MATCH(1, ('KO DU ĐK NQ10'!$D$8:$D$48=BC_SINH!D13)*('KO DU ĐK NQ10'!$E$8:$E$48=BC_SINH!E13), 0)),"")</f>
        <v/>
      </c>
      <c r="P13" s="4" t="str">
        <f t="array" ref="P13">IFERROR(INDEX('KO DU ĐK NQ10'!$H$8:$H$48, MATCH(1, ('KO DU ĐK NQ10'!$D$8:$D$48=BC_SINH!D13)*('KO DU ĐK NQ10'!$E$8:$E$48=BC_SINH!E13), 0)),"")</f>
        <v/>
      </c>
      <c r="Q13" s="4" t="str">
        <f t="array" ref="Q13">IFERROR(INDEX('KO DU ĐK 4069'!$C$8:$C$38, MATCH(1, ('KO DU ĐK 4069'!$D$8:$D$38=BC_SINH!D13)*('KO DU ĐK 4069'!$E$8:$E$38=BC_SINH!E13), 0)),"")</f>
        <v/>
      </c>
      <c r="R13" s="4" t="str">
        <f t="array" ref="R13">IFERROR(INDEX('KO DU ĐK 4069'!$H$8:$H$38, MATCH(1, ('KO DU ĐK 4069'!$D$8:$D$38=BC_SINH!D13)*('KO DU ĐK 4069'!$E$8:$E$38=BC_SINH!E13), 0)),"")</f>
        <v/>
      </c>
      <c r="S13" s="4" t="str">
        <f t="array" ref="S13">IFERROR(INDEX(KeKhaiDangKy!$H$2:$H$4889, MATCH(1, (KeKhaiDangKy!$A$2:$A$4889=BC_SINH!D13)*(KeKhaiDangKy!$B$2:$B$4889=BC_SINH!E13), 0)),"")</f>
        <v/>
      </c>
    </row>
    <row r="14" spans="1:19" ht="14.45" customHeight="1" x14ac:dyDescent="0.25">
      <c r="A14" s="4">
        <f>IF(B14&lt;&gt;"", SUBTOTAL(3, $B$2:B14), "")</f>
        <v>13</v>
      </c>
      <c r="B14" s="4" t="s">
        <v>20</v>
      </c>
      <c r="C14" s="4" t="str">
        <f t="shared" si="0"/>
        <v xml:space="preserve"> A Máy</v>
      </c>
      <c r="D14" s="4">
        <v>21</v>
      </c>
      <c r="E14" s="4">
        <v>65</v>
      </c>
      <c r="F14" s="4">
        <v>14272</v>
      </c>
      <c r="G14" s="4" t="s">
        <v>11</v>
      </c>
      <c r="H14" s="4" t="str">
        <f t="array" ref="H14">IFERROR(INDEX(DSCKXA!$B$3:$B$73, MATCH(1, (DSCKXA!$D$3:$D$73=BC_SINH!D14)*(DSCKXA!$E$3:$E$73=BC_SINH!E14), 0)),"")</f>
        <v>Hồ Ku Cưa</v>
      </c>
      <c r="I14" s="99" t="str">
        <f t="array" ref="I14">IFERROR(INDEX(DSCKXA!$C$3:$C$73, MATCH(1, (DSCKXA!$D$3:$D$73=BC_SINH!D14)*(DSCKXA!$E$3:$E$73=BC_SINH!E14), 0)),"")</f>
        <v>Thôn A Máy</v>
      </c>
      <c r="J14" s="97" t="str">
        <f>IFERROR(VLOOKUP(B14,'Đất sản xuất'!$B$9:$C$216,2,0),"")</f>
        <v xml:space="preserve"> A Máy</v>
      </c>
      <c r="K14" s="97" t="str">
        <f>IFERROR(VLOOKUP(B14,'Sản xuất cấp huyên'!$B$9:$C$177,2,0),"")</f>
        <v/>
      </c>
      <c r="L14" s="4" t="str">
        <f>IFERROR(VLOOKUP(B14,'4069'!$B$9:$C$177,2,0),"")</f>
        <v/>
      </c>
      <c r="M14" s="4" t="str">
        <f t="array" ref="M14">IFERROR(INDEX(KODUDK!$C$8:$C$79, MATCH(1, (KODUDK!$D$8:$D$79=BC_SINH!D14)*(KODUDK!$E$8:$E$79=BC_SINH!E14), 0)),"")</f>
        <v/>
      </c>
      <c r="N14" s="4" t="str">
        <f t="array" ref="N14">IFERROR(INDEX(KODUDK!$H$8:$H$79, MATCH(1, (KODUDK!$D$8:$D$79=BC_SINH!D14)*(KODUDK!$E$8:$E$79=BC_SINH!E14), 0)),"")</f>
        <v/>
      </c>
      <c r="O14" s="4" t="str">
        <f t="array" ref="O14">IFERROR(INDEX('KO DU ĐK NQ10'!$C$8:$C$48, MATCH(1, ('KO DU ĐK NQ10'!$D$8:$D$48=BC_SINH!D14)*('KO DU ĐK NQ10'!$E$8:$E$48=BC_SINH!E14), 0)),"")</f>
        <v/>
      </c>
      <c r="P14" s="4" t="str">
        <f t="array" ref="P14">IFERROR(INDEX('KO DU ĐK NQ10'!$H$8:$H$48, MATCH(1, ('KO DU ĐK NQ10'!$D$8:$D$48=BC_SINH!D14)*('KO DU ĐK NQ10'!$E$8:$E$48=BC_SINH!E14), 0)),"")</f>
        <v/>
      </c>
      <c r="Q14" s="4" t="str">
        <f t="array" ref="Q14">IFERROR(INDEX('KO DU ĐK 4069'!$C$8:$C$38, MATCH(1, ('KO DU ĐK 4069'!$D$8:$D$38=BC_SINH!D14)*('KO DU ĐK 4069'!$E$8:$E$38=BC_SINH!E14), 0)),"")</f>
        <v/>
      </c>
      <c r="R14" s="4" t="str">
        <f t="array" ref="R14">IFERROR(INDEX('KO DU ĐK 4069'!$H$8:$H$38, MATCH(1, ('KO DU ĐK 4069'!$D$8:$D$38=BC_SINH!D14)*('KO DU ĐK 4069'!$E$8:$E$38=BC_SINH!E14), 0)),"")</f>
        <v/>
      </c>
      <c r="S14" s="4" t="str">
        <f t="array" ref="S14">IFERROR(INDEX(KeKhaiDangKy!$H$2:$H$4889, MATCH(1, (KeKhaiDangKy!$A$2:$A$4889=BC_SINH!D14)*(KeKhaiDangKy!$B$2:$B$4889=BC_SINH!E14), 0)),"")</f>
        <v/>
      </c>
    </row>
    <row r="15" spans="1:19" ht="14.45" customHeight="1" x14ac:dyDescent="0.25">
      <c r="A15" s="4">
        <f>IF(B15&lt;&gt;"", SUBTOTAL(3, $B$2:B15), "")</f>
        <v>14</v>
      </c>
      <c r="B15" s="4" t="s">
        <v>181</v>
      </c>
      <c r="C15" s="4" t="str">
        <f t="shared" si="0"/>
        <v xml:space="preserve"> A Máy</v>
      </c>
      <c r="D15" s="4">
        <v>21</v>
      </c>
      <c r="E15" s="4">
        <v>66</v>
      </c>
      <c r="F15" s="4">
        <v>7693</v>
      </c>
      <c r="G15" s="4" t="s">
        <v>11</v>
      </c>
      <c r="H15" s="4" t="str">
        <f t="array" ref="H15">IFERROR(INDEX(DSCKXA!$B$3:$B$73, MATCH(1, (DSCKXA!$D$3:$D$73=BC_SINH!D15)*(DSCKXA!$E$3:$E$73=BC_SINH!E15), 0)),"")</f>
        <v/>
      </c>
      <c r="I15" s="99" t="str">
        <f t="array" ref="I15">IFERROR(INDEX(DSCKXA!$C$3:$C$73, MATCH(1, (DSCKXA!$D$3:$D$73=BC_SINH!D15)*(DSCKXA!$E$3:$E$73=BC_SINH!E15), 0)),"")</f>
        <v/>
      </c>
      <c r="J15" s="97" t="str">
        <f>IFERROR(VLOOKUP(B15,'Đất sản xuất'!$B$9:$C$216,2,0),"")</f>
        <v xml:space="preserve"> A Máy</v>
      </c>
      <c r="K15" s="97" t="str">
        <f>IFERROR(VLOOKUP(B15,'Sản xuất cấp huyên'!$B$9:$C$177,2,0),"")</f>
        <v/>
      </c>
      <c r="L15" s="4" t="str">
        <f>IFERROR(VLOOKUP(B15,'4069'!$B$9:$C$177,2,0),"")</f>
        <v/>
      </c>
      <c r="M15" s="4" t="str">
        <f t="array" ref="M15">IFERROR(INDEX(KODUDK!$C$8:$C$79, MATCH(1, (KODUDK!$D$8:$D$79=BC_SINH!D15)*(KODUDK!$E$8:$E$79=BC_SINH!E15), 0)),"")</f>
        <v>Thôn A Máy</v>
      </c>
      <c r="N15" s="4" t="str">
        <f t="array" ref="N15">IFERROR(INDEX(KODUDK!$H$8:$H$79, MATCH(1, (KODUDK!$D$8:$D$79=BC_SINH!D15)*(KODUDK!$E$8:$E$79=BC_SINH!E15), 0)),"")</f>
        <v>Có 02 thửa đất nên loại 01 thửa</v>
      </c>
      <c r="O15" s="4" t="str">
        <f t="array" ref="O15">IFERROR(INDEX('KO DU ĐK NQ10'!$C$8:$C$48, MATCH(1, ('KO DU ĐK NQ10'!$D$8:$D$48=BC_SINH!D15)*('KO DU ĐK NQ10'!$E$8:$E$48=BC_SINH!E15), 0)),"")</f>
        <v>Thôn A Máy</v>
      </c>
      <c r="P15" s="4" t="str">
        <f t="array" ref="P15">IFERROR(INDEX('KO DU ĐK NQ10'!$H$8:$H$48, MATCH(1, ('KO DU ĐK NQ10'!$D$8:$D$48=BC_SINH!D15)*('KO DU ĐK NQ10'!$E$8:$E$48=BC_SINH!E15), 0)),"")</f>
        <v>Có 02 thửa đất nên loại 01 thửa</v>
      </c>
      <c r="Q15" s="4" t="str">
        <f t="array" ref="Q15">IFERROR(INDEX('KO DU ĐK 4069'!$C$8:$C$38, MATCH(1, ('KO DU ĐK 4069'!$D$8:$D$38=BC_SINH!D15)*('KO DU ĐK 4069'!$E$8:$E$38=BC_SINH!E15), 0)),"")</f>
        <v/>
      </c>
      <c r="R15" s="4" t="str">
        <f t="array" ref="R15">IFERROR(INDEX('KO DU ĐK 4069'!$H$8:$H$38, MATCH(1, ('KO DU ĐK 4069'!$D$8:$D$38=BC_SINH!D15)*('KO DU ĐK 4069'!$E$8:$E$38=BC_SINH!E15), 0)),"")</f>
        <v/>
      </c>
      <c r="S15" s="4" t="str">
        <f t="array" ref="S15">IFERROR(INDEX(KeKhaiDangKy!$H$2:$H$4889, MATCH(1, (KeKhaiDangKy!$A$2:$A$4889=BC_SINH!D15)*(KeKhaiDangKy!$B$2:$B$4889=BC_SINH!E15), 0)),"")</f>
        <v/>
      </c>
    </row>
    <row r="16" spans="1:19" ht="14.45" customHeight="1" x14ac:dyDescent="0.25">
      <c r="A16" s="4">
        <f>IF(B16&lt;&gt;"", SUBTOTAL(3, $B$2:B16), "")</f>
        <v>15</v>
      </c>
      <c r="B16" s="4" t="s">
        <v>181</v>
      </c>
      <c r="C16" s="4" t="s">
        <v>176</v>
      </c>
      <c r="D16" s="4">
        <v>21</v>
      </c>
      <c r="E16" s="4">
        <v>67</v>
      </c>
      <c r="F16" s="4">
        <v>15079</v>
      </c>
      <c r="G16" s="4" t="s">
        <v>11</v>
      </c>
      <c r="H16" s="4" t="str">
        <f t="array" ref="H16">IFERROR(INDEX(DSCKXA!$B$3:$B$73, MATCH(1, (DSCKXA!$D$3:$D$73=BC_SINH!D16)*(DSCKXA!$E$3:$E$73=BC_SINH!E16), 0)),"")</f>
        <v>Lẫy Tới</v>
      </c>
      <c r="I16" s="99" t="str">
        <f t="array" ref="I16">IFERROR(INDEX(DSCKXA!$C$3:$C$73, MATCH(1, (DSCKXA!$D$3:$D$73=BC_SINH!D16)*(DSCKXA!$E$3:$E$73=BC_SINH!E16), 0)),"")</f>
        <v>Thôn A Máy</v>
      </c>
      <c r="J16" s="97" t="str">
        <f>IFERROR(VLOOKUP(B16,'Đất sản xuất'!$B$9:$C$216,2,0),"")</f>
        <v xml:space="preserve"> A Máy</v>
      </c>
      <c r="K16" s="97" t="str">
        <f>IFERROR(VLOOKUP(B16,'Sản xuất cấp huyên'!$B$9:$C$177,2,0),"")</f>
        <v/>
      </c>
      <c r="L16" s="4" t="str">
        <f>IFERROR(VLOOKUP(B16,'4069'!$B$9:$C$177,2,0),"")</f>
        <v/>
      </c>
      <c r="M16" s="4" t="str">
        <f t="array" ref="M16">IFERROR(INDEX(KODUDK!$C$8:$C$79, MATCH(1, (KODUDK!$D$8:$D$79=BC_SINH!D16)*(KODUDK!$E$8:$E$79=BC_SINH!E16), 0)),"")</f>
        <v/>
      </c>
      <c r="N16" s="4" t="str">
        <f t="array" ref="N16">IFERROR(INDEX(KODUDK!$H$8:$H$79, MATCH(1, (KODUDK!$D$8:$D$79=BC_SINH!D16)*(KODUDK!$E$8:$E$79=BC_SINH!E16), 0)),"")</f>
        <v/>
      </c>
      <c r="O16" s="4" t="str">
        <f t="array" ref="O16">IFERROR(INDEX('KO DU ĐK NQ10'!$C$8:$C$48, MATCH(1, ('KO DU ĐK NQ10'!$D$8:$D$48=BC_SINH!D16)*('KO DU ĐK NQ10'!$E$8:$E$48=BC_SINH!E16), 0)),"")</f>
        <v/>
      </c>
      <c r="P16" s="4" t="str">
        <f t="array" ref="P16">IFERROR(INDEX('KO DU ĐK NQ10'!$H$8:$H$48, MATCH(1, ('KO DU ĐK NQ10'!$D$8:$D$48=BC_SINH!D16)*('KO DU ĐK NQ10'!$E$8:$E$48=BC_SINH!E16), 0)),"")</f>
        <v/>
      </c>
      <c r="Q16" s="4" t="str">
        <f t="array" ref="Q16">IFERROR(INDEX('KO DU ĐK 4069'!$C$8:$C$38, MATCH(1, ('KO DU ĐK 4069'!$D$8:$D$38=BC_SINH!D16)*('KO DU ĐK 4069'!$E$8:$E$38=BC_SINH!E16), 0)),"")</f>
        <v/>
      </c>
      <c r="R16" s="4" t="str">
        <f t="array" ref="R16">IFERROR(INDEX('KO DU ĐK 4069'!$H$8:$H$38, MATCH(1, ('KO DU ĐK 4069'!$D$8:$D$38=BC_SINH!D16)*('KO DU ĐK 4069'!$E$8:$E$38=BC_SINH!E16), 0)),"")</f>
        <v/>
      </c>
      <c r="S16" s="4" t="str">
        <f t="array" ref="S16">IFERROR(INDEX(KeKhaiDangKy!$H$2:$H$4889, MATCH(1, (KeKhaiDangKy!$A$2:$A$4889=BC_SINH!D16)*(KeKhaiDangKy!$B$2:$B$4889=BC_SINH!E16), 0)),"")</f>
        <v/>
      </c>
    </row>
    <row r="17" spans="1:19" ht="14.45" customHeight="1" x14ac:dyDescent="0.25">
      <c r="A17" s="4">
        <f>IF(B17&lt;&gt;"", SUBTOTAL(3, $B$2:B17), "")</f>
        <v>16</v>
      </c>
      <c r="B17" s="4" t="s">
        <v>21</v>
      </c>
      <c r="C17" s="4" t="str">
        <f t="shared" si="0"/>
        <v>Kỳ Nơi</v>
      </c>
      <c r="D17" s="4">
        <v>1</v>
      </c>
      <c r="E17" s="4">
        <v>88</v>
      </c>
      <c r="F17" s="4">
        <v>6895</v>
      </c>
      <c r="G17" s="4" t="s">
        <v>11</v>
      </c>
      <c r="H17" s="4" t="str">
        <f t="array" ref="H17">IFERROR(INDEX(DSCKXA!$B$3:$B$73, MATCH(1, (DSCKXA!$D$3:$D$73=BC_SINH!D17)*(DSCKXA!$E$3:$E$73=BC_SINH!E17), 0)),"")</f>
        <v/>
      </c>
      <c r="I17" s="99" t="str">
        <f t="array" ref="I17">IFERROR(INDEX(DSCKXA!$C$3:$C$73, MATCH(1, (DSCKXA!$D$3:$D$73=BC_SINH!D17)*(DSCKXA!$E$3:$E$73=BC_SINH!E17), 0)),"")</f>
        <v/>
      </c>
      <c r="J17" s="97" t="str">
        <f>IFERROR(VLOOKUP(B17,'Đất sản xuất'!$B$9:$C$216,2,0),"")</f>
        <v>Kỳ Nơi</v>
      </c>
      <c r="K17" s="97" t="str">
        <f>IFERROR(VLOOKUP(B17,'Sản xuất cấp huyên'!$B$9:$C$177,2,0),"")</f>
        <v>Kỳ Nơi</v>
      </c>
      <c r="L17" s="4" t="str">
        <f>IFERROR(VLOOKUP(B17,'4069'!$B$9:$C$177,2,0),"")</f>
        <v>Kỳ Nơi</v>
      </c>
      <c r="M17" s="4" t="str">
        <f t="array" ref="M17">IFERROR(INDEX(KODUDK!$C$8:$C$79, MATCH(1, (KODUDK!$D$8:$D$79=BC_SINH!D17)*(KODUDK!$E$8:$E$79=BC_SINH!E17), 0)),"")</f>
        <v/>
      </c>
      <c r="N17" s="4" t="str">
        <f t="array" ref="N17">IFERROR(INDEX(KODUDK!$H$8:$H$79, MATCH(1, (KODUDK!$D$8:$D$79=BC_SINH!D17)*(KODUDK!$E$8:$E$79=BC_SINH!E17), 0)),"")</f>
        <v/>
      </c>
      <c r="O17" s="4" t="str">
        <f t="array" ref="O17">IFERROR(INDEX('KO DU ĐK NQ10'!$C$8:$C$48, MATCH(1, ('KO DU ĐK NQ10'!$D$8:$D$48=BC_SINH!D17)*('KO DU ĐK NQ10'!$E$8:$E$48=BC_SINH!E17), 0)),"")</f>
        <v/>
      </c>
      <c r="P17" s="4" t="str">
        <f t="array" ref="P17">IFERROR(INDEX('KO DU ĐK NQ10'!$H$8:$H$48, MATCH(1, ('KO DU ĐK NQ10'!$D$8:$D$48=BC_SINH!D17)*('KO DU ĐK NQ10'!$E$8:$E$48=BC_SINH!E17), 0)),"")</f>
        <v/>
      </c>
      <c r="Q17" s="4" t="str">
        <f t="array" ref="Q17">IFERROR(INDEX('KO DU ĐK 4069'!$C$8:$C$38, MATCH(1, ('KO DU ĐK 4069'!$D$8:$D$38=BC_SINH!D17)*('KO DU ĐK 4069'!$E$8:$E$38=BC_SINH!E17), 0)),"")</f>
        <v/>
      </c>
      <c r="R17" s="4" t="str">
        <f t="array" ref="R17">IFERROR(INDEX('KO DU ĐK 4069'!$H$8:$H$38, MATCH(1, ('KO DU ĐK 4069'!$D$8:$D$38=BC_SINH!D17)*('KO DU ĐK 4069'!$E$8:$E$38=BC_SINH!E17), 0)),"")</f>
        <v/>
      </c>
      <c r="S17" s="4" t="str">
        <f t="array" ref="S17">IFERROR(INDEX(KeKhaiDangKy!$H$2:$H$4889, MATCH(1, (KeKhaiDangKy!$A$2:$A$4889=BC_SINH!D17)*(KeKhaiDangKy!$B$2:$B$4889=BC_SINH!E17), 0)),"")</f>
        <v>Kỳ Nơi</v>
      </c>
    </row>
    <row r="18" spans="1:19" ht="14.45" customHeight="1" x14ac:dyDescent="0.25">
      <c r="A18" s="4">
        <f>IF(B18&lt;&gt;"", SUBTOTAL(3, $B$2:B18), "")</f>
        <v>17</v>
      </c>
      <c r="B18" s="4" t="s">
        <v>22</v>
      </c>
      <c r="C18" s="4" t="str">
        <f t="shared" si="0"/>
        <v>A Máy</v>
      </c>
      <c r="D18" s="4">
        <v>21</v>
      </c>
      <c r="E18" s="4">
        <v>68</v>
      </c>
      <c r="F18" s="4">
        <v>15126</v>
      </c>
      <c r="G18" s="4" t="s">
        <v>11</v>
      </c>
      <c r="H18" s="4" t="str">
        <f t="array" ref="H18">IFERROR(INDEX(DSCKXA!$B$3:$B$73, MATCH(1, (DSCKXA!$D$3:$D$73=BC_SINH!D18)*(DSCKXA!$E$3:$E$73=BC_SINH!E18), 0)),"")</f>
        <v/>
      </c>
      <c r="I18" s="99" t="str">
        <f t="array" ref="I18">IFERROR(INDEX(DSCKXA!$C$3:$C$73, MATCH(1, (DSCKXA!$D$3:$D$73=BC_SINH!D18)*(DSCKXA!$E$3:$E$73=BC_SINH!E18), 0)),"")</f>
        <v/>
      </c>
      <c r="J18" s="97" t="str">
        <f>IFERROR(VLOOKUP(B18,'Đất sản xuất'!$B$9:$C$216,2,0),"")</f>
        <v/>
      </c>
      <c r="K18" s="97" t="str">
        <f>IFERROR(VLOOKUP(B18,'Sản xuất cấp huyên'!$B$9:$C$177,2,0),"")</f>
        <v>A Máy</v>
      </c>
      <c r="L18" s="4" t="str">
        <f>IFERROR(VLOOKUP(B18,'4069'!$B$9:$C$177,2,0),"")</f>
        <v>A Máy</v>
      </c>
      <c r="M18" s="4" t="str">
        <f t="array" ref="M18">IFERROR(INDEX(KODUDK!$C$8:$C$79, MATCH(1, (KODUDK!$D$8:$D$79=BC_SINH!D18)*(KODUDK!$E$8:$E$79=BC_SINH!E18), 0)),"")</f>
        <v/>
      </c>
      <c r="N18" s="4" t="str">
        <f t="array" ref="N18">IFERROR(INDEX(KODUDK!$H$8:$H$79, MATCH(1, (KODUDK!$D$8:$D$79=BC_SINH!D18)*(KODUDK!$E$8:$E$79=BC_SINH!E18), 0)),"")</f>
        <v/>
      </c>
      <c r="O18" s="4" t="str">
        <f t="array" ref="O18">IFERROR(INDEX('KO DU ĐK NQ10'!$C$8:$C$48, MATCH(1, ('KO DU ĐK NQ10'!$D$8:$D$48=BC_SINH!D18)*('KO DU ĐK NQ10'!$E$8:$E$48=BC_SINH!E18), 0)),"")</f>
        <v/>
      </c>
      <c r="P18" s="4" t="str">
        <f t="array" ref="P18">IFERROR(INDEX('KO DU ĐK NQ10'!$H$8:$H$48, MATCH(1, ('KO DU ĐK NQ10'!$D$8:$D$48=BC_SINH!D18)*('KO DU ĐK NQ10'!$E$8:$E$48=BC_SINH!E18), 0)),"")</f>
        <v/>
      </c>
      <c r="Q18" s="4" t="str">
        <f t="array" ref="Q18">IFERROR(INDEX('KO DU ĐK 4069'!$C$8:$C$38, MATCH(1, ('KO DU ĐK 4069'!$D$8:$D$38=BC_SINH!D18)*('KO DU ĐK 4069'!$E$8:$E$38=BC_SINH!E18), 0)),"")</f>
        <v/>
      </c>
      <c r="R18" s="4" t="str">
        <f t="array" ref="R18">IFERROR(INDEX('KO DU ĐK 4069'!$H$8:$H$38, MATCH(1, ('KO DU ĐK 4069'!$D$8:$D$38=BC_SINH!D18)*('KO DU ĐK 4069'!$E$8:$E$38=BC_SINH!E18), 0)),"")</f>
        <v/>
      </c>
      <c r="S18" s="4" t="str">
        <f t="array" ref="S18">IFERROR(INDEX(KeKhaiDangKy!$H$2:$H$4889, MATCH(1, (KeKhaiDangKy!$A$2:$A$4889=BC_SINH!D18)*(KeKhaiDangKy!$B$2:$B$4889=BC_SINH!E18), 0)),"")</f>
        <v/>
      </c>
    </row>
    <row r="19" spans="1:19" ht="14.45" customHeight="1" x14ac:dyDescent="0.25">
      <c r="A19" s="4">
        <f>IF(B19&lt;&gt;"", SUBTOTAL(3, $B$2:B19), "")</f>
        <v>18</v>
      </c>
      <c r="B19" s="4" t="s">
        <v>23</v>
      </c>
      <c r="C19" s="4" t="str">
        <f t="shared" si="0"/>
        <v>A Quan</v>
      </c>
      <c r="D19" s="4">
        <v>21</v>
      </c>
      <c r="E19" s="4">
        <v>68</v>
      </c>
      <c r="F19" s="4">
        <v>3699</v>
      </c>
      <c r="G19" s="4" t="s">
        <v>11</v>
      </c>
      <c r="H19" s="4" t="str">
        <f t="array" ref="H19">IFERROR(INDEX(DSCKXA!$B$3:$B$73, MATCH(1, (DSCKXA!$D$3:$D$73=BC_SINH!D19)*(DSCKXA!$E$3:$E$73=BC_SINH!E19), 0)),"")</f>
        <v/>
      </c>
      <c r="I19" s="99" t="str">
        <f t="array" ref="I19">IFERROR(INDEX(DSCKXA!$C$3:$C$73, MATCH(1, (DSCKXA!$D$3:$D$73=BC_SINH!D19)*(DSCKXA!$E$3:$E$73=BC_SINH!E19), 0)),"")</f>
        <v/>
      </c>
      <c r="J19" s="97" t="str">
        <f>IFERROR(VLOOKUP(B19,'Đất sản xuất'!$B$9:$C$216,2,0),"")</f>
        <v/>
      </c>
      <c r="K19" s="97" t="str">
        <f>IFERROR(VLOOKUP(B19,'Sản xuất cấp huyên'!$B$9:$C$177,2,0),"")</f>
        <v>A Quan</v>
      </c>
      <c r="L19" s="4" t="str">
        <f>IFERROR(VLOOKUP(B19,'4069'!$B$9:$C$177,2,0),"")</f>
        <v>A Quan</v>
      </c>
      <c r="M19" s="4" t="str">
        <f t="array" ref="M19">IFERROR(INDEX(KODUDK!$C$8:$C$79, MATCH(1, (KODUDK!$D$8:$D$79=BC_SINH!D19)*(KODUDK!$E$8:$E$79=BC_SINH!E19), 0)),"")</f>
        <v/>
      </c>
      <c r="N19" s="4" t="str">
        <f t="array" ref="N19">IFERROR(INDEX(KODUDK!$H$8:$H$79, MATCH(1, (KODUDK!$D$8:$D$79=BC_SINH!D19)*(KODUDK!$E$8:$E$79=BC_SINH!E19), 0)),"")</f>
        <v/>
      </c>
      <c r="O19" s="4" t="str">
        <f t="array" ref="O19">IFERROR(INDEX('KO DU ĐK NQ10'!$C$8:$C$48, MATCH(1, ('KO DU ĐK NQ10'!$D$8:$D$48=BC_SINH!D19)*('KO DU ĐK NQ10'!$E$8:$E$48=BC_SINH!E19), 0)),"")</f>
        <v/>
      </c>
      <c r="P19" s="4" t="str">
        <f t="array" ref="P19">IFERROR(INDEX('KO DU ĐK NQ10'!$H$8:$H$48, MATCH(1, ('KO DU ĐK NQ10'!$D$8:$D$48=BC_SINH!D19)*('KO DU ĐK NQ10'!$E$8:$E$48=BC_SINH!E19), 0)),"")</f>
        <v/>
      </c>
      <c r="Q19" s="4" t="str">
        <f t="array" ref="Q19">IFERROR(INDEX('KO DU ĐK 4069'!$C$8:$C$38, MATCH(1, ('KO DU ĐK 4069'!$D$8:$D$38=BC_SINH!D19)*('KO DU ĐK 4069'!$E$8:$E$38=BC_SINH!E19), 0)),"")</f>
        <v/>
      </c>
      <c r="R19" s="4" t="str">
        <f t="array" ref="R19">IFERROR(INDEX('KO DU ĐK 4069'!$H$8:$H$38, MATCH(1, ('KO DU ĐK 4069'!$D$8:$D$38=BC_SINH!D19)*('KO DU ĐK 4069'!$E$8:$E$38=BC_SINH!E19), 0)),"")</f>
        <v/>
      </c>
      <c r="S19" s="4" t="str">
        <f t="array" ref="S19">IFERROR(INDEX(KeKhaiDangKy!$H$2:$H$4889, MATCH(1, (KeKhaiDangKy!$A$2:$A$4889=BC_SINH!D19)*(KeKhaiDangKy!$B$2:$B$4889=BC_SINH!E19), 0)),"")</f>
        <v/>
      </c>
    </row>
    <row r="20" spans="1:19" ht="14.45" customHeight="1" x14ac:dyDescent="0.25">
      <c r="A20" s="4">
        <f>IF(B20&lt;&gt;"", SUBTOTAL(3, $B$2:B20), "")</f>
        <v>19</v>
      </c>
      <c r="B20" s="4" t="s">
        <v>24</v>
      </c>
      <c r="C20" s="4" t="str">
        <f t="shared" si="0"/>
        <v>Kỳ Tăng</v>
      </c>
      <c r="D20" s="4">
        <v>21</v>
      </c>
      <c r="E20" s="4">
        <v>70</v>
      </c>
      <c r="F20" s="4">
        <v>12571</v>
      </c>
      <c r="G20" s="4" t="s">
        <v>11</v>
      </c>
      <c r="H20" s="4" t="str">
        <f t="array" ref="H20">IFERROR(INDEX(DSCKXA!$B$3:$B$73, MATCH(1, (DSCKXA!$D$3:$D$73=BC_SINH!D20)*(DSCKXA!$E$3:$E$73=BC_SINH!E20), 0)),"")</f>
        <v/>
      </c>
      <c r="I20" s="99" t="str">
        <f t="array" ref="I20">IFERROR(INDEX(DSCKXA!$C$3:$C$73, MATCH(1, (DSCKXA!$D$3:$D$73=BC_SINH!D20)*(DSCKXA!$E$3:$E$73=BC_SINH!E20), 0)),"")</f>
        <v/>
      </c>
      <c r="J20" s="97" t="str">
        <f>IFERROR(VLOOKUP(B20,'Đất sản xuất'!$B$9:$C$216,2,0),"")</f>
        <v/>
      </c>
      <c r="K20" s="97" t="str">
        <f>IFERROR(VLOOKUP(B20,'Sản xuất cấp huyên'!$B$9:$C$177,2,0),"")</f>
        <v>Kỳ Tăng</v>
      </c>
      <c r="L20" s="4" t="str">
        <f>IFERROR(VLOOKUP(B20,'4069'!$B$9:$C$177,2,0),"")</f>
        <v>Kỳ Tăng</v>
      </c>
      <c r="M20" s="4" t="str">
        <f t="array" ref="M20">IFERROR(INDEX(KODUDK!$C$8:$C$79, MATCH(1, (KODUDK!$D$8:$D$79=BC_SINH!D20)*(KODUDK!$E$8:$E$79=BC_SINH!E20), 0)),"")</f>
        <v/>
      </c>
      <c r="N20" s="4" t="str">
        <f t="array" ref="N20">IFERROR(INDEX(KODUDK!$H$8:$H$79, MATCH(1, (KODUDK!$D$8:$D$79=BC_SINH!D20)*(KODUDK!$E$8:$E$79=BC_SINH!E20), 0)),"")</f>
        <v/>
      </c>
      <c r="O20" s="4" t="str">
        <f t="array" ref="O20">IFERROR(INDEX('KO DU ĐK NQ10'!$C$8:$C$48, MATCH(1, ('KO DU ĐK NQ10'!$D$8:$D$48=BC_SINH!D20)*('KO DU ĐK NQ10'!$E$8:$E$48=BC_SINH!E20), 0)),"")</f>
        <v/>
      </c>
      <c r="P20" s="4" t="str">
        <f t="array" ref="P20">IFERROR(INDEX('KO DU ĐK NQ10'!$H$8:$H$48, MATCH(1, ('KO DU ĐK NQ10'!$D$8:$D$48=BC_SINH!D20)*('KO DU ĐK NQ10'!$E$8:$E$48=BC_SINH!E20), 0)),"")</f>
        <v/>
      </c>
      <c r="Q20" s="4" t="str">
        <f t="array" ref="Q20">IFERROR(INDEX('KO DU ĐK 4069'!$C$8:$C$38, MATCH(1, ('KO DU ĐK 4069'!$D$8:$D$38=BC_SINH!D20)*('KO DU ĐK 4069'!$E$8:$E$38=BC_SINH!E20), 0)),"")</f>
        <v/>
      </c>
      <c r="R20" s="4" t="str">
        <f t="array" ref="R20">IFERROR(INDEX('KO DU ĐK 4069'!$H$8:$H$38, MATCH(1, ('KO DU ĐK 4069'!$D$8:$D$38=BC_SINH!D20)*('KO DU ĐK 4069'!$E$8:$E$38=BC_SINH!E20), 0)),"")</f>
        <v/>
      </c>
      <c r="S20" s="4" t="str">
        <f t="array" ref="S20">IFERROR(INDEX(KeKhaiDangKy!$H$2:$H$4889, MATCH(1, (KeKhaiDangKy!$A$2:$A$4889=BC_SINH!D20)*(KeKhaiDangKy!$B$2:$B$4889=BC_SINH!E20), 0)),"")</f>
        <v>Kỳ Tăng</v>
      </c>
    </row>
    <row r="21" spans="1:19" ht="14.45" customHeight="1" x14ac:dyDescent="0.25">
      <c r="A21" s="4">
        <f>IF(B21&lt;&gt;"", SUBTOTAL(3, $B$2:B21), "")</f>
        <v>20</v>
      </c>
      <c r="B21" s="4" t="s">
        <v>24</v>
      </c>
      <c r="C21" s="4" t="str">
        <f t="shared" si="0"/>
        <v>Kỳ Tăng</v>
      </c>
      <c r="D21" s="4">
        <v>21</v>
      </c>
      <c r="E21" s="4">
        <v>71</v>
      </c>
      <c r="F21" s="4">
        <v>7637</v>
      </c>
      <c r="G21" s="4" t="s">
        <v>11</v>
      </c>
      <c r="H21" s="4" t="str">
        <f t="array" ref="H21">IFERROR(INDEX(DSCKXA!$B$3:$B$73, MATCH(1, (DSCKXA!$D$3:$D$73=BC_SINH!D21)*(DSCKXA!$E$3:$E$73=BC_SINH!E21), 0)),"")</f>
        <v/>
      </c>
      <c r="I21" s="99" t="str">
        <f t="array" ref="I21">IFERROR(INDEX(DSCKXA!$C$3:$C$73, MATCH(1, (DSCKXA!$D$3:$D$73=BC_SINH!D21)*(DSCKXA!$E$3:$E$73=BC_SINH!E21), 0)),"")</f>
        <v/>
      </c>
      <c r="J21" s="97" t="str">
        <f>IFERROR(VLOOKUP(B21,'Đất sản xuất'!$B$9:$C$216,2,0),"")</f>
        <v/>
      </c>
      <c r="K21" s="97" t="str">
        <f>IFERROR(VLOOKUP(B21,'Sản xuất cấp huyên'!$B$9:$C$177,2,0),"")</f>
        <v>Kỳ Tăng</v>
      </c>
      <c r="L21" s="4" t="str">
        <f>IFERROR(VLOOKUP(B21,'4069'!$B$9:$C$177,2,0),"")</f>
        <v>Kỳ Tăng</v>
      </c>
      <c r="M21" s="4" t="str">
        <f t="array" ref="M21">IFERROR(INDEX(KODUDK!$C$8:$C$79, MATCH(1, (KODUDK!$D$8:$D$79=BC_SINH!D21)*(KODUDK!$E$8:$E$79=BC_SINH!E21), 0)),"")</f>
        <v>Kỳ Tăng</v>
      </c>
      <c r="N21" s="4" t="str">
        <f t="array" ref="N21">IFERROR(INDEX(KODUDK!$H$8:$H$79, MATCH(1, (KODUDK!$D$8:$D$79=BC_SINH!D21)*(KODUDK!$E$8:$E$79=BC_SINH!E21), 0)),"")</f>
        <v>Có 02 thửa đất nên loại 01 thửa</v>
      </c>
      <c r="O21" s="4" t="str">
        <f t="array" ref="O21">IFERROR(INDEX('KO DU ĐK NQ10'!$C$8:$C$48, MATCH(1, ('KO DU ĐK NQ10'!$D$8:$D$48=BC_SINH!D21)*('KO DU ĐK NQ10'!$E$8:$E$48=BC_SINH!E21), 0)),"")</f>
        <v/>
      </c>
      <c r="P21" s="4" t="str">
        <f t="array" ref="P21">IFERROR(INDEX('KO DU ĐK NQ10'!$H$8:$H$48, MATCH(1, ('KO DU ĐK NQ10'!$D$8:$D$48=BC_SINH!D21)*('KO DU ĐK NQ10'!$E$8:$E$48=BC_SINH!E21), 0)),"")</f>
        <v/>
      </c>
      <c r="Q21" s="4" t="str">
        <f t="array" ref="Q21">IFERROR(INDEX('KO DU ĐK 4069'!$C$8:$C$38, MATCH(1, ('KO DU ĐK 4069'!$D$8:$D$38=BC_SINH!D21)*('KO DU ĐK 4069'!$E$8:$E$38=BC_SINH!E21), 0)),"")</f>
        <v>Kỳ Tăng</v>
      </c>
      <c r="R21" s="4" t="str">
        <f t="array" ref="R21">IFERROR(INDEX('KO DU ĐK 4069'!$H$8:$H$38, MATCH(1, ('KO DU ĐK 4069'!$D$8:$D$38=BC_SINH!D21)*('KO DU ĐK 4069'!$E$8:$E$38=BC_SINH!E21), 0)),"")</f>
        <v>Có 02 thửa đất nên loại 01 thửa</v>
      </c>
      <c r="S21" s="4" t="str">
        <f t="array" ref="S21">IFERROR(INDEX(KeKhaiDangKy!$H$2:$H$4889, MATCH(1, (KeKhaiDangKy!$A$2:$A$4889=BC_SINH!D21)*(KeKhaiDangKy!$B$2:$B$4889=BC_SINH!E21), 0)),"")</f>
        <v>Kỳ Tăng</v>
      </c>
    </row>
    <row r="22" spans="1:19" ht="14.45" customHeight="1" x14ac:dyDescent="0.25">
      <c r="A22" s="4">
        <f>IF(B22&lt;&gt;"", SUBTOTAL(3, $B$2:B22), "")</f>
        <v>21</v>
      </c>
      <c r="B22" s="4" t="s">
        <v>633</v>
      </c>
      <c r="C22" s="4" t="str">
        <f t="shared" si="0"/>
        <v>Kỳ Tăng</v>
      </c>
      <c r="D22" s="4">
        <v>21</v>
      </c>
      <c r="E22" s="4">
        <v>72</v>
      </c>
      <c r="F22" s="4">
        <v>17247</v>
      </c>
      <c r="G22" s="4" t="s">
        <v>11</v>
      </c>
      <c r="H22" s="4" t="str">
        <f t="array" ref="H22">IFERROR(INDEX(DSCKXA!$B$3:$B$73, MATCH(1, (DSCKXA!$D$3:$D$73=BC_SINH!D22)*(DSCKXA!$E$3:$E$73=BC_SINH!E22), 0)),"")</f>
        <v/>
      </c>
      <c r="I22" s="99" t="str">
        <f t="array" ref="I22">IFERROR(INDEX(DSCKXA!$C$3:$C$73, MATCH(1, (DSCKXA!$D$3:$D$73=BC_SINH!D22)*(DSCKXA!$E$3:$E$73=BC_SINH!E22), 0)),"")</f>
        <v/>
      </c>
      <c r="J22" s="97" t="str">
        <f>IFERROR(VLOOKUP(B22,'Đất sản xuất'!$B$9:$C$216,2,0),"")</f>
        <v/>
      </c>
      <c r="K22" s="97" t="str">
        <f>IFERROR(VLOOKUP(B22,'Sản xuất cấp huyên'!$B$9:$C$177,2,0),"")</f>
        <v>Kỳ Tăng</v>
      </c>
      <c r="L22" s="4" t="str">
        <f>IFERROR(VLOOKUP(B22,'4069'!$B$9:$C$177,2,0),"")</f>
        <v>Kỳ Tăng</v>
      </c>
      <c r="M22" s="4" t="str">
        <f t="array" ref="M22">IFERROR(INDEX(KODUDK!$C$8:$C$79, MATCH(1, (KODUDK!$D$8:$D$79=BC_SINH!D22)*(KODUDK!$E$8:$E$79=BC_SINH!E22), 0)),"")</f>
        <v>A Quan</v>
      </c>
      <c r="N22" s="4" t="str">
        <f t="array" ref="N22">IFERROR(INDEX(KODUDK!$H$8:$H$79, MATCH(1, (KODUDK!$D$8:$D$79=BC_SINH!D22)*(KODUDK!$E$8:$E$79=BC_SINH!E22), 0)),"")</f>
        <v>Có 02 thửa đất nên loại 01 thửa</v>
      </c>
      <c r="O22" s="4" t="str">
        <f t="array" ref="O22">IFERROR(INDEX('KO DU ĐK NQ10'!$C$8:$C$48, MATCH(1, ('KO DU ĐK NQ10'!$D$8:$D$48=BC_SINH!D22)*('KO DU ĐK NQ10'!$E$8:$E$48=BC_SINH!E22), 0)),"")</f>
        <v/>
      </c>
      <c r="P22" s="4" t="str">
        <f t="array" ref="P22">IFERROR(INDEX('KO DU ĐK NQ10'!$H$8:$H$48, MATCH(1, ('KO DU ĐK NQ10'!$D$8:$D$48=BC_SINH!D22)*('KO DU ĐK NQ10'!$E$8:$E$48=BC_SINH!E22), 0)),"")</f>
        <v/>
      </c>
      <c r="Q22" s="4" t="str">
        <f t="array" ref="Q22">IFERROR(INDEX('KO DU ĐK 4069'!$C$8:$C$38, MATCH(1, ('KO DU ĐK 4069'!$D$8:$D$38=BC_SINH!D22)*('KO DU ĐK 4069'!$E$8:$E$38=BC_SINH!E22), 0)),"")</f>
        <v>A Quan</v>
      </c>
      <c r="R22" s="4" t="str">
        <f t="array" ref="R22">IFERROR(INDEX('KO DU ĐK 4069'!$H$8:$H$38, MATCH(1, ('KO DU ĐK 4069'!$D$8:$D$38=BC_SINH!D22)*('KO DU ĐK 4069'!$E$8:$E$38=BC_SINH!E22), 0)),"")</f>
        <v>Có 02 thửa đất nên loại 01 thửa</v>
      </c>
      <c r="S22" s="4" t="str">
        <f t="array" ref="S22">IFERROR(INDEX(KeKhaiDangKy!$H$2:$H$4889, MATCH(1, (KeKhaiDangKy!$A$2:$A$4889=BC_SINH!D22)*(KeKhaiDangKy!$B$2:$B$4889=BC_SINH!E22), 0)),"")</f>
        <v>A Quan</v>
      </c>
    </row>
    <row r="23" spans="1:19" ht="14.45" customHeight="1" x14ac:dyDescent="0.25">
      <c r="A23" s="4">
        <f>IF(B23&lt;&gt;"", SUBTOTAL(3, $B$2:B23), "")</f>
        <v>22</v>
      </c>
      <c r="B23" s="4" t="s">
        <v>633</v>
      </c>
      <c r="C23" s="4" t="str">
        <f t="shared" si="0"/>
        <v>Kỳ Tăng</v>
      </c>
      <c r="D23" s="4">
        <v>21</v>
      </c>
      <c r="E23" s="4">
        <v>73</v>
      </c>
      <c r="F23" s="4">
        <v>1643</v>
      </c>
      <c r="G23" s="4" t="s">
        <v>11</v>
      </c>
      <c r="H23" s="4" t="str">
        <f t="array" ref="H23">IFERROR(INDEX(DSCKXA!$B$3:$B$73, MATCH(1, (DSCKXA!$D$3:$D$73=BC_SINH!D23)*(DSCKXA!$E$3:$E$73=BC_SINH!E23), 0)),"")</f>
        <v>Hồ Văn Hồi</v>
      </c>
      <c r="I23" s="99" t="str">
        <f t="array" ref="I23">IFERROR(INDEX(DSCKXA!$C$3:$C$73, MATCH(1, (DSCKXA!$D$3:$D$73=BC_SINH!D23)*(DSCKXA!$E$3:$E$73=BC_SINH!E23), 0)),"")</f>
        <v>Thôn A Quan</v>
      </c>
      <c r="J23" s="97" t="str">
        <f>IFERROR(VLOOKUP(B23,'Đất sản xuất'!$B$9:$C$216,2,0),"")</f>
        <v/>
      </c>
      <c r="K23" s="97" t="str">
        <f>IFERROR(VLOOKUP(B23,'Sản xuất cấp huyên'!$B$9:$C$177,2,0),"")</f>
        <v>Kỳ Tăng</v>
      </c>
      <c r="L23" s="4" t="str">
        <f>IFERROR(VLOOKUP(B23,'4069'!$B$9:$C$177,2,0),"")</f>
        <v>Kỳ Tăng</v>
      </c>
      <c r="M23" s="4" t="str">
        <f t="array" ref="M23">IFERROR(INDEX(KODUDK!$C$8:$C$79, MATCH(1, (KODUDK!$D$8:$D$79=BC_SINH!D23)*(KODUDK!$E$8:$E$79=BC_SINH!E23), 0)),"")</f>
        <v>A Quan</v>
      </c>
      <c r="N23" s="4" t="str">
        <f t="array" ref="N23">IFERROR(INDEX(KODUDK!$H$8:$H$79, MATCH(1, (KODUDK!$D$8:$D$79=BC_SINH!D23)*(KODUDK!$E$8:$E$79=BC_SINH!E23), 0)),"")</f>
        <v>Có 02 thửa đất nên loại 01 thửa</v>
      </c>
      <c r="O23" s="4" t="str">
        <f t="array" ref="O23">IFERROR(INDEX('KO DU ĐK NQ10'!$C$8:$C$48, MATCH(1, ('KO DU ĐK NQ10'!$D$8:$D$48=BC_SINH!D23)*('KO DU ĐK NQ10'!$E$8:$E$48=BC_SINH!E23), 0)),"")</f>
        <v>A Quan</v>
      </c>
      <c r="P23" s="4" t="str">
        <f t="array" ref="P23">IFERROR(INDEX('KO DU ĐK NQ10'!$H$8:$H$48, MATCH(1, ('KO DU ĐK NQ10'!$D$8:$D$48=BC_SINH!D23)*('KO DU ĐK NQ10'!$E$8:$E$48=BC_SINH!E23), 0)),"")</f>
        <v>Có 02 thửa đất nên loại 01 thửa</v>
      </c>
      <c r="Q23" s="4" t="str">
        <f t="array" ref="Q23">IFERROR(INDEX('KO DU ĐK 4069'!$C$8:$C$38, MATCH(1, ('KO DU ĐK 4069'!$D$8:$D$38=BC_SINH!D23)*('KO DU ĐK 4069'!$E$8:$E$38=BC_SINH!E23), 0)),"")</f>
        <v/>
      </c>
      <c r="R23" s="4" t="str">
        <f t="array" ref="R23">IFERROR(INDEX('KO DU ĐK 4069'!$H$8:$H$38, MATCH(1, ('KO DU ĐK 4069'!$D$8:$D$38=BC_SINH!D23)*('KO DU ĐK 4069'!$E$8:$E$38=BC_SINH!E23), 0)),"")</f>
        <v/>
      </c>
      <c r="S23" s="4" t="str">
        <f t="array" ref="S23">IFERROR(INDEX(KeKhaiDangKy!$H$2:$H$4889, MATCH(1, (KeKhaiDangKy!$A$2:$A$4889=BC_SINH!D23)*(KeKhaiDangKy!$B$2:$B$4889=BC_SINH!E23), 0)),"")</f>
        <v/>
      </c>
    </row>
    <row r="24" spans="1:19" ht="14.45" customHeight="1" x14ac:dyDescent="0.25">
      <c r="A24" s="4">
        <f>IF(B24&lt;&gt;"", SUBTOTAL(3, $B$2:B24), "")</f>
        <v>23</v>
      </c>
      <c r="B24" s="4" t="s">
        <v>25</v>
      </c>
      <c r="C24" s="4" t="str">
        <f t="shared" si="0"/>
        <v>A Quan</v>
      </c>
      <c r="D24" s="4">
        <v>21</v>
      </c>
      <c r="E24" s="4">
        <v>74</v>
      </c>
      <c r="F24" s="4">
        <v>13882</v>
      </c>
      <c r="G24" s="4" t="s">
        <v>11</v>
      </c>
      <c r="H24" s="4" t="str">
        <f t="array" ref="H24">IFERROR(INDEX(DSCKXA!$B$3:$B$73, MATCH(1, (DSCKXA!$D$3:$D$73=BC_SINH!D24)*(DSCKXA!$E$3:$E$73=BC_SINH!E24), 0)),"")</f>
        <v/>
      </c>
      <c r="I24" s="99" t="str">
        <f t="array" ref="I24">IFERROR(INDEX(DSCKXA!$C$3:$C$73, MATCH(1, (DSCKXA!$D$3:$D$73=BC_SINH!D24)*(DSCKXA!$E$3:$E$73=BC_SINH!E24), 0)),"")</f>
        <v/>
      </c>
      <c r="J24" s="97" t="str">
        <f>IFERROR(VLOOKUP(B24,'Đất sản xuất'!$B$9:$C$216,2,0),"")</f>
        <v>A Quan</v>
      </c>
      <c r="K24" s="97" t="str">
        <f>IFERROR(VLOOKUP(B24,'Sản xuất cấp huyên'!$B$9:$C$177,2,0),"")</f>
        <v/>
      </c>
      <c r="L24" s="4" t="str">
        <f>IFERROR(VLOOKUP(B24,'4069'!$B$9:$C$177,2,0),"")</f>
        <v/>
      </c>
      <c r="M24" s="4" t="str">
        <f t="array" ref="M24">IFERROR(INDEX(KODUDK!$C$8:$C$79, MATCH(1, (KODUDK!$D$8:$D$79=BC_SINH!D24)*(KODUDK!$E$8:$E$79=BC_SINH!E24), 0)),"")</f>
        <v>A Quan</v>
      </c>
      <c r="N24" s="4" t="str">
        <f t="array" ref="N24">IFERROR(INDEX(KODUDK!$H$8:$H$79, MATCH(1, (KODUDK!$D$8:$D$79=BC_SINH!D24)*(KODUDK!$E$8:$E$79=BC_SINH!E24), 0)),"")</f>
        <v>Có 02 thửa đất nên loại 01 thửa</v>
      </c>
      <c r="O24" s="4" t="str">
        <f t="array" ref="O24">IFERROR(INDEX('KO DU ĐK NQ10'!$C$8:$C$48, MATCH(1, ('KO DU ĐK NQ10'!$D$8:$D$48=BC_SINH!D24)*('KO DU ĐK NQ10'!$E$8:$E$48=BC_SINH!E24), 0)),"")</f>
        <v>A Quan</v>
      </c>
      <c r="P24" s="4" t="str">
        <f t="array" ref="P24">IFERROR(INDEX('KO DU ĐK NQ10'!$H$8:$H$48, MATCH(1, ('KO DU ĐK NQ10'!$D$8:$D$48=BC_SINH!D24)*('KO DU ĐK NQ10'!$E$8:$E$48=BC_SINH!E24), 0)),"")</f>
        <v>Có 02 thửa đất nên loại 01 thửa</v>
      </c>
      <c r="Q24" s="4" t="str">
        <f t="array" ref="Q24">IFERROR(INDEX('KO DU ĐK 4069'!$C$8:$C$38, MATCH(1, ('KO DU ĐK 4069'!$D$8:$D$38=BC_SINH!D24)*('KO DU ĐK 4069'!$E$8:$E$38=BC_SINH!E24), 0)),"")</f>
        <v/>
      </c>
      <c r="R24" s="4" t="str">
        <f t="array" ref="R24">IFERROR(INDEX('KO DU ĐK 4069'!$H$8:$H$38, MATCH(1, ('KO DU ĐK 4069'!$D$8:$D$38=BC_SINH!D24)*('KO DU ĐK 4069'!$E$8:$E$38=BC_SINH!E24), 0)),"")</f>
        <v/>
      </c>
      <c r="S24" s="4" t="str">
        <f t="array" ref="S24">IFERROR(INDEX(KeKhaiDangKy!$H$2:$H$4889, MATCH(1, (KeKhaiDangKy!$A$2:$A$4889=BC_SINH!D24)*(KeKhaiDangKy!$B$2:$B$4889=BC_SINH!E24), 0)),"")</f>
        <v>Kỳ Tăng</v>
      </c>
    </row>
    <row r="25" spans="1:19" ht="14.45" customHeight="1" x14ac:dyDescent="0.25">
      <c r="A25" s="4">
        <f>IF(B25&lt;&gt;"", SUBTOTAL(3, $B$2:B25), "")</f>
        <v>24</v>
      </c>
      <c r="B25" s="4" t="s">
        <v>25</v>
      </c>
      <c r="C25" s="4" t="str">
        <f t="shared" si="0"/>
        <v>A Quan</v>
      </c>
      <c r="D25" s="4">
        <v>21</v>
      </c>
      <c r="E25" s="4">
        <v>75</v>
      </c>
      <c r="F25" s="4">
        <v>7880</v>
      </c>
      <c r="G25" s="4" t="s">
        <v>11</v>
      </c>
      <c r="H25" s="4" t="str">
        <f t="array" ref="H25">IFERROR(INDEX(DSCKXA!$B$3:$B$73, MATCH(1, (DSCKXA!$D$3:$D$73=BC_SINH!D25)*(DSCKXA!$E$3:$E$73=BC_SINH!E25), 0)),"")</f>
        <v>Hồ Thị Hà</v>
      </c>
      <c r="I25" s="99" t="str">
        <f t="array" ref="I25">IFERROR(INDEX(DSCKXA!$C$3:$C$73, MATCH(1, (DSCKXA!$D$3:$D$73=BC_SINH!D25)*(DSCKXA!$E$3:$E$73=BC_SINH!E25), 0)),"")</f>
        <v>Thôn A Quan</v>
      </c>
      <c r="J25" s="97" t="str">
        <f>IFERROR(VLOOKUP(B25,'Đất sản xuất'!$B$9:$C$216,2,0),"")</f>
        <v>A Quan</v>
      </c>
      <c r="K25" s="97" t="str">
        <f>IFERROR(VLOOKUP(B25,'Sản xuất cấp huyên'!$B$9:$C$177,2,0),"")</f>
        <v/>
      </c>
      <c r="L25" s="4" t="str">
        <f>IFERROR(VLOOKUP(B25,'4069'!$B$9:$C$177,2,0),"")</f>
        <v/>
      </c>
      <c r="M25" s="4" t="str">
        <f t="array" ref="M25">IFERROR(INDEX(KODUDK!$C$8:$C$79, MATCH(1, (KODUDK!$D$8:$D$79=BC_SINH!D25)*(KODUDK!$E$8:$E$79=BC_SINH!E25), 0)),"")</f>
        <v/>
      </c>
      <c r="N25" s="4" t="str">
        <f t="array" ref="N25">IFERROR(INDEX(KODUDK!$H$8:$H$79, MATCH(1, (KODUDK!$D$8:$D$79=BC_SINH!D25)*(KODUDK!$E$8:$E$79=BC_SINH!E25), 0)),"")</f>
        <v/>
      </c>
      <c r="O25" s="4" t="str">
        <f t="array" ref="O25">IFERROR(INDEX('KO DU ĐK NQ10'!$C$8:$C$48, MATCH(1, ('KO DU ĐK NQ10'!$D$8:$D$48=BC_SINH!D25)*('KO DU ĐK NQ10'!$E$8:$E$48=BC_SINH!E25), 0)),"")</f>
        <v/>
      </c>
      <c r="P25" s="4" t="str">
        <f t="array" ref="P25">IFERROR(INDEX('KO DU ĐK NQ10'!$H$8:$H$48, MATCH(1, ('KO DU ĐK NQ10'!$D$8:$D$48=BC_SINH!D25)*('KO DU ĐK NQ10'!$E$8:$E$48=BC_SINH!E25), 0)),"")</f>
        <v/>
      </c>
      <c r="Q25" s="4" t="str">
        <f t="array" ref="Q25">IFERROR(INDEX('KO DU ĐK 4069'!$C$8:$C$38, MATCH(1, ('KO DU ĐK 4069'!$D$8:$D$38=BC_SINH!D25)*('KO DU ĐK 4069'!$E$8:$E$38=BC_SINH!E25), 0)),"")</f>
        <v/>
      </c>
      <c r="R25" s="4" t="str">
        <f t="array" ref="R25">IFERROR(INDEX('KO DU ĐK 4069'!$H$8:$H$38, MATCH(1, ('KO DU ĐK 4069'!$D$8:$D$38=BC_SINH!D25)*('KO DU ĐK 4069'!$E$8:$E$38=BC_SINH!E25), 0)),"")</f>
        <v/>
      </c>
      <c r="S25" s="4" t="str">
        <f t="array" ref="S25">IFERROR(INDEX(KeKhaiDangKy!$H$2:$H$4889, MATCH(1, (KeKhaiDangKy!$A$2:$A$4889=BC_SINH!D25)*(KeKhaiDangKy!$B$2:$B$4889=BC_SINH!E25), 0)),"")</f>
        <v/>
      </c>
    </row>
    <row r="26" spans="1:19" ht="14.45" customHeight="1" x14ac:dyDescent="0.25">
      <c r="A26" s="4">
        <f>IF(B26&lt;&gt;"", SUBTOTAL(3, $B$2:B26), "")</f>
        <v>25</v>
      </c>
      <c r="B26" s="4" t="s">
        <v>26</v>
      </c>
      <c r="C26" s="4" t="str">
        <f t="shared" si="0"/>
        <v>A Rông</v>
      </c>
      <c r="D26" s="4">
        <v>21</v>
      </c>
      <c r="E26" s="4">
        <v>76</v>
      </c>
      <c r="F26" s="4">
        <v>14666</v>
      </c>
      <c r="G26" s="4" t="s">
        <v>11</v>
      </c>
      <c r="H26" s="4" t="str">
        <f t="array" ref="H26">IFERROR(INDEX(DSCKXA!$B$3:$B$73, MATCH(1, (DSCKXA!$D$3:$D$73=BC_SINH!D26)*(DSCKXA!$E$3:$E$73=BC_SINH!E26), 0)),"")</f>
        <v/>
      </c>
      <c r="I26" s="99" t="str">
        <f t="array" ref="I26">IFERROR(INDEX(DSCKXA!$C$3:$C$73, MATCH(1, (DSCKXA!$D$3:$D$73=BC_SINH!D26)*(DSCKXA!$E$3:$E$73=BC_SINH!E26), 0)),"")</f>
        <v/>
      </c>
      <c r="J26" s="97" t="str">
        <f>IFERROR(VLOOKUP(B26,'Đất sản xuất'!$B$9:$C$216,2,0),"")</f>
        <v/>
      </c>
      <c r="K26" s="97" t="str">
        <f>IFERROR(VLOOKUP(B26,'Sản xuất cấp huyên'!$B$9:$C$177,2,0),"")</f>
        <v/>
      </c>
      <c r="L26" s="4" t="str">
        <f>IFERROR(VLOOKUP(B26,'4069'!$B$9:$C$177,2,0),"")</f>
        <v/>
      </c>
      <c r="M26" s="4" t="str">
        <f t="array" ref="M26">IFERROR(INDEX(KODUDK!$C$8:$C$79, MATCH(1, (KODUDK!$D$8:$D$79=BC_SINH!D26)*(KODUDK!$E$8:$E$79=BC_SINH!E26), 0)),"")</f>
        <v/>
      </c>
      <c r="N26" s="4" t="str">
        <f t="array" ref="N26">IFERROR(INDEX(KODUDK!$H$8:$H$79, MATCH(1, (KODUDK!$D$8:$D$79=BC_SINH!D26)*(KODUDK!$E$8:$E$79=BC_SINH!E26), 0)),"")</f>
        <v/>
      </c>
      <c r="O26" s="4" t="str">
        <f t="array" ref="O26">IFERROR(INDEX('KO DU ĐK NQ10'!$C$8:$C$48, MATCH(1, ('KO DU ĐK NQ10'!$D$8:$D$48=BC_SINH!D26)*('KO DU ĐK NQ10'!$E$8:$E$48=BC_SINH!E26), 0)),"")</f>
        <v/>
      </c>
      <c r="P26" s="4" t="str">
        <f t="array" ref="P26">IFERROR(INDEX('KO DU ĐK NQ10'!$H$8:$H$48, MATCH(1, ('KO DU ĐK NQ10'!$D$8:$D$48=BC_SINH!D26)*('KO DU ĐK NQ10'!$E$8:$E$48=BC_SINH!E26), 0)),"")</f>
        <v/>
      </c>
      <c r="Q26" s="4" t="str">
        <f t="array" ref="Q26">IFERROR(INDEX('KO DU ĐK 4069'!$C$8:$C$38, MATCH(1, ('KO DU ĐK 4069'!$D$8:$D$38=BC_SINH!D26)*('KO DU ĐK 4069'!$E$8:$E$38=BC_SINH!E26), 0)),"")</f>
        <v/>
      </c>
      <c r="R26" s="4" t="str">
        <f t="array" ref="R26">IFERROR(INDEX('KO DU ĐK 4069'!$H$8:$H$38, MATCH(1, ('KO DU ĐK 4069'!$D$8:$D$38=BC_SINH!D26)*('KO DU ĐK 4069'!$E$8:$E$38=BC_SINH!E26), 0)),"")</f>
        <v/>
      </c>
      <c r="S26" s="4" t="str">
        <f t="array" ref="S26">IFERROR(INDEX(KeKhaiDangKy!$H$2:$H$4889, MATCH(1, (KeKhaiDangKy!$A$2:$A$4889=BC_SINH!D26)*(KeKhaiDangKy!$B$2:$B$4889=BC_SINH!E26), 0)),"")</f>
        <v>A Rông</v>
      </c>
    </row>
    <row r="27" spans="1:19" ht="14.45" customHeight="1" x14ac:dyDescent="0.25">
      <c r="A27" s="4">
        <f>IF(B27&lt;&gt;"", SUBTOTAL(3, $B$2:B27), "")</f>
        <v>26</v>
      </c>
      <c r="B27" s="4" t="s">
        <v>27</v>
      </c>
      <c r="C27" s="4" t="str">
        <f t="shared" si="0"/>
        <v/>
      </c>
      <c r="D27" s="4">
        <v>21</v>
      </c>
      <c r="E27" s="4">
        <v>77</v>
      </c>
      <c r="F27" s="4">
        <v>10873</v>
      </c>
      <c r="G27" s="4" t="s">
        <v>11</v>
      </c>
      <c r="H27" s="4" t="str">
        <f t="array" ref="H27">IFERROR(INDEX(DSCKXA!$B$3:$B$73, MATCH(1, (DSCKXA!$D$3:$D$73=BC_SINH!D27)*(DSCKXA!$E$3:$E$73=BC_SINH!E27), 0)),"")</f>
        <v/>
      </c>
      <c r="I27" s="99" t="str">
        <f t="array" ref="I27">IFERROR(INDEX(DSCKXA!$C$3:$C$73, MATCH(1, (DSCKXA!$D$3:$D$73=BC_SINH!D27)*(DSCKXA!$E$3:$E$73=BC_SINH!E27), 0)),"")</f>
        <v/>
      </c>
      <c r="J27" s="97" t="str">
        <f>IFERROR(VLOOKUP(B27,'Đất sản xuất'!$B$9:$C$216,2,0),"")</f>
        <v/>
      </c>
      <c r="K27" s="97" t="str">
        <f>IFERROR(VLOOKUP(B27,'Sản xuất cấp huyên'!$B$9:$C$177,2,0),"")</f>
        <v/>
      </c>
      <c r="L27" s="4" t="str">
        <f>IFERROR(VLOOKUP(B27,'4069'!$B$9:$C$177,2,0),"")</f>
        <v/>
      </c>
      <c r="M27" s="4" t="str">
        <f t="array" ref="M27">IFERROR(INDEX(KODUDK!$C$8:$C$79, MATCH(1, (KODUDK!$D$8:$D$79=BC_SINH!D27)*(KODUDK!$E$8:$E$79=BC_SINH!E27), 0)),"")</f>
        <v/>
      </c>
      <c r="N27" s="4" t="str">
        <f t="array" ref="N27">IFERROR(INDEX(KODUDK!$H$8:$H$79, MATCH(1, (KODUDK!$D$8:$D$79=BC_SINH!D27)*(KODUDK!$E$8:$E$79=BC_SINH!E27), 0)),"")</f>
        <v/>
      </c>
      <c r="O27" s="4" t="str">
        <f t="array" ref="O27">IFERROR(INDEX('KO DU ĐK NQ10'!$C$8:$C$48, MATCH(1, ('KO DU ĐK NQ10'!$D$8:$D$48=BC_SINH!D27)*('KO DU ĐK NQ10'!$E$8:$E$48=BC_SINH!E27), 0)),"")</f>
        <v/>
      </c>
      <c r="P27" s="4" t="str">
        <f t="array" ref="P27">IFERROR(INDEX('KO DU ĐK NQ10'!$H$8:$H$48, MATCH(1, ('KO DU ĐK NQ10'!$D$8:$D$48=BC_SINH!D27)*('KO DU ĐK NQ10'!$E$8:$E$48=BC_SINH!E27), 0)),"")</f>
        <v/>
      </c>
      <c r="Q27" s="4" t="str">
        <f t="array" ref="Q27">IFERROR(INDEX('KO DU ĐK 4069'!$C$8:$C$38, MATCH(1, ('KO DU ĐK 4069'!$D$8:$D$38=BC_SINH!D27)*('KO DU ĐK 4069'!$E$8:$E$38=BC_SINH!E27), 0)),"")</f>
        <v/>
      </c>
      <c r="R27" s="4" t="str">
        <f t="array" ref="R27">IFERROR(INDEX('KO DU ĐK 4069'!$H$8:$H$38, MATCH(1, ('KO DU ĐK 4069'!$D$8:$D$38=BC_SINH!D27)*('KO DU ĐK 4069'!$E$8:$E$38=BC_SINH!E27), 0)),"")</f>
        <v/>
      </c>
      <c r="S27" s="4" t="str">
        <f t="array" ref="S27">IFERROR(INDEX(KeKhaiDangKy!$H$2:$H$4889, MATCH(1, (KeKhaiDangKy!$A$2:$A$4889=BC_SINH!D27)*(KeKhaiDangKy!$B$2:$B$4889=BC_SINH!E27), 0)),"")</f>
        <v/>
      </c>
    </row>
    <row r="28" spans="1:19" ht="14.45" customHeight="1" x14ac:dyDescent="0.25">
      <c r="A28" s="4">
        <f>IF(B28&lt;&gt;"", SUBTOTAL(3, $B$2:B28), "")</f>
        <v>27</v>
      </c>
      <c r="B28" s="4" t="s">
        <v>28</v>
      </c>
      <c r="C28" s="4" t="str">
        <f t="shared" si="0"/>
        <v xml:space="preserve"> A Máy</v>
      </c>
      <c r="D28" s="4">
        <v>21</v>
      </c>
      <c r="E28" s="4">
        <v>78</v>
      </c>
      <c r="F28" s="4">
        <v>18415</v>
      </c>
      <c r="G28" s="4" t="s">
        <v>11</v>
      </c>
      <c r="H28" s="4" t="str">
        <f t="array" ref="H28">IFERROR(INDEX(DSCKXA!$B$3:$B$73, MATCH(1, (DSCKXA!$D$3:$D$73=BC_SINH!D28)*(DSCKXA!$E$3:$E$73=BC_SINH!E28), 0)),"")</f>
        <v>Hồ Thị Khương</v>
      </c>
      <c r="I28" s="99" t="str">
        <f t="array" ref="I28">IFERROR(INDEX(DSCKXA!$C$3:$C$73, MATCH(1, (DSCKXA!$D$3:$D$73=BC_SINH!D28)*(DSCKXA!$E$3:$E$73=BC_SINH!E28), 0)),"")</f>
        <v>Thôn A Máy</v>
      </c>
      <c r="J28" s="97" t="str">
        <f>IFERROR(VLOOKUP(B28,'Đất sản xuất'!$B$9:$C$216,2,0),"")</f>
        <v xml:space="preserve"> A Máy</v>
      </c>
      <c r="K28" s="97" t="str">
        <f>IFERROR(VLOOKUP(B28,'Sản xuất cấp huyên'!$B$9:$C$177,2,0),"")</f>
        <v/>
      </c>
      <c r="L28" s="4" t="str">
        <f>IFERROR(VLOOKUP(B28,'4069'!$B$9:$C$177,2,0),"")</f>
        <v/>
      </c>
      <c r="M28" s="4" t="str">
        <f t="array" ref="M28">IFERROR(INDEX(KODUDK!$C$8:$C$79, MATCH(1, (KODUDK!$D$8:$D$79=BC_SINH!D28)*(KODUDK!$E$8:$E$79=BC_SINH!E28), 0)),"")</f>
        <v/>
      </c>
      <c r="N28" s="4" t="str">
        <f t="array" ref="N28">IFERROR(INDEX(KODUDK!$H$8:$H$79, MATCH(1, (KODUDK!$D$8:$D$79=BC_SINH!D28)*(KODUDK!$E$8:$E$79=BC_SINH!E28), 0)),"")</f>
        <v/>
      </c>
      <c r="O28" s="4" t="str">
        <f t="array" ref="O28">IFERROR(INDEX('KO DU ĐK NQ10'!$C$8:$C$48, MATCH(1, ('KO DU ĐK NQ10'!$D$8:$D$48=BC_SINH!D28)*('KO DU ĐK NQ10'!$E$8:$E$48=BC_SINH!E28), 0)),"")</f>
        <v/>
      </c>
      <c r="P28" s="4" t="str">
        <f t="array" ref="P28">IFERROR(INDEX('KO DU ĐK NQ10'!$H$8:$H$48, MATCH(1, ('KO DU ĐK NQ10'!$D$8:$D$48=BC_SINH!D28)*('KO DU ĐK NQ10'!$E$8:$E$48=BC_SINH!E28), 0)),"")</f>
        <v/>
      </c>
      <c r="Q28" s="4" t="str">
        <f t="array" ref="Q28">IFERROR(INDEX('KO DU ĐK 4069'!$C$8:$C$38, MATCH(1, ('KO DU ĐK 4069'!$D$8:$D$38=BC_SINH!D28)*('KO DU ĐK 4069'!$E$8:$E$38=BC_SINH!E28), 0)),"")</f>
        <v/>
      </c>
      <c r="R28" s="4" t="str">
        <f t="array" ref="R28">IFERROR(INDEX('KO DU ĐK 4069'!$H$8:$H$38, MATCH(1, ('KO DU ĐK 4069'!$D$8:$D$38=BC_SINH!D28)*('KO DU ĐK 4069'!$E$8:$E$38=BC_SINH!E28), 0)),"")</f>
        <v/>
      </c>
      <c r="S28" s="4" t="str">
        <f t="array" ref="S28">IFERROR(INDEX(KeKhaiDangKy!$H$2:$H$4889, MATCH(1, (KeKhaiDangKy!$A$2:$A$4889=BC_SINH!D28)*(KeKhaiDangKy!$B$2:$B$4889=BC_SINH!E28), 0)),"")</f>
        <v/>
      </c>
    </row>
    <row r="29" spans="1:19" ht="14.45" customHeight="1" x14ac:dyDescent="0.25">
      <c r="A29" s="4">
        <f>IF(B29&lt;&gt;"", SUBTOTAL(3, $B$2:B29), "")</f>
        <v>28</v>
      </c>
      <c r="B29" s="4" t="s">
        <v>28</v>
      </c>
      <c r="C29" s="4" t="str">
        <f t="shared" si="0"/>
        <v xml:space="preserve"> A Máy</v>
      </c>
      <c r="D29" s="4">
        <v>21</v>
      </c>
      <c r="E29" s="4">
        <v>79</v>
      </c>
      <c r="F29" s="4">
        <v>9667</v>
      </c>
      <c r="G29" s="4" t="s">
        <v>11</v>
      </c>
      <c r="H29" s="4" t="str">
        <f t="array" ref="H29">IFERROR(INDEX(DSCKXA!$B$3:$B$73, MATCH(1, (DSCKXA!$D$3:$D$73=BC_SINH!D29)*(DSCKXA!$E$3:$E$73=BC_SINH!E29), 0)),"")</f>
        <v/>
      </c>
      <c r="I29" s="99" t="str">
        <f t="array" ref="I29">IFERROR(INDEX(DSCKXA!$C$3:$C$73, MATCH(1, (DSCKXA!$D$3:$D$73=BC_SINH!D29)*(DSCKXA!$E$3:$E$73=BC_SINH!E29), 0)),"")</f>
        <v/>
      </c>
      <c r="J29" s="97" t="str">
        <f>IFERROR(VLOOKUP(B29,'Đất sản xuất'!$B$9:$C$216,2,0),"")</f>
        <v xml:space="preserve"> A Máy</v>
      </c>
      <c r="K29" s="97" t="str">
        <f>IFERROR(VLOOKUP(B29,'Sản xuất cấp huyên'!$B$9:$C$177,2,0),"")</f>
        <v/>
      </c>
      <c r="L29" s="4" t="str">
        <f>IFERROR(VLOOKUP(B29,'4069'!$B$9:$C$177,2,0),"")</f>
        <v/>
      </c>
      <c r="M29" s="4" t="str">
        <f t="array" ref="M29">IFERROR(INDEX(KODUDK!$C$8:$C$79, MATCH(1, (KODUDK!$D$8:$D$79=BC_SINH!D29)*(KODUDK!$E$8:$E$79=BC_SINH!E29), 0)),"")</f>
        <v>Thôn A Máy</v>
      </c>
      <c r="N29" s="4" t="str">
        <f t="array" ref="N29">IFERROR(INDEX(KODUDK!$H$8:$H$79, MATCH(1, (KODUDK!$D$8:$D$79=BC_SINH!D29)*(KODUDK!$E$8:$E$79=BC_SINH!E29), 0)),"")</f>
        <v>Có 03 thửa đất nên loại 02 thửa</v>
      </c>
      <c r="O29" s="4" t="str">
        <f t="array" ref="O29">IFERROR(INDEX('KO DU ĐK NQ10'!$C$8:$C$48, MATCH(1, ('KO DU ĐK NQ10'!$D$8:$D$48=BC_SINH!D29)*('KO DU ĐK NQ10'!$E$8:$E$48=BC_SINH!E29), 0)),"")</f>
        <v>Thôn A Máy</v>
      </c>
      <c r="P29" s="4" t="str">
        <f t="array" ref="P29">IFERROR(INDEX('KO DU ĐK NQ10'!$H$8:$H$48, MATCH(1, ('KO DU ĐK NQ10'!$D$8:$D$48=BC_SINH!D29)*('KO DU ĐK NQ10'!$E$8:$E$48=BC_SINH!E29), 0)),"")</f>
        <v>Có 03 thửa đất nên loại 02 thửa</v>
      </c>
      <c r="Q29" s="4" t="str">
        <f t="array" ref="Q29">IFERROR(INDEX('KO DU ĐK 4069'!$C$8:$C$38, MATCH(1, ('KO DU ĐK 4069'!$D$8:$D$38=BC_SINH!D29)*('KO DU ĐK 4069'!$E$8:$E$38=BC_SINH!E29), 0)),"")</f>
        <v/>
      </c>
      <c r="R29" s="4" t="str">
        <f t="array" ref="R29">IFERROR(INDEX('KO DU ĐK 4069'!$H$8:$H$38, MATCH(1, ('KO DU ĐK 4069'!$D$8:$D$38=BC_SINH!D29)*('KO DU ĐK 4069'!$E$8:$E$38=BC_SINH!E29), 0)),"")</f>
        <v/>
      </c>
      <c r="S29" s="4" t="str">
        <f t="array" ref="S29">IFERROR(INDEX(KeKhaiDangKy!$H$2:$H$4889, MATCH(1, (KeKhaiDangKy!$A$2:$A$4889=BC_SINH!D29)*(KeKhaiDangKy!$B$2:$B$4889=BC_SINH!E29), 0)),"")</f>
        <v/>
      </c>
    </row>
    <row r="30" spans="1:19" ht="14.45" customHeight="1" x14ac:dyDescent="0.25">
      <c r="A30" s="4">
        <f>IF(B30&lt;&gt;"", SUBTOTAL(3, $B$2:B30), "")</f>
        <v>29</v>
      </c>
      <c r="B30" s="4" t="s">
        <v>28</v>
      </c>
      <c r="C30" s="4" t="str">
        <f t="shared" si="0"/>
        <v xml:space="preserve"> A Máy</v>
      </c>
      <c r="D30" s="4">
        <v>21</v>
      </c>
      <c r="E30" s="4">
        <v>80</v>
      </c>
      <c r="F30" s="4">
        <v>13907</v>
      </c>
      <c r="G30" s="4" t="s">
        <v>11</v>
      </c>
      <c r="H30" s="4" t="str">
        <f t="array" ref="H30">IFERROR(INDEX(DSCKXA!$B$3:$B$73, MATCH(1, (DSCKXA!$D$3:$D$73=BC_SINH!D30)*(DSCKXA!$E$3:$E$73=BC_SINH!E30), 0)),"")</f>
        <v/>
      </c>
      <c r="I30" s="99" t="str">
        <f t="array" ref="I30">IFERROR(INDEX(DSCKXA!$C$3:$C$73, MATCH(1, (DSCKXA!$D$3:$D$73=BC_SINH!D30)*(DSCKXA!$E$3:$E$73=BC_SINH!E30), 0)),"")</f>
        <v/>
      </c>
      <c r="J30" s="97" t="str">
        <f>IFERROR(VLOOKUP(B30,'Đất sản xuất'!$B$9:$C$216,2,0),"")</f>
        <v xml:space="preserve"> A Máy</v>
      </c>
      <c r="K30" s="97" t="str">
        <f>IFERROR(VLOOKUP(B30,'Sản xuất cấp huyên'!$B$9:$C$177,2,0),"")</f>
        <v/>
      </c>
      <c r="L30" s="4" t="str">
        <f>IFERROR(VLOOKUP(B30,'4069'!$B$9:$C$177,2,0),"")</f>
        <v/>
      </c>
      <c r="M30" s="4" t="str">
        <f t="array" ref="M30">IFERROR(INDEX(KODUDK!$C$8:$C$79, MATCH(1, (KODUDK!$D$8:$D$79=BC_SINH!D30)*(KODUDK!$E$8:$E$79=BC_SINH!E30), 0)),"")</f>
        <v>Thôn A Máy</v>
      </c>
      <c r="N30" s="4" t="str">
        <f t="array" ref="N30">IFERROR(INDEX(KODUDK!$H$8:$H$79, MATCH(1, (KODUDK!$D$8:$D$79=BC_SINH!D30)*(KODUDK!$E$8:$E$79=BC_SINH!E30), 0)),"")</f>
        <v>Có 03 thửa đất nên loại 02 thửa</v>
      </c>
      <c r="O30" s="4" t="str">
        <f t="array" ref="O30">IFERROR(INDEX('KO DU ĐK NQ10'!$C$8:$C$48, MATCH(1, ('KO DU ĐK NQ10'!$D$8:$D$48=BC_SINH!D30)*('KO DU ĐK NQ10'!$E$8:$E$48=BC_SINH!E30), 0)),"")</f>
        <v>Thôn A Máy</v>
      </c>
      <c r="P30" s="4" t="str">
        <f t="array" ref="P30">IFERROR(INDEX('KO DU ĐK NQ10'!$H$8:$H$48, MATCH(1, ('KO DU ĐK NQ10'!$D$8:$D$48=BC_SINH!D30)*('KO DU ĐK NQ10'!$E$8:$E$48=BC_SINH!E30), 0)),"")</f>
        <v>Có 03 thửa đất nên loại 02 thửa</v>
      </c>
      <c r="Q30" s="4" t="str">
        <f t="array" ref="Q30">IFERROR(INDEX('KO DU ĐK 4069'!$C$8:$C$38, MATCH(1, ('KO DU ĐK 4069'!$D$8:$D$38=BC_SINH!D30)*('KO DU ĐK 4069'!$E$8:$E$38=BC_SINH!E30), 0)),"")</f>
        <v/>
      </c>
      <c r="R30" s="4" t="str">
        <f t="array" ref="R30">IFERROR(INDEX('KO DU ĐK 4069'!$H$8:$H$38, MATCH(1, ('KO DU ĐK 4069'!$D$8:$D$38=BC_SINH!D30)*('KO DU ĐK 4069'!$E$8:$E$38=BC_SINH!E30), 0)),"")</f>
        <v/>
      </c>
      <c r="S30" s="4" t="str">
        <f t="array" ref="S30">IFERROR(INDEX(KeKhaiDangKy!$H$2:$H$4889, MATCH(1, (KeKhaiDangKy!$A$2:$A$4889=BC_SINH!D30)*(KeKhaiDangKy!$B$2:$B$4889=BC_SINH!E30), 0)),"")</f>
        <v/>
      </c>
    </row>
    <row r="31" spans="1:19" ht="14.45" customHeight="1" x14ac:dyDescent="0.25">
      <c r="A31" s="4">
        <f>IF(B31&lt;&gt;"", SUBTOTAL(3, $B$2:B31), "")</f>
        <v>30</v>
      </c>
      <c r="B31" s="4" t="s">
        <v>29</v>
      </c>
      <c r="C31" s="4" t="str">
        <f t="shared" si="0"/>
        <v xml:space="preserve"> A Quan</v>
      </c>
      <c r="D31" s="4">
        <v>21</v>
      </c>
      <c r="E31" s="4">
        <v>81</v>
      </c>
      <c r="F31" s="4">
        <v>17133</v>
      </c>
      <c r="G31" s="4" t="s">
        <v>11</v>
      </c>
      <c r="H31" s="4" t="str">
        <f t="array" ref="H31">IFERROR(INDEX(DSCKXA!$B$3:$B$73, MATCH(1, (DSCKXA!$D$3:$D$73=BC_SINH!D31)*(DSCKXA!$E$3:$E$73=BC_SINH!E31), 0)),"")</f>
        <v>Hồ Thị Kỉa</v>
      </c>
      <c r="I31" s="99" t="str">
        <f t="array" ref="I31">IFERROR(INDEX(DSCKXA!$C$3:$C$73, MATCH(1, (DSCKXA!$D$3:$D$73=BC_SINH!D31)*(DSCKXA!$E$3:$E$73=BC_SINH!E31), 0)),"")</f>
        <v>Thôn A Quan</v>
      </c>
      <c r="J31" s="97" t="str">
        <f>IFERROR(VLOOKUP(B31,'Đất sản xuất'!$B$9:$C$216,2,0),"")</f>
        <v xml:space="preserve"> A Quan</v>
      </c>
      <c r="K31" s="97" t="str">
        <f>IFERROR(VLOOKUP(B31,'Sản xuất cấp huyên'!$B$9:$C$177,2,0),"")</f>
        <v/>
      </c>
      <c r="L31" s="4" t="str">
        <f>IFERROR(VLOOKUP(B31,'4069'!$B$9:$C$177,2,0),"")</f>
        <v/>
      </c>
      <c r="M31" s="4" t="str">
        <f t="array" ref="M31">IFERROR(INDEX(KODUDK!$C$8:$C$79, MATCH(1, (KODUDK!$D$8:$D$79=BC_SINH!D31)*(KODUDK!$E$8:$E$79=BC_SINH!E31), 0)),"")</f>
        <v/>
      </c>
      <c r="N31" s="4" t="str">
        <f t="array" ref="N31">IFERROR(INDEX(KODUDK!$H$8:$H$79, MATCH(1, (KODUDK!$D$8:$D$79=BC_SINH!D31)*(KODUDK!$E$8:$E$79=BC_SINH!E31), 0)),"")</f>
        <v/>
      </c>
      <c r="O31" s="4" t="str">
        <f t="array" ref="O31">IFERROR(INDEX('KO DU ĐK NQ10'!$C$8:$C$48, MATCH(1, ('KO DU ĐK NQ10'!$D$8:$D$48=BC_SINH!D31)*('KO DU ĐK NQ10'!$E$8:$E$48=BC_SINH!E31), 0)),"")</f>
        <v/>
      </c>
      <c r="P31" s="4" t="str">
        <f t="array" ref="P31">IFERROR(INDEX('KO DU ĐK NQ10'!$H$8:$H$48, MATCH(1, ('KO DU ĐK NQ10'!$D$8:$D$48=BC_SINH!D31)*('KO DU ĐK NQ10'!$E$8:$E$48=BC_SINH!E31), 0)),"")</f>
        <v/>
      </c>
      <c r="Q31" s="4" t="str">
        <f t="array" ref="Q31">IFERROR(INDEX('KO DU ĐK 4069'!$C$8:$C$38, MATCH(1, ('KO DU ĐK 4069'!$D$8:$D$38=BC_SINH!D31)*('KO DU ĐK 4069'!$E$8:$E$38=BC_SINH!E31), 0)),"")</f>
        <v/>
      </c>
      <c r="R31" s="4" t="str">
        <f t="array" ref="R31">IFERROR(INDEX('KO DU ĐK 4069'!$H$8:$H$38, MATCH(1, ('KO DU ĐK 4069'!$D$8:$D$38=BC_SINH!D31)*('KO DU ĐK 4069'!$E$8:$E$38=BC_SINH!E31), 0)),"")</f>
        <v/>
      </c>
      <c r="S31" s="4" t="str">
        <f t="array" ref="S31">IFERROR(INDEX(KeKhaiDangKy!$H$2:$H$4889, MATCH(1, (KeKhaiDangKy!$A$2:$A$4889=BC_SINH!D31)*(KeKhaiDangKy!$B$2:$B$4889=BC_SINH!E31), 0)),"")</f>
        <v>Kỳ Tăng</v>
      </c>
    </row>
    <row r="32" spans="1:19" ht="14.45" customHeight="1" x14ac:dyDescent="0.25">
      <c r="A32" s="4">
        <f>IF(B32&lt;&gt;"", SUBTOTAL(3, $B$2:B32), "")</f>
        <v>31</v>
      </c>
      <c r="B32" s="4" t="s">
        <v>29</v>
      </c>
      <c r="C32" s="4" t="str">
        <f t="shared" si="0"/>
        <v xml:space="preserve"> A Quan</v>
      </c>
      <c r="D32" s="4">
        <v>21</v>
      </c>
      <c r="E32" s="4">
        <v>82</v>
      </c>
      <c r="F32" s="4">
        <v>14524</v>
      </c>
      <c r="G32" s="4" t="s">
        <v>11</v>
      </c>
      <c r="H32" s="4" t="str">
        <f t="array" ref="H32">IFERROR(INDEX(DSCKXA!$B$3:$B$73, MATCH(1, (DSCKXA!$D$3:$D$73=BC_SINH!D32)*(DSCKXA!$E$3:$E$73=BC_SINH!E32), 0)),"")</f>
        <v/>
      </c>
      <c r="I32" s="99" t="str">
        <f t="array" ref="I32">IFERROR(INDEX(DSCKXA!$C$3:$C$73, MATCH(1, (DSCKXA!$D$3:$D$73=BC_SINH!D32)*(DSCKXA!$E$3:$E$73=BC_SINH!E32), 0)),"")</f>
        <v/>
      </c>
      <c r="J32" s="97" t="str">
        <f>IFERROR(VLOOKUP(B32,'Đất sản xuất'!$B$9:$C$216,2,0),"")</f>
        <v xml:space="preserve"> A Quan</v>
      </c>
      <c r="K32" s="97" t="str">
        <f>IFERROR(VLOOKUP(B32,'Sản xuất cấp huyên'!$B$9:$C$177,2,0),"")</f>
        <v/>
      </c>
      <c r="L32" s="4" t="str">
        <f>IFERROR(VLOOKUP(B32,'4069'!$B$9:$C$177,2,0),"")</f>
        <v/>
      </c>
      <c r="M32" s="4" t="str">
        <f t="array" ref="M32">IFERROR(INDEX(KODUDK!$C$8:$C$79, MATCH(1, (KODUDK!$D$8:$D$79=BC_SINH!D32)*(KODUDK!$E$8:$E$79=BC_SINH!E32), 0)),"")</f>
        <v>A Quan</v>
      </c>
      <c r="N32" s="4" t="str">
        <f t="array" ref="N32">IFERROR(INDEX(KODUDK!$H$8:$H$79, MATCH(1, (KODUDK!$D$8:$D$79=BC_SINH!D32)*(KODUDK!$E$8:$E$79=BC_SINH!E32), 0)),"")</f>
        <v>Có 02 thửa đất nên loại 01 thửa</v>
      </c>
      <c r="O32" s="4" t="str">
        <f t="array" ref="O32">IFERROR(INDEX('KO DU ĐK NQ10'!$C$8:$C$48, MATCH(1, ('KO DU ĐK NQ10'!$D$8:$D$48=BC_SINH!D32)*('KO DU ĐK NQ10'!$E$8:$E$48=BC_SINH!E32), 0)),"")</f>
        <v>A Quan</v>
      </c>
      <c r="P32" s="4" t="str">
        <f t="array" ref="P32">IFERROR(INDEX('KO DU ĐK NQ10'!$H$8:$H$48, MATCH(1, ('KO DU ĐK NQ10'!$D$8:$D$48=BC_SINH!D32)*('KO DU ĐK NQ10'!$E$8:$E$48=BC_SINH!E32), 0)),"")</f>
        <v>Có 02 thửa đất nên loại 01 thửa</v>
      </c>
      <c r="Q32" s="4" t="str">
        <f t="array" ref="Q32">IFERROR(INDEX('KO DU ĐK 4069'!$C$8:$C$38, MATCH(1, ('KO DU ĐK 4069'!$D$8:$D$38=BC_SINH!D32)*('KO DU ĐK 4069'!$E$8:$E$38=BC_SINH!E32), 0)),"")</f>
        <v/>
      </c>
      <c r="R32" s="4" t="str">
        <f t="array" ref="R32">IFERROR(INDEX('KO DU ĐK 4069'!$H$8:$H$38, MATCH(1, ('KO DU ĐK 4069'!$D$8:$D$38=BC_SINH!D32)*('KO DU ĐK 4069'!$E$8:$E$38=BC_SINH!E32), 0)),"")</f>
        <v/>
      </c>
      <c r="S32" s="4" t="str">
        <f t="array" ref="S32">IFERROR(INDEX(KeKhaiDangKy!$H$2:$H$4889, MATCH(1, (KeKhaiDangKy!$A$2:$A$4889=BC_SINH!D32)*(KeKhaiDangKy!$B$2:$B$4889=BC_SINH!E32), 0)),"")</f>
        <v>Kỳ Tăng</v>
      </c>
    </row>
    <row r="33" spans="1:19" ht="14.45" customHeight="1" x14ac:dyDescent="0.25">
      <c r="A33" s="4">
        <f>IF(B33&lt;&gt;"", SUBTOTAL(3, $B$2:B33), "")</f>
        <v>32</v>
      </c>
      <c r="B33" s="4" t="s">
        <v>30</v>
      </c>
      <c r="C33" s="4" t="str">
        <f t="shared" si="0"/>
        <v>A Máy</v>
      </c>
      <c r="D33" s="4">
        <v>21</v>
      </c>
      <c r="E33" s="4">
        <v>83</v>
      </c>
      <c r="F33" s="4">
        <v>5917</v>
      </c>
      <c r="G33" s="4" t="s">
        <v>11</v>
      </c>
      <c r="H33" s="4" t="str">
        <f t="array" ref="H33">IFERROR(INDEX(DSCKXA!$B$3:$B$73, MATCH(1, (DSCKXA!$D$3:$D$73=BC_SINH!D33)*(DSCKXA!$E$3:$E$73=BC_SINH!E33), 0)),"")</f>
        <v/>
      </c>
      <c r="I33" s="99" t="str">
        <f t="array" ref="I33">IFERROR(INDEX(DSCKXA!$C$3:$C$73, MATCH(1, (DSCKXA!$D$3:$D$73=BC_SINH!D33)*(DSCKXA!$E$3:$E$73=BC_SINH!E33), 0)),"")</f>
        <v/>
      </c>
      <c r="J33" s="97" t="str">
        <f>IFERROR(VLOOKUP(B33,'Đất sản xuất'!$B$9:$C$216,2,0),"")</f>
        <v/>
      </c>
      <c r="K33" s="97" t="str">
        <f>IFERROR(VLOOKUP(B33,'Sản xuất cấp huyên'!$B$9:$C$177,2,0),"")</f>
        <v>A Máy</v>
      </c>
      <c r="L33" s="4" t="str">
        <f>IFERROR(VLOOKUP(B33,'4069'!$B$9:$C$177,2,0),"")</f>
        <v>A Máy</v>
      </c>
      <c r="M33" s="4" t="str">
        <f t="array" ref="M33">IFERROR(INDEX(KODUDK!$C$8:$C$79, MATCH(1, (KODUDK!$D$8:$D$79=BC_SINH!D33)*(KODUDK!$E$8:$E$79=BC_SINH!E33), 0)),"")</f>
        <v>Thôn A Máy</v>
      </c>
      <c r="N33" s="4" t="str">
        <f t="array" ref="N33">IFERROR(INDEX(KODUDK!$H$8:$H$79, MATCH(1, (KODUDK!$D$8:$D$79=BC_SINH!D33)*(KODUDK!$E$8:$E$79=BC_SINH!E33), 0)),"")</f>
        <v>Có 03 thửa đất nên loại 02 thửa</v>
      </c>
      <c r="O33" s="4" t="str">
        <f t="array" ref="O33">IFERROR(INDEX('KO DU ĐK NQ10'!$C$8:$C$48, MATCH(1, ('KO DU ĐK NQ10'!$D$8:$D$48=BC_SINH!D33)*('KO DU ĐK NQ10'!$E$8:$E$48=BC_SINH!E33), 0)),"")</f>
        <v/>
      </c>
      <c r="P33" s="4" t="str">
        <f t="array" ref="P33">IFERROR(INDEX('KO DU ĐK NQ10'!$H$8:$H$48, MATCH(1, ('KO DU ĐK NQ10'!$D$8:$D$48=BC_SINH!D33)*('KO DU ĐK NQ10'!$E$8:$E$48=BC_SINH!E33), 0)),"")</f>
        <v/>
      </c>
      <c r="Q33" s="4" t="str">
        <f t="array" ref="Q33">IFERROR(INDEX('KO DU ĐK 4069'!$C$8:$C$38, MATCH(1, ('KO DU ĐK 4069'!$D$8:$D$38=BC_SINH!D33)*('KO DU ĐK 4069'!$E$8:$E$38=BC_SINH!E33), 0)),"")</f>
        <v>Thôn A Máy</v>
      </c>
      <c r="R33" s="4" t="str">
        <f t="array" ref="R33">IFERROR(INDEX('KO DU ĐK 4069'!$H$8:$H$38, MATCH(1, ('KO DU ĐK 4069'!$D$8:$D$38=BC_SINH!D33)*('KO DU ĐK 4069'!$E$8:$E$38=BC_SINH!E33), 0)),"")</f>
        <v>Có 03 thửa đất nên loại 02 thửa</v>
      </c>
      <c r="S33" s="4" t="str">
        <f t="array" ref="S33">IFERROR(INDEX(KeKhaiDangKy!$H$2:$H$4889, MATCH(1, (KeKhaiDangKy!$A$2:$A$4889=BC_SINH!D33)*(KeKhaiDangKy!$B$2:$B$4889=BC_SINH!E33), 0)),"")</f>
        <v/>
      </c>
    </row>
    <row r="34" spans="1:19" ht="14.45" customHeight="1" x14ac:dyDescent="0.25">
      <c r="A34" s="4">
        <f>IF(B34&lt;&gt;"", SUBTOTAL(3, $B$2:B34), "")</f>
        <v>33</v>
      </c>
      <c r="B34" s="4" t="s">
        <v>30</v>
      </c>
      <c r="C34" s="4" t="str">
        <f t="shared" si="0"/>
        <v>A Máy</v>
      </c>
      <c r="D34" s="4">
        <v>21</v>
      </c>
      <c r="E34" s="4">
        <v>84</v>
      </c>
      <c r="F34" s="4">
        <v>3911</v>
      </c>
      <c r="G34" s="4" t="s">
        <v>11</v>
      </c>
      <c r="H34" s="4" t="str">
        <f t="array" ref="H34">IFERROR(INDEX(DSCKXA!$B$3:$B$73, MATCH(1, (DSCKXA!$D$3:$D$73=BC_SINH!D34)*(DSCKXA!$E$3:$E$73=BC_SINH!E34), 0)),"")</f>
        <v/>
      </c>
      <c r="I34" s="99" t="str">
        <f t="array" ref="I34">IFERROR(INDEX(DSCKXA!$C$3:$C$73, MATCH(1, (DSCKXA!$D$3:$D$73=BC_SINH!D34)*(DSCKXA!$E$3:$E$73=BC_SINH!E34), 0)),"")</f>
        <v/>
      </c>
      <c r="J34" s="97" t="str">
        <f>IFERROR(VLOOKUP(B34,'Đất sản xuất'!$B$9:$C$216,2,0),"")</f>
        <v/>
      </c>
      <c r="K34" s="97" t="str">
        <f>IFERROR(VLOOKUP(B34,'Sản xuất cấp huyên'!$B$9:$C$177,2,0),"")</f>
        <v>A Máy</v>
      </c>
      <c r="L34" s="4" t="str">
        <f>IFERROR(VLOOKUP(B34,'4069'!$B$9:$C$177,2,0),"")</f>
        <v>A Máy</v>
      </c>
      <c r="M34" s="4" t="str">
        <f t="array" ref="M34">IFERROR(INDEX(KODUDK!$C$8:$C$79, MATCH(1, (KODUDK!$D$8:$D$79=BC_SINH!D34)*(KODUDK!$E$8:$E$79=BC_SINH!E34), 0)),"")</f>
        <v>Thôn A Máy</v>
      </c>
      <c r="N34" s="4" t="str">
        <f t="array" ref="N34">IFERROR(INDEX(KODUDK!$H$8:$H$79, MATCH(1, (KODUDK!$D$8:$D$79=BC_SINH!D34)*(KODUDK!$E$8:$E$79=BC_SINH!E34), 0)),"")</f>
        <v>Có 03 thửa đất nên loại 02 thửa</v>
      </c>
      <c r="O34" s="4" t="str">
        <f t="array" ref="O34">IFERROR(INDEX('KO DU ĐK NQ10'!$C$8:$C$48, MATCH(1, ('KO DU ĐK NQ10'!$D$8:$D$48=BC_SINH!D34)*('KO DU ĐK NQ10'!$E$8:$E$48=BC_SINH!E34), 0)),"")</f>
        <v/>
      </c>
      <c r="P34" s="4" t="str">
        <f t="array" ref="P34">IFERROR(INDEX('KO DU ĐK NQ10'!$H$8:$H$48, MATCH(1, ('KO DU ĐK NQ10'!$D$8:$D$48=BC_SINH!D34)*('KO DU ĐK NQ10'!$E$8:$E$48=BC_SINH!E34), 0)),"")</f>
        <v/>
      </c>
      <c r="Q34" s="4" t="str">
        <f t="array" ref="Q34">IFERROR(INDEX('KO DU ĐK 4069'!$C$8:$C$38, MATCH(1, ('KO DU ĐK 4069'!$D$8:$D$38=BC_SINH!D34)*('KO DU ĐK 4069'!$E$8:$E$38=BC_SINH!E34), 0)),"")</f>
        <v>Thôn A Máy</v>
      </c>
      <c r="R34" s="4" t="str">
        <f t="array" ref="R34">IFERROR(INDEX('KO DU ĐK 4069'!$H$8:$H$38, MATCH(1, ('KO DU ĐK 4069'!$D$8:$D$38=BC_SINH!D34)*('KO DU ĐK 4069'!$E$8:$E$38=BC_SINH!E34), 0)),"")</f>
        <v>Có 03 thửa đất nên loại 02 thửa</v>
      </c>
      <c r="S34" s="4" t="str">
        <f t="array" ref="S34">IFERROR(INDEX(KeKhaiDangKy!$H$2:$H$4889, MATCH(1, (KeKhaiDangKy!$A$2:$A$4889=BC_SINH!D34)*(KeKhaiDangKy!$B$2:$B$4889=BC_SINH!E34), 0)),"")</f>
        <v/>
      </c>
    </row>
    <row r="35" spans="1:19" ht="14.45" customHeight="1" x14ac:dyDescent="0.25">
      <c r="A35" s="4">
        <f>IF(B35&lt;&gt;"", SUBTOTAL(3, $B$2:B35), "")</f>
        <v>34</v>
      </c>
      <c r="B35" s="4" t="s">
        <v>30</v>
      </c>
      <c r="C35" s="4" t="str">
        <f t="shared" si="0"/>
        <v>A Máy</v>
      </c>
      <c r="D35" s="4">
        <v>21</v>
      </c>
      <c r="E35" s="4">
        <v>85</v>
      </c>
      <c r="F35" s="4">
        <v>17141</v>
      </c>
      <c r="G35" s="4" t="s">
        <v>11</v>
      </c>
      <c r="H35" s="4" t="str">
        <f t="array" ref="H35">IFERROR(INDEX(DSCKXA!$B$3:$B$73, MATCH(1, (DSCKXA!$D$3:$D$73=BC_SINH!D35)*(DSCKXA!$E$3:$E$73=BC_SINH!E35), 0)),"")</f>
        <v/>
      </c>
      <c r="I35" s="99" t="str">
        <f t="array" ref="I35">IFERROR(INDEX(DSCKXA!$C$3:$C$73, MATCH(1, (DSCKXA!$D$3:$D$73=BC_SINH!D35)*(DSCKXA!$E$3:$E$73=BC_SINH!E35), 0)),"")</f>
        <v/>
      </c>
      <c r="J35" s="97" t="str">
        <f>IFERROR(VLOOKUP(B35,'Đất sản xuất'!$B$9:$C$216,2,0),"")</f>
        <v/>
      </c>
      <c r="K35" s="97" t="str">
        <f>IFERROR(VLOOKUP(B35,'Sản xuất cấp huyên'!$B$9:$C$177,2,0),"")</f>
        <v>A Máy</v>
      </c>
      <c r="L35" s="4" t="str">
        <f>IFERROR(VLOOKUP(B35,'4069'!$B$9:$C$177,2,0),"")</f>
        <v>A Máy</v>
      </c>
      <c r="M35" s="4" t="str">
        <f t="array" ref="M35">IFERROR(INDEX(KODUDK!$C$8:$C$79, MATCH(1, (KODUDK!$D$8:$D$79=BC_SINH!D35)*(KODUDK!$E$8:$E$79=BC_SINH!E35), 0)),"")</f>
        <v/>
      </c>
      <c r="N35" s="4" t="str">
        <f t="array" ref="N35">IFERROR(INDEX(KODUDK!$H$8:$H$79, MATCH(1, (KODUDK!$D$8:$D$79=BC_SINH!D35)*(KODUDK!$E$8:$E$79=BC_SINH!E35), 0)),"")</f>
        <v/>
      </c>
      <c r="O35" s="4" t="str">
        <f t="array" ref="O35">IFERROR(INDEX('KO DU ĐK NQ10'!$C$8:$C$48, MATCH(1, ('KO DU ĐK NQ10'!$D$8:$D$48=BC_SINH!D35)*('KO DU ĐK NQ10'!$E$8:$E$48=BC_SINH!E35), 0)),"")</f>
        <v/>
      </c>
      <c r="P35" s="4" t="str">
        <f t="array" ref="P35">IFERROR(INDEX('KO DU ĐK NQ10'!$H$8:$H$48, MATCH(1, ('KO DU ĐK NQ10'!$D$8:$D$48=BC_SINH!D35)*('KO DU ĐK NQ10'!$E$8:$E$48=BC_SINH!E35), 0)),"")</f>
        <v/>
      </c>
      <c r="Q35" s="4" t="str">
        <f t="array" ref="Q35">IFERROR(INDEX('KO DU ĐK 4069'!$C$8:$C$38, MATCH(1, ('KO DU ĐK 4069'!$D$8:$D$38=BC_SINH!D35)*('KO DU ĐK 4069'!$E$8:$E$38=BC_SINH!E35), 0)),"")</f>
        <v/>
      </c>
      <c r="R35" s="4" t="str">
        <f t="array" ref="R35">IFERROR(INDEX('KO DU ĐK 4069'!$H$8:$H$38, MATCH(1, ('KO DU ĐK 4069'!$D$8:$D$38=BC_SINH!D35)*('KO DU ĐK 4069'!$E$8:$E$38=BC_SINH!E35), 0)),"")</f>
        <v/>
      </c>
      <c r="S35" s="4" t="str">
        <f t="array" ref="S35">IFERROR(INDEX(KeKhaiDangKy!$H$2:$H$4889, MATCH(1, (KeKhaiDangKy!$A$2:$A$4889=BC_SINH!D35)*(KeKhaiDangKy!$B$2:$B$4889=BC_SINH!E35), 0)),"")</f>
        <v/>
      </c>
    </row>
    <row r="36" spans="1:19" ht="14.45" customHeight="1" x14ac:dyDescent="0.25">
      <c r="A36" s="4">
        <f>IF(B36&lt;&gt;"", SUBTOTAL(3, $B$2:B36), "")</f>
        <v>35</v>
      </c>
      <c r="B36" s="4" t="s">
        <v>31</v>
      </c>
      <c r="C36" s="4" t="str">
        <f t="shared" si="0"/>
        <v>Kỳ Tăng</v>
      </c>
      <c r="D36" s="4">
        <v>38</v>
      </c>
      <c r="E36" s="4">
        <v>93</v>
      </c>
      <c r="F36" s="4">
        <v>15471</v>
      </c>
      <c r="G36" s="4" t="s">
        <v>11</v>
      </c>
      <c r="H36" s="4" t="str">
        <f t="array" ref="H36">IFERROR(INDEX(DSCKXA!$B$3:$B$73, MATCH(1, (DSCKXA!$D$3:$D$73=BC_SINH!D36)*(DSCKXA!$E$3:$E$73=BC_SINH!E36), 0)),"")</f>
        <v/>
      </c>
      <c r="I36" s="99" t="str">
        <f t="array" ref="I36">IFERROR(INDEX(DSCKXA!$C$3:$C$73, MATCH(1, (DSCKXA!$D$3:$D$73=BC_SINH!D36)*(DSCKXA!$E$3:$E$73=BC_SINH!E36), 0)),"")</f>
        <v/>
      </c>
      <c r="J36" s="97" t="str">
        <f>IFERROR(VLOOKUP(B36,'Đất sản xuất'!$B$9:$C$216,2,0),"")</f>
        <v/>
      </c>
      <c r="K36" s="97" t="str">
        <f>IFERROR(VLOOKUP(B36,'Sản xuất cấp huyên'!$B$9:$C$177,2,0),"")</f>
        <v/>
      </c>
      <c r="L36" s="4" t="str">
        <f>IFERROR(VLOOKUP(B36,'4069'!$B$9:$C$177,2,0),"")</f>
        <v/>
      </c>
      <c r="M36" s="4" t="str">
        <f t="array" ref="M36">IFERROR(INDEX(KODUDK!$C$8:$C$79, MATCH(1, (KODUDK!$D$8:$D$79=BC_SINH!D36)*(KODUDK!$E$8:$E$79=BC_SINH!E36), 0)),"")</f>
        <v/>
      </c>
      <c r="N36" s="4" t="str">
        <f t="array" ref="N36">IFERROR(INDEX(KODUDK!$H$8:$H$79, MATCH(1, (KODUDK!$D$8:$D$79=BC_SINH!D36)*(KODUDK!$E$8:$E$79=BC_SINH!E36), 0)),"")</f>
        <v/>
      </c>
      <c r="O36" s="4" t="str">
        <f t="array" ref="O36">IFERROR(INDEX('KO DU ĐK NQ10'!$C$8:$C$48, MATCH(1, ('KO DU ĐK NQ10'!$D$8:$D$48=BC_SINH!D36)*('KO DU ĐK NQ10'!$E$8:$E$48=BC_SINH!E36), 0)),"")</f>
        <v/>
      </c>
      <c r="P36" s="4" t="str">
        <f t="array" ref="P36">IFERROR(INDEX('KO DU ĐK NQ10'!$H$8:$H$48, MATCH(1, ('KO DU ĐK NQ10'!$D$8:$D$48=BC_SINH!D36)*('KO DU ĐK NQ10'!$E$8:$E$48=BC_SINH!E36), 0)),"")</f>
        <v/>
      </c>
      <c r="Q36" s="4" t="str">
        <f t="array" ref="Q36">IFERROR(INDEX('KO DU ĐK 4069'!$C$8:$C$38, MATCH(1, ('KO DU ĐK 4069'!$D$8:$D$38=BC_SINH!D36)*('KO DU ĐK 4069'!$E$8:$E$38=BC_SINH!E36), 0)),"")</f>
        <v/>
      </c>
      <c r="R36" s="4" t="str">
        <f t="array" ref="R36">IFERROR(INDEX('KO DU ĐK 4069'!$H$8:$H$38, MATCH(1, ('KO DU ĐK 4069'!$D$8:$D$38=BC_SINH!D36)*('KO DU ĐK 4069'!$E$8:$E$38=BC_SINH!E36), 0)),"")</f>
        <v/>
      </c>
      <c r="S36" s="4" t="str">
        <f t="array" ref="S36">IFERROR(INDEX(KeKhaiDangKy!$H$2:$H$4889, MATCH(1, (KeKhaiDangKy!$A$2:$A$4889=BC_SINH!D36)*(KeKhaiDangKy!$B$2:$B$4889=BC_SINH!E36), 0)),"")</f>
        <v>Kỳ Tăng</v>
      </c>
    </row>
    <row r="37" spans="1:19" ht="14.45" customHeight="1" x14ac:dyDescent="0.25">
      <c r="A37" s="4">
        <f>IF(B37&lt;&gt;"", SUBTOTAL(3, $B$2:B37), "")</f>
        <v>36</v>
      </c>
      <c r="B37" s="4" t="s">
        <v>32</v>
      </c>
      <c r="C37" s="4" t="str">
        <f t="shared" si="0"/>
        <v>A Máy</v>
      </c>
      <c r="D37" s="4">
        <v>21</v>
      </c>
      <c r="E37" s="4">
        <v>86</v>
      </c>
      <c r="F37" s="4">
        <v>8170</v>
      </c>
      <c r="G37" s="4" t="s">
        <v>11</v>
      </c>
      <c r="H37" s="4" t="str">
        <f t="array" ref="H37">IFERROR(INDEX(DSCKXA!$B$3:$B$73, MATCH(1, (DSCKXA!$D$3:$D$73=BC_SINH!D37)*(DSCKXA!$E$3:$E$73=BC_SINH!E37), 0)),"")</f>
        <v/>
      </c>
      <c r="I37" s="99" t="str">
        <f t="array" ref="I37">IFERROR(INDEX(DSCKXA!$C$3:$C$73, MATCH(1, (DSCKXA!$D$3:$D$73=BC_SINH!D37)*(DSCKXA!$E$3:$E$73=BC_SINH!E37), 0)),"")</f>
        <v/>
      </c>
      <c r="J37" s="97" t="str">
        <f>IFERROR(VLOOKUP(B37,'Đất sản xuất'!$B$9:$C$216,2,0),"")</f>
        <v/>
      </c>
      <c r="K37" s="97" t="str">
        <f>IFERROR(VLOOKUP(B37,'Sản xuất cấp huyên'!$B$9:$C$177,2,0),"")</f>
        <v>A Máy</v>
      </c>
      <c r="L37" s="4" t="str">
        <f>IFERROR(VLOOKUP(B37,'4069'!$B$9:$C$177,2,0),"")</f>
        <v>A Máy</v>
      </c>
      <c r="M37" s="4" t="str">
        <f t="array" ref="M37">IFERROR(INDEX(KODUDK!$C$8:$C$79, MATCH(1, (KODUDK!$D$8:$D$79=BC_SINH!D37)*(KODUDK!$E$8:$E$79=BC_SINH!E37), 0)),"")</f>
        <v>Thôn A Máy</v>
      </c>
      <c r="N37" s="4" t="str">
        <f t="array" ref="N37">IFERROR(INDEX(KODUDK!$H$8:$H$79, MATCH(1, (KODUDK!$D$8:$D$79=BC_SINH!D37)*(KODUDK!$E$8:$E$79=BC_SINH!E37), 0)),"")</f>
        <v>Có 02 thửa đất nên loại 01 thửa</v>
      </c>
      <c r="O37" s="4" t="str">
        <f t="array" ref="O37">IFERROR(INDEX('KO DU ĐK NQ10'!$C$8:$C$48, MATCH(1, ('KO DU ĐK NQ10'!$D$8:$D$48=BC_SINH!D37)*('KO DU ĐK NQ10'!$E$8:$E$48=BC_SINH!E37), 0)),"")</f>
        <v/>
      </c>
      <c r="P37" s="4" t="str">
        <f t="array" ref="P37">IFERROR(INDEX('KO DU ĐK NQ10'!$H$8:$H$48, MATCH(1, ('KO DU ĐK NQ10'!$D$8:$D$48=BC_SINH!D37)*('KO DU ĐK NQ10'!$E$8:$E$48=BC_SINH!E37), 0)),"")</f>
        <v/>
      </c>
      <c r="Q37" s="4" t="str">
        <f t="array" ref="Q37">IFERROR(INDEX('KO DU ĐK 4069'!$C$8:$C$38, MATCH(1, ('KO DU ĐK 4069'!$D$8:$D$38=BC_SINH!D37)*('KO DU ĐK 4069'!$E$8:$E$38=BC_SINH!E37), 0)),"")</f>
        <v>Thôn A Máy</v>
      </c>
      <c r="R37" s="4" t="str">
        <f t="array" ref="R37">IFERROR(INDEX('KO DU ĐK 4069'!$H$8:$H$38, MATCH(1, ('KO DU ĐK 4069'!$D$8:$D$38=BC_SINH!D37)*('KO DU ĐK 4069'!$E$8:$E$38=BC_SINH!E37), 0)),"")</f>
        <v>Có 02 thửa đất nên loại 01 thửa</v>
      </c>
      <c r="S37" s="4" t="str">
        <f t="array" ref="S37">IFERROR(INDEX(KeKhaiDangKy!$H$2:$H$4889, MATCH(1, (KeKhaiDangKy!$A$2:$A$4889=BC_SINH!D37)*(KeKhaiDangKy!$B$2:$B$4889=BC_SINH!E37), 0)),"")</f>
        <v>A Rông</v>
      </c>
    </row>
    <row r="38" spans="1:19" ht="14.45" customHeight="1" x14ac:dyDescent="0.25">
      <c r="A38" s="4">
        <f>IF(B38&lt;&gt;"", SUBTOTAL(3, $B$2:B38), "")</f>
        <v>37</v>
      </c>
      <c r="B38" s="4" t="s">
        <v>32</v>
      </c>
      <c r="C38" s="4" t="str">
        <f t="shared" si="0"/>
        <v>A Máy</v>
      </c>
      <c r="D38" s="4">
        <v>21</v>
      </c>
      <c r="E38" s="4">
        <v>87</v>
      </c>
      <c r="F38" s="4">
        <v>9745</v>
      </c>
      <c r="G38" s="4" t="s">
        <v>11</v>
      </c>
      <c r="H38" s="4" t="str">
        <f t="array" ref="H38">IFERROR(INDEX(DSCKXA!$B$3:$B$73, MATCH(1, (DSCKXA!$D$3:$D$73=BC_SINH!D38)*(DSCKXA!$E$3:$E$73=BC_SINH!E38), 0)),"")</f>
        <v/>
      </c>
      <c r="I38" s="99" t="str">
        <f t="array" ref="I38">IFERROR(INDEX(DSCKXA!$C$3:$C$73, MATCH(1, (DSCKXA!$D$3:$D$73=BC_SINH!D38)*(DSCKXA!$E$3:$E$73=BC_SINH!E38), 0)),"")</f>
        <v/>
      </c>
      <c r="J38" s="97" t="str">
        <f>IFERROR(VLOOKUP(B38,'Đất sản xuất'!$B$9:$C$216,2,0),"")</f>
        <v/>
      </c>
      <c r="K38" s="97" t="str">
        <f>IFERROR(VLOOKUP(B38,'Sản xuất cấp huyên'!$B$9:$C$177,2,0),"")</f>
        <v>A Máy</v>
      </c>
      <c r="L38" s="4" t="str">
        <f>IFERROR(VLOOKUP(B38,'4069'!$B$9:$C$177,2,0),"")</f>
        <v>A Máy</v>
      </c>
      <c r="M38" s="4" t="str">
        <f t="array" ref="M38">IFERROR(INDEX(KODUDK!$C$8:$C$79, MATCH(1, (KODUDK!$D$8:$D$79=BC_SINH!D38)*(KODUDK!$E$8:$E$79=BC_SINH!E38), 0)),"")</f>
        <v/>
      </c>
      <c r="N38" s="4" t="str">
        <f t="array" ref="N38">IFERROR(INDEX(KODUDK!$H$8:$H$79, MATCH(1, (KODUDK!$D$8:$D$79=BC_SINH!D38)*(KODUDK!$E$8:$E$79=BC_SINH!E38), 0)),"")</f>
        <v/>
      </c>
      <c r="O38" s="4" t="str">
        <f t="array" ref="O38">IFERROR(INDEX('KO DU ĐK NQ10'!$C$8:$C$48, MATCH(1, ('KO DU ĐK NQ10'!$D$8:$D$48=BC_SINH!D38)*('KO DU ĐK NQ10'!$E$8:$E$48=BC_SINH!E38), 0)),"")</f>
        <v/>
      </c>
      <c r="P38" s="4" t="str">
        <f t="array" ref="P38">IFERROR(INDEX('KO DU ĐK NQ10'!$H$8:$H$48, MATCH(1, ('KO DU ĐK NQ10'!$D$8:$D$48=BC_SINH!D38)*('KO DU ĐK NQ10'!$E$8:$E$48=BC_SINH!E38), 0)),"")</f>
        <v/>
      </c>
      <c r="Q38" s="4" t="str">
        <f t="array" ref="Q38">IFERROR(INDEX('KO DU ĐK 4069'!$C$8:$C$38, MATCH(1, ('KO DU ĐK 4069'!$D$8:$D$38=BC_SINH!D38)*('KO DU ĐK 4069'!$E$8:$E$38=BC_SINH!E38), 0)),"")</f>
        <v/>
      </c>
      <c r="R38" s="4" t="str">
        <f t="array" ref="R38">IFERROR(INDEX('KO DU ĐK 4069'!$H$8:$H$38, MATCH(1, ('KO DU ĐK 4069'!$D$8:$D$38=BC_SINH!D38)*('KO DU ĐK 4069'!$E$8:$E$38=BC_SINH!E38), 0)),"")</f>
        <v/>
      </c>
      <c r="S38" s="4" t="str">
        <f t="array" ref="S38">IFERROR(INDEX(KeKhaiDangKy!$H$2:$H$4889, MATCH(1, (KeKhaiDangKy!$A$2:$A$4889=BC_SINH!D38)*(KeKhaiDangKy!$B$2:$B$4889=BC_SINH!E38), 0)),"")</f>
        <v>A Rông</v>
      </c>
    </row>
    <row r="39" spans="1:19" ht="14.45" customHeight="1" x14ac:dyDescent="0.25">
      <c r="A39" s="4">
        <f>IF(B39&lt;&gt;"", SUBTOTAL(3, $B$2:B39), "")</f>
        <v>38</v>
      </c>
      <c r="B39" s="4" t="s">
        <v>589</v>
      </c>
      <c r="C39" s="4" t="str">
        <f t="shared" si="0"/>
        <v xml:space="preserve"> A Rông</v>
      </c>
      <c r="D39" s="4">
        <v>21</v>
      </c>
      <c r="E39" s="4">
        <v>88</v>
      </c>
      <c r="F39" s="4">
        <v>13070</v>
      </c>
      <c r="G39" s="4" t="s">
        <v>11</v>
      </c>
      <c r="H39" s="4" t="str">
        <f t="array" ref="H39">IFERROR(INDEX(DSCKXA!$B$3:$B$73, MATCH(1, (DSCKXA!$D$3:$D$73=BC_SINH!D39)*(DSCKXA!$E$3:$E$73=BC_SINH!E39), 0)),"")</f>
        <v>Hồ Thị Ngốt</v>
      </c>
      <c r="I39" s="99" t="str">
        <f t="array" ref="I39">IFERROR(INDEX(DSCKXA!$C$3:$C$73, MATCH(1, (DSCKXA!$D$3:$D$73=BC_SINH!D39)*(DSCKXA!$E$3:$E$73=BC_SINH!E39), 0)),"")</f>
        <v>Thôn A Rông</v>
      </c>
      <c r="J39" s="97" t="str">
        <f>IFERROR(VLOOKUP(B39,'Đất sản xuất'!$B$9:$C$216,2,0),"")</f>
        <v xml:space="preserve"> A Rông</v>
      </c>
      <c r="K39" s="97" t="str">
        <f>IFERROR(VLOOKUP(B39,'Sản xuất cấp huyên'!$B$9:$C$177,2,0),"")</f>
        <v/>
      </c>
      <c r="L39" s="4" t="str">
        <f>IFERROR(VLOOKUP(B39,'4069'!$B$9:$C$177,2,0),"")</f>
        <v/>
      </c>
      <c r="M39" s="4" t="str">
        <f t="array" ref="M39">IFERROR(INDEX(KODUDK!$C$8:$C$79, MATCH(1, (KODUDK!$D$8:$D$79=BC_SINH!D39)*(KODUDK!$E$8:$E$79=BC_SINH!E39), 0)),"")</f>
        <v/>
      </c>
      <c r="N39" s="4" t="str">
        <f t="array" ref="N39">IFERROR(INDEX(KODUDK!$H$8:$H$79, MATCH(1, (KODUDK!$D$8:$D$79=BC_SINH!D39)*(KODUDK!$E$8:$E$79=BC_SINH!E39), 0)),"")</f>
        <v/>
      </c>
      <c r="O39" s="4" t="str">
        <f t="array" ref="O39">IFERROR(INDEX('KO DU ĐK NQ10'!$C$8:$C$48, MATCH(1, ('KO DU ĐK NQ10'!$D$8:$D$48=BC_SINH!D39)*('KO DU ĐK NQ10'!$E$8:$E$48=BC_SINH!E39), 0)),"")</f>
        <v/>
      </c>
      <c r="P39" s="4" t="str">
        <f t="array" ref="P39">IFERROR(INDEX('KO DU ĐK NQ10'!$H$8:$H$48, MATCH(1, ('KO DU ĐK NQ10'!$D$8:$D$48=BC_SINH!D39)*('KO DU ĐK NQ10'!$E$8:$E$48=BC_SINH!E39), 0)),"")</f>
        <v/>
      </c>
      <c r="Q39" s="4" t="str">
        <f t="array" ref="Q39">IFERROR(INDEX('KO DU ĐK 4069'!$C$8:$C$38, MATCH(1, ('KO DU ĐK 4069'!$D$8:$D$38=BC_SINH!D39)*('KO DU ĐK 4069'!$E$8:$E$38=BC_SINH!E39), 0)),"")</f>
        <v/>
      </c>
      <c r="R39" s="4" t="str">
        <f t="array" ref="R39">IFERROR(INDEX('KO DU ĐK 4069'!$H$8:$H$38, MATCH(1, ('KO DU ĐK 4069'!$D$8:$D$38=BC_SINH!D39)*('KO DU ĐK 4069'!$E$8:$E$38=BC_SINH!E39), 0)),"")</f>
        <v/>
      </c>
      <c r="S39" s="4" t="str">
        <f t="array" ref="S39">IFERROR(INDEX(KeKhaiDangKy!$H$2:$H$4889, MATCH(1, (KeKhaiDangKy!$A$2:$A$4889=BC_SINH!D39)*(KeKhaiDangKy!$B$2:$B$4889=BC_SINH!E39), 0)),"")</f>
        <v/>
      </c>
    </row>
    <row r="40" spans="1:19" ht="14.45" customHeight="1" x14ac:dyDescent="0.25">
      <c r="A40" s="4">
        <f>IF(B40&lt;&gt;"", SUBTOTAL(3, $B$2:B40), "")</f>
        <v>39</v>
      </c>
      <c r="B40" s="4" t="s">
        <v>33</v>
      </c>
      <c r="C40" s="4" t="str">
        <f t="shared" si="0"/>
        <v/>
      </c>
      <c r="D40" s="4">
        <v>21</v>
      </c>
      <c r="E40" s="4">
        <v>89</v>
      </c>
      <c r="F40" s="4">
        <v>4769</v>
      </c>
      <c r="G40" s="4" t="s">
        <v>11</v>
      </c>
      <c r="H40" s="4" t="str">
        <f t="array" ref="H40">IFERROR(INDEX(DSCKXA!$B$3:$B$73, MATCH(1, (DSCKXA!$D$3:$D$73=BC_SINH!D40)*(DSCKXA!$E$3:$E$73=BC_SINH!E40), 0)),"")</f>
        <v/>
      </c>
      <c r="I40" s="99" t="str">
        <f t="array" ref="I40">IFERROR(INDEX(DSCKXA!$C$3:$C$73, MATCH(1, (DSCKXA!$D$3:$D$73=BC_SINH!D40)*(DSCKXA!$E$3:$E$73=BC_SINH!E40), 0)),"")</f>
        <v/>
      </c>
      <c r="J40" s="97" t="str">
        <f>IFERROR(VLOOKUP(B40,'Đất sản xuất'!$B$9:$C$216,2,0),"")</f>
        <v/>
      </c>
      <c r="K40" s="97" t="str">
        <f>IFERROR(VLOOKUP(B40,'Sản xuất cấp huyên'!$B$9:$C$177,2,0),"")</f>
        <v/>
      </c>
      <c r="L40" s="4" t="str">
        <f>IFERROR(VLOOKUP(B40,'4069'!$B$9:$C$177,2,0),"")</f>
        <v/>
      </c>
      <c r="M40" s="4" t="str">
        <f t="array" ref="M40">IFERROR(INDEX(KODUDK!$C$8:$C$79, MATCH(1, (KODUDK!$D$8:$D$79=BC_SINH!D40)*(KODUDK!$E$8:$E$79=BC_SINH!E40), 0)),"")</f>
        <v/>
      </c>
      <c r="N40" s="4" t="str">
        <f t="array" ref="N40">IFERROR(INDEX(KODUDK!$H$8:$H$79, MATCH(1, (KODUDK!$D$8:$D$79=BC_SINH!D40)*(KODUDK!$E$8:$E$79=BC_SINH!E40), 0)),"")</f>
        <v/>
      </c>
      <c r="O40" s="4" t="str">
        <f t="array" ref="O40">IFERROR(INDEX('KO DU ĐK NQ10'!$C$8:$C$48, MATCH(1, ('KO DU ĐK NQ10'!$D$8:$D$48=BC_SINH!D40)*('KO DU ĐK NQ10'!$E$8:$E$48=BC_SINH!E40), 0)),"")</f>
        <v/>
      </c>
      <c r="P40" s="4" t="str">
        <f t="array" ref="P40">IFERROR(INDEX('KO DU ĐK NQ10'!$H$8:$H$48, MATCH(1, ('KO DU ĐK NQ10'!$D$8:$D$48=BC_SINH!D40)*('KO DU ĐK NQ10'!$E$8:$E$48=BC_SINH!E40), 0)),"")</f>
        <v/>
      </c>
      <c r="Q40" s="4" t="str">
        <f t="array" ref="Q40">IFERROR(INDEX('KO DU ĐK 4069'!$C$8:$C$38, MATCH(1, ('KO DU ĐK 4069'!$D$8:$D$38=BC_SINH!D40)*('KO DU ĐK 4069'!$E$8:$E$38=BC_SINH!E40), 0)),"")</f>
        <v/>
      </c>
      <c r="R40" s="4" t="str">
        <f t="array" ref="R40">IFERROR(INDEX('KO DU ĐK 4069'!$H$8:$H$38, MATCH(1, ('KO DU ĐK 4069'!$D$8:$D$38=BC_SINH!D40)*('KO DU ĐK 4069'!$E$8:$E$38=BC_SINH!E40), 0)),"")</f>
        <v/>
      </c>
      <c r="S40" s="4" t="str">
        <f t="array" ref="S40">IFERROR(INDEX(KeKhaiDangKy!$H$2:$H$4889, MATCH(1, (KeKhaiDangKy!$A$2:$A$4889=BC_SINH!D40)*(KeKhaiDangKy!$B$2:$B$4889=BC_SINH!E40), 0)),"")</f>
        <v/>
      </c>
    </row>
    <row r="41" spans="1:19" ht="14.45" customHeight="1" x14ac:dyDescent="0.25">
      <c r="A41" s="4">
        <f>IF(B41&lt;&gt;"", SUBTOTAL(3, $B$2:B41), "")</f>
        <v>40</v>
      </c>
      <c r="B41" s="4" t="s">
        <v>33</v>
      </c>
      <c r="C41" s="4" t="str">
        <f t="shared" si="0"/>
        <v/>
      </c>
      <c r="D41" s="4">
        <v>21</v>
      </c>
      <c r="E41" s="4">
        <v>90</v>
      </c>
      <c r="F41" s="4">
        <v>24988</v>
      </c>
      <c r="G41" s="4" t="s">
        <v>11</v>
      </c>
      <c r="H41" s="4" t="str">
        <f t="array" ref="H41">IFERROR(INDEX(DSCKXA!$B$3:$B$73, MATCH(1, (DSCKXA!$D$3:$D$73=BC_SINH!D41)*(DSCKXA!$E$3:$E$73=BC_SINH!E41), 0)),"")</f>
        <v/>
      </c>
      <c r="I41" s="99" t="str">
        <f t="array" ref="I41">IFERROR(INDEX(DSCKXA!$C$3:$C$73, MATCH(1, (DSCKXA!$D$3:$D$73=BC_SINH!D41)*(DSCKXA!$E$3:$E$73=BC_SINH!E41), 0)),"")</f>
        <v/>
      </c>
      <c r="J41" s="97" t="str">
        <f>IFERROR(VLOOKUP(B41,'Đất sản xuất'!$B$9:$C$216,2,0),"")</f>
        <v/>
      </c>
      <c r="K41" s="97" t="str">
        <f>IFERROR(VLOOKUP(B41,'Sản xuất cấp huyên'!$B$9:$C$177,2,0),"")</f>
        <v/>
      </c>
      <c r="L41" s="4" t="str">
        <f>IFERROR(VLOOKUP(B41,'4069'!$B$9:$C$177,2,0),"")</f>
        <v/>
      </c>
      <c r="M41" s="4" t="str">
        <f t="array" ref="M41">IFERROR(INDEX(KODUDK!$C$8:$C$79, MATCH(1, (KODUDK!$D$8:$D$79=BC_SINH!D41)*(KODUDK!$E$8:$E$79=BC_SINH!E41), 0)),"")</f>
        <v/>
      </c>
      <c r="N41" s="4" t="str">
        <f t="array" ref="N41">IFERROR(INDEX(KODUDK!$H$8:$H$79, MATCH(1, (KODUDK!$D$8:$D$79=BC_SINH!D41)*(KODUDK!$E$8:$E$79=BC_SINH!E41), 0)),"")</f>
        <v/>
      </c>
      <c r="O41" s="4" t="str">
        <f t="array" ref="O41">IFERROR(INDEX('KO DU ĐK NQ10'!$C$8:$C$48, MATCH(1, ('KO DU ĐK NQ10'!$D$8:$D$48=BC_SINH!D41)*('KO DU ĐK NQ10'!$E$8:$E$48=BC_SINH!E41), 0)),"")</f>
        <v/>
      </c>
      <c r="P41" s="4" t="str">
        <f t="array" ref="P41">IFERROR(INDEX('KO DU ĐK NQ10'!$H$8:$H$48, MATCH(1, ('KO DU ĐK NQ10'!$D$8:$D$48=BC_SINH!D41)*('KO DU ĐK NQ10'!$E$8:$E$48=BC_SINH!E41), 0)),"")</f>
        <v/>
      </c>
      <c r="Q41" s="4" t="str">
        <f t="array" ref="Q41">IFERROR(INDEX('KO DU ĐK 4069'!$C$8:$C$38, MATCH(1, ('KO DU ĐK 4069'!$D$8:$D$38=BC_SINH!D41)*('KO DU ĐK 4069'!$E$8:$E$38=BC_SINH!E41), 0)),"")</f>
        <v/>
      </c>
      <c r="R41" s="4" t="str">
        <f t="array" ref="R41">IFERROR(INDEX('KO DU ĐK 4069'!$H$8:$H$38, MATCH(1, ('KO DU ĐK 4069'!$D$8:$D$38=BC_SINH!D41)*('KO DU ĐK 4069'!$E$8:$E$38=BC_SINH!E41), 0)),"")</f>
        <v/>
      </c>
      <c r="S41" s="4" t="str">
        <f t="array" ref="S41">IFERROR(INDEX(KeKhaiDangKy!$H$2:$H$4889, MATCH(1, (KeKhaiDangKy!$A$2:$A$4889=BC_SINH!D41)*(KeKhaiDangKy!$B$2:$B$4889=BC_SINH!E41), 0)),"")</f>
        <v/>
      </c>
    </row>
    <row r="42" spans="1:19" ht="14.45" customHeight="1" x14ac:dyDescent="0.25">
      <c r="A42" s="4">
        <f>IF(B42&lt;&gt;"", SUBTOTAL(3, $B$2:B42), "")</f>
        <v>41</v>
      </c>
      <c r="B42" s="4" t="s">
        <v>33</v>
      </c>
      <c r="C42" s="4" t="str">
        <f t="shared" si="0"/>
        <v/>
      </c>
      <c r="D42" s="4">
        <v>21</v>
      </c>
      <c r="E42" s="4">
        <v>91</v>
      </c>
      <c r="F42" s="4">
        <v>8459</v>
      </c>
      <c r="G42" s="4" t="s">
        <v>11</v>
      </c>
      <c r="H42" s="4" t="str">
        <f t="array" ref="H42">IFERROR(INDEX(DSCKXA!$B$3:$B$73, MATCH(1, (DSCKXA!$D$3:$D$73=BC_SINH!D42)*(DSCKXA!$E$3:$E$73=BC_SINH!E42), 0)),"")</f>
        <v/>
      </c>
      <c r="I42" s="99" t="str">
        <f t="array" ref="I42">IFERROR(INDEX(DSCKXA!$C$3:$C$73, MATCH(1, (DSCKXA!$D$3:$D$73=BC_SINH!D42)*(DSCKXA!$E$3:$E$73=BC_SINH!E42), 0)),"")</f>
        <v/>
      </c>
      <c r="J42" s="97" t="str">
        <f>IFERROR(VLOOKUP(B42,'Đất sản xuất'!$B$9:$C$216,2,0),"")</f>
        <v/>
      </c>
      <c r="K42" s="97" t="str">
        <f>IFERROR(VLOOKUP(B42,'Sản xuất cấp huyên'!$B$9:$C$177,2,0),"")</f>
        <v/>
      </c>
      <c r="L42" s="4" t="str">
        <f>IFERROR(VLOOKUP(B42,'4069'!$B$9:$C$177,2,0),"")</f>
        <v/>
      </c>
      <c r="M42" s="4" t="str">
        <f t="array" ref="M42">IFERROR(INDEX(KODUDK!$C$8:$C$79, MATCH(1, (KODUDK!$D$8:$D$79=BC_SINH!D42)*(KODUDK!$E$8:$E$79=BC_SINH!E42), 0)),"")</f>
        <v/>
      </c>
      <c r="N42" s="4" t="str">
        <f t="array" ref="N42">IFERROR(INDEX(KODUDK!$H$8:$H$79, MATCH(1, (KODUDK!$D$8:$D$79=BC_SINH!D42)*(KODUDK!$E$8:$E$79=BC_SINH!E42), 0)),"")</f>
        <v/>
      </c>
      <c r="O42" s="4" t="str">
        <f t="array" ref="O42">IFERROR(INDEX('KO DU ĐK NQ10'!$C$8:$C$48, MATCH(1, ('KO DU ĐK NQ10'!$D$8:$D$48=BC_SINH!D42)*('KO DU ĐK NQ10'!$E$8:$E$48=BC_SINH!E42), 0)),"")</f>
        <v/>
      </c>
      <c r="P42" s="4" t="str">
        <f t="array" ref="P42">IFERROR(INDEX('KO DU ĐK NQ10'!$H$8:$H$48, MATCH(1, ('KO DU ĐK NQ10'!$D$8:$D$48=BC_SINH!D42)*('KO DU ĐK NQ10'!$E$8:$E$48=BC_SINH!E42), 0)),"")</f>
        <v/>
      </c>
      <c r="Q42" s="4" t="str">
        <f t="array" ref="Q42">IFERROR(INDEX('KO DU ĐK 4069'!$C$8:$C$38, MATCH(1, ('KO DU ĐK 4069'!$D$8:$D$38=BC_SINH!D42)*('KO DU ĐK 4069'!$E$8:$E$38=BC_SINH!E42), 0)),"")</f>
        <v/>
      </c>
      <c r="R42" s="4" t="str">
        <f t="array" ref="R42">IFERROR(INDEX('KO DU ĐK 4069'!$H$8:$H$38, MATCH(1, ('KO DU ĐK 4069'!$D$8:$D$38=BC_SINH!D42)*('KO DU ĐK 4069'!$E$8:$E$38=BC_SINH!E42), 0)),"")</f>
        <v/>
      </c>
      <c r="S42" s="4" t="str">
        <f t="array" ref="S42">IFERROR(INDEX(KeKhaiDangKy!$H$2:$H$4889, MATCH(1, (KeKhaiDangKy!$A$2:$A$4889=BC_SINH!D42)*(KeKhaiDangKy!$B$2:$B$4889=BC_SINH!E42), 0)),"")</f>
        <v/>
      </c>
    </row>
    <row r="43" spans="1:19" ht="14.45" customHeight="1" x14ac:dyDescent="0.25">
      <c r="A43" s="4">
        <f>IF(B43&lt;&gt;"", SUBTOTAL(3, $B$2:B43), "")</f>
        <v>42</v>
      </c>
      <c r="B43" s="4" t="s">
        <v>34</v>
      </c>
      <c r="C43" s="4" t="str">
        <f t="shared" si="0"/>
        <v/>
      </c>
      <c r="D43" s="4">
        <v>33</v>
      </c>
      <c r="E43" s="4">
        <v>4</v>
      </c>
      <c r="F43" s="4">
        <v>5486</v>
      </c>
      <c r="G43" s="4" t="s">
        <v>11</v>
      </c>
      <c r="H43" s="4" t="str">
        <f t="array" ref="H43">IFERROR(INDEX(DSCKXA!$B$3:$B$73, MATCH(1, (DSCKXA!$D$3:$D$73=BC_SINH!D43)*(DSCKXA!$E$3:$E$73=BC_SINH!E43), 0)),"")</f>
        <v/>
      </c>
      <c r="I43" s="99" t="str">
        <f t="array" ref="I43">IFERROR(INDEX(DSCKXA!$C$3:$C$73, MATCH(1, (DSCKXA!$D$3:$D$73=BC_SINH!D43)*(DSCKXA!$E$3:$E$73=BC_SINH!E43), 0)),"")</f>
        <v/>
      </c>
      <c r="J43" s="97" t="str">
        <f>IFERROR(VLOOKUP(B43,'Đất sản xuất'!$B$9:$C$216,2,0),"")</f>
        <v/>
      </c>
      <c r="K43" s="97" t="str">
        <f>IFERROR(VLOOKUP(B43,'Sản xuất cấp huyên'!$B$9:$C$177,2,0),"")</f>
        <v/>
      </c>
      <c r="L43" s="4" t="str">
        <f>IFERROR(VLOOKUP(B43,'4069'!$B$9:$C$177,2,0),"")</f>
        <v/>
      </c>
      <c r="M43" s="4" t="str">
        <f t="array" ref="M43">IFERROR(INDEX(KODUDK!$C$8:$C$79, MATCH(1, (KODUDK!$D$8:$D$79=BC_SINH!D43)*(KODUDK!$E$8:$E$79=BC_SINH!E43), 0)),"")</f>
        <v/>
      </c>
      <c r="N43" s="4" t="str">
        <f t="array" ref="N43">IFERROR(INDEX(KODUDK!$H$8:$H$79, MATCH(1, (KODUDK!$D$8:$D$79=BC_SINH!D43)*(KODUDK!$E$8:$E$79=BC_SINH!E43), 0)),"")</f>
        <v/>
      </c>
      <c r="O43" s="4" t="str">
        <f t="array" ref="O43">IFERROR(INDEX('KO DU ĐK NQ10'!$C$8:$C$48, MATCH(1, ('KO DU ĐK NQ10'!$D$8:$D$48=BC_SINH!D43)*('KO DU ĐK NQ10'!$E$8:$E$48=BC_SINH!E43), 0)),"")</f>
        <v/>
      </c>
      <c r="P43" s="4" t="str">
        <f t="array" ref="P43">IFERROR(INDEX('KO DU ĐK NQ10'!$H$8:$H$48, MATCH(1, ('KO DU ĐK NQ10'!$D$8:$D$48=BC_SINH!D43)*('KO DU ĐK NQ10'!$E$8:$E$48=BC_SINH!E43), 0)),"")</f>
        <v/>
      </c>
      <c r="Q43" s="4" t="str">
        <f t="array" ref="Q43">IFERROR(INDEX('KO DU ĐK 4069'!$C$8:$C$38, MATCH(1, ('KO DU ĐK 4069'!$D$8:$D$38=BC_SINH!D43)*('KO DU ĐK 4069'!$E$8:$E$38=BC_SINH!E43), 0)),"")</f>
        <v/>
      </c>
      <c r="R43" s="4" t="str">
        <f t="array" ref="R43">IFERROR(INDEX('KO DU ĐK 4069'!$H$8:$H$38, MATCH(1, ('KO DU ĐK 4069'!$D$8:$D$38=BC_SINH!D43)*('KO DU ĐK 4069'!$E$8:$E$38=BC_SINH!E43), 0)),"")</f>
        <v/>
      </c>
      <c r="S43" s="4" t="str">
        <f t="array" ref="S43">IFERROR(INDEX(KeKhaiDangKy!$H$2:$H$4889, MATCH(1, (KeKhaiDangKy!$A$2:$A$4889=BC_SINH!D43)*(KeKhaiDangKy!$B$2:$B$4889=BC_SINH!E43), 0)),"")</f>
        <v/>
      </c>
    </row>
    <row r="44" spans="1:19" ht="14.45" customHeight="1" x14ac:dyDescent="0.25">
      <c r="A44" s="4">
        <f>IF(B44&lt;&gt;"", SUBTOTAL(3, $B$2:B44), "")</f>
        <v>43</v>
      </c>
      <c r="B44" s="4" t="s">
        <v>35</v>
      </c>
      <c r="C44" s="4" t="str">
        <f t="shared" si="0"/>
        <v/>
      </c>
      <c r="D44" s="4">
        <v>21</v>
      </c>
      <c r="E44" s="4">
        <v>92</v>
      </c>
      <c r="F44" s="4">
        <v>7480</v>
      </c>
      <c r="G44" s="4" t="s">
        <v>11</v>
      </c>
      <c r="H44" s="4" t="str">
        <f t="array" ref="H44">IFERROR(INDEX(DSCKXA!$B$3:$B$73, MATCH(1, (DSCKXA!$D$3:$D$73=BC_SINH!D44)*(DSCKXA!$E$3:$E$73=BC_SINH!E44), 0)),"")</f>
        <v/>
      </c>
      <c r="I44" s="99" t="str">
        <f t="array" ref="I44">IFERROR(INDEX(DSCKXA!$C$3:$C$73, MATCH(1, (DSCKXA!$D$3:$D$73=BC_SINH!D44)*(DSCKXA!$E$3:$E$73=BC_SINH!E44), 0)),"")</f>
        <v/>
      </c>
      <c r="J44" s="97" t="str">
        <f>IFERROR(VLOOKUP(B44,'Đất sản xuất'!$B$9:$C$216,2,0),"")</f>
        <v/>
      </c>
      <c r="K44" s="97" t="str">
        <f>IFERROR(VLOOKUP(B44,'Sản xuất cấp huyên'!$B$9:$C$177,2,0),"")</f>
        <v/>
      </c>
      <c r="L44" s="4" t="str">
        <f>IFERROR(VLOOKUP(B44,'4069'!$B$9:$C$177,2,0),"")</f>
        <v/>
      </c>
      <c r="M44" s="4" t="str">
        <f t="array" ref="M44">IFERROR(INDEX(KODUDK!$C$8:$C$79, MATCH(1, (KODUDK!$D$8:$D$79=BC_SINH!D44)*(KODUDK!$E$8:$E$79=BC_SINH!E44), 0)),"")</f>
        <v/>
      </c>
      <c r="N44" s="4" t="str">
        <f t="array" ref="N44">IFERROR(INDEX(KODUDK!$H$8:$H$79, MATCH(1, (KODUDK!$D$8:$D$79=BC_SINH!D44)*(KODUDK!$E$8:$E$79=BC_SINH!E44), 0)),"")</f>
        <v/>
      </c>
      <c r="O44" s="4" t="str">
        <f t="array" ref="O44">IFERROR(INDEX('KO DU ĐK NQ10'!$C$8:$C$48, MATCH(1, ('KO DU ĐK NQ10'!$D$8:$D$48=BC_SINH!D44)*('KO DU ĐK NQ10'!$E$8:$E$48=BC_SINH!E44), 0)),"")</f>
        <v/>
      </c>
      <c r="P44" s="4" t="str">
        <f t="array" ref="P44">IFERROR(INDEX('KO DU ĐK NQ10'!$H$8:$H$48, MATCH(1, ('KO DU ĐK NQ10'!$D$8:$D$48=BC_SINH!D44)*('KO DU ĐK NQ10'!$E$8:$E$48=BC_SINH!E44), 0)),"")</f>
        <v/>
      </c>
      <c r="Q44" s="4" t="str">
        <f t="array" ref="Q44">IFERROR(INDEX('KO DU ĐK 4069'!$C$8:$C$38, MATCH(1, ('KO DU ĐK 4069'!$D$8:$D$38=BC_SINH!D44)*('KO DU ĐK 4069'!$E$8:$E$38=BC_SINH!E44), 0)),"")</f>
        <v/>
      </c>
      <c r="R44" s="4" t="str">
        <f t="array" ref="R44">IFERROR(INDEX('KO DU ĐK 4069'!$H$8:$H$38, MATCH(1, ('KO DU ĐK 4069'!$D$8:$D$38=BC_SINH!D44)*('KO DU ĐK 4069'!$E$8:$E$38=BC_SINH!E44), 0)),"")</f>
        <v/>
      </c>
      <c r="S44" s="4" t="str">
        <f t="array" ref="S44">IFERROR(INDEX(KeKhaiDangKy!$H$2:$H$4889, MATCH(1, (KeKhaiDangKy!$A$2:$A$4889=BC_SINH!D44)*(KeKhaiDangKy!$B$2:$B$4889=BC_SINH!E44), 0)),"")</f>
        <v/>
      </c>
    </row>
    <row r="45" spans="1:19" ht="14.45" customHeight="1" x14ac:dyDescent="0.25">
      <c r="A45" s="4">
        <f>IF(B45&lt;&gt;"", SUBTOTAL(3, $B$2:B45), "")</f>
        <v>44</v>
      </c>
      <c r="B45" s="4" t="s">
        <v>36</v>
      </c>
      <c r="C45" s="4" t="str">
        <f t="shared" si="0"/>
        <v xml:space="preserve"> A Quan</v>
      </c>
      <c r="D45" s="4">
        <v>21</v>
      </c>
      <c r="E45" s="4">
        <v>93</v>
      </c>
      <c r="F45" s="4">
        <v>9498</v>
      </c>
      <c r="G45" s="4" t="s">
        <v>11</v>
      </c>
      <c r="H45" s="4" t="str">
        <f t="array" ref="H45">IFERROR(INDEX(DSCKXA!$B$3:$B$73, MATCH(1, (DSCKXA!$D$3:$D$73=BC_SINH!D45)*(DSCKXA!$E$3:$E$73=BC_SINH!E45), 0)),"")</f>
        <v>Hồ Thị Nưa</v>
      </c>
      <c r="I45" s="99" t="str">
        <f t="array" ref="I45">IFERROR(INDEX(DSCKXA!$C$3:$C$73, MATCH(1, (DSCKXA!$D$3:$D$73=BC_SINH!D45)*(DSCKXA!$E$3:$E$73=BC_SINH!E45), 0)),"")</f>
        <v>Thôn A Quan</v>
      </c>
      <c r="J45" s="97" t="str">
        <f>IFERROR(VLOOKUP(B45,'Đất sản xuất'!$B$9:$C$216,2,0),"")</f>
        <v xml:space="preserve"> A Quan</v>
      </c>
      <c r="K45" s="97" t="str">
        <f>IFERROR(VLOOKUP(B45,'Sản xuất cấp huyên'!$B$9:$C$177,2,0),"")</f>
        <v/>
      </c>
      <c r="L45" s="4" t="str">
        <f>IFERROR(VLOOKUP(B45,'4069'!$B$9:$C$177,2,0),"")</f>
        <v/>
      </c>
      <c r="M45" s="4" t="str">
        <f t="array" ref="M45">IFERROR(INDEX(KODUDK!$C$8:$C$79, MATCH(1, (KODUDK!$D$8:$D$79=BC_SINH!D45)*(KODUDK!$E$8:$E$79=BC_SINH!E45), 0)),"")</f>
        <v/>
      </c>
      <c r="N45" s="4" t="str">
        <f t="array" ref="N45">IFERROR(INDEX(KODUDK!$H$8:$H$79, MATCH(1, (KODUDK!$D$8:$D$79=BC_SINH!D45)*(KODUDK!$E$8:$E$79=BC_SINH!E45), 0)),"")</f>
        <v/>
      </c>
      <c r="O45" s="4" t="str">
        <f t="array" ref="O45">IFERROR(INDEX('KO DU ĐK NQ10'!$C$8:$C$48, MATCH(1, ('KO DU ĐK NQ10'!$D$8:$D$48=BC_SINH!D45)*('KO DU ĐK NQ10'!$E$8:$E$48=BC_SINH!E45), 0)),"")</f>
        <v/>
      </c>
      <c r="P45" s="4" t="str">
        <f t="array" ref="P45">IFERROR(INDEX('KO DU ĐK NQ10'!$H$8:$H$48, MATCH(1, ('KO DU ĐK NQ10'!$D$8:$D$48=BC_SINH!D45)*('KO DU ĐK NQ10'!$E$8:$E$48=BC_SINH!E45), 0)),"")</f>
        <v/>
      </c>
      <c r="Q45" s="4" t="str">
        <f t="array" ref="Q45">IFERROR(INDEX('KO DU ĐK 4069'!$C$8:$C$38, MATCH(1, ('KO DU ĐK 4069'!$D$8:$D$38=BC_SINH!D45)*('KO DU ĐK 4069'!$E$8:$E$38=BC_SINH!E45), 0)),"")</f>
        <v/>
      </c>
      <c r="R45" s="4" t="str">
        <f t="array" ref="R45">IFERROR(INDEX('KO DU ĐK 4069'!$H$8:$H$38, MATCH(1, ('KO DU ĐK 4069'!$D$8:$D$38=BC_SINH!D45)*('KO DU ĐK 4069'!$E$8:$E$38=BC_SINH!E45), 0)),"")</f>
        <v/>
      </c>
      <c r="S45" s="4" t="str">
        <f t="array" ref="S45">IFERROR(INDEX(KeKhaiDangKy!$H$2:$H$4889, MATCH(1, (KeKhaiDangKy!$A$2:$A$4889=BC_SINH!D45)*(KeKhaiDangKy!$B$2:$B$4889=BC_SINH!E45), 0)),"")</f>
        <v>Kỳ Tăng</v>
      </c>
    </row>
    <row r="46" spans="1:19" ht="14.45" customHeight="1" x14ac:dyDescent="0.25">
      <c r="A46" s="4">
        <f>IF(B46&lt;&gt;"", SUBTOTAL(3, $B$2:B46), "")</f>
        <v>45</v>
      </c>
      <c r="B46" s="4" t="s">
        <v>37</v>
      </c>
      <c r="C46" s="4" t="str">
        <f t="shared" si="0"/>
        <v>Kỳ Nơi</v>
      </c>
      <c r="D46" s="4">
        <v>1</v>
      </c>
      <c r="E46" s="4">
        <v>6</v>
      </c>
      <c r="F46" s="4">
        <v>6517</v>
      </c>
      <c r="G46" s="4" t="s">
        <v>11</v>
      </c>
      <c r="H46" s="4" t="str">
        <f t="array" ref="H46">IFERROR(INDEX(DSCKXA!$B$3:$B$73, MATCH(1, (DSCKXA!$D$3:$D$73=BC_SINH!D46)*(DSCKXA!$E$3:$E$73=BC_SINH!E46), 0)),"")</f>
        <v/>
      </c>
      <c r="I46" s="99" t="str">
        <f t="array" ref="I46">IFERROR(INDEX(DSCKXA!$C$3:$C$73, MATCH(1, (DSCKXA!$D$3:$D$73=BC_SINH!D46)*(DSCKXA!$E$3:$E$73=BC_SINH!E46), 0)),"")</f>
        <v/>
      </c>
      <c r="J46" s="97" t="str">
        <f>IFERROR(VLOOKUP(B46,'Đất sản xuất'!$B$9:$C$216,2,0),"")</f>
        <v/>
      </c>
      <c r="K46" s="97" t="str">
        <f>IFERROR(VLOOKUP(B46,'Sản xuất cấp huyên'!$B$9:$C$177,2,0),"")</f>
        <v>Kỳ Nơi</v>
      </c>
      <c r="L46" s="4" t="str">
        <f>IFERROR(VLOOKUP(B46,'4069'!$B$9:$C$177,2,0),"")</f>
        <v>Kỳ Nơi</v>
      </c>
      <c r="M46" s="4" t="str">
        <f t="array" ref="M46">IFERROR(INDEX(KODUDK!$C$8:$C$79, MATCH(1, (KODUDK!$D$8:$D$79=BC_SINH!D46)*(KODUDK!$E$8:$E$79=BC_SINH!E46), 0)),"")</f>
        <v/>
      </c>
      <c r="N46" s="4" t="str">
        <f t="array" ref="N46">IFERROR(INDEX(KODUDK!$H$8:$H$79, MATCH(1, (KODUDK!$D$8:$D$79=BC_SINH!D46)*(KODUDK!$E$8:$E$79=BC_SINH!E46), 0)),"")</f>
        <v/>
      </c>
      <c r="O46" s="4" t="str">
        <f t="array" ref="O46">IFERROR(INDEX('KO DU ĐK NQ10'!$C$8:$C$48, MATCH(1, ('KO DU ĐK NQ10'!$D$8:$D$48=BC_SINH!D46)*('KO DU ĐK NQ10'!$E$8:$E$48=BC_SINH!E46), 0)),"")</f>
        <v/>
      </c>
      <c r="P46" s="4" t="str">
        <f t="array" ref="P46">IFERROR(INDEX('KO DU ĐK NQ10'!$H$8:$H$48, MATCH(1, ('KO DU ĐK NQ10'!$D$8:$D$48=BC_SINH!D46)*('KO DU ĐK NQ10'!$E$8:$E$48=BC_SINH!E46), 0)),"")</f>
        <v/>
      </c>
      <c r="Q46" s="4" t="str">
        <f t="array" ref="Q46">IFERROR(INDEX('KO DU ĐK 4069'!$C$8:$C$38, MATCH(1, ('KO DU ĐK 4069'!$D$8:$D$38=BC_SINH!D46)*('KO DU ĐK 4069'!$E$8:$E$38=BC_SINH!E46), 0)),"")</f>
        <v/>
      </c>
      <c r="R46" s="4" t="str">
        <f t="array" ref="R46">IFERROR(INDEX('KO DU ĐK 4069'!$H$8:$H$38, MATCH(1, ('KO DU ĐK 4069'!$D$8:$D$38=BC_SINH!D46)*('KO DU ĐK 4069'!$E$8:$E$38=BC_SINH!E46), 0)),"")</f>
        <v/>
      </c>
      <c r="S46" s="4" t="str">
        <f t="array" ref="S46">IFERROR(INDEX(KeKhaiDangKy!$H$2:$H$4889, MATCH(1, (KeKhaiDangKy!$A$2:$A$4889=BC_SINH!D46)*(KeKhaiDangKy!$B$2:$B$4889=BC_SINH!E46), 0)),"")</f>
        <v/>
      </c>
    </row>
    <row r="47" spans="1:19" ht="14.45" customHeight="1" x14ac:dyDescent="0.25">
      <c r="A47" s="4">
        <f>IF(B47&lt;&gt;"", SUBTOTAL(3, $B$2:B47), "")</f>
        <v>46</v>
      </c>
      <c r="B47" s="4" t="s">
        <v>38</v>
      </c>
      <c r="C47" s="4" t="str">
        <f t="shared" si="0"/>
        <v>A Xau</v>
      </c>
      <c r="D47" s="4">
        <v>29</v>
      </c>
      <c r="E47" s="4">
        <v>40</v>
      </c>
      <c r="F47" s="4">
        <v>5918</v>
      </c>
      <c r="G47" s="4" t="s">
        <v>11</v>
      </c>
      <c r="H47" s="4" t="str">
        <f t="array" ref="H47">IFERROR(INDEX(DSCKXA!$B$3:$B$73, MATCH(1, (DSCKXA!$D$3:$D$73=BC_SINH!D47)*(DSCKXA!$E$3:$E$73=BC_SINH!E47), 0)),"")</f>
        <v/>
      </c>
      <c r="I47" s="99" t="str">
        <f t="array" ref="I47">IFERROR(INDEX(DSCKXA!$C$3:$C$73, MATCH(1, (DSCKXA!$D$3:$D$73=BC_SINH!D47)*(DSCKXA!$E$3:$E$73=BC_SINH!E47), 0)),"")</f>
        <v/>
      </c>
      <c r="J47" s="97" t="str">
        <f>IFERROR(VLOOKUP(B47,'Đất sản xuất'!$B$9:$C$216,2,0),"")</f>
        <v>A Xau</v>
      </c>
      <c r="K47" s="97" t="str">
        <f>IFERROR(VLOOKUP(B47,'Sản xuất cấp huyên'!$B$9:$C$177,2,0),"")</f>
        <v/>
      </c>
      <c r="L47" s="4" t="str">
        <f>IFERROR(VLOOKUP(B47,'4069'!$B$9:$C$177,2,0),"")</f>
        <v/>
      </c>
      <c r="M47" s="4" t="str">
        <f t="array" ref="M47">IFERROR(INDEX(KODUDK!$C$8:$C$79, MATCH(1, (KODUDK!$D$8:$D$79=BC_SINH!D47)*(KODUDK!$E$8:$E$79=BC_SINH!E47), 0)),"")</f>
        <v/>
      </c>
      <c r="N47" s="4" t="str">
        <f t="array" ref="N47">IFERROR(INDEX(KODUDK!$H$8:$H$79, MATCH(1, (KODUDK!$D$8:$D$79=BC_SINH!D47)*(KODUDK!$E$8:$E$79=BC_SINH!E47), 0)),"")</f>
        <v/>
      </c>
      <c r="O47" s="4" t="str">
        <f t="array" ref="O47">IFERROR(INDEX('KO DU ĐK NQ10'!$C$8:$C$48, MATCH(1, ('KO DU ĐK NQ10'!$D$8:$D$48=BC_SINH!D47)*('KO DU ĐK NQ10'!$E$8:$E$48=BC_SINH!E47), 0)),"")</f>
        <v/>
      </c>
      <c r="P47" s="4" t="str">
        <f t="array" ref="P47">IFERROR(INDEX('KO DU ĐK NQ10'!$H$8:$H$48, MATCH(1, ('KO DU ĐK NQ10'!$D$8:$D$48=BC_SINH!D47)*('KO DU ĐK NQ10'!$E$8:$E$48=BC_SINH!E47), 0)),"")</f>
        <v/>
      </c>
      <c r="Q47" s="4" t="str">
        <f t="array" ref="Q47">IFERROR(INDEX('KO DU ĐK 4069'!$C$8:$C$38, MATCH(1, ('KO DU ĐK 4069'!$D$8:$D$38=BC_SINH!D47)*('KO DU ĐK 4069'!$E$8:$E$38=BC_SINH!E47), 0)),"")</f>
        <v/>
      </c>
      <c r="R47" s="4" t="str">
        <f t="array" ref="R47">IFERROR(INDEX('KO DU ĐK 4069'!$H$8:$H$38, MATCH(1, ('KO DU ĐK 4069'!$D$8:$D$38=BC_SINH!D47)*('KO DU ĐK 4069'!$E$8:$E$38=BC_SINH!E47), 0)),"")</f>
        <v/>
      </c>
      <c r="S47" s="4" t="str">
        <f t="array" ref="S47">IFERROR(INDEX(KeKhaiDangKy!$H$2:$H$4889, MATCH(1, (KeKhaiDangKy!$A$2:$A$4889=BC_SINH!D47)*(KeKhaiDangKy!$B$2:$B$4889=BC_SINH!E47), 0)),"")</f>
        <v>A Xau</v>
      </c>
    </row>
    <row r="48" spans="1:19" ht="14.45" customHeight="1" x14ac:dyDescent="0.25">
      <c r="A48" s="4">
        <f>IF(B48&lt;&gt;"", SUBTOTAL(3, $B$2:B48), "")</f>
        <v>47</v>
      </c>
      <c r="B48" s="4" t="s">
        <v>39</v>
      </c>
      <c r="C48" s="4" t="str">
        <f t="shared" si="0"/>
        <v>A Quan</v>
      </c>
      <c r="D48" s="4">
        <v>21</v>
      </c>
      <c r="E48" s="4">
        <v>94</v>
      </c>
      <c r="F48" s="4">
        <v>10912</v>
      </c>
      <c r="G48" s="4" t="s">
        <v>11</v>
      </c>
      <c r="H48" s="4" t="str">
        <f t="array" ref="H48">IFERROR(INDEX(DSCKXA!$B$3:$B$73, MATCH(1, (DSCKXA!$D$3:$D$73=BC_SINH!D48)*(DSCKXA!$E$3:$E$73=BC_SINH!E48), 0)),"")</f>
        <v/>
      </c>
      <c r="I48" s="99" t="str">
        <f t="array" ref="I48">IFERROR(INDEX(DSCKXA!$C$3:$C$73, MATCH(1, (DSCKXA!$D$3:$D$73=BC_SINH!D48)*(DSCKXA!$E$3:$E$73=BC_SINH!E48), 0)),"")</f>
        <v/>
      </c>
      <c r="J48" s="97" t="str">
        <f>IFERROR(VLOOKUP(B48,'Đất sản xuất'!$B$9:$C$216,2,0),"")</f>
        <v/>
      </c>
      <c r="K48" s="97" t="str">
        <f>IFERROR(VLOOKUP(B48,'Sản xuất cấp huyên'!$B$9:$C$177,2,0),"")</f>
        <v/>
      </c>
      <c r="L48" s="4" t="str">
        <f>IFERROR(VLOOKUP(B48,'4069'!$B$9:$C$177,2,0),"")</f>
        <v/>
      </c>
      <c r="M48" s="4" t="str">
        <f t="array" ref="M48">IFERROR(INDEX(KODUDK!$C$8:$C$79, MATCH(1, (KODUDK!$D$8:$D$79=BC_SINH!D48)*(KODUDK!$E$8:$E$79=BC_SINH!E48), 0)),"")</f>
        <v/>
      </c>
      <c r="N48" s="4" t="str">
        <f t="array" ref="N48">IFERROR(INDEX(KODUDK!$H$8:$H$79, MATCH(1, (KODUDK!$D$8:$D$79=BC_SINH!D48)*(KODUDK!$E$8:$E$79=BC_SINH!E48), 0)),"")</f>
        <v/>
      </c>
      <c r="O48" s="4" t="str">
        <f t="array" ref="O48">IFERROR(INDEX('KO DU ĐK NQ10'!$C$8:$C$48, MATCH(1, ('KO DU ĐK NQ10'!$D$8:$D$48=BC_SINH!D48)*('KO DU ĐK NQ10'!$E$8:$E$48=BC_SINH!E48), 0)),"")</f>
        <v/>
      </c>
      <c r="P48" s="4" t="str">
        <f t="array" ref="P48">IFERROR(INDEX('KO DU ĐK NQ10'!$H$8:$H$48, MATCH(1, ('KO DU ĐK NQ10'!$D$8:$D$48=BC_SINH!D48)*('KO DU ĐK NQ10'!$E$8:$E$48=BC_SINH!E48), 0)),"")</f>
        <v/>
      </c>
      <c r="Q48" s="4" t="str">
        <f t="array" ref="Q48">IFERROR(INDEX('KO DU ĐK 4069'!$C$8:$C$38, MATCH(1, ('KO DU ĐK 4069'!$D$8:$D$38=BC_SINH!D48)*('KO DU ĐK 4069'!$E$8:$E$38=BC_SINH!E48), 0)),"")</f>
        <v/>
      </c>
      <c r="R48" s="4" t="str">
        <f t="array" ref="R48">IFERROR(INDEX('KO DU ĐK 4069'!$H$8:$H$38, MATCH(1, ('KO DU ĐK 4069'!$D$8:$D$38=BC_SINH!D48)*('KO DU ĐK 4069'!$E$8:$E$38=BC_SINH!E48), 0)),"")</f>
        <v/>
      </c>
      <c r="S48" s="4" t="str">
        <f t="array" ref="S48">IFERROR(INDEX(KeKhaiDangKy!$H$2:$H$4889, MATCH(1, (KeKhaiDangKy!$A$2:$A$4889=BC_SINH!D48)*(KeKhaiDangKy!$B$2:$B$4889=BC_SINH!E48), 0)),"")</f>
        <v>A Quan</v>
      </c>
    </row>
    <row r="49" spans="1:19" ht="14.45" customHeight="1" x14ac:dyDescent="0.25">
      <c r="A49" s="4">
        <f>IF(B49&lt;&gt;"", SUBTOTAL(3, $B$2:B49), "")</f>
        <v>48</v>
      </c>
      <c r="B49" s="4" t="s">
        <v>40</v>
      </c>
      <c r="C49" s="4" t="str">
        <f t="shared" si="0"/>
        <v>A Máy</v>
      </c>
      <c r="D49" s="4">
        <v>21</v>
      </c>
      <c r="E49" s="4">
        <v>95</v>
      </c>
      <c r="F49" s="4">
        <v>11950</v>
      </c>
      <c r="G49" s="4" t="s">
        <v>11</v>
      </c>
      <c r="H49" s="4" t="str">
        <f t="array" ref="H49">IFERROR(INDEX(DSCKXA!$B$3:$B$73, MATCH(1, (DSCKXA!$D$3:$D$73=BC_SINH!D49)*(DSCKXA!$E$3:$E$73=BC_SINH!E49), 0)),"")</f>
        <v>Hồ Thị Thế</v>
      </c>
      <c r="I49" s="99" t="str">
        <f t="array" ref="I49">IFERROR(INDEX(DSCKXA!$C$3:$C$73, MATCH(1, (DSCKXA!$D$3:$D$73=BC_SINH!D49)*(DSCKXA!$E$3:$E$73=BC_SINH!E49), 0)),"")</f>
        <v>Thôn A Máy</v>
      </c>
      <c r="J49" s="97" t="str">
        <f>IFERROR(VLOOKUP(B49,'Đất sản xuất'!$B$9:$C$216,2,0),"")</f>
        <v/>
      </c>
      <c r="K49" s="97" t="str">
        <f>IFERROR(VLOOKUP(B49,'Sản xuất cấp huyên'!$B$9:$C$177,2,0),"")</f>
        <v>A Máy</v>
      </c>
      <c r="L49" s="4" t="str">
        <f>IFERROR(VLOOKUP(B49,'4069'!$B$9:$C$177,2,0),"")</f>
        <v>A Máy</v>
      </c>
      <c r="M49" s="4" t="str">
        <f t="array" ref="M49">IFERROR(INDEX(KODUDK!$C$8:$C$79, MATCH(1, (KODUDK!$D$8:$D$79=BC_SINH!D49)*(KODUDK!$E$8:$E$79=BC_SINH!E49), 0)),"")</f>
        <v/>
      </c>
      <c r="N49" s="4" t="str">
        <f t="array" ref="N49">IFERROR(INDEX(KODUDK!$H$8:$H$79, MATCH(1, (KODUDK!$D$8:$D$79=BC_SINH!D49)*(KODUDK!$E$8:$E$79=BC_SINH!E49), 0)),"")</f>
        <v/>
      </c>
      <c r="O49" s="4" t="str">
        <f t="array" ref="O49">IFERROR(INDEX('KO DU ĐK NQ10'!$C$8:$C$48, MATCH(1, ('KO DU ĐK NQ10'!$D$8:$D$48=BC_SINH!D49)*('KO DU ĐK NQ10'!$E$8:$E$48=BC_SINH!E49), 0)),"")</f>
        <v/>
      </c>
      <c r="P49" s="4" t="str">
        <f t="array" ref="P49">IFERROR(INDEX('KO DU ĐK NQ10'!$H$8:$H$48, MATCH(1, ('KO DU ĐK NQ10'!$D$8:$D$48=BC_SINH!D49)*('KO DU ĐK NQ10'!$E$8:$E$48=BC_SINH!E49), 0)),"")</f>
        <v/>
      </c>
      <c r="Q49" s="4" t="str">
        <f t="array" ref="Q49">IFERROR(INDEX('KO DU ĐK 4069'!$C$8:$C$38, MATCH(1, ('KO DU ĐK 4069'!$D$8:$D$38=BC_SINH!D49)*('KO DU ĐK 4069'!$E$8:$E$38=BC_SINH!E49), 0)),"")</f>
        <v/>
      </c>
      <c r="R49" s="4" t="str">
        <f t="array" ref="R49">IFERROR(INDEX('KO DU ĐK 4069'!$H$8:$H$38, MATCH(1, ('KO DU ĐK 4069'!$D$8:$D$38=BC_SINH!D49)*('KO DU ĐK 4069'!$E$8:$E$38=BC_SINH!E49), 0)),"")</f>
        <v/>
      </c>
      <c r="S49" s="4" t="str">
        <f t="array" ref="S49">IFERROR(INDEX(KeKhaiDangKy!$H$2:$H$4889, MATCH(1, (KeKhaiDangKy!$A$2:$A$4889=BC_SINH!D49)*(KeKhaiDangKy!$B$2:$B$4889=BC_SINH!E49), 0)),"")</f>
        <v>A Rông</v>
      </c>
    </row>
    <row r="50" spans="1:19" ht="14.45" customHeight="1" x14ac:dyDescent="0.25">
      <c r="A50" s="4">
        <f>IF(B50&lt;&gt;"", SUBTOTAL(3, $B$2:B50), "")</f>
        <v>49</v>
      </c>
      <c r="B50" s="4" t="s">
        <v>40</v>
      </c>
      <c r="C50" s="4" t="str">
        <f t="shared" si="0"/>
        <v>A Máy</v>
      </c>
      <c r="D50" s="4">
        <v>30</v>
      </c>
      <c r="E50" s="4">
        <v>78</v>
      </c>
      <c r="F50" s="4">
        <v>7651</v>
      </c>
      <c r="G50" s="4" t="s">
        <v>11</v>
      </c>
      <c r="H50" s="4" t="str">
        <f t="array" ref="H50">IFERROR(INDEX(DSCKXA!$B$3:$B$73, MATCH(1, (DSCKXA!$D$3:$D$73=BC_SINH!D50)*(DSCKXA!$E$3:$E$73=BC_SINH!E50), 0)),"")</f>
        <v/>
      </c>
      <c r="I50" s="99" t="str">
        <f t="array" ref="I50">IFERROR(INDEX(DSCKXA!$C$3:$C$73, MATCH(1, (DSCKXA!$D$3:$D$73=BC_SINH!D50)*(DSCKXA!$E$3:$E$73=BC_SINH!E50), 0)),"")</f>
        <v/>
      </c>
      <c r="J50" s="97" t="str">
        <f>IFERROR(VLOOKUP(B50,'Đất sản xuất'!$B$9:$C$216,2,0),"")</f>
        <v/>
      </c>
      <c r="K50" s="97" t="str">
        <f>IFERROR(VLOOKUP(B50,'Sản xuất cấp huyên'!$B$9:$C$177,2,0),"")</f>
        <v>A Máy</v>
      </c>
      <c r="L50" s="4" t="str">
        <f>IFERROR(VLOOKUP(B50,'4069'!$B$9:$C$177,2,0),"")</f>
        <v>A Máy</v>
      </c>
      <c r="M50" s="4" t="str">
        <f t="array" ref="M50">IFERROR(INDEX(KODUDK!$C$8:$C$79, MATCH(1, (KODUDK!$D$8:$D$79=BC_SINH!D50)*(KODUDK!$E$8:$E$79=BC_SINH!E50), 0)),"")</f>
        <v/>
      </c>
      <c r="N50" s="4" t="str">
        <f t="array" ref="N50">IFERROR(INDEX(KODUDK!$H$8:$H$79, MATCH(1, (KODUDK!$D$8:$D$79=BC_SINH!D50)*(KODUDK!$E$8:$E$79=BC_SINH!E50), 0)),"")</f>
        <v/>
      </c>
      <c r="O50" s="4" t="str">
        <f t="array" ref="O50">IFERROR(INDEX('KO DU ĐK NQ10'!$C$8:$C$48, MATCH(1, ('KO DU ĐK NQ10'!$D$8:$D$48=BC_SINH!D50)*('KO DU ĐK NQ10'!$E$8:$E$48=BC_SINH!E50), 0)),"")</f>
        <v/>
      </c>
      <c r="P50" s="4" t="str">
        <f t="array" ref="P50">IFERROR(INDEX('KO DU ĐK NQ10'!$H$8:$H$48, MATCH(1, ('KO DU ĐK NQ10'!$D$8:$D$48=BC_SINH!D50)*('KO DU ĐK NQ10'!$E$8:$E$48=BC_SINH!E50), 0)),"")</f>
        <v/>
      </c>
      <c r="Q50" s="4" t="str">
        <f t="array" ref="Q50">IFERROR(INDEX('KO DU ĐK 4069'!$C$8:$C$38, MATCH(1, ('KO DU ĐK 4069'!$D$8:$D$38=BC_SINH!D50)*('KO DU ĐK 4069'!$E$8:$E$38=BC_SINH!E50), 0)),"")</f>
        <v/>
      </c>
      <c r="R50" s="4" t="str">
        <f t="array" ref="R50">IFERROR(INDEX('KO DU ĐK 4069'!$H$8:$H$38, MATCH(1, ('KO DU ĐK 4069'!$D$8:$D$38=BC_SINH!D50)*('KO DU ĐK 4069'!$E$8:$E$38=BC_SINH!E50), 0)),"")</f>
        <v/>
      </c>
      <c r="S50" s="4" t="str">
        <f t="array" ref="S50">IFERROR(INDEX(KeKhaiDangKy!$H$2:$H$4889, MATCH(1, (KeKhaiDangKy!$A$2:$A$4889=BC_SINH!D50)*(KeKhaiDangKy!$B$2:$B$4889=BC_SINH!E50), 0)),"")</f>
        <v>A Rông</v>
      </c>
    </row>
    <row r="51" spans="1:19" ht="14.45" customHeight="1" x14ac:dyDescent="0.25">
      <c r="A51" s="4">
        <f>IF(B51&lt;&gt;"", SUBTOTAL(3, $B$2:B51), "")</f>
        <v>50</v>
      </c>
      <c r="B51" s="4" t="s">
        <v>41</v>
      </c>
      <c r="C51" s="4" t="str">
        <f t="shared" si="0"/>
        <v xml:space="preserve"> A Rông</v>
      </c>
      <c r="D51" s="4">
        <v>21</v>
      </c>
      <c r="E51" s="4">
        <v>96</v>
      </c>
      <c r="F51" s="4">
        <v>9894</v>
      </c>
      <c r="G51" s="4" t="s">
        <v>11</v>
      </c>
      <c r="H51" s="4" t="str">
        <f t="array" ref="H51">IFERROR(INDEX(DSCKXA!$B$3:$B$73, MATCH(1, (DSCKXA!$D$3:$D$73=BC_SINH!D51)*(DSCKXA!$E$3:$E$73=BC_SINH!E51), 0)),"")</f>
        <v>Hồ Thị Thủy</v>
      </c>
      <c r="I51" s="99" t="str">
        <f t="array" ref="I51">IFERROR(INDEX(DSCKXA!$C$3:$C$73, MATCH(1, (DSCKXA!$D$3:$D$73=BC_SINH!D51)*(DSCKXA!$E$3:$E$73=BC_SINH!E51), 0)),"")</f>
        <v>Thôn A Rông</v>
      </c>
      <c r="J51" s="97" t="str">
        <f>IFERROR(VLOOKUP(B51,'Đất sản xuất'!$B$9:$C$216,2,0),"")</f>
        <v xml:space="preserve"> A Rông</v>
      </c>
      <c r="K51" s="97" t="str">
        <f>IFERROR(VLOOKUP(B51,'Sản xuất cấp huyên'!$B$9:$C$177,2,0),"")</f>
        <v/>
      </c>
      <c r="L51" s="4" t="str">
        <f>IFERROR(VLOOKUP(B51,'4069'!$B$9:$C$177,2,0),"")</f>
        <v/>
      </c>
      <c r="M51" s="4" t="str">
        <f t="array" ref="M51">IFERROR(INDEX(KODUDK!$C$8:$C$79, MATCH(1, (KODUDK!$D$8:$D$79=BC_SINH!D51)*(KODUDK!$E$8:$E$79=BC_SINH!E51), 0)),"")</f>
        <v/>
      </c>
      <c r="N51" s="4" t="str">
        <f t="array" ref="N51">IFERROR(INDEX(KODUDK!$H$8:$H$79, MATCH(1, (KODUDK!$D$8:$D$79=BC_SINH!D51)*(KODUDK!$E$8:$E$79=BC_SINH!E51), 0)),"")</f>
        <v/>
      </c>
      <c r="O51" s="4" t="str">
        <f t="array" ref="O51">IFERROR(INDEX('KO DU ĐK NQ10'!$C$8:$C$48, MATCH(1, ('KO DU ĐK NQ10'!$D$8:$D$48=BC_SINH!D51)*('KO DU ĐK NQ10'!$E$8:$E$48=BC_SINH!E51), 0)),"")</f>
        <v/>
      </c>
      <c r="P51" s="4" t="str">
        <f t="array" ref="P51">IFERROR(INDEX('KO DU ĐK NQ10'!$H$8:$H$48, MATCH(1, ('KO DU ĐK NQ10'!$D$8:$D$48=BC_SINH!D51)*('KO DU ĐK NQ10'!$E$8:$E$48=BC_SINH!E51), 0)),"")</f>
        <v/>
      </c>
      <c r="Q51" s="4" t="str">
        <f t="array" ref="Q51">IFERROR(INDEX('KO DU ĐK 4069'!$C$8:$C$38, MATCH(1, ('KO DU ĐK 4069'!$D$8:$D$38=BC_SINH!D51)*('KO DU ĐK 4069'!$E$8:$E$38=BC_SINH!E51), 0)),"")</f>
        <v/>
      </c>
      <c r="R51" s="4" t="str">
        <f t="array" ref="R51">IFERROR(INDEX('KO DU ĐK 4069'!$H$8:$H$38, MATCH(1, ('KO DU ĐK 4069'!$D$8:$D$38=BC_SINH!D51)*('KO DU ĐK 4069'!$E$8:$E$38=BC_SINH!E51), 0)),"")</f>
        <v/>
      </c>
      <c r="S51" s="4" t="str">
        <f t="array" ref="S51">IFERROR(INDEX(KeKhaiDangKy!$H$2:$H$4889, MATCH(1, (KeKhaiDangKy!$A$2:$A$4889=BC_SINH!D51)*(KeKhaiDangKy!$B$2:$B$4889=BC_SINH!E51), 0)),"")</f>
        <v>A Rông</v>
      </c>
    </row>
    <row r="52" spans="1:19" ht="14.45" customHeight="1" x14ac:dyDescent="0.25">
      <c r="A52" s="4">
        <f>IF(B52&lt;&gt;"", SUBTOTAL(3, $B$2:B52), "")</f>
        <v>51</v>
      </c>
      <c r="B52" s="4" t="s">
        <v>42</v>
      </c>
      <c r="C52" s="4" t="str">
        <f t="shared" si="0"/>
        <v>A Xau</v>
      </c>
      <c r="D52" s="4">
        <v>1</v>
      </c>
      <c r="E52" s="4">
        <v>224</v>
      </c>
      <c r="F52" s="4">
        <v>6983</v>
      </c>
      <c r="G52" s="4" t="s">
        <v>11</v>
      </c>
      <c r="H52" s="4" t="str">
        <f t="array" ref="H52">IFERROR(INDEX(DSCKXA!$B$3:$B$73, MATCH(1, (DSCKXA!$D$3:$D$73=BC_SINH!D52)*(DSCKXA!$E$3:$E$73=BC_SINH!E52), 0)),"")</f>
        <v/>
      </c>
      <c r="I52" s="99" t="str">
        <f t="array" ref="I52">IFERROR(INDEX(DSCKXA!$C$3:$C$73, MATCH(1, (DSCKXA!$D$3:$D$73=BC_SINH!D52)*(DSCKXA!$E$3:$E$73=BC_SINH!E52), 0)),"")</f>
        <v/>
      </c>
      <c r="J52" s="97" t="str">
        <f>IFERROR(VLOOKUP(B52,'Đất sản xuất'!$B$9:$C$216,2,0),"")</f>
        <v/>
      </c>
      <c r="K52" s="97" t="str">
        <f>IFERROR(VLOOKUP(B52,'Sản xuất cấp huyên'!$B$9:$C$177,2,0),"")</f>
        <v/>
      </c>
      <c r="L52" s="4" t="str">
        <f>IFERROR(VLOOKUP(B52,'4069'!$B$9:$C$177,2,0),"")</f>
        <v/>
      </c>
      <c r="M52" s="4" t="str">
        <f t="array" ref="M52">IFERROR(INDEX(KODUDK!$C$8:$C$79, MATCH(1, (KODUDK!$D$8:$D$79=BC_SINH!D52)*(KODUDK!$E$8:$E$79=BC_SINH!E52), 0)),"")</f>
        <v/>
      </c>
      <c r="N52" s="4" t="str">
        <f t="array" ref="N52">IFERROR(INDEX(KODUDK!$H$8:$H$79, MATCH(1, (KODUDK!$D$8:$D$79=BC_SINH!D52)*(KODUDK!$E$8:$E$79=BC_SINH!E52), 0)),"")</f>
        <v/>
      </c>
      <c r="O52" s="4" t="str">
        <f t="array" ref="O52">IFERROR(INDEX('KO DU ĐK NQ10'!$C$8:$C$48, MATCH(1, ('KO DU ĐK NQ10'!$D$8:$D$48=BC_SINH!D52)*('KO DU ĐK NQ10'!$E$8:$E$48=BC_SINH!E52), 0)),"")</f>
        <v/>
      </c>
      <c r="P52" s="4" t="str">
        <f t="array" ref="P52">IFERROR(INDEX('KO DU ĐK NQ10'!$H$8:$H$48, MATCH(1, ('KO DU ĐK NQ10'!$D$8:$D$48=BC_SINH!D52)*('KO DU ĐK NQ10'!$E$8:$E$48=BC_SINH!E52), 0)),"")</f>
        <v/>
      </c>
      <c r="Q52" s="4" t="str">
        <f t="array" ref="Q52">IFERROR(INDEX('KO DU ĐK 4069'!$C$8:$C$38, MATCH(1, ('KO DU ĐK 4069'!$D$8:$D$38=BC_SINH!D52)*('KO DU ĐK 4069'!$E$8:$E$38=BC_SINH!E52), 0)),"")</f>
        <v/>
      </c>
      <c r="R52" s="4" t="str">
        <f t="array" ref="R52">IFERROR(INDEX('KO DU ĐK 4069'!$H$8:$H$38, MATCH(1, ('KO DU ĐK 4069'!$D$8:$D$38=BC_SINH!D52)*('KO DU ĐK 4069'!$E$8:$E$38=BC_SINH!E52), 0)),"")</f>
        <v/>
      </c>
      <c r="S52" s="4" t="str">
        <f t="array" ref="S52">IFERROR(INDEX(KeKhaiDangKy!$H$2:$H$4889, MATCH(1, (KeKhaiDangKy!$A$2:$A$4889=BC_SINH!D52)*(KeKhaiDangKy!$B$2:$B$4889=BC_SINH!E52), 0)),"")</f>
        <v>A Xau</v>
      </c>
    </row>
    <row r="53" spans="1:19" ht="14.45" customHeight="1" x14ac:dyDescent="0.25">
      <c r="A53" s="4">
        <f>IF(B53&lt;&gt;"", SUBTOTAL(3, $B$2:B53), "")</f>
        <v>52</v>
      </c>
      <c r="B53" s="4" t="s">
        <v>43</v>
      </c>
      <c r="C53" s="4" t="str">
        <f t="shared" si="0"/>
        <v>Kỳ Nơi</v>
      </c>
      <c r="D53" s="4">
        <v>8</v>
      </c>
      <c r="E53" s="4">
        <v>218</v>
      </c>
      <c r="F53" s="4">
        <v>3191</v>
      </c>
      <c r="G53" s="4" t="s">
        <v>11</v>
      </c>
      <c r="H53" s="4" t="str">
        <f t="array" ref="H53">IFERROR(INDEX(DSCKXA!$B$3:$B$73, MATCH(1, (DSCKXA!$D$3:$D$73=BC_SINH!D53)*(DSCKXA!$E$3:$E$73=BC_SINH!E53), 0)),"")</f>
        <v/>
      </c>
      <c r="I53" s="99" t="str">
        <f t="array" ref="I53">IFERROR(INDEX(DSCKXA!$C$3:$C$73, MATCH(1, (DSCKXA!$D$3:$D$73=BC_SINH!D53)*(DSCKXA!$E$3:$E$73=BC_SINH!E53), 0)),"")</f>
        <v/>
      </c>
      <c r="J53" s="97" t="str">
        <f>IFERROR(VLOOKUP(B53,'Đất sản xuất'!$B$9:$C$216,2,0),"")</f>
        <v/>
      </c>
      <c r="K53" s="97" t="str">
        <f>IFERROR(VLOOKUP(B53,'Sản xuất cấp huyên'!$B$9:$C$177,2,0),"")</f>
        <v/>
      </c>
      <c r="L53" s="4" t="str">
        <f>IFERROR(VLOOKUP(B53,'4069'!$B$9:$C$177,2,0),"")</f>
        <v/>
      </c>
      <c r="M53" s="4" t="str">
        <f t="array" ref="M53">IFERROR(INDEX(KODUDK!$C$8:$C$79, MATCH(1, (KODUDK!$D$8:$D$79=BC_SINH!D53)*(KODUDK!$E$8:$E$79=BC_SINH!E53), 0)),"")</f>
        <v/>
      </c>
      <c r="N53" s="4" t="str">
        <f t="array" ref="N53">IFERROR(INDEX(KODUDK!$H$8:$H$79, MATCH(1, (KODUDK!$D$8:$D$79=BC_SINH!D53)*(KODUDK!$E$8:$E$79=BC_SINH!E53), 0)),"")</f>
        <v/>
      </c>
      <c r="O53" s="4" t="str">
        <f t="array" ref="O53">IFERROR(INDEX('KO DU ĐK NQ10'!$C$8:$C$48, MATCH(1, ('KO DU ĐK NQ10'!$D$8:$D$48=BC_SINH!D53)*('KO DU ĐK NQ10'!$E$8:$E$48=BC_SINH!E53), 0)),"")</f>
        <v/>
      </c>
      <c r="P53" s="4" t="str">
        <f t="array" ref="P53">IFERROR(INDEX('KO DU ĐK NQ10'!$H$8:$H$48, MATCH(1, ('KO DU ĐK NQ10'!$D$8:$D$48=BC_SINH!D53)*('KO DU ĐK NQ10'!$E$8:$E$48=BC_SINH!E53), 0)),"")</f>
        <v/>
      </c>
      <c r="Q53" s="4" t="str">
        <f t="array" ref="Q53">IFERROR(INDEX('KO DU ĐK 4069'!$C$8:$C$38, MATCH(1, ('KO DU ĐK 4069'!$D$8:$D$38=BC_SINH!D53)*('KO DU ĐK 4069'!$E$8:$E$38=BC_SINH!E53), 0)),"")</f>
        <v/>
      </c>
      <c r="R53" s="4" t="str">
        <f t="array" ref="R53">IFERROR(INDEX('KO DU ĐK 4069'!$H$8:$H$38, MATCH(1, ('KO DU ĐK 4069'!$D$8:$D$38=BC_SINH!D53)*('KO DU ĐK 4069'!$E$8:$E$38=BC_SINH!E53), 0)),"")</f>
        <v/>
      </c>
      <c r="S53" s="4" t="str">
        <f t="array" ref="S53">IFERROR(INDEX(KeKhaiDangKy!$H$2:$H$4889, MATCH(1, (KeKhaiDangKy!$A$2:$A$4889=BC_SINH!D53)*(KeKhaiDangKy!$B$2:$B$4889=BC_SINH!E53), 0)),"")</f>
        <v>Kỳ Nơi</v>
      </c>
    </row>
    <row r="54" spans="1:19" ht="14.45" customHeight="1" x14ac:dyDescent="0.25">
      <c r="A54" s="4">
        <f>IF(B54&lt;&gt;"", SUBTOTAL(3, $B$2:B54), "")</f>
        <v>53</v>
      </c>
      <c r="B54" s="4" t="s">
        <v>43</v>
      </c>
      <c r="C54" s="4" t="str">
        <f t="shared" si="0"/>
        <v>Kỳ Nơi</v>
      </c>
      <c r="D54" s="4">
        <v>8</v>
      </c>
      <c r="E54" s="4">
        <v>219</v>
      </c>
      <c r="F54" s="4">
        <v>20705</v>
      </c>
      <c r="G54" s="4" t="s">
        <v>11</v>
      </c>
      <c r="H54" s="4" t="str">
        <f t="array" ref="H54">IFERROR(INDEX(DSCKXA!$B$3:$B$73, MATCH(1, (DSCKXA!$D$3:$D$73=BC_SINH!D54)*(DSCKXA!$E$3:$E$73=BC_SINH!E54), 0)),"")</f>
        <v/>
      </c>
      <c r="I54" s="99" t="str">
        <f t="array" ref="I54">IFERROR(INDEX(DSCKXA!$C$3:$C$73, MATCH(1, (DSCKXA!$D$3:$D$73=BC_SINH!D54)*(DSCKXA!$E$3:$E$73=BC_SINH!E54), 0)),"")</f>
        <v/>
      </c>
      <c r="J54" s="97" t="str">
        <f>IFERROR(VLOOKUP(B54,'Đất sản xuất'!$B$9:$C$216,2,0),"")</f>
        <v/>
      </c>
      <c r="K54" s="97" t="str">
        <f>IFERROR(VLOOKUP(B54,'Sản xuất cấp huyên'!$B$9:$C$177,2,0),"")</f>
        <v/>
      </c>
      <c r="L54" s="4" t="str">
        <f>IFERROR(VLOOKUP(B54,'4069'!$B$9:$C$177,2,0),"")</f>
        <v/>
      </c>
      <c r="M54" s="4" t="str">
        <f t="array" ref="M54">IFERROR(INDEX(KODUDK!$C$8:$C$79, MATCH(1, (KODUDK!$D$8:$D$79=BC_SINH!D54)*(KODUDK!$E$8:$E$79=BC_SINH!E54), 0)),"")</f>
        <v/>
      </c>
      <c r="N54" s="4" t="str">
        <f t="array" ref="N54">IFERROR(INDEX(KODUDK!$H$8:$H$79, MATCH(1, (KODUDK!$D$8:$D$79=BC_SINH!D54)*(KODUDK!$E$8:$E$79=BC_SINH!E54), 0)),"")</f>
        <v/>
      </c>
      <c r="O54" s="4" t="str">
        <f t="array" ref="O54">IFERROR(INDEX('KO DU ĐK NQ10'!$C$8:$C$48, MATCH(1, ('KO DU ĐK NQ10'!$D$8:$D$48=BC_SINH!D54)*('KO DU ĐK NQ10'!$E$8:$E$48=BC_SINH!E54), 0)),"")</f>
        <v/>
      </c>
      <c r="P54" s="4" t="str">
        <f t="array" ref="P54">IFERROR(INDEX('KO DU ĐK NQ10'!$H$8:$H$48, MATCH(1, ('KO DU ĐK NQ10'!$D$8:$D$48=BC_SINH!D54)*('KO DU ĐK NQ10'!$E$8:$E$48=BC_SINH!E54), 0)),"")</f>
        <v/>
      </c>
      <c r="Q54" s="4" t="str">
        <f t="array" ref="Q54">IFERROR(INDEX('KO DU ĐK 4069'!$C$8:$C$38, MATCH(1, ('KO DU ĐK 4069'!$D$8:$D$38=BC_SINH!D54)*('KO DU ĐK 4069'!$E$8:$E$38=BC_SINH!E54), 0)),"")</f>
        <v/>
      </c>
      <c r="R54" s="4" t="str">
        <f t="array" ref="R54">IFERROR(INDEX('KO DU ĐK 4069'!$H$8:$H$38, MATCH(1, ('KO DU ĐK 4069'!$D$8:$D$38=BC_SINH!D54)*('KO DU ĐK 4069'!$E$8:$E$38=BC_SINH!E54), 0)),"")</f>
        <v/>
      </c>
      <c r="S54" s="4" t="str">
        <f t="array" ref="S54">IFERROR(INDEX(KeKhaiDangKy!$H$2:$H$4889, MATCH(1, (KeKhaiDangKy!$A$2:$A$4889=BC_SINH!D54)*(KeKhaiDangKy!$B$2:$B$4889=BC_SINH!E54), 0)),"")</f>
        <v>Kỳ Nơi</v>
      </c>
    </row>
    <row r="55" spans="1:19" ht="14.45" customHeight="1" x14ac:dyDescent="0.25">
      <c r="A55" s="4">
        <f>IF(B55&lt;&gt;"", SUBTOTAL(3, $B$2:B55), "")</f>
        <v>54</v>
      </c>
      <c r="B55" s="4" t="s">
        <v>634</v>
      </c>
      <c r="C55" s="4" t="str">
        <f t="shared" si="0"/>
        <v/>
      </c>
      <c r="D55" s="4">
        <v>21</v>
      </c>
      <c r="E55" s="4">
        <v>97</v>
      </c>
      <c r="F55" s="4">
        <v>11284</v>
      </c>
      <c r="G55" s="4" t="s">
        <v>11</v>
      </c>
      <c r="H55" s="4" t="str">
        <f t="array" ref="H55">IFERROR(INDEX(DSCKXA!$B$3:$B$73, MATCH(1, (DSCKXA!$D$3:$D$73=BC_SINH!D55)*(DSCKXA!$E$3:$E$73=BC_SINH!E55), 0)),"")</f>
        <v>Hồ Thị May</v>
      </c>
      <c r="I55" s="99" t="str">
        <f t="array" ref="I55">IFERROR(INDEX(DSCKXA!$C$3:$C$73, MATCH(1, (DSCKXA!$D$3:$D$73=BC_SINH!D55)*(DSCKXA!$E$3:$E$73=BC_SINH!E55), 0)),"")</f>
        <v>Thôn A Máy</v>
      </c>
      <c r="J55" s="97" t="str">
        <f>IFERROR(VLOOKUP(B55,'Đất sản xuất'!$B$9:$C$216,2,0),"")</f>
        <v/>
      </c>
      <c r="K55" s="97" t="str">
        <f>IFERROR(VLOOKUP(B55,'Sản xuất cấp huyên'!$B$9:$C$177,2,0),"")</f>
        <v/>
      </c>
      <c r="L55" s="4" t="str">
        <f>IFERROR(VLOOKUP(B55,'4069'!$B$9:$C$177,2,0),"")</f>
        <v/>
      </c>
      <c r="M55" s="4" t="str">
        <f t="array" ref="M55">IFERROR(INDEX(KODUDK!$C$8:$C$79, MATCH(1, (KODUDK!$D$8:$D$79=BC_SINH!D55)*(KODUDK!$E$8:$E$79=BC_SINH!E55), 0)),"")</f>
        <v/>
      </c>
      <c r="N55" s="4" t="str">
        <f t="array" ref="N55">IFERROR(INDEX(KODUDK!$H$8:$H$79, MATCH(1, (KODUDK!$D$8:$D$79=BC_SINH!D55)*(KODUDK!$E$8:$E$79=BC_SINH!E55), 0)),"")</f>
        <v/>
      </c>
      <c r="O55" s="4" t="str">
        <f t="array" ref="O55">IFERROR(INDEX('KO DU ĐK NQ10'!$C$8:$C$48, MATCH(1, ('KO DU ĐK NQ10'!$D$8:$D$48=BC_SINH!D55)*('KO DU ĐK NQ10'!$E$8:$E$48=BC_SINH!E55), 0)),"")</f>
        <v/>
      </c>
      <c r="P55" s="4" t="str">
        <f t="array" ref="P55">IFERROR(INDEX('KO DU ĐK NQ10'!$H$8:$H$48, MATCH(1, ('KO DU ĐK NQ10'!$D$8:$D$48=BC_SINH!D55)*('KO DU ĐK NQ10'!$E$8:$E$48=BC_SINH!E55), 0)),"")</f>
        <v/>
      </c>
      <c r="Q55" s="4" t="str">
        <f t="array" ref="Q55">IFERROR(INDEX('KO DU ĐK 4069'!$C$8:$C$38, MATCH(1, ('KO DU ĐK 4069'!$D$8:$D$38=BC_SINH!D55)*('KO DU ĐK 4069'!$E$8:$E$38=BC_SINH!E55), 0)),"")</f>
        <v/>
      </c>
      <c r="R55" s="4" t="str">
        <f t="array" ref="R55">IFERROR(INDEX('KO DU ĐK 4069'!$H$8:$H$38, MATCH(1, ('KO DU ĐK 4069'!$D$8:$D$38=BC_SINH!D55)*('KO DU ĐK 4069'!$E$8:$E$38=BC_SINH!E55), 0)),"")</f>
        <v/>
      </c>
      <c r="S55" s="4" t="str">
        <f t="array" ref="S55">IFERROR(INDEX(KeKhaiDangKy!$H$2:$H$4889, MATCH(1, (KeKhaiDangKy!$A$2:$A$4889=BC_SINH!D55)*(KeKhaiDangKy!$B$2:$B$4889=BC_SINH!E55), 0)),"")</f>
        <v/>
      </c>
    </row>
    <row r="56" spans="1:19" ht="14.45" customHeight="1" x14ac:dyDescent="0.25">
      <c r="A56" s="4">
        <f>IF(B56&lt;&gt;"", SUBTOTAL(3, $B$2:B56), "")</f>
        <v>55</v>
      </c>
      <c r="B56" s="4" t="s">
        <v>166</v>
      </c>
      <c r="C56" s="4" t="str">
        <f t="shared" si="0"/>
        <v xml:space="preserve"> Kỳ Tăng</v>
      </c>
      <c r="D56" s="4">
        <v>21</v>
      </c>
      <c r="E56" s="4">
        <v>100</v>
      </c>
      <c r="F56" s="4">
        <v>6385</v>
      </c>
      <c r="G56" s="4" t="s">
        <v>11</v>
      </c>
      <c r="H56" s="4" t="str">
        <f t="array" ref="H56">IFERROR(INDEX(DSCKXA!$B$3:$B$73, MATCH(1, (DSCKXA!$D$3:$D$73=BC_SINH!D56)*(DSCKXA!$E$3:$E$73=BC_SINH!E56), 0)),"")</f>
        <v>Hồ A Nun</v>
      </c>
      <c r="I56" s="99" t="str">
        <f t="array" ref="I56">IFERROR(INDEX(DSCKXA!$C$3:$C$73, MATCH(1, (DSCKXA!$D$3:$D$73=BC_SINH!D56)*(DSCKXA!$E$3:$E$73=BC_SINH!E56), 0)),"")</f>
        <v>Thôn Kỳ Tăng</v>
      </c>
      <c r="J56" s="97" t="str">
        <f>IFERROR(VLOOKUP(B56,'Đất sản xuất'!$B$9:$C$216,2,0),"")</f>
        <v xml:space="preserve"> Kỳ Tăng</v>
      </c>
      <c r="K56" s="97" t="str">
        <f>IFERROR(VLOOKUP(B56,'Sản xuất cấp huyên'!$B$9:$C$177,2,0),"")</f>
        <v/>
      </c>
      <c r="L56" s="4" t="str">
        <f>IFERROR(VLOOKUP(B56,'4069'!$B$9:$C$177,2,0),"")</f>
        <v/>
      </c>
      <c r="M56" s="4" t="str">
        <f t="array" ref="M56">IFERROR(INDEX(KODUDK!$C$8:$C$79, MATCH(1, (KODUDK!$D$8:$D$79=BC_SINH!D56)*(KODUDK!$E$8:$E$79=BC_SINH!E56), 0)),"")</f>
        <v/>
      </c>
      <c r="N56" s="4" t="str">
        <f t="array" ref="N56">IFERROR(INDEX(KODUDK!$H$8:$H$79, MATCH(1, (KODUDK!$D$8:$D$79=BC_SINH!D56)*(KODUDK!$E$8:$E$79=BC_SINH!E56), 0)),"")</f>
        <v/>
      </c>
      <c r="O56" s="4" t="str">
        <f t="array" ref="O56">IFERROR(INDEX('KO DU ĐK NQ10'!$C$8:$C$48, MATCH(1, ('KO DU ĐK NQ10'!$D$8:$D$48=BC_SINH!D56)*('KO DU ĐK NQ10'!$E$8:$E$48=BC_SINH!E56), 0)),"")</f>
        <v/>
      </c>
      <c r="P56" s="4" t="str">
        <f t="array" ref="P56">IFERROR(INDEX('KO DU ĐK NQ10'!$H$8:$H$48, MATCH(1, ('KO DU ĐK NQ10'!$D$8:$D$48=BC_SINH!D56)*('KO DU ĐK NQ10'!$E$8:$E$48=BC_SINH!E56), 0)),"")</f>
        <v/>
      </c>
      <c r="Q56" s="4" t="str">
        <f t="array" ref="Q56">IFERROR(INDEX('KO DU ĐK 4069'!$C$8:$C$38, MATCH(1, ('KO DU ĐK 4069'!$D$8:$D$38=BC_SINH!D56)*('KO DU ĐK 4069'!$E$8:$E$38=BC_SINH!E56), 0)),"")</f>
        <v/>
      </c>
      <c r="R56" s="4" t="str">
        <f t="array" ref="R56">IFERROR(INDEX('KO DU ĐK 4069'!$H$8:$H$38, MATCH(1, ('KO DU ĐK 4069'!$D$8:$D$38=BC_SINH!D56)*('KO DU ĐK 4069'!$E$8:$E$38=BC_SINH!E56), 0)),"")</f>
        <v/>
      </c>
      <c r="S56" s="4" t="str">
        <f t="array" ref="S56">IFERROR(INDEX(KeKhaiDangKy!$H$2:$H$4889, MATCH(1, (KeKhaiDangKy!$A$2:$A$4889=BC_SINH!D56)*(KeKhaiDangKy!$B$2:$B$4889=BC_SINH!E56), 0)),"")</f>
        <v/>
      </c>
    </row>
    <row r="57" spans="1:19" ht="14.45" customHeight="1" x14ac:dyDescent="0.25">
      <c r="A57" s="4">
        <f>IF(B57&lt;&gt;"", SUBTOTAL(3, $B$2:B57), "")</f>
        <v>56</v>
      </c>
      <c r="B57" s="4" t="s">
        <v>166</v>
      </c>
      <c r="C57" s="4" t="str">
        <f t="shared" si="0"/>
        <v xml:space="preserve"> Kỳ Tăng</v>
      </c>
      <c r="D57" s="4">
        <v>21</v>
      </c>
      <c r="E57" s="4">
        <v>98</v>
      </c>
      <c r="F57" s="4">
        <v>3392</v>
      </c>
      <c r="G57" s="4" t="s">
        <v>11</v>
      </c>
      <c r="H57" s="4" t="str">
        <f t="array" ref="H57">IFERROR(INDEX(DSCKXA!$B$3:$B$73, MATCH(1, (DSCKXA!$D$3:$D$73=BC_SINH!D57)*(DSCKXA!$E$3:$E$73=BC_SINH!E57), 0)),"")</f>
        <v/>
      </c>
      <c r="I57" s="99" t="str">
        <f t="array" ref="I57">IFERROR(INDEX(DSCKXA!$C$3:$C$73, MATCH(1, (DSCKXA!$D$3:$D$73=BC_SINH!D57)*(DSCKXA!$E$3:$E$73=BC_SINH!E57), 0)),"")</f>
        <v/>
      </c>
      <c r="J57" s="97" t="str">
        <f>IFERROR(VLOOKUP(B57,'Đất sản xuất'!$B$9:$C$216,2,0),"")</f>
        <v xml:space="preserve"> Kỳ Tăng</v>
      </c>
      <c r="K57" s="97" t="str">
        <f>IFERROR(VLOOKUP(B57,'Sản xuất cấp huyên'!$B$9:$C$177,2,0),"")</f>
        <v/>
      </c>
      <c r="L57" s="4" t="str">
        <f>IFERROR(VLOOKUP(B57,'4069'!$B$9:$C$177,2,0),"")</f>
        <v/>
      </c>
      <c r="M57" s="4" t="str">
        <f t="array" ref="M57">IFERROR(INDEX(KODUDK!$C$8:$C$79, MATCH(1, (KODUDK!$D$8:$D$79=BC_SINH!D57)*(KODUDK!$E$8:$E$79=BC_SINH!E57), 0)),"")</f>
        <v>Kỳ Tăng</v>
      </c>
      <c r="N57" s="4" t="str">
        <f t="array" ref="N57">IFERROR(INDEX(KODUDK!$H$8:$H$79, MATCH(1, (KODUDK!$D$8:$D$79=BC_SINH!D57)*(KODUDK!$E$8:$E$79=BC_SINH!E57), 0)),"")</f>
        <v>sai Tên chủ sử dụng đất</v>
      </c>
      <c r="O57" s="4" t="str">
        <f t="array" ref="O57">IFERROR(INDEX('KO DU ĐK NQ10'!$C$8:$C$48, MATCH(1, ('KO DU ĐK NQ10'!$D$8:$D$48=BC_SINH!D57)*('KO DU ĐK NQ10'!$E$8:$E$48=BC_SINH!E57), 0)),"")</f>
        <v>Kỳ Tăng</v>
      </c>
      <c r="P57" s="4" t="str">
        <f t="array" ref="P57">IFERROR(INDEX('KO DU ĐK NQ10'!$H$8:$H$48, MATCH(1, ('KO DU ĐK NQ10'!$D$8:$D$48=BC_SINH!D57)*('KO DU ĐK NQ10'!$E$8:$E$48=BC_SINH!E57), 0)),"")</f>
        <v>sai Tên chủ sử dụng đất</v>
      </c>
      <c r="Q57" s="4" t="str">
        <f t="array" ref="Q57">IFERROR(INDEX('KO DU ĐK 4069'!$C$8:$C$38, MATCH(1, ('KO DU ĐK 4069'!$D$8:$D$38=BC_SINH!D57)*('KO DU ĐK 4069'!$E$8:$E$38=BC_SINH!E57), 0)),"")</f>
        <v/>
      </c>
      <c r="R57" s="4" t="str">
        <f t="array" ref="R57">IFERROR(INDEX('KO DU ĐK 4069'!$H$8:$H$38, MATCH(1, ('KO DU ĐK 4069'!$D$8:$D$38=BC_SINH!D57)*('KO DU ĐK 4069'!$E$8:$E$38=BC_SINH!E57), 0)),"")</f>
        <v/>
      </c>
      <c r="S57" s="4" t="str">
        <f t="array" ref="S57">IFERROR(INDEX(KeKhaiDangKy!$H$2:$H$4889, MATCH(1, (KeKhaiDangKy!$A$2:$A$4889=BC_SINH!D57)*(KeKhaiDangKy!$B$2:$B$4889=BC_SINH!E57), 0)),"")</f>
        <v/>
      </c>
    </row>
    <row r="58" spans="1:19" ht="14.45" customHeight="1" x14ac:dyDescent="0.25">
      <c r="A58" s="4">
        <f>IF(B58&lt;&gt;"", SUBTOTAL(3, $B$2:B58), "")</f>
        <v>57</v>
      </c>
      <c r="B58" s="4" t="s">
        <v>166</v>
      </c>
      <c r="C58" s="4" t="str">
        <f t="shared" si="0"/>
        <v xml:space="preserve"> Kỳ Tăng</v>
      </c>
      <c r="D58" s="4">
        <v>21</v>
      </c>
      <c r="E58" s="4">
        <v>99</v>
      </c>
      <c r="F58" s="4">
        <v>2566</v>
      </c>
      <c r="G58" s="4" t="s">
        <v>11</v>
      </c>
      <c r="H58" s="4" t="str">
        <f t="array" ref="H58">IFERROR(INDEX(DSCKXA!$B$3:$B$73, MATCH(1, (DSCKXA!$D$3:$D$73=BC_SINH!D58)*(DSCKXA!$E$3:$E$73=BC_SINH!E58), 0)),"")</f>
        <v/>
      </c>
      <c r="I58" s="99" t="str">
        <f t="array" ref="I58">IFERROR(INDEX(DSCKXA!$C$3:$C$73, MATCH(1, (DSCKXA!$D$3:$D$73=BC_SINH!D58)*(DSCKXA!$E$3:$E$73=BC_SINH!E58), 0)),"")</f>
        <v/>
      </c>
      <c r="J58" s="97" t="str">
        <f>IFERROR(VLOOKUP(B58,'Đất sản xuất'!$B$9:$C$216,2,0),"")</f>
        <v xml:space="preserve"> Kỳ Tăng</v>
      </c>
      <c r="K58" s="97" t="str">
        <f>IFERROR(VLOOKUP(B58,'Sản xuất cấp huyên'!$B$9:$C$177,2,0),"")</f>
        <v/>
      </c>
      <c r="L58" s="4" t="str">
        <f>IFERROR(VLOOKUP(B58,'4069'!$B$9:$C$177,2,0),"")</f>
        <v/>
      </c>
      <c r="M58" s="4" t="str">
        <f t="array" ref="M58">IFERROR(INDEX(KODUDK!$C$8:$C$79, MATCH(1, (KODUDK!$D$8:$D$79=BC_SINH!D58)*(KODUDK!$E$8:$E$79=BC_SINH!E58), 0)),"")</f>
        <v>Kỳ Tăng</v>
      </c>
      <c r="N58" s="4" t="str">
        <f t="array" ref="N58">IFERROR(INDEX(KODUDK!$H$8:$H$79, MATCH(1, (KODUDK!$D$8:$D$79=BC_SINH!D58)*(KODUDK!$E$8:$E$79=BC_SINH!E58), 0)),"")</f>
        <v>sai Tên chủ sử dụng đất</v>
      </c>
      <c r="O58" s="4" t="str">
        <f t="array" ref="O58">IFERROR(INDEX('KO DU ĐK NQ10'!$C$8:$C$48, MATCH(1, ('KO DU ĐK NQ10'!$D$8:$D$48=BC_SINH!D58)*('KO DU ĐK NQ10'!$E$8:$E$48=BC_SINH!E58), 0)),"")</f>
        <v>Kỳ Tăng</v>
      </c>
      <c r="P58" s="4" t="str">
        <f t="array" ref="P58">IFERROR(INDEX('KO DU ĐK NQ10'!$H$8:$H$48, MATCH(1, ('KO DU ĐK NQ10'!$D$8:$D$48=BC_SINH!D58)*('KO DU ĐK NQ10'!$E$8:$E$48=BC_SINH!E58), 0)),"")</f>
        <v>sai Tên chủ sử dụng đất</v>
      </c>
      <c r="Q58" s="4" t="str">
        <f t="array" ref="Q58">IFERROR(INDEX('KO DU ĐK 4069'!$C$8:$C$38, MATCH(1, ('KO DU ĐK 4069'!$D$8:$D$38=BC_SINH!D58)*('KO DU ĐK 4069'!$E$8:$E$38=BC_SINH!E58), 0)),"")</f>
        <v/>
      </c>
      <c r="R58" s="4" t="str">
        <f t="array" ref="R58">IFERROR(INDEX('KO DU ĐK 4069'!$H$8:$H$38, MATCH(1, ('KO DU ĐK 4069'!$D$8:$D$38=BC_SINH!D58)*('KO DU ĐK 4069'!$E$8:$E$38=BC_SINH!E58), 0)),"")</f>
        <v/>
      </c>
      <c r="S58" s="4" t="str">
        <f t="array" ref="S58">IFERROR(INDEX(KeKhaiDangKy!$H$2:$H$4889, MATCH(1, (KeKhaiDangKy!$A$2:$A$4889=BC_SINH!D58)*(KeKhaiDangKy!$B$2:$B$4889=BC_SINH!E58), 0)),"")</f>
        <v/>
      </c>
    </row>
    <row r="59" spans="1:19" ht="14.45" customHeight="1" x14ac:dyDescent="0.25">
      <c r="A59" s="4">
        <f>IF(B59&lt;&gt;"", SUBTOTAL(3, $B$2:B59), "")</f>
        <v>58</v>
      </c>
      <c r="B59" s="4" t="s">
        <v>44</v>
      </c>
      <c r="C59" s="4" t="str">
        <f t="shared" si="0"/>
        <v>A Xóc Lìa</v>
      </c>
      <c r="D59" s="4">
        <v>14</v>
      </c>
      <c r="E59" s="4">
        <v>27</v>
      </c>
      <c r="F59" s="4">
        <v>11025</v>
      </c>
      <c r="G59" s="4" t="s">
        <v>11</v>
      </c>
      <c r="H59" s="4" t="str">
        <f t="array" ref="H59">IFERROR(INDEX(DSCKXA!$B$3:$B$73, MATCH(1, (DSCKXA!$D$3:$D$73=BC_SINH!D59)*(DSCKXA!$E$3:$E$73=BC_SINH!E59), 0)),"")</f>
        <v/>
      </c>
      <c r="I59" s="99" t="str">
        <f t="array" ref="I59">IFERROR(INDEX(DSCKXA!$C$3:$C$73, MATCH(1, (DSCKXA!$D$3:$D$73=BC_SINH!D59)*(DSCKXA!$E$3:$E$73=BC_SINH!E59), 0)),"")</f>
        <v/>
      </c>
      <c r="J59" s="97" t="str">
        <f>IFERROR(VLOOKUP(B59,'Đất sản xuất'!$B$9:$C$216,2,0),"")</f>
        <v/>
      </c>
      <c r="K59" s="97" t="str">
        <f>IFERROR(VLOOKUP(B59,'Sản xuất cấp huyên'!$B$9:$C$177,2,0),"")</f>
        <v>A Xóc Lìa</v>
      </c>
      <c r="L59" s="4" t="str">
        <f>IFERROR(VLOOKUP(B59,'4069'!$B$9:$C$177,2,0),"")</f>
        <v>A Xóc Lìa</v>
      </c>
      <c r="M59" s="4" t="str">
        <f t="array" ref="M59">IFERROR(INDEX(KODUDK!$C$8:$C$79, MATCH(1, (KODUDK!$D$8:$D$79=BC_SINH!D59)*(KODUDK!$E$8:$E$79=BC_SINH!E59), 0)),"")</f>
        <v/>
      </c>
      <c r="N59" s="4" t="str">
        <f t="array" ref="N59">IFERROR(INDEX(KODUDK!$H$8:$H$79, MATCH(1, (KODUDK!$D$8:$D$79=BC_SINH!D59)*(KODUDK!$E$8:$E$79=BC_SINH!E59), 0)),"")</f>
        <v/>
      </c>
      <c r="O59" s="4" t="str">
        <f t="array" ref="O59">IFERROR(INDEX('KO DU ĐK NQ10'!$C$8:$C$48, MATCH(1, ('KO DU ĐK NQ10'!$D$8:$D$48=BC_SINH!D59)*('KO DU ĐK NQ10'!$E$8:$E$48=BC_SINH!E59), 0)),"")</f>
        <v/>
      </c>
      <c r="P59" s="4" t="str">
        <f t="array" ref="P59">IFERROR(INDEX('KO DU ĐK NQ10'!$H$8:$H$48, MATCH(1, ('KO DU ĐK NQ10'!$D$8:$D$48=BC_SINH!D59)*('KO DU ĐK NQ10'!$E$8:$E$48=BC_SINH!E59), 0)),"")</f>
        <v/>
      </c>
      <c r="Q59" s="4" t="str">
        <f t="array" ref="Q59">IFERROR(INDEX('KO DU ĐK 4069'!$C$8:$C$38, MATCH(1, ('KO DU ĐK 4069'!$D$8:$D$38=BC_SINH!D59)*('KO DU ĐK 4069'!$E$8:$E$38=BC_SINH!E59), 0)),"")</f>
        <v/>
      </c>
      <c r="R59" s="4" t="str">
        <f t="array" ref="R59">IFERROR(INDEX('KO DU ĐK 4069'!$H$8:$H$38, MATCH(1, ('KO DU ĐK 4069'!$D$8:$D$38=BC_SINH!D59)*('KO DU ĐK 4069'!$E$8:$E$38=BC_SINH!E59), 0)),"")</f>
        <v/>
      </c>
      <c r="S59" s="4" t="str">
        <f t="array" ref="S59">IFERROR(INDEX(KeKhaiDangKy!$H$2:$H$4889, MATCH(1, (KeKhaiDangKy!$A$2:$A$4889=BC_SINH!D59)*(KeKhaiDangKy!$B$2:$B$4889=BC_SINH!E59), 0)),"")</f>
        <v>A Sóc Lìa</v>
      </c>
    </row>
    <row r="60" spans="1:19" ht="14.45" customHeight="1" x14ac:dyDescent="0.25">
      <c r="A60" s="4">
        <f>IF(B60&lt;&gt;"", SUBTOTAL(3, $B$2:B60), "")</f>
        <v>59</v>
      </c>
      <c r="B60" s="4" t="s">
        <v>45</v>
      </c>
      <c r="C60" s="4" t="str">
        <f t="shared" si="0"/>
        <v xml:space="preserve"> A Môr</v>
      </c>
      <c r="D60" s="4">
        <v>21</v>
      </c>
      <c r="E60" s="4">
        <v>101</v>
      </c>
      <c r="F60" s="4">
        <v>5676</v>
      </c>
      <c r="G60" s="4" t="s">
        <v>11</v>
      </c>
      <c r="H60" s="4" t="str">
        <f t="array" ref="H60">IFERROR(INDEX(DSCKXA!$B$3:$B$73, MATCH(1, (DSCKXA!$D$3:$D$73=BC_SINH!D60)*(DSCKXA!$E$3:$E$73=BC_SINH!E60), 0)),"")</f>
        <v>Hồ Văn Cầm</v>
      </c>
      <c r="I60" s="99" t="str">
        <f t="array" ref="I60">IFERROR(INDEX(DSCKXA!$C$3:$C$73, MATCH(1, (DSCKXA!$D$3:$D$73=BC_SINH!D60)*(DSCKXA!$E$3:$E$73=BC_SINH!E60), 0)),"")</f>
        <v>Thôn A Môr</v>
      </c>
      <c r="J60" s="97" t="str">
        <f>IFERROR(VLOOKUP(B60,'Đất sản xuất'!$B$9:$C$216,2,0),"")</f>
        <v xml:space="preserve"> A Môr</v>
      </c>
      <c r="K60" s="97" t="str">
        <f>IFERROR(VLOOKUP(B60,'Sản xuất cấp huyên'!$B$9:$C$177,2,0),"")</f>
        <v/>
      </c>
      <c r="L60" s="4" t="str">
        <f>IFERROR(VLOOKUP(B60,'4069'!$B$9:$C$177,2,0),"")</f>
        <v/>
      </c>
      <c r="M60" s="4" t="str">
        <f t="array" ref="M60">IFERROR(INDEX(KODUDK!$C$8:$C$79, MATCH(1, (KODUDK!$D$8:$D$79=BC_SINH!D60)*(KODUDK!$E$8:$E$79=BC_SINH!E60), 0)),"")</f>
        <v/>
      </c>
      <c r="N60" s="4" t="str">
        <f t="array" ref="N60">IFERROR(INDEX(KODUDK!$H$8:$H$79, MATCH(1, (KODUDK!$D$8:$D$79=BC_SINH!D60)*(KODUDK!$E$8:$E$79=BC_SINH!E60), 0)),"")</f>
        <v/>
      </c>
      <c r="O60" s="4" t="str">
        <f t="array" ref="O60">IFERROR(INDEX('KO DU ĐK NQ10'!$C$8:$C$48, MATCH(1, ('KO DU ĐK NQ10'!$D$8:$D$48=BC_SINH!D60)*('KO DU ĐK NQ10'!$E$8:$E$48=BC_SINH!E60), 0)),"")</f>
        <v/>
      </c>
      <c r="P60" s="4" t="str">
        <f t="array" ref="P60">IFERROR(INDEX('KO DU ĐK NQ10'!$H$8:$H$48, MATCH(1, ('KO DU ĐK NQ10'!$D$8:$D$48=BC_SINH!D60)*('KO DU ĐK NQ10'!$E$8:$E$48=BC_SINH!E60), 0)),"")</f>
        <v/>
      </c>
      <c r="Q60" s="4" t="str">
        <f t="array" ref="Q60">IFERROR(INDEX('KO DU ĐK 4069'!$C$8:$C$38, MATCH(1, ('KO DU ĐK 4069'!$D$8:$D$38=BC_SINH!D60)*('KO DU ĐK 4069'!$E$8:$E$38=BC_SINH!E60), 0)),"")</f>
        <v/>
      </c>
      <c r="R60" s="4" t="str">
        <f t="array" ref="R60">IFERROR(INDEX('KO DU ĐK 4069'!$H$8:$H$38, MATCH(1, ('KO DU ĐK 4069'!$D$8:$D$38=BC_SINH!D60)*('KO DU ĐK 4069'!$E$8:$E$38=BC_SINH!E60), 0)),"")</f>
        <v/>
      </c>
      <c r="S60" s="4" t="str">
        <f t="array" ref="S60">IFERROR(INDEX(KeKhaiDangKy!$H$2:$H$4889, MATCH(1, (KeKhaiDangKy!$A$2:$A$4889=BC_SINH!D60)*(KeKhaiDangKy!$B$2:$B$4889=BC_SINH!E60), 0)),"")</f>
        <v>MôR</v>
      </c>
    </row>
    <row r="61" spans="1:19" ht="14.45" customHeight="1" x14ac:dyDescent="0.25">
      <c r="A61" s="4">
        <f>IF(B61&lt;&gt;"", SUBTOTAL(3, $B$2:B61), "")</f>
        <v>60</v>
      </c>
      <c r="B61" s="4" t="s">
        <v>587</v>
      </c>
      <c r="C61" s="4" t="str">
        <f t="shared" si="0"/>
        <v xml:space="preserve"> Kỳ Tăng</v>
      </c>
      <c r="D61" s="4">
        <v>21</v>
      </c>
      <c r="E61" s="4">
        <v>56</v>
      </c>
      <c r="F61" s="4">
        <v>19329</v>
      </c>
      <c r="G61" s="4" t="s">
        <v>11</v>
      </c>
      <c r="H61" s="4" t="str">
        <f t="array" ref="H61">IFERROR(INDEX(DSCKXA!$B$3:$B$73, MATCH(1, (DSCKXA!$D$3:$D$73=BC_SINH!D61)*(DSCKXA!$E$3:$E$73=BC_SINH!E61), 0)),"")</f>
        <v>Hồ Văn Cấp</v>
      </c>
      <c r="I61" s="99" t="str">
        <f t="array" ref="I61">IFERROR(INDEX(DSCKXA!$C$3:$C$73, MATCH(1, (DSCKXA!$D$3:$D$73=BC_SINH!D61)*(DSCKXA!$E$3:$E$73=BC_SINH!E61), 0)),"")</f>
        <v>Thôn Kỳ Tăng</v>
      </c>
      <c r="J61" s="97" t="str">
        <f>IFERROR(VLOOKUP(B61,'Đất sản xuất'!$B$9:$C$216,2,0),"")</f>
        <v xml:space="preserve"> Kỳ Tăng</v>
      </c>
      <c r="K61" s="97" t="str">
        <f>IFERROR(VLOOKUP(B61,'Sản xuất cấp huyên'!$B$9:$C$177,2,0),"")</f>
        <v/>
      </c>
      <c r="L61" s="4" t="str">
        <f>IFERROR(VLOOKUP(B61,'4069'!$B$9:$C$177,2,0),"")</f>
        <v/>
      </c>
      <c r="M61" s="4" t="str">
        <f t="array" ref="M61">IFERROR(INDEX(KODUDK!$C$8:$C$79, MATCH(1, (KODUDK!$D$8:$D$79=BC_SINH!D61)*(KODUDK!$E$8:$E$79=BC_SINH!E61), 0)),"")</f>
        <v/>
      </c>
      <c r="N61" s="4" t="str">
        <f t="array" ref="N61">IFERROR(INDEX(KODUDK!$H$8:$H$79, MATCH(1, (KODUDK!$D$8:$D$79=BC_SINH!D61)*(KODUDK!$E$8:$E$79=BC_SINH!E61), 0)),"")</f>
        <v/>
      </c>
      <c r="O61" s="4" t="str">
        <f t="array" ref="O61">IFERROR(INDEX('KO DU ĐK NQ10'!$C$8:$C$48, MATCH(1, ('KO DU ĐK NQ10'!$D$8:$D$48=BC_SINH!D61)*('KO DU ĐK NQ10'!$E$8:$E$48=BC_SINH!E61), 0)),"")</f>
        <v/>
      </c>
      <c r="P61" s="4" t="str">
        <f t="array" ref="P61">IFERROR(INDEX('KO DU ĐK NQ10'!$H$8:$H$48, MATCH(1, ('KO DU ĐK NQ10'!$D$8:$D$48=BC_SINH!D61)*('KO DU ĐK NQ10'!$E$8:$E$48=BC_SINH!E61), 0)),"")</f>
        <v/>
      </c>
      <c r="Q61" s="4" t="str">
        <f t="array" ref="Q61">IFERROR(INDEX('KO DU ĐK 4069'!$C$8:$C$38, MATCH(1, ('KO DU ĐK 4069'!$D$8:$D$38=BC_SINH!D61)*('KO DU ĐK 4069'!$E$8:$E$38=BC_SINH!E61), 0)),"")</f>
        <v/>
      </c>
      <c r="R61" s="4" t="str">
        <f t="array" ref="R61">IFERROR(INDEX('KO DU ĐK 4069'!$H$8:$H$38, MATCH(1, ('KO DU ĐK 4069'!$D$8:$D$38=BC_SINH!D61)*('KO DU ĐK 4069'!$E$8:$E$38=BC_SINH!E61), 0)),"")</f>
        <v/>
      </c>
      <c r="S61" s="4" t="str">
        <f t="array" ref="S61">IFERROR(INDEX(KeKhaiDangKy!$H$2:$H$4889, MATCH(1, (KeKhaiDangKy!$A$2:$A$4889=BC_SINH!D61)*(KeKhaiDangKy!$B$2:$B$4889=BC_SINH!E61), 0)),"")</f>
        <v>Kỳ Tăng</v>
      </c>
    </row>
    <row r="62" spans="1:19" ht="14.45" customHeight="1" x14ac:dyDescent="0.25">
      <c r="A62" s="4">
        <f>IF(B62&lt;&gt;"", SUBTOTAL(3, $B$2:B62), "")</f>
        <v>61</v>
      </c>
      <c r="B62" s="4" t="s">
        <v>46</v>
      </c>
      <c r="C62" s="4" t="str">
        <f t="shared" si="0"/>
        <v>Kỳ Tăng</v>
      </c>
      <c r="D62" s="4">
        <v>33</v>
      </c>
      <c r="E62" s="4">
        <v>21</v>
      </c>
      <c r="F62" s="4">
        <v>3638</v>
      </c>
      <c r="G62" s="4" t="s">
        <v>11</v>
      </c>
      <c r="H62" s="4" t="str">
        <f t="array" ref="H62">IFERROR(INDEX(DSCKXA!$B$3:$B$73, MATCH(1, (DSCKXA!$D$3:$D$73=BC_SINH!D62)*(DSCKXA!$E$3:$E$73=BC_SINH!E62), 0)),"")</f>
        <v/>
      </c>
      <c r="I62" s="99" t="str">
        <f t="array" ref="I62">IFERROR(INDEX(DSCKXA!$C$3:$C$73, MATCH(1, (DSCKXA!$D$3:$D$73=BC_SINH!D62)*(DSCKXA!$E$3:$E$73=BC_SINH!E62), 0)),"")</f>
        <v/>
      </c>
      <c r="J62" s="97" t="str">
        <f>IFERROR(VLOOKUP(B62,'Đất sản xuất'!$B$9:$C$216,2,0),"")</f>
        <v/>
      </c>
      <c r="K62" s="97" t="str">
        <f>IFERROR(VLOOKUP(B62,'Sản xuất cấp huyên'!$B$9:$C$177,2,0),"")</f>
        <v/>
      </c>
      <c r="L62" s="4" t="str">
        <f>IFERROR(VLOOKUP(B62,'4069'!$B$9:$C$177,2,0),"")</f>
        <v/>
      </c>
      <c r="M62" s="4" t="str">
        <f t="array" ref="M62">IFERROR(INDEX(KODUDK!$C$8:$C$79, MATCH(1, (KODUDK!$D$8:$D$79=BC_SINH!D62)*(KODUDK!$E$8:$E$79=BC_SINH!E62), 0)),"")</f>
        <v/>
      </c>
      <c r="N62" s="4" t="str">
        <f t="array" ref="N62">IFERROR(INDEX(KODUDK!$H$8:$H$79, MATCH(1, (KODUDK!$D$8:$D$79=BC_SINH!D62)*(KODUDK!$E$8:$E$79=BC_SINH!E62), 0)),"")</f>
        <v/>
      </c>
      <c r="O62" s="4" t="str">
        <f t="array" ref="O62">IFERROR(INDEX('KO DU ĐK NQ10'!$C$8:$C$48, MATCH(1, ('KO DU ĐK NQ10'!$D$8:$D$48=BC_SINH!D62)*('KO DU ĐK NQ10'!$E$8:$E$48=BC_SINH!E62), 0)),"")</f>
        <v/>
      </c>
      <c r="P62" s="4" t="str">
        <f t="array" ref="P62">IFERROR(INDEX('KO DU ĐK NQ10'!$H$8:$H$48, MATCH(1, ('KO DU ĐK NQ10'!$D$8:$D$48=BC_SINH!D62)*('KO DU ĐK NQ10'!$E$8:$E$48=BC_SINH!E62), 0)),"")</f>
        <v/>
      </c>
      <c r="Q62" s="4" t="str">
        <f t="array" ref="Q62">IFERROR(INDEX('KO DU ĐK 4069'!$C$8:$C$38, MATCH(1, ('KO DU ĐK 4069'!$D$8:$D$38=BC_SINH!D62)*('KO DU ĐK 4069'!$E$8:$E$38=BC_SINH!E62), 0)),"")</f>
        <v/>
      </c>
      <c r="R62" s="4" t="str">
        <f t="array" ref="R62">IFERROR(INDEX('KO DU ĐK 4069'!$H$8:$H$38, MATCH(1, ('KO DU ĐK 4069'!$D$8:$D$38=BC_SINH!D62)*('KO DU ĐK 4069'!$E$8:$E$38=BC_SINH!E62), 0)),"")</f>
        <v/>
      </c>
      <c r="S62" s="4" t="str">
        <f t="array" ref="S62">IFERROR(INDEX(KeKhaiDangKy!$H$2:$H$4889, MATCH(1, (KeKhaiDangKy!$A$2:$A$4889=BC_SINH!D62)*(KeKhaiDangKy!$B$2:$B$4889=BC_SINH!E62), 0)),"")</f>
        <v>Kỳ Tăng</v>
      </c>
    </row>
    <row r="63" spans="1:19" ht="14.45" customHeight="1" x14ac:dyDescent="0.25">
      <c r="A63" s="4">
        <f>IF(B63&lt;&gt;"", SUBTOTAL(3, $B$2:B63), "")</f>
        <v>62</v>
      </c>
      <c r="B63" s="4" t="s">
        <v>47</v>
      </c>
      <c r="C63" s="4" t="str">
        <f t="shared" si="0"/>
        <v>Kỳ Tăng</v>
      </c>
      <c r="D63" s="4">
        <v>21</v>
      </c>
      <c r="E63" s="4">
        <v>102</v>
      </c>
      <c r="F63" s="4">
        <v>6352</v>
      </c>
      <c r="G63" s="4" t="s">
        <v>11</v>
      </c>
      <c r="H63" s="4" t="str">
        <f t="array" ref="H63">IFERROR(INDEX(DSCKXA!$B$3:$B$73, MATCH(1, (DSCKXA!$D$3:$D$73=BC_SINH!D63)*(DSCKXA!$E$3:$E$73=BC_SINH!E63), 0)),"")</f>
        <v/>
      </c>
      <c r="I63" s="99" t="str">
        <f t="array" ref="I63">IFERROR(INDEX(DSCKXA!$C$3:$C$73, MATCH(1, (DSCKXA!$D$3:$D$73=BC_SINH!D63)*(DSCKXA!$E$3:$E$73=BC_SINH!E63), 0)),"")</f>
        <v/>
      </c>
      <c r="J63" s="97" t="str">
        <f>IFERROR(VLOOKUP(B63,'Đất sản xuất'!$B$9:$C$216,2,0),"")</f>
        <v/>
      </c>
      <c r="K63" s="97" t="str">
        <f>IFERROR(VLOOKUP(B63,'Sản xuất cấp huyên'!$B$9:$C$177,2,0),"")</f>
        <v>Kỳ Tăng</v>
      </c>
      <c r="L63" s="4" t="str">
        <f>IFERROR(VLOOKUP(B63,'4069'!$B$9:$C$177,2,0),"")</f>
        <v>Kỳ Tăng</v>
      </c>
      <c r="M63" s="4" t="str">
        <f t="array" ref="M63">IFERROR(INDEX(KODUDK!$C$8:$C$79, MATCH(1, (KODUDK!$D$8:$D$79=BC_SINH!D63)*(KODUDK!$E$8:$E$79=BC_SINH!E63), 0)),"")</f>
        <v/>
      </c>
      <c r="N63" s="4" t="str">
        <f t="array" ref="N63">IFERROR(INDEX(KODUDK!$H$8:$H$79, MATCH(1, (KODUDK!$D$8:$D$79=BC_SINH!D63)*(KODUDK!$E$8:$E$79=BC_SINH!E63), 0)),"")</f>
        <v/>
      </c>
      <c r="O63" s="4" t="str">
        <f t="array" ref="O63">IFERROR(INDEX('KO DU ĐK NQ10'!$C$8:$C$48, MATCH(1, ('KO DU ĐK NQ10'!$D$8:$D$48=BC_SINH!D63)*('KO DU ĐK NQ10'!$E$8:$E$48=BC_SINH!E63), 0)),"")</f>
        <v/>
      </c>
      <c r="P63" s="4" t="str">
        <f t="array" ref="P63">IFERROR(INDEX('KO DU ĐK NQ10'!$H$8:$H$48, MATCH(1, ('KO DU ĐK NQ10'!$D$8:$D$48=BC_SINH!D63)*('KO DU ĐK NQ10'!$E$8:$E$48=BC_SINH!E63), 0)),"")</f>
        <v/>
      </c>
      <c r="Q63" s="4" t="str">
        <f t="array" ref="Q63">IFERROR(INDEX('KO DU ĐK 4069'!$C$8:$C$38, MATCH(1, ('KO DU ĐK 4069'!$D$8:$D$38=BC_SINH!D63)*('KO DU ĐK 4069'!$E$8:$E$38=BC_SINH!E63), 0)),"")</f>
        <v/>
      </c>
      <c r="R63" s="4" t="str">
        <f t="array" ref="R63">IFERROR(INDEX('KO DU ĐK 4069'!$H$8:$H$38, MATCH(1, ('KO DU ĐK 4069'!$D$8:$D$38=BC_SINH!D63)*('KO DU ĐK 4069'!$E$8:$E$38=BC_SINH!E63), 0)),"")</f>
        <v/>
      </c>
      <c r="S63" s="4" t="str">
        <f t="array" ref="S63">IFERROR(INDEX(KeKhaiDangKy!$H$2:$H$4889, MATCH(1, (KeKhaiDangKy!$A$2:$A$4889=BC_SINH!D63)*(KeKhaiDangKy!$B$2:$B$4889=BC_SINH!E63), 0)),"")</f>
        <v/>
      </c>
    </row>
    <row r="64" spans="1:19" ht="14.45" customHeight="1" x14ac:dyDescent="0.25">
      <c r="A64" s="4">
        <f>IF(B64&lt;&gt;"", SUBTOTAL(3, $B$2:B64), "")</f>
        <v>63</v>
      </c>
      <c r="B64" s="4" t="s">
        <v>48</v>
      </c>
      <c r="C64" s="4" t="str">
        <f t="shared" si="0"/>
        <v xml:space="preserve"> Kỳ Tăng</v>
      </c>
      <c r="D64" s="4">
        <v>3</v>
      </c>
      <c r="E64" s="4">
        <v>2</v>
      </c>
      <c r="F64" s="4">
        <v>3777</v>
      </c>
      <c r="G64" s="4" t="s">
        <v>11</v>
      </c>
      <c r="H64" s="4" t="str">
        <f t="array" ref="H64">IFERROR(INDEX(DSCKXA!$B$3:$B$73, MATCH(1, (DSCKXA!$D$3:$D$73=BC_SINH!D64)*(DSCKXA!$E$3:$E$73=BC_SINH!E64), 0)),"")</f>
        <v/>
      </c>
      <c r="I64" s="99" t="str">
        <f t="array" ref="I64">IFERROR(INDEX(DSCKXA!$C$3:$C$73, MATCH(1, (DSCKXA!$D$3:$D$73=BC_SINH!D64)*(DSCKXA!$E$3:$E$73=BC_SINH!E64), 0)),"")</f>
        <v/>
      </c>
      <c r="J64" s="97" t="str">
        <f>IFERROR(VLOOKUP(B64,'Đất sản xuất'!$B$9:$C$216,2,0),"")</f>
        <v xml:space="preserve"> Kỳ Tăng</v>
      </c>
      <c r="K64" s="97" t="str">
        <f>IFERROR(VLOOKUP(B64,'Sản xuất cấp huyên'!$B$9:$C$177,2,0),"")</f>
        <v>Kỳ Nơi</v>
      </c>
      <c r="L64" s="4" t="str">
        <f>IFERROR(VLOOKUP(B64,'4069'!$B$9:$C$177,2,0),"")</f>
        <v>Kỳ Nơi</v>
      </c>
      <c r="M64" s="4" t="str">
        <f t="array" ref="M64">IFERROR(INDEX(KODUDK!$C$8:$C$79, MATCH(1, (KODUDK!$D$8:$D$79=BC_SINH!D64)*(KODUDK!$E$8:$E$79=BC_SINH!E64), 0)),"")</f>
        <v/>
      </c>
      <c r="N64" s="4" t="str">
        <f t="array" ref="N64">IFERROR(INDEX(KODUDK!$H$8:$H$79, MATCH(1, (KODUDK!$D$8:$D$79=BC_SINH!D64)*(KODUDK!$E$8:$E$79=BC_SINH!E64), 0)),"")</f>
        <v/>
      </c>
      <c r="O64" s="4" t="str">
        <f t="array" ref="O64">IFERROR(INDEX('KO DU ĐK NQ10'!$C$8:$C$48, MATCH(1, ('KO DU ĐK NQ10'!$D$8:$D$48=BC_SINH!D64)*('KO DU ĐK NQ10'!$E$8:$E$48=BC_SINH!E64), 0)),"")</f>
        <v/>
      </c>
      <c r="P64" s="4" t="str">
        <f t="array" ref="P64">IFERROR(INDEX('KO DU ĐK NQ10'!$H$8:$H$48, MATCH(1, ('KO DU ĐK NQ10'!$D$8:$D$48=BC_SINH!D64)*('KO DU ĐK NQ10'!$E$8:$E$48=BC_SINH!E64), 0)),"")</f>
        <v/>
      </c>
      <c r="Q64" s="4" t="str">
        <f t="array" ref="Q64">IFERROR(INDEX('KO DU ĐK 4069'!$C$8:$C$38, MATCH(1, ('KO DU ĐK 4069'!$D$8:$D$38=BC_SINH!D64)*('KO DU ĐK 4069'!$E$8:$E$38=BC_SINH!E64), 0)),"")</f>
        <v/>
      </c>
      <c r="R64" s="4" t="str">
        <f t="array" ref="R64">IFERROR(INDEX('KO DU ĐK 4069'!$H$8:$H$38, MATCH(1, ('KO DU ĐK 4069'!$D$8:$D$38=BC_SINH!D64)*('KO DU ĐK 4069'!$E$8:$E$38=BC_SINH!E64), 0)),"")</f>
        <v/>
      </c>
      <c r="S64" s="4" t="str">
        <f t="array" ref="S64">IFERROR(INDEX(KeKhaiDangKy!$H$2:$H$4889, MATCH(1, (KeKhaiDangKy!$A$2:$A$4889=BC_SINH!D64)*(KeKhaiDangKy!$B$2:$B$4889=BC_SINH!E64), 0)),"")</f>
        <v>Kỳ Nơi</v>
      </c>
    </row>
    <row r="65" spans="1:19" ht="14.45" customHeight="1" x14ac:dyDescent="0.25">
      <c r="A65" s="4">
        <f>IF(B65&lt;&gt;"", SUBTOTAL(3, $B$2:B65), "")</f>
        <v>64</v>
      </c>
      <c r="B65" s="4" t="s">
        <v>49</v>
      </c>
      <c r="C65" s="4" t="str">
        <f t="shared" si="0"/>
        <v xml:space="preserve"> A Quan</v>
      </c>
      <c r="D65" s="4">
        <v>21</v>
      </c>
      <c r="E65" s="4">
        <v>103</v>
      </c>
      <c r="F65" s="4">
        <v>15109</v>
      </c>
      <c r="G65" s="4" t="s">
        <v>11</v>
      </c>
      <c r="H65" s="4" t="str">
        <f t="array" ref="H65">IFERROR(INDEX(DSCKXA!$B$3:$B$73, MATCH(1, (DSCKXA!$D$3:$D$73=BC_SINH!D65)*(DSCKXA!$E$3:$E$73=BC_SINH!E65), 0)),"")</f>
        <v>Hồ Văn Chiêm</v>
      </c>
      <c r="I65" s="99" t="str">
        <f t="array" ref="I65">IFERROR(INDEX(DSCKXA!$C$3:$C$73, MATCH(1, (DSCKXA!$D$3:$D$73=BC_SINH!D65)*(DSCKXA!$E$3:$E$73=BC_SINH!E65), 0)),"")</f>
        <v>Thôn A Quan</v>
      </c>
      <c r="J65" s="97" t="str">
        <f>IFERROR(VLOOKUP(B65,'Đất sản xuất'!$B$9:$C$216,2,0),"")</f>
        <v xml:space="preserve"> A Quan</v>
      </c>
      <c r="K65" s="97" t="str">
        <f>IFERROR(VLOOKUP(B65,'Sản xuất cấp huyên'!$B$9:$C$177,2,0),"")</f>
        <v/>
      </c>
      <c r="L65" s="4" t="str">
        <f>IFERROR(VLOOKUP(B65,'4069'!$B$9:$C$177,2,0),"")</f>
        <v/>
      </c>
      <c r="M65" s="4" t="str">
        <f t="array" ref="M65">IFERROR(INDEX(KODUDK!$C$8:$C$79, MATCH(1, (KODUDK!$D$8:$D$79=BC_SINH!D65)*(KODUDK!$E$8:$E$79=BC_SINH!E65), 0)),"")</f>
        <v/>
      </c>
      <c r="N65" s="4" t="str">
        <f t="array" ref="N65">IFERROR(INDEX(KODUDK!$H$8:$H$79, MATCH(1, (KODUDK!$D$8:$D$79=BC_SINH!D65)*(KODUDK!$E$8:$E$79=BC_SINH!E65), 0)),"")</f>
        <v/>
      </c>
      <c r="O65" s="4" t="str">
        <f t="array" ref="O65">IFERROR(INDEX('KO DU ĐK NQ10'!$C$8:$C$48, MATCH(1, ('KO DU ĐK NQ10'!$D$8:$D$48=BC_SINH!D65)*('KO DU ĐK NQ10'!$E$8:$E$48=BC_SINH!E65), 0)),"")</f>
        <v/>
      </c>
      <c r="P65" s="4" t="str">
        <f t="array" ref="P65">IFERROR(INDEX('KO DU ĐK NQ10'!$H$8:$H$48, MATCH(1, ('KO DU ĐK NQ10'!$D$8:$D$48=BC_SINH!D65)*('KO DU ĐK NQ10'!$E$8:$E$48=BC_SINH!E65), 0)),"")</f>
        <v/>
      </c>
      <c r="Q65" s="4" t="str">
        <f t="array" ref="Q65">IFERROR(INDEX('KO DU ĐK 4069'!$C$8:$C$38, MATCH(1, ('KO DU ĐK 4069'!$D$8:$D$38=BC_SINH!D65)*('KO DU ĐK 4069'!$E$8:$E$38=BC_SINH!E65), 0)),"")</f>
        <v/>
      </c>
      <c r="R65" s="4" t="str">
        <f t="array" ref="R65">IFERROR(INDEX('KO DU ĐK 4069'!$H$8:$H$38, MATCH(1, ('KO DU ĐK 4069'!$D$8:$D$38=BC_SINH!D65)*('KO DU ĐK 4069'!$E$8:$E$38=BC_SINH!E65), 0)),"")</f>
        <v/>
      </c>
      <c r="S65" s="4" t="str">
        <f t="array" ref="S65">IFERROR(INDEX(KeKhaiDangKy!$H$2:$H$4889, MATCH(1, (KeKhaiDangKy!$A$2:$A$4889=BC_SINH!D65)*(KeKhaiDangKy!$B$2:$B$4889=BC_SINH!E65), 0)),"")</f>
        <v/>
      </c>
    </row>
    <row r="66" spans="1:19" ht="14.45" customHeight="1" x14ac:dyDescent="0.25">
      <c r="A66" s="4">
        <f>IF(B66&lt;&gt;"", SUBTOTAL(3, $B$2:B66), "")</f>
        <v>65</v>
      </c>
      <c r="B66" s="4" t="s">
        <v>49</v>
      </c>
      <c r="C66" s="4" t="str">
        <f t="shared" ref="C66:C129" si="1">IF(J66&lt;&gt;"", J66, IF(L66&lt;&gt;"", L66, IF(M66&lt;&gt;"", M66, IF(N66&lt;&gt;"", N66, IF(O66&lt;&gt;"", O66, IF(P66&lt;&gt;"", P66, IF(Q66&lt;&gt;"", Q66, IF(R66&lt;&gt;"", R66, S66))))))))</f>
        <v xml:space="preserve"> A Quan</v>
      </c>
      <c r="D66" s="4">
        <v>21</v>
      </c>
      <c r="E66" s="4">
        <v>105</v>
      </c>
      <c r="F66" s="4">
        <v>2993</v>
      </c>
      <c r="G66" s="4" t="s">
        <v>11</v>
      </c>
      <c r="H66" s="4" t="str">
        <f t="array" ref="H66">IFERROR(INDEX(DSCKXA!$B$3:$B$73, MATCH(1, (DSCKXA!$D$3:$D$73=BC_SINH!D66)*(DSCKXA!$E$3:$E$73=BC_SINH!E66), 0)),"")</f>
        <v/>
      </c>
      <c r="I66" s="99" t="str">
        <f t="array" ref="I66">IFERROR(INDEX(DSCKXA!$C$3:$C$73, MATCH(1, (DSCKXA!$D$3:$D$73=BC_SINH!D66)*(DSCKXA!$E$3:$E$73=BC_SINH!E66), 0)),"")</f>
        <v/>
      </c>
      <c r="J66" s="97" t="str">
        <f>IFERROR(VLOOKUP(B66,'Đất sản xuất'!$B$9:$C$216,2,0),"")</f>
        <v xml:space="preserve"> A Quan</v>
      </c>
      <c r="K66" s="97" t="str">
        <f>IFERROR(VLOOKUP(B66,'Sản xuất cấp huyên'!$B$9:$C$177,2,0),"")</f>
        <v/>
      </c>
      <c r="L66" s="4" t="str">
        <f>IFERROR(VLOOKUP(B66,'4069'!$B$9:$C$177,2,0),"")</f>
        <v/>
      </c>
      <c r="M66" s="4" t="str">
        <f t="array" ref="M66">IFERROR(INDEX(KODUDK!$C$8:$C$79, MATCH(1, (KODUDK!$D$8:$D$79=BC_SINH!D66)*(KODUDK!$E$8:$E$79=BC_SINH!E66), 0)),"")</f>
        <v>A Quan</v>
      </c>
      <c r="N66" s="4" t="str">
        <f t="array" ref="N66">IFERROR(INDEX(KODUDK!$H$8:$H$79, MATCH(1, (KODUDK!$D$8:$D$79=BC_SINH!D66)*(KODUDK!$E$8:$E$79=BC_SINH!E66), 0)),"")</f>
        <v>Có 02 thửa đất nên loại 01 thửa</v>
      </c>
      <c r="O66" s="4" t="str">
        <f t="array" ref="O66">IFERROR(INDEX('KO DU ĐK NQ10'!$C$8:$C$48, MATCH(1, ('KO DU ĐK NQ10'!$D$8:$D$48=BC_SINH!D66)*('KO DU ĐK NQ10'!$E$8:$E$48=BC_SINH!E66), 0)),"")</f>
        <v>A Quan</v>
      </c>
      <c r="P66" s="4" t="str">
        <f t="array" ref="P66">IFERROR(INDEX('KO DU ĐK NQ10'!$H$8:$H$48, MATCH(1, ('KO DU ĐK NQ10'!$D$8:$D$48=BC_SINH!D66)*('KO DU ĐK NQ10'!$E$8:$E$48=BC_SINH!E66), 0)),"")</f>
        <v>Có 02 thửa đất nên loại 01 thửa</v>
      </c>
      <c r="Q66" s="4" t="str">
        <f t="array" ref="Q66">IFERROR(INDEX('KO DU ĐK 4069'!$C$8:$C$38, MATCH(1, ('KO DU ĐK 4069'!$D$8:$D$38=BC_SINH!D66)*('KO DU ĐK 4069'!$E$8:$E$38=BC_SINH!E66), 0)),"")</f>
        <v/>
      </c>
      <c r="R66" s="4" t="str">
        <f t="array" ref="R66">IFERROR(INDEX('KO DU ĐK 4069'!$H$8:$H$38, MATCH(1, ('KO DU ĐK 4069'!$D$8:$D$38=BC_SINH!D66)*('KO DU ĐK 4069'!$E$8:$E$38=BC_SINH!E66), 0)),"")</f>
        <v/>
      </c>
      <c r="S66" s="4" t="str">
        <f t="array" ref="S66">IFERROR(INDEX(KeKhaiDangKy!$H$2:$H$4889, MATCH(1, (KeKhaiDangKy!$A$2:$A$4889=BC_SINH!D66)*(KeKhaiDangKy!$B$2:$B$4889=BC_SINH!E66), 0)),"")</f>
        <v/>
      </c>
    </row>
    <row r="67" spans="1:19" ht="14.45" customHeight="1" x14ac:dyDescent="0.25">
      <c r="A67" s="4">
        <f>IF(B67&lt;&gt;"", SUBTOTAL(3, $B$2:B67), "")</f>
        <v>66</v>
      </c>
      <c r="B67" s="4" t="s">
        <v>49</v>
      </c>
      <c r="C67" s="4" t="str">
        <f t="shared" si="1"/>
        <v xml:space="preserve"> A Quan</v>
      </c>
      <c r="D67" s="4">
        <v>21</v>
      </c>
      <c r="E67" s="4">
        <v>69</v>
      </c>
      <c r="F67" s="4">
        <v>5865</v>
      </c>
      <c r="G67" s="4" t="s">
        <v>11</v>
      </c>
      <c r="H67" s="4" t="str">
        <f t="array" ref="H67">IFERROR(INDEX(DSCKXA!$B$3:$B$73, MATCH(1, (DSCKXA!$D$3:$D$73=BC_SINH!D67)*(DSCKXA!$E$3:$E$73=BC_SINH!E67), 0)),"")</f>
        <v/>
      </c>
      <c r="I67" s="99" t="str">
        <f t="array" ref="I67">IFERROR(INDEX(DSCKXA!$C$3:$C$73, MATCH(1, (DSCKXA!$D$3:$D$73=BC_SINH!D67)*(DSCKXA!$E$3:$E$73=BC_SINH!E67), 0)),"")</f>
        <v/>
      </c>
      <c r="J67" s="97" t="str">
        <f>IFERROR(VLOOKUP(B67,'Đất sản xuất'!$B$9:$C$216,2,0),"")</f>
        <v xml:space="preserve"> A Quan</v>
      </c>
      <c r="K67" s="97" t="str">
        <f>IFERROR(VLOOKUP(B67,'Sản xuất cấp huyên'!$B$9:$C$177,2,0),"")</f>
        <v/>
      </c>
      <c r="L67" s="4" t="str">
        <f>IFERROR(VLOOKUP(B67,'4069'!$B$9:$C$177,2,0),"")</f>
        <v/>
      </c>
      <c r="M67" s="4" t="str">
        <f t="array" ref="M67">IFERROR(INDEX(KODUDK!$C$8:$C$79, MATCH(1, (KODUDK!$D$8:$D$79=BC_SINH!D67)*(KODUDK!$E$8:$E$79=BC_SINH!E67), 0)),"")</f>
        <v/>
      </c>
      <c r="N67" s="4" t="str">
        <f t="array" ref="N67">IFERROR(INDEX(KODUDK!$H$8:$H$79, MATCH(1, (KODUDK!$D$8:$D$79=BC_SINH!D67)*(KODUDK!$E$8:$E$79=BC_SINH!E67), 0)),"")</f>
        <v/>
      </c>
      <c r="O67" s="4" t="str">
        <f t="array" ref="O67">IFERROR(INDEX('KO DU ĐK NQ10'!$C$8:$C$48, MATCH(1, ('KO DU ĐK NQ10'!$D$8:$D$48=BC_SINH!D67)*('KO DU ĐK NQ10'!$E$8:$E$48=BC_SINH!E67), 0)),"")</f>
        <v/>
      </c>
      <c r="P67" s="4" t="str">
        <f t="array" ref="P67">IFERROR(INDEX('KO DU ĐK NQ10'!$H$8:$H$48, MATCH(1, ('KO DU ĐK NQ10'!$D$8:$D$48=BC_SINH!D67)*('KO DU ĐK NQ10'!$E$8:$E$48=BC_SINH!E67), 0)),"")</f>
        <v/>
      </c>
      <c r="Q67" s="4" t="str">
        <f t="array" ref="Q67">IFERROR(INDEX('KO DU ĐK 4069'!$C$8:$C$38, MATCH(1, ('KO DU ĐK 4069'!$D$8:$D$38=BC_SINH!D67)*('KO DU ĐK 4069'!$E$8:$E$38=BC_SINH!E67), 0)),"")</f>
        <v/>
      </c>
      <c r="R67" s="4" t="str">
        <f t="array" ref="R67">IFERROR(INDEX('KO DU ĐK 4069'!$H$8:$H$38, MATCH(1, ('KO DU ĐK 4069'!$D$8:$D$38=BC_SINH!D67)*('KO DU ĐK 4069'!$E$8:$E$38=BC_SINH!E67), 0)),"")</f>
        <v/>
      </c>
      <c r="S67" s="4" t="str">
        <f t="array" ref="S67">IFERROR(INDEX(KeKhaiDangKy!$H$2:$H$4889, MATCH(1, (KeKhaiDangKy!$A$2:$A$4889=BC_SINH!D67)*(KeKhaiDangKy!$B$2:$B$4889=BC_SINH!E67), 0)),"")</f>
        <v>A Quan</v>
      </c>
    </row>
    <row r="68" spans="1:19" ht="14.45" customHeight="1" x14ac:dyDescent="0.25">
      <c r="A68" s="4">
        <f>IF(B68&lt;&gt;"", SUBTOTAL(3, $B$2:B68), "")</f>
        <v>67</v>
      </c>
      <c r="B68" s="4" t="s">
        <v>50</v>
      </c>
      <c r="C68" s="4" t="str">
        <f t="shared" si="1"/>
        <v>A Xau</v>
      </c>
      <c r="D68" s="4">
        <v>21</v>
      </c>
      <c r="E68" s="4">
        <v>106</v>
      </c>
      <c r="F68" s="4">
        <v>7931</v>
      </c>
      <c r="G68" s="4" t="s">
        <v>11</v>
      </c>
      <c r="H68" s="4" t="str">
        <f t="array" ref="H68">IFERROR(INDEX(DSCKXA!$B$3:$B$73, MATCH(1, (DSCKXA!$D$3:$D$73=BC_SINH!D68)*(DSCKXA!$E$3:$E$73=BC_SINH!E68), 0)),"")</f>
        <v/>
      </c>
      <c r="I68" s="99" t="str">
        <f t="array" ref="I68">IFERROR(INDEX(DSCKXA!$C$3:$C$73, MATCH(1, (DSCKXA!$D$3:$D$73=BC_SINH!D68)*(DSCKXA!$E$3:$E$73=BC_SINH!E68), 0)),"")</f>
        <v/>
      </c>
      <c r="J68" s="97" t="str">
        <f>IFERROR(VLOOKUP(B68,'Đất sản xuất'!$B$9:$C$216,2,0),"")</f>
        <v>A Xau</v>
      </c>
      <c r="K68" s="97" t="str">
        <f>IFERROR(VLOOKUP(B68,'Sản xuất cấp huyên'!$B$9:$C$177,2,0),"")</f>
        <v>A Xói Hang</v>
      </c>
      <c r="L68" s="4" t="str">
        <f>IFERROR(VLOOKUP(B68,'4069'!$B$9:$C$177,2,0),"")</f>
        <v>A Xói Hang</v>
      </c>
      <c r="M68" s="4" t="str">
        <f t="array" ref="M68">IFERROR(INDEX(KODUDK!$C$8:$C$79, MATCH(1, (KODUDK!$D$8:$D$79=BC_SINH!D68)*(KODUDK!$E$8:$E$79=BC_SINH!E68), 0)),"")</f>
        <v/>
      </c>
      <c r="N68" s="4" t="str">
        <f t="array" ref="N68">IFERROR(INDEX(KODUDK!$H$8:$H$79, MATCH(1, (KODUDK!$D$8:$D$79=BC_SINH!D68)*(KODUDK!$E$8:$E$79=BC_SINH!E68), 0)),"")</f>
        <v/>
      </c>
      <c r="O68" s="4" t="str">
        <f t="array" ref="O68">IFERROR(INDEX('KO DU ĐK NQ10'!$C$8:$C$48, MATCH(1, ('KO DU ĐK NQ10'!$D$8:$D$48=BC_SINH!D68)*('KO DU ĐK NQ10'!$E$8:$E$48=BC_SINH!E68), 0)),"")</f>
        <v/>
      </c>
      <c r="P68" s="4" t="str">
        <f t="array" ref="P68">IFERROR(INDEX('KO DU ĐK NQ10'!$H$8:$H$48, MATCH(1, ('KO DU ĐK NQ10'!$D$8:$D$48=BC_SINH!D68)*('KO DU ĐK NQ10'!$E$8:$E$48=BC_SINH!E68), 0)),"")</f>
        <v/>
      </c>
      <c r="Q68" s="4" t="str">
        <f t="array" ref="Q68">IFERROR(INDEX('KO DU ĐK 4069'!$C$8:$C$38, MATCH(1, ('KO DU ĐK 4069'!$D$8:$D$38=BC_SINH!D68)*('KO DU ĐK 4069'!$E$8:$E$38=BC_SINH!E68), 0)),"")</f>
        <v/>
      </c>
      <c r="R68" s="4" t="str">
        <f t="array" ref="R68">IFERROR(INDEX('KO DU ĐK 4069'!$H$8:$H$38, MATCH(1, ('KO DU ĐK 4069'!$D$8:$D$38=BC_SINH!D68)*('KO DU ĐK 4069'!$E$8:$E$38=BC_SINH!E68), 0)),"")</f>
        <v/>
      </c>
      <c r="S68" s="4" t="str">
        <f t="array" ref="S68">IFERROR(INDEX(KeKhaiDangKy!$H$2:$H$4889, MATCH(1, (KeKhaiDangKy!$A$2:$A$4889=BC_SINH!D68)*(KeKhaiDangKy!$B$2:$B$4889=BC_SINH!E68), 0)),"")</f>
        <v/>
      </c>
    </row>
    <row r="69" spans="1:19" ht="14.45" customHeight="1" x14ac:dyDescent="0.25">
      <c r="A69" s="4">
        <f>IF(B69&lt;&gt;"", SUBTOTAL(3, $B$2:B69), "")</f>
        <v>68</v>
      </c>
      <c r="B69" s="4" t="s">
        <v>51</v>
      </c>
      <c r="C69" s="4" t="str">
        <f t="shared" si="1"/>
        <v xml:space="preserve"> Kỳ Tăng</v>
      </c>
      <c r="D69" s="4">
        <v>21</v>
      </c>
      <c r="E69" s="4">
        <v>107</v>
      </c>
      <c r="F69" s="4">
        <v>6979</v>
      </c>
      <c r="G69" s="4" t="s">
        <v>11</v>
      </c>
      <c r="H69" s="4" t="str">
        <f t="array" ref="H69">IFERROR(INDEX(DSCKXA!$B$3:$B$73, MATCH(1, (DSCKXA!$D$3:$D$73=BC_SINH!D69)*(DSCKXA!$E$3:$E$73=BC_SINH!E69), 0)),"")</f>
        <v/>
      </c>
      <c r="I69" s="99" t="str">
        <f t="array" ref="I69">IFERROR(INDEX(DSCKXA!$C$3:$C$73, MATCH(1, (DSCKXA!$D$3:$D$73=BC_SINH!D69)*(DSCKXA!$E$3:$E$73=BC_SINH!E69), 0)),"")</f>
        <v/>
      </c>
      <c r="J69" s="97" t="str">
        <f>IFERROR(VLOOKUP(B69,'Đất sản xuất'!$B$9:$C$216,2,0),"")</f>
        <v xml:space="preserve"> Kỳ Tăng</v>
      </c>
      <c r="K69" s="97" t="str">
        <f>IFERROR(VLOOKUP(B69,'Sản xuất cấp huyên'!$B$9:$C$177,2,0),"")</f>
        <v/>
      </c>
      <c r="L69" s="4" t="str">
        <f>IFERROR(VLOOKUP(B69,'4069'!$B$9:$C$177,2,0),"")</f>
        <v/>
      </c>
      <c r="M69" s="4" t="str">
        <f t="array" ref="M69">IFERROR(INDEX(KODUDK!$C$8:$C$79, MATCH(1, (KODUDK!$D$8:$D$79=BC_SINH!D69)*(KODUDK!$E$8:$E$79=BC_SINH!E69), 0)),"")</f>
        <v/>
      </c>
      <c r="N69" s="4" t="str">
        <f t="array" ref="N69">IFERROR(INDEX(KODUDK!$H$8:$H$79, MATCH(1, (KODUDK!$D$8:$D$79=BC_SINH!D69)*(KODUDK!$E$8:$E$79=BC_SINH!E69), 0)),"")</f>
        <v/>
      </c>
      <c r="O69" s="4" t="str">
        <f t="array" ref="O69">IFERROR(INDEX('KO DU ĐK NQ10'!$C$8:$C$48, MATCH(1, ('KO DU ĐK NQ10'!$D$8:$D$48=BC_SINH!D69)*('KO DU ĐK NQ10'!$E$8:$E$48=BC_SINH!E69), 0)),"")</f>
        <v/>
      </c>
      <c r="P69" s="4" t="str">
        <f t="array" ref="P69">IFERROR(INDEX('KO DU ĐK NQ10'!$H$8:$H$48, MATCH(1, ('KO DU ĐK NQ10'!$D$8:$D$48=BC_SINH!D69)*('KO DU ĐK NQ10'!$E$8:$E$48=BC_SINH!E69), 0)),"")</f>
        <v/>
      </c>
      <c r="Q69" s="4" t="str">
        <f t="array" ref="Q69">IFERROR(INDEX('KO DU ĐK 4069'!$C$8:$C$38, MATCH(1, ('KO DU ĐK 4069'!$D$8:$D$38=BC_SINH!D69)*('KO DU ĐK 4069'!$E$8:$E$38=BC_SINH!E69), 0)),"")</f>
        <v/>
      </c>
      <c r="R69" s="4" t="str">
        <f t="array" ref="R69">IFERROR(INDEX('KO DU ĐK 4069'!$H$8:$H$38, MATCH(1, ('KO DU ĐK 4069'!$D$8:$D$38=BC_SINH!D69)*('KO DU ĐK 4069'!$E$8:$E$38=BC_SINH!E69), 0)),"")</f>
        <v/>
      </c>
      <c r="S69" s="4" t="str">
        <f t="array" ref="S69">IFERROR(INDEX(KeKhaiDangKy!$H$2:$H$4889, MATCH(1, (KeKhaiDangKy!$A$2:$A$4889=BC_SINH!D69)*(KeKhaiDangKy!$B$2:$B$4889=BC_SINH!E69), 0)),"")</f>
        <v/>
      </c>
    </row>
    <row r="70" spans="1:19" ht="14.45" customHeight="1" x14ac:dyDescent="0.25">
      <c r="A70" s="4">
        <f>IF(B70&lt;&gt;"", SUBTOTAL(3, $B$2:B70), "")</f>
        <v>69</v>
      </c>
      <c r="B70" s="4" t="s">
        <v>51</v>
      </c>
      <c r="C70" s="4" t="str">
        <f t="shared" si="1"/>
        <v xml:space="preserve"> Kỳ Tăng</v>
      </c>
      <c r="D70" s="4">
        <v>21</v>
      </c>
      <c r="E70" s="4">
        <v>108</v>
      </c>
      <c r="F70" s="4">
        <v>31282</v>
      </c>
      <c r="G70" s="4" t="s">
        <v>11</v>
      </c>
      <c r="H70" s="4" t="str">
        <f t="array" ref="H70">IFERROR(INDEX(DSCKXA!$B$3:$B$73, MATCH(1, (DSCKXA!$D$3:$D$73=BC_SINH!D70)*(DSCKXA!$E$3:$E$73=BC_SINH!E70), 0)),"")</f>
        <v>Hồ Văn Chiếp</v>
      </c>
      <c r="I70" s="99" t="str">
        <f t="array" ref="I70">IFERROR(INDEX(DSCKXA!$C$3:$C$73, MATCH(1, (DSCKXA!$D$3:$D$73=BC_SINH!D70)*(DSCKXA!$E$3:$E$73=BC_SINH!E70), 0)),"")</f>
        <v>Thôn Kỳ Tăng</v>
      </c>
      <c r="J70" s="97" t="str">
        <f>IFERROR(VLOOKUP(B70,'Đất sản xuất'!$B$9:$C$216,2,0),"")</f>
        <v xml:space="preserve"> Kỳ Tăng</v>
      </c>
      <c r="K70" s="97" t="str">
        <f>IFERROR(VLOOKUP(B70,'Sản xuất cấp huyên'!$B$9:$C$177,2,0),"")</f>
        <v/>
      </c>
      <c r="L70" s="4" t="str">
        <f>IFERROR(VLOOKUP(B70,'4069'!$B$9:$C$177,2,0),"")</f>
        <v/>
      </c>
      <c r="M70" s="4" t="str">
        <f t="array" ref="M70">IFERROR(INDEX(KODUDK!$C$8:$C$79, MATCH(1, (KODUDK!$D$8:$D$79=BC_SINH!D70)*(KODUDK!$E$8:$E$79=BC_SINH!E70), 0)),"")</f>
        <v>Kỳ Tăng</v>
      </c>
      <c r="N70" s="4" t="str">
        <f t="array" ref="N70">IFERROR(INDEX(KODUDK!$H$8:$H$79, MATCH(1, (KODUDK!$D$8:$D$79=BC_SINH!D70)*(KODUDK!$E$8:$E$79=BC_SINH!E70), 0)),"")</f>
        <v>Có 04 thửa đất nên loại 03 thửa</v>
      </c>
      <c r="O70" s="4" t="str">
        <f t="array" ref="O70">IFERROR(INDEX('KO DU ĐK NQ10'!$C$8:$C$48, MATCH(1, ('KO DU ĐK NQ10'!$D$8:$D$48=BC_SINH!D70)*('KO DU ĐK NQ10'!$E$8:$E$48=BC_SINH!E70), 0)),"")</f>
        <v>Kỳ Tăng</v>
      </c>
      <c r="P70" s="4" t="str">
        <f t="array" ref="P70">IFERROR(INDEX('KO DU ĐK NQ10'!$H$8:$H$48, MATCH(1, ('KO DU ĐK NQ10'!$D$8:$D$48=BC_SINH!D70)*('KO DU ĐK NQ10'!$E$8:$E$48=BC_SINH!E70), 0)),"")</f>
        <v>Có 04 thửa đất nên loại 03 thửa</v>
      </c>
      <c r="Q70" s="4" t="str">
        <f t="array" ref="Q70">IFERROR(INDEX('KO DU ĐK 4069'!$C$8:$C$38, MATCH(1, ('KO DU ĐK 4069'!$D$8:$D$38=BC_SINH!D70)*('KO DU ĐK 4069'!$E$8:$E$38=BC_SINH!E70), 0)),"")</f>
        <v/>
      </c>
      <c r="R70" s="4" t="str">
        <f t="array" ref="R70">IFERROR(INDEX('KO DU ĐK 4069'!$H$8:$H$38, MATCH(1, ('KO DU ĐK 4069'!$D$8:$D$38=BC_SINH!D70)*('KO DU ĐK 4069'!$E$8:$E$38=BC_SINH!E70), 0)),"")</f>
        <v/>
      </c>
      <c r="S70" s="4" t="str">
        <f t="array" ref="S70">IFERROR(INDEX(KeKhaiDangKy!$H$2:$H$4889, MATCH(1, (KeKhaiDangKy!$A$2:$A$4889=BC_SINH!D70)*(KeKhaiDangKy!$B$2:$B$4889=BC_SINH!E70), 0)),"")</f>
        <v/>
      </c>
    </row>
    <row r="71" spans="1:19" ht="14.45" customHeight="1" x14ac:dyDescent="0.25">
      <c r="A71" s="4">
        <f>IF(B71&lt;&gt;"", SUBTOTAL(3, $B$2:B71), "")</f>
        <v>70</v>
      </c>
      <c r="B71" s="4" t="s">
        <v>51</v>
      </c>
      <c r="C71" s="4" t="str">
        <f t="shared" si="1"/>
        <v xml:space="preserve"> Kỳ Tăng</v>
      </c>
      <c r="D71" s="4">
        <v>21</v>
      </c>
      <c r="E71" s="4">
        <v>109</v>
      </c>
      <c r="F71" s="4">
        <v>3686</v>
      </c>
      <c r="G71" s="4" t="s">
        <v>11</v>
      </c>
      <c r="H71" s="4" t="str">
        <f t="array" ref="H71">IFERROR(INDEX(DSCKXA!$B$3:$B$73, MATCH(1, (DSCKXA!$D$3:$D$73=BC_SINH!D71)*(DSCKXA!$E$3:$E$73=BC_SINH!E71), 0)),"")</f>
        <v/>
      </c>
      <c r="I71" s="99" t="str">
        <f t="array" ref="I71">IFERROR(INDEX(DSCKXA!$C$3:$C$73, MATCH(1, (DSCKXA!$D$3:$D$73=BC_SINH!D71)*(DSCKXA!$E$3:$E$73=BC_SINH!E71), 0)),"")</f>
        <v/>
      </c>
      <c r="J71" s="97" t="str">
        <f>IFERROR(VLOOKUP(B71,'Đất sản xuất'!$B$9:$C$216,2,0),"")</f>
        <v xml:space="preserve"> Kỳ Tăng</v>
      </c>
      <c r="K71" s="97" t="str">
        <f>IFERROR(VLOOKUP(B71,'Sản xuất cấp huyên'!$B$9:$C$177,2,0),"")</f>
        <v/>
      </c>
      <c r="L71" s="4" t="str">
        <f>IFERROR(VLOOKUP(B71,'4069'!$B$9:$C$177,2,0),"")</f>
        <v/>
      </c>
      <c r="M71" s="4" t="str">
        <f t="array" ref="M71">IFERROR(INDEX(KODUDK!$C$8:$C$79, MATCH(1, (KODUDK!$D$8:$D$79=BC_SINH!D71)*(KODUDK!$E$8:$E$79=BC_SINH!E71), 0)),"")</f>
        <v>Kỳ Tăng</v>
      </c>
      <c r="N71" s="4" t="str">
        <f t="array" ref="N71">IFERROR(INDEX(KODUDK!$H$8:$H$79, MATCH(1, (KODUDK!$D$8:$D$79=BC_SINH!D71)*(KODUDK!$E$8:$E$79=BC_SINH!E71), 0)),"")</f>
        <v>Có 04 thửa đất nên loại 03 thửa</v>
      </c>
      <c r="O71" s="4" t="str">
        <f t="array" ref="O71">IFERROR(INDEX('KO DU ĐK NQ10'!$C$8:$C$48, MATCH(1, ('KO DU ĐK NQ10'!$D$8:$D$48=BC_SINH!D71)*('KO DU ĐK NQ10'!$E$8:$E$48=BC_SINH!E71), 0)),"")</f>
        <v>Kỳ Tăng</v>
      </c>
      <c r="P71" s="4" t="str">
        <f t="array" ref="P71">IFERROR(INDEX('KO DU ĐK NQ10'!$H$8:$H$48, MATCH(1, ('KO DU ĐK NQ10'!$D$8:$D$48=BC_SINH!D71)*('KO DU ĐK NQ10'!$E$8:$E$48=BC_SINH!E71), 0)),"")</f>
        <v>Có 04 thửa đất nên loại 03 thửa</v>
      </c>
      <c r="Q71" s="4" t="str">
        <f t="array" ref="Q71">IFERROR(INDEX('KO DU ĐK 4069'!$C$8:$C$38, MATCH(1, ('KO DU ĐK 4069'!$D$8:$D$38=BC_SINH!D71)*('KO DU ĐK 4069'!$E$8:$E$38=BC_SINH!E71), 0)),"")</f>
        <v/>
      </c>
      <c r="R71" s="4" t="str">
        <f t="array" ref="R71">IFERROR(INDEX('KO DU ĐK 4069'!$H$8:$H$38, MATCH(1, ('KO DU ĐK 4069'!$D$8:$D$38=BC_SINH!D71)*('KO DU ĐK 4069'!$E$8:$E$38=BC_SINH!E71), 0)),"")</f>
        <v/>
      </c>
      <c r="S71" s="4" t="str">
        <f t="array" ref="S71">IFERROR(INDEX(KeKhaiDangKy!$H$2:$H$4889, MATCH(1, (KeKhaiDangKy!$A$2:$A$4889=BC_SINH!D71)*(KeKhaiDangKy!$B$2:$B$4889=BC_SINH!E71), 0)),"")</f>
        <v/>
      </c>
    </row>
    <row r="72" spans="1:19" ht="14.45" customHeight="1" x14ac:dyDescent="0.25">
      <c r="A72" s="4">
        <f>IF(B72&lt;&gt;"", SUBTOTAL(3, $B$2:B72), "")</f>
        <v>71</v>
      </c>
      <c r="B72" s="4" t="s">
        <v>51</v>
      </c>
      <c r="C72" s="4" t="str">
        <f t="shared" si="1"/>
        <v xml:space="preserve"> Kỳ Tăng</v>
      </c>
      <c r="D72" s="4">
        <v>21</v>
      </c>
      <c r="E72" s="4">
        <v>110</v>
      </c>
      <c r="F72" s="4">
        <v>1672</v>
      </c>
      <c r="G72" s="4" t="s">
        <v>11</v>
      </c>
      <c r="H72" s="4" t="str">
        <f t="array" ref="H72">IFERROR(INDEX(DSCKXA!$B$3:$B$73, MATCH(1, (DSCKXA!$D$3:$D$73=BC_SINH!D72)*(DSCKXA!$E$3:$E$73=BC_SINH!E72), 0)),"")</f>
        <v/>
      </c>
      <c r="I72" s="99" t="str">
        <f t="array" ref="I72">IFERROR(INDEX(DSCKXA!$C$3:$C$73, MATCH(1, (DSCKXA!$D$3:$D$73=BC_SINH!D72)*(DSCKXA!$E$3:$E$73=BC_SINH!E72), 0)),"")</f>
        <v/>
      </c>
      <c r="J72" s="97" t="str">
        <f>IFERROR(VLOOKUP(B72,'Đất sản xuất'!$B$9:$C$216,2,0),"")</f>
        <v xml:space="preserve"> Kỳ Tăng</v>
      </c>
      <c r="K72" s="97" t="str">
        <f>IFERROR(VLOOKUP(B72,'Sản xuất cấp huyên'!$B$9:$C$177,2,0),"")</f>
        <v/>
      </c>
      <c r="L72" s="4" t="str">
        <f>IFERROR(VLOOKUP(B72,'4069'!$B$9:$C$177,2,0),"")</f>
        <v/>
      </c>
      <c r="M72" s="4" t="str">
        <f t="array" ref="M72">IFERROR(INDEX(KODUDK!$C$8:$C$79, MATCH(1, (KODUDK!$D$8:$D$79=BC_SINH!D72)*(KODUDK!$E$8:$E$79=BC_SINH!E72), 0)),"")</f>
        <v>Kỳ Tăng</v>
      </c>
      <c r="N72" s="4" t="str">
        <f t="array" ref="N72">IFERROR(INDEX(KODUDK!$H$8:$H$79, MATCH(1, (KODUDK!$D$8:$D$79=BC_SINH!D72)*(KODUDK!$E$8:$E$79=BC_SINH!E72), 0)),"")</f>
        <v>Có 04 thửa đất nên loại 03 thửa</v>
      </c>
      <c r="O72" s="4" t="str">
        <f t="array" ref="O72">IFERROR(INDEX('KO DU ĐK NQ10'!$C$8:$C$48, MATCH(1, ('KO DU ĐK NQ10'!$D$8:$D$48=BC_SINH!D72)*('KO DU ĐK NQ10'!$E$8:$E$48=BC_SINH!E72), 0)),"")</f>
        <v>Kỳ Tăng</v>
      </c>
      <c r="P72" s="4" t="str">
        <f t="array" ref="P72">IFERROR(INDEX('KO DU ĐK NQ10'!$H$8:$H$48, MATCH(1, ('KO DU ĐK NQ10'!$D$8:$D$48=BC_SINH!D72)*('KO DU ĐK NQ10'!$E$8:$E$48=BC_SINH!E72), 0)),"")</f>
        <v>Có 04 thửa đất nên loại 03 thửa</v>
      </c>
      <c r="Q72" s="4" t="str">
        <f t="array" ref="Q72">IFERROR(INDEX('KO DU ĐK 4069'!$C$8:$C$38, MATCH(1, ('KO DU ĐK 4069'!$D$8:$D$38=BC_SINH!D72)*('KO DU ĐK 4069'!$E$8:$E$38=BC_SINH!E72), 0)),"")</f>
        <v/>
      </c>
      <c r="R72" s="4" t="str">
        <f t="array" ref="R72">IFERROR(INDEX('KO DU ĐK 4069'!$H$8:$H$38, MATCH(1, ('KO DU ĐK 4069'!$D$8:$D$38=BC_SINH!D72)*('KO DU ĐK 4069'!$E$8:$E$38=BC_SINH!E72), 0)),"")</f>
        <v/>
      </c>
      <c r="S72" s="4" t="str">
        <f t="array" ref="S72">IFERROR(INDEX(KeKhaiDangKy!$H$2:$H$4889, MATCH(1, (KeKhaiDangKy!$A$2:$A$4889=BC_SINH!D72)*(KeKhaiDangKy!$B$2:$B$4889=BC_SINH!E72), 0)),"")</f>
        <v/>
      </c>
    </row>
    <row r="73" spans="1:19" ht="14.45" customHeight="1" x14ac:dyDescent="0.25">
      <c r="A73" s="4">
        <f>IF(B73&lt;&gt;"", SUBTOTAL(3, $B$2:B73), "")</f>
        <v>72</v>
      </c>
      <c r="B73" s="4" t="s">
        <v>52</v>
      </c>
      <c r="C73" s="4" t="str">
        <f t="shared" si="1"/>
        <v>A Máy</v>
      </c>
      <c r="D73" s="4">
        <v>21</v>
      </c>
      <c r="E73" s="4">
        <v>111</v>
      </c>
      <c r="F73" s="4">
        <v>5678</v>
      </c>
      <c r="G73" s="4" t="s">
        <v>11</v>
      </c>
      <c r="H73" s="4" t="str">
        <f t="array" ref="H73">IFERROR(INDEX(DSCKXA!$B$3:$B$73, MATCH(1, (DSCKXA!$D$3:$D$73=BC_SINH!D73)*(DSCKXA!$E$3:$E$73=BC_SINH!E73), 0)),"")</f>
        <v>Hồ Văn Chim</v>
      </c>
      <c r="I73" s="99" t="str">
        <f t="array" ref="I73">IFERROR(INDEX(DSCKXA!$C$3:$C$73, MATCH(1, (DSCKXA!$D$3:$D$73=BC_SINH!D73)*(DSCKXA!$E$3:$E$73=BC_SINH!E73), 0)),"")</f>
        <v>Thôn A Máy</v>
      </c>
      <c r="J73" s="97" t="str">
        <f>IFERROR(VLOOKUP(B73,'Đất sản xuất'!$B$9:$C$216,2,0),"")</f>
        <v>A Máy</v>
      </c>
      <c r="K73" s="97" t="str">
        <f>IFERROR(VLOOKUP(B73,'Sản xuất cấp huyên'!$B$9:$C$177,2,0),"")</f>
        <v/>
      </c>
      <c r="L73" s="4" t="str">
        <f>IFERROR(VLOOKUP(B73,'4069'!$B$9:$C$177,2,0),"")</f>
        <v/>
      </c>
      <c r="M73" s="4" t="str">
        <f t="array" ref="M73">IFERROR(INDEX(KODUDK!$C$8:$C$79, MATCH(1, (KODUDK!$D$8:$D$79=BC_SINH!D73)*(KODUDK!$E$8:$E$79=BC_SINH!E73), 0)),"")</f>
        <v/>
      </c>
      <c r="N73" s="4" t="str">
        <f t="array" ref="N73">IFERROR(INDEX(KODUDK!$H$8:$H$79, MATCH(1, (KODUDK!$D$8:$D$79=BC_SINH!D73)*(KODUDK!$E$8:$E$79=BC_SINH!E73), 0)),"")</f>
        <v/>
      </c>
      <c r="O73" s="4" t="str">
        <f t="array" ref="O73">IFERROR(INDEX('KO DU ĐK NQ10'!$C$8:$C$48, MATCH(1, ('KO DU ĐK NQ10'!$D$8:$D$48=BC_SINH!D73)*('KO DU ĐK NQ10'!$E$8:$E$48=BC_SINH!E73), 0)),"")</f>
        <v/>
      </c>
      <c r="P73" s="4" t="str">
        <f t="array" ref="P73">IFERROR(INDEX('KO DU ĐK NQ10'!$H$8:$H$48, MATCH(1, ('KO DU ĐK NQ10'!$D$8:$D$48=BC_SINH!D73)*('KO DU ĐK NQ10'!$E$8:$E$48=BC_SINH!E73), 0)),"")</f>
        <v/>
      </c>
      <c r="Q73" s="4" t="str">
        <f t="array" ref="Q73">IFERROR(INDEX('KO DU ĐK 4069'!$C$8:$C$38, MATCH(1, ('KO DU ĐK 4069'!$D$8:$D$38=BC_SINH!D73)*('KO DU ĐK 4069'!$E$8:$E$38=BC_SINH!E73), 0)),"")</f>
        <v/>
      </c>
      <c r="R73" s="4" t="str">
        <f t="array" ref="R73">IFERROR(INDEX('KO DU ĐK 4069'!$H$8:$H$38, MATCH(1, ('KO DU ĐK 4069'!$D$8:$D$38=BC_SINH!D73)*('KO DU ĐK 4069'!$E$8:$E$38=BC_SINH!E73), 0)),"")</f>
        <v/>
      </c>
      <c r="S73" s="4" t="str">
        <f t="array" ref="S73">IFERROR(INDEX(KeKhaiDangKy!$H$2:$H$4889, MATCH(1, (KeKhaiDangKy!$A$2:$A$4889=BC_SINH!D73)*(KeKhaiDangKy!$B$2:$B$4889=BC_SINH!E73), 0)),"")</f>
        <v/>
      </c>
    </row>
    <row r="74" spans="1:19" ht="14.45" customHeight="1" x14ac:dyDescent="0.25">
      <c r="A74" s="4">
        <f>IF(B74&lt;&gt;"", SUBTOTAL(3, $B$2:B74), "")</f>
        <v>73</v>
      </c>
      <c r="B74" s="4" t="s">
        <v>53</v>
      </c>
      <c r="C74" s="4" t="str">
        <f t="shared" si="1"/>
        <v/>
      </c>
      <c r="D74" s="4">
        <v>21</v>
      </c>
      <c r="E74" s="4">
        <v>112</v>
      </c>
      <c r="F74" s="4">
        <v>10486</v>
      </c>
      <c r="G74" s="4" t="s">
        <v>11</v>
      </c>
      <c r="H74" s="4" t="str">
        <f t="array" ref="H74">IFERROR(INDEX(DSCKXA!$B$3:$B$73, MATCH(1, (DSCKXA!$D$3:$D$73=BC_SINH!D74)*(DSCKXA!$E$3:$E$73=BC_SINH!E74), 0)),"")</f>
        <v/>
      </c>
      <c r="I74" s="99" t="str">
        <f t="array" ref="I74">IFERROR(INDEX(DSCKXA!$C$3:$C$73, MATCH(1, (DSCKXA!$D$3:$D$73=BC_SINH!D74)*(DSCKXA!$E$3:$E$73=BC_SINH!E74), 0)),"")</f>
        <v/>
      </c>
      <c r="J74" s="97" t="str">
        <f>IFERROR(VLOOKUP(B74,'Đất sản xuất'!$B$9:$C$216,2,0),"")</f>
        <v/>
      </c>
      <c r="K74" s="97" t="str">
        <f>IFERROR(VLOOKUP(B74,'Sản xuất cấp huyên'!$B$9:$C$177,2,0),"")</f>
        <v/>
      </c>
      <c r="L74" s="4" t="str">
        <f>IFERROR(VLOOKUP(B74,'4069'!$B$9:$C$177,2,0),"")</f>
        <v/>
      </c>
      <c r="M74" s="4" t="str">
        <f t="array" ref="M74">IFERROR(INDEX(KODUDK!$C$8:$C$79, MATCH(1, (KODUDK!$D$8:$D$79=BC_SINH!D74)*(KODUDK!$E$8:$E$79=BC_SINH!E74), 0)),"")</f>
        <v/>
      </c>
      <c r="N74" s="4" t="str">
        <f t="array" ref="N74">IFERROR(INDEX(KODUDK!$H$8:$H$79, MATCH(1, (KODUDK!$D$8:$D$79=BC_SINH!D74)*(KODUDK!$E$8:$E$79=BC_SINH!E74), 0)),"")</f>
        <v/>
      </c>
      <c r="O74" s="4" t="str">
        <f t="array" ref="O74">IFERROR(INDEX('KO DU ĐK NQ10'!$C$8:$C$48, MATCH(1, ('KO DU ĐK NQ10'!$D$8:$D$48=BC_SINH!D74)*('KO DU ĐK NQ10'!$E$8:$E$48=BC_SINH!E74), 0)),"")</f>
        <v/>
      </c>
      <c r="P74" s="4" t="str">
        <f t="array" ref="P74">IFERROR(INDEX('KO DU ĐK NQ10'!$H$8:$H$48, MATCH(1, ('KO DU ĐK NQ10'!$D$8:$D$48=BC_SINH!D74)*('KO DU ĐK NQ10'!$E$8:$E$48=BC_SINH!E74), 0)),"")</f>
        <v/>
      </c>
      <c r="Q74" s="4" t="str">
        <f t="array" ref="Q74">IFERROR(INDEX('KO DU ĐK 4069'!$C$8:$C$38, MATCH(1, ('KO DU ĐK 4069'!$D$8:$D$38=BC_SINH!D74)*('KO DU ĐK 4069'!$E$8:$E$38=BC_SINH!E74), 0)),"")</f>
        <v/>
      </c>
      <c r="R74" s="4" t="str">
        <f t="array" ref="R74">IFERROR(INDEX('KO DU ĐK 4069'!$H$8:$H$38, MATCH(1, ('KO DU ĐK 4069'!$D$8:$D$38=BC_SINH!D74)*('KO DU ĐK 4069'!$E$8:$E$38=BC_SINH!E74), 0)),"")</f>
        <v/>
      </c>
      <c r="S74" s="4" t="str">
        <f t="array" ref="S74">IFERROR(INDEX(KeKhaiDangKy!$H$2:$H$4889, MATCH(1, (KeKhaiDangKy!$A$2:$A$4889=BC_SINH!D74)*(KeKhaiDangKy!$B$2:$B$4889=BC_SINH!E74), 0)),"")</f>
        <v/>
      </c>
    </row>
    <row r="75" spans="1:19" ht="14.45" customHeight="1" x14ac:dyDescent="0.25">
      <c r="A75" s="4">
        <f>IF(B75&lt;&gt;"", SUBTOTAL(3, $B$2:B75), "")</f>
        <v>74</v>
      </c>
      <c r="B75" s="4" t="s">
        <v>54</v>
      </c>
      <c r="C75" s="4" t="str">
        <f t="shared" si="1"/>
        <v xml:space="preserve"> A Quan</v>
      </c>
      <c r="D75" s="4">
        <v>21</v>
      </c>
      <c r="E75" s="4">
        <v>113</v>
      </c>
      <c r="F75" s="4">
        <v>5482</v>
      </c>
      <c r="G75" s="4" t="s">
        <v>11</v>
      </c>
      <c r="H75" s="4" t="str">
        <f t="array" ref="H75">IFERROR(INDEX(DSCKXA!$B$3:$B$73, MATCH(1, (DSCKXA!$D$3:$D$73=BC_SINH!D75)*(DSCKXA!$E$3:$E$73=BC_SINH!E75), 0)),"")</f>
        <v>Hồ Văn Chở</v>
      </c>
      <c r="I75" s="99" t="str">
        <f t="array" ref="I75">IFERROR(INDEX(DSCKXA!$C$3:$C$73, MATCH(1, (DSCKXA!$D$3:$D$73=BC_SINH!D75)*(DSCKXA!$E$3:$E$73=BC_SINH!E75), 0)),"")</f>
        <v>Thôn A Quan</v>
      </c>
      <c r="J75" s="97" t="str">
        <f>IFERROR(VLOOKUP(B75,'Đất sản xuất'!$B$9:$C$216,2,0),"")</f>
        <v xml:space="preserve"> A Quan</v>
      </c>
      <c r="K75" s="97" t="str">
        <f>IFERROR(VLOOKUP(B75,'Sản xuất cấp huyên'!$B$9:$C$177,2,0),"")</f>
        <v/>
      </c>
      <c r="L75" s="4" t="str">
        <f>IFERROR(VLOOKUP(B75,'4069'!$B$9:$C$177,2,0),"")</f>
        <v/>
      </c>
      <c r="M75" s="4" t="str">
        <f t="array" ref="M75">IFERROR(INDEX(KODUDK!$C$8:$C$79, MATCH(1, (KODUDK!$D$8:$D$79=BC_SINH!D75)*(KODUDK!$E$8:$E$79=BC_SINH!E75), 0)),"")</f>
        <v/>
      </c>
      <c r="N75" s="4" t="str">
        <f t="array" ref="N75">IFERROR(INDEX(KODUDK!$H$8:$H$79, MATCH(1, (KODUDK!$D$8:$D$79=BC_SINH!D75)*(KODUDK!$E$8:$E$79=BC_SINH!E75), 0)),"")</f>
        <v/>
      </c>
      <c r="O75" s="4" t="str">
        <f t="array" ref="O75">IFERROR(INDEX('KO DU ĐK NQ10'!$C$8:$C$48, MATCH(1, ('KO DU ĐK NQ10'!$D$8:$D$48=BC_SINH!D75)*('KO DU ĐK NQ10'!$E$8:$E$48=BC_SINH!E75), 0)),"")</f>
        <v/>
      </c>
      <c r="P75" s="4" t="str">
        <f t="array" ref="P75">IFERROR(INDEX('KO DU ĐK NQ10'!$H$8:$H$48, MATCH(1, ('KO DU ĐK NQ10'!$D$8:$D$48=BC_SINH!D75)*('KO DU ĐK NQ10'!$E$8:$E$48=BC_SINH!E75), 0)),"")</f>
        <v/>
      </c>
      <c r="Q75" s="4" t="str">
        <f t="array" ref="Q75">IFERROR(INDEX('KO DU ĐK 4069'!$C$8:$C$38, MATCH(1, ('KO DU ĐK 4069'!$D$8:$D$38=BC_SINH!D75)*('KO DU ĐK 4069'!$E$8:$E$38=BC_SINH!E75), 0)),"")</f>
        <v/>
      </c>
      <c r="R75" s="4" t="str">
        <f t="array" ref="R75">IFERROR(INDEX('KO DU ĐK 4069'!$H$8:$H$38, MATCH(1, ('KO DU ĐK 4069'!$D$8:$D$38=BC_SINH!D75)*('KO DU ĐK 4069'!$E$8:$E$38=BC_SINH!E75), 0)),"")</f>
        <v/>
      </c>
      <c r="S75" s="4" t="str">
        <f t="array" ref="S75">IFERROR(INDEX(KeKhaiDangKy!$H$2:$H$4889, MATCH(1, (KeKhaiDangKy!$A$2:$A$4889=BC_SINH!D75)*(KeKhaiDangKy!$B$2:$B$4889=BC_SINH!E75), 0)),"")</f>
        <v>A Quan</v>
      </c>
    </row>
    <row r="76" spans="1:19" ht="14.45" customHeight="1" x14ac:dyDescent="0.25">
      <c r="A76" s="4">
        <f>IF(B76&lt;&gt;"", SUBTOTAL(3, $B$2:B76), "")</f>
        <v>75</v>
      </c>
      <c r="B76" s="4" t="s">
        <v>55</v>
      </c>
      <c r="C76" s="4" t="str">
        <f t="shared" si="1"/>
        <v>Kỳ Tăng</v>
      </c>
      <c r="D76" s="4">
        <v>21</v>
      </c>
      <c r="E76" s="4">
        <v>114</v>
      </c>
      <c r="F76" s="4">
        <v>11270</v>
      </c>
      <c r="G76" s="4" t="s">
        <v>11</v>
      </c>
      <c r="H76" s="4" t="str">
        <f t="array" ref="H76">IFERROR(INDEX(DSCKXA!$B$3:$B$73, MATCH(1, (DSCKXA!$D$3:$D$73=BC_SINH!D76)*(DSCKXA!$E$3:$E$73=BC_SINH!E76), 0)),"")</f>
        <v/>
      </c>
      <c r="I76" s="99" t="str">
        <f t="array" ref="I76">IFERROR(INDEX(DSCKXA!$C$3:$C$73, MATCH(1, (DSCKXA!$D$3:$D$73=BC_SINH!D76)*(DSCKXA!$E$3:$E$73=BC_SINH!E76), 0)),"")</f>
        <v/>
      </c>
      <c r="J76" s="97" t="str">
        <f>IFERROR(VLOOKUP(B76,'Đất sản xuất'!$B$9:$C$216,2,0),"")</f>
        <v/>
      </c>
      <c r="K76" s="97" t="str">
        <f>IFERROR(VLOOKUP(B76,'Sản xuất cấp huyên'!$B$9:$C$177,2,0),"")</f>
        <v>Kỳ Tăng</v>
      </c>
      <c r="L76" s="4" t="str">
        <f>IFERROR(VLOOKUP(B76,'4069'!$B$9:$C$177,2,0),"")</f>
        <v>Kỳ Tăng</v>
      </c>
      <c r="M76" s="4" t="str">
        <f t="array" ref="M76">IFERROR(INDEX(KODUDK!$C$8:$C$79, MATCH(1, (KODUDK!$D$8:$D$79=BC_SINH!D76)*(KODUDK!$E$8:$E$79=BC_SINH!E76), 0)),"")</f>
        <v/>
      </c>
      <c r="N76" s="4" t="str">
        <f t="array" ref="N76">IFERROR(INDEX(KODUDK!$H$8:$H$79, MATCH(1, (KODUDK!$D$8:$D$79=BC_SINH!D76)*(KODUDK!$E$8:$E$79=BC_SINH!E76), 0)),"")</f>
        <v/>
      </c>
      <c r="O76" s="4" t="str">
        <f t="array" ref="O76">IFERROR(INDEX('KO DU ĐK NQ10'!$C$8:$C$48, MATCH(1, ('KO DU ĐK NQ10'!$D$8:$D$48=BC_SINH!D76)*('KO DU ĐK NQ10'!$E$8:$E$48=BC_SINH!E76), 0)),"")</f>
        <v/>
      </c>
      <c r="P76" s="4" t="str">
        <f t="array" ref="P76">IFERROR(INDEX('KO DU ĐK NQ10'!$H$8:$H$48, MATCH(1, ('KO DU ĐK NQ10'!$D$8:$D$48=BC_SINH!D76)*('KO DU ĐK NQ10'!$E$8:$E$48=BC_SINH!E76), 0)),"")</f>
        <v/>
      </c>
      <c r="Q76" s="4" t="str">
        <f t="array" ref="Q76">IFERROR(INDEX('KO DU ĐK 4069'!$C$8:$C$38, MATCH(1, ('KO DU ĐK 4069'!$D$8:$D$38=BC_SINH!D76)*('KO DU ĐK 4069'!$E$8:$E$38=BC_SINH!E76), 0)),"")</f>
        <v/>
      </c>
      <c r="R76" s="4" t="str">
        <f t="array" ref="R76">IFERROR(INDEX('KO DU ĐK 4069'!$H$8:$H$38, MATCH(1, ('KO DU ĐK 4069'!$D$8:$D$38=BC_SINH!D76)*('KO DU ĐK 4069'!$E$8:$E$38=BC_SINH!E76), 0)),"")</f>
        <v/>
      </c>
      <c r="S76" s="4" t="str">
        <f t="array" ref="S76">IFERROR(INDEX(KeKhaiDangKy!$H$2:$H$4889, MATCH(1, (KeKhaiDangKy!$A$2:$A$4889=BC_SINH!D76)*(KeKhaiDangKy!$B$2:$B$4889=BC_SINH!E76), 0)),"")</f>
        <v/>
      </c>
    </row>
    <row r="77" spans="1:19" ht="14.45" customHeight="1" x14ac:dyDescent="0.25">
      <c r="A77" s="4">
        <f>IF(B77&lt;&gt;"", SUBTOTAL(3, $B$2:B77), "")</f>
        <v>76</v>
      </c>
      <c r="B77" s="4" t="s">
        <v>55</v>
      </c>
      <c r="C77" s="4" t="str">
        <f t="shared" si="1"/>
        <v>Kỳ Tăng</v>
      </c>
      <c r="D77" s="4">
        <v>21</v>
      </c>
      <c r="E77" s="4">
        <v>115</v>
      </c>
      <c r="F77" s="4">
        <v>26358</v>
      </c>
      <c r="G77" s="4" t="s">
        <v>11</v>
      </c>
      <c r="H77" s="4" t="str">
        <f t="array" ref="H77">IFERROR(INDEX(DSCKXA!$B$3:$B$73, MATCH(1, (DSCKXA!$D$3:$D$73=BC_SINH!D77)*(DSCKXA!$E$3:$E$73=BC_SINH!E77), 0)),"")</f>
        <v/>
      </c>
      <c r="I77" s="99" t="str">
        <f t="array" ref="I77">IFERROR(INDEX(DSCKXA!$C$3:$C$73, MATCH(1, (DSCKXA!$D$3:$D$73=BC_SINH!D77)*(DSCKXA!$E$3:$E$73=BC_SINH!E77), 0)),"")</f>
        <v/>
      </c>
      <c r="J77" s="97" t="str">
        <f>IFERROR(VLOOKUP(B77,'Đất sản xuất'!$B$9:$C$216,2,0),"")</f>
        <v/>
      </c>
      <c r="K77" s="97" t="str">
        <f>IFERROR(VLOOKUP(B77,'Sản xuất cấp huyên'!$B$9:$C$177,2,0),"")</f>
        <v>Kỳ Tăng</v>
      </c>
      <c r="L77" s="4" t="str">
        <f>IFERROR(VLOOKUP(B77,'4069'!$B$9:$C$177,2,0),"")</f>
        <v>Kỳ Tăng</v>
      </c>
      <c r="M77" s="4" t="str">
        <f t="array" ref="M77">IFERROR(INDEX(KODUDK!$C$8:$C$79, MATCH(1, (KODUDK!$D$8:$D$79=BC_SINH!D77)*(KODUDK!$E$8:$E$79=BC_SINH!E77), 0)),"")</f>
        <v>Kỳ Tăng</v>
      </c>
      <c r="N77" s="4" t="str">
        <f t="array" ref="N77">IFERROR(INDEX(KODUDK!$H$8:$H$79, MATCH(1, (KODUDK!$D$8:$D$79=BC_SINH!D77)*(KODUDK!$E$8:$E$79=BC_SINH!E77), 0)),"")</f>
        <v>Tên chủ sử dụng đất không khớp</v>
      </c>
      <c r="O77" s="4" t="str">
        <f t="array" ref="O77">IFERROR(INDEX('KO DU ĐK NQ10'!$C$8:$C$48, MATCH(1, ('KO DU ĐK NQ10'!$D$8:$D$48=BC_SINH!D77)*('KO DU ĐK NQ10'!$E$8:$E$48=BC_SINH!E77), 0)),"")</f>
        <v/>
      </c>
      <c r="P77" s="4" t="str">
        <f t="array" ref="P77">IFERROR(INDEX('KO DU ĐK NQ10'!$H$8:$H$48, MATCH(1, ('KO DU ĐK NQ10'!$D$8:$D$48=BC_SINH!D77)*('KO DU ĐK NQ10'!$E$8:$E$48=BC_SINH!E77), 0)),"")</f>
        <v/>
      </c>
      <c r="Q77" s="4" t="str">
        <f t="array" ref="Q77">IFERROR(INDEX('KO DU ĐK 4069'!$C$8:$C$38, MATCH(1, ('KO DU ĐK 4069'!$D$8:$D$38=BC_SINH!D77)*('KO DU ĐK 4069'!$E$8:$E$38=BC_SINH!E77), 0)),"")</f>
        <v>Kỳ Tăng</v>
      </c>
      <c r="R77" s="4" t="str">
        <f t="array" ref="R77">IFERROR(INDEX('KO DU ĐK 4069'!$H$8:$H$38, MATCH(1, ('KO DU ĐK 4069'!$D$8:$D$38=BC_SINH!D77)*('KO DU ĐK 4069'!$E$8:$E$38=BC_SINH!E77), 0)),"")</f>
        <v>Tên chủ sử dụng đất không khớp</v>
      </c>
      <c r="S77" s="4" t="str">
        <f t="array" ref="S77">IFERROR(INDEX(KeKhaiDangKy!$H$2:$H$4889, MATCH(1, (KeKhaiDangKy!$A$2:$A$4889=BC_SINH!D77)*(KeKhaiDangKy!$B$2:$B$4889=BC_SINH!E77), 0)),"")</f>
        <v/>
      </c>
    </row>
    <row r="78" spans="1:19" ht="14.45" customHeight="1" x14ac:dyDescent="0.25">
      <c r="A78" s="4">
        <f>IF(B78&lt;&gt;"", SUBTOTAL(3, $B$2:B78), "")</f>
        <v>77</v>
      </c>
      <c r="B78" s="4" t="s">
        <v>56</v>
      </c>
      <c r="C78" s="4" t="str">
        <f t="shared" si="1"/>
        <v/>
      </c>
      <c r="D78" s="4">
        <v>21</v>
      </c>
      <c r="E78" s="4">
        <v>116</v>
      </c>
      <c r="F78" s="4">
        <v>10834</v>
      </c>
      <c r="G78" s="4" t="s">
        <v>11</v>
      </c>
      <c r="H78" s="4" t="str">
        <f t="array" ref="H78">IFERROR(INDEX(DSCKXA!$B$3:$B$73, MATCH(1, (DSCKXA!$D$3:$D$73=BC_SINH!D78)*(DSCKXA!$E$3:$E$73=BC_SINH!E78), 0)),"")</f>
        <v/>
      </c>
      <c r="I78" s="99" t="str">
        <f t="array" ref="I78">IFERROR(INDEX(DSCKXA!$C$3:$C$73, MATCH(1, (DSCKXA!$D$3:$D$73=BC_SINH!D78)*(DSCKXA!$E$3:$E$73=BC_SINH!E78), 0)),"")</f>
        <v/>
      </c>
      <c r="J78" s="97" t="str">
        <f>IFERROR(VLOOKUP(B78,'Đất sản xuất'!$B$9:$C$216,2,0),"")</f>
        <v/>
      </c>
      <c r="K78" s="97" t="str">
        <f>IFERROR(VLOOKUP(B78,'Sản xuất cấp huyên'!$B$9:$C$177,2,0),"")</f>
        <v/>
      </c>
      <c r="L78" s="4" t="str">
        <f>IFERROR(VLOOKUP(B78,'4069'!$B$9:$C$177,2,0),"")</f>
        <v/>
      </c>
      <c r="M78" s="4" t="str">
        <f t="array" ref="M78">IFERROR(INDEX(KODUDK!$C$8:$C$79, MATCH(1, (KODUDK!$D$8:$D$79=BC_SINH!D78)*(KODUDK!$E$8:$E$79=BC_SINH!E78), 0)),"")</f>
        <v/>
      </c>
      <c r="N78" s="4" t="str">
        <f t="array" ref="N78">IFERROR(INDEX(KODUDK!$H$8:$H$79, MATCH(1, (KODUDK!$D$8:$D$79=BC_SINH!D78)*(KODUDK!$E$8:$E$79=BC_SINH!E78), 0)),"")</f>
        <v/>
      </c>
      <c r="O78" s="4" t="str">
        <f t="array" ref="O78">IFERROR(INDEX('KO DU ĐK NQ10'!$C$8:$C$48, MATCH(1, ('KO DU ĐK NQ10'!$D$8:$D$48=BC_SINH!D78)*('KO DU ĐK NQ10'!$E$8:$E$48=BC_SINH!E78), 0)),"")</f>
        <v/>
      </c>
      <c r="P78" s="4" t="str">
        <f t="array" ref="P78">IFERROR(INDEX('KO DU ĐK NQ10'!$H$8:$H$48, MATCH(1, ('KO DU ĐK NQ10'!$D$8:$D$48=BC_SINH!D78)*('KO DU ĐK NQ10'!$E$8:$E$48=BC_SINH!E78), 0)),"")</f>
        <v/>
      </c>
      <c r="Q78" s="4" t="str">
        <f t="array" ref="Q78">IFERROR(INDEX('KO DU ĐK 4069'!$C$8:$C$38, MATCH(1, ('KO DU ĐK 4069'!$D$8:$D$38=BC_SINH!D78)*('KO DU ĐK 4069'!$E$8:$E$38=BC_SINH!E78), 0)),"")</f>
        <v/>
      </c>
      <c r="R78" s="4" t="str">
        <f t="array" ref="R78">IFERROR(INDEX('KO DU ĐK 4069'!$H$8:$H$38, MATCH(1, ('KO DU ĐK 4069'!$D$8:$D$38=BC_SINH!D78)*('KO DU ĐK 4069'!$E$8:$E$38=BC_SINH!E78), 0)),"")</f>
        <v/>
      </c>
      <c r="S78" s="4" t="str">
        <f t="array" ref="S78">IFERROR(INDEX(KeKhaiDangKy!$H$2:$H$4889, MATCH(1, (KeKhaiDangKy!$A$2:$A$4889=BC_SINH!D78)*(KeKhaiDangKy!$B$2:$B$4889=BC_SINH!E78), 0)),"")</f>
        <v/>
      </c>
    </row>
    <row r="79" spans="1:19" ht="14.45" customHeight="1" x14ac:dyDescent="0.25">
      <c r="A79" s="4">
        <f>IF(B79&lt;&gt;"", SUBTOTAL(3, $B$2:B79), "")</f>
        <v>78</v>
      </c>
      <c r="B79" s="4" t="s">
        <v>57</v>
      </c>
      <c r="C79" s="4" t="str">
        <f t="shared" si="1"/>
        <v xml:space="preserve"> A Rông</v>
      </c>
      <c r="D79" s="4">
        <v>21</v>
      </c>
      <c r="E79" s="4">
        <v>118</v>
      </c>
      <c r="F79" s="4">
        <v>8810</v>
      </c>
      <c r="G79" s="4" t="s">
        <v>11</v>
      </c>
      <c r="H79" s="4" t="str">
        <f t="array" ref="H79">IFERROR(INDEX(DSCKXA!$B$3:$B$73, MATCH(1, (DSCKXA!$D$3:$D$73=BC_SINH!D79)*(DSCKXA!$E$3:$E$73=BC_SINH!E79), 0)),"")</f>
        <v>Hồ Văn Chung</v>
      </c>
      <c r="I79" s="99" t="str">
        <f t="array" ref="I79">IFERROR(INDEX(DSCKXA!$C$3:$C$73, MATCH(1, (DSCKXA!$D$3:$D$73=BC_SINH!D79)*(DSCKXA!$E$3:$E$73=BC_SINH!E79), 0)),"")</f>
        <v>Thôn A Rông</v>
      </c>
      <c r="J79" s="97" t="str">
        <f>IFERROR(VLOOKUP(B79,'Đất sản xuất'!$B$9:$C$216,2,0),"")</f>
        <v xml:space="preserve"> A Rông</v>
      </c>
      <c r="K79" s="97" t="str">
        <f>IFERROR(VLOOKUP(B79,'Sản xuất cấp huyên'!$B$9:$C$177,2,0),"")</f>
        <v/>
      </c>
      <c r="L79" s="4" t="str">
        <f>IFERROR(VLOOKUP(B79,'4069'!$B$9:$C$177,2,0),"")</f>
        <v/>
      </c>
      <c r="M79" s="4" t="str">
        <f t="array" ref="M79">IFERROR(INDEX(KODUDK!$C$8:$C$79, MATCH(1, (KODUDK!$D$8:$D$79=BC_SINH!D79)*(KODUDK!$E$8:$E$79=BC_SINH!E79), 0)),"")</f>
        <v/>
      </c>
      <c r="N79" s="4" t="str">
        <f t="array" ref="N79">IFERROR(INDEX(KODUDK!$H$8:$H$79, MATCH(1, (KODUDK!$D$8:$D$79=BC_SINH!D79)*(KODUDK!$E$8:$E$79=BC_SINH!E79), 0)),"")</f>
        <v/>
      </c>
      <c r="O79" s="4" t="str">
        <f t="array" ref="O79">IFERROR(INDEX('KO DU ĐK NQ10'!$C$8:$C$48, MATCH(1, ('KO DU ĐK NQ10'!$D$8:$D$48=BC_SINH!D79)*('KO DU ĐK NQ10'!$E$8:$E$48=BC_SINH!E79), 0)),"")</f>
        <v/>
      </c>
      <c r="P79" s="4" t="str">
        <f t="array" ref="P79">IFERROR(INDEX('KO DU ĐK NQ10'!$H$8:$H$48, MATCH(1, ('KO DU ĐK NQ10'!$D$8:$D$48=BC_SINH!D79)*('KO DU ĐK NQ10'!$E$8:$E$48=BC_SINH!E79), 0)),"")</f>
        <v/>
      </c>
      <c r="Q79" s="4" t="str">
        <f t="array" ref="Q79">IFERROR(INDEX('KO DU ĐK 4069'!$C$8:$C$38, MATCH(1, ('KO DU ĐK 4069'!$D$8:$D$38=BC_SINH!D79)*('KO DU ĐK 4069'!$E$8:$E$38=BC_SINH!E79), 0)),"")</f>
        <v/>
      </c>
      <c r="R79" s="4" t="str">
        <f t="array" ref="R79">IFERROR(INDEX('KO DU ĐK 4069'!$H$8:$H$38, MATCH(1, ('KO DU ĐK 4069'!$D$8:$D$38=BC_SINH!D79)*('KO DU ĐK 4069'!$E$8:$E$38=BC_SINH!E79), 0)),"")</f>
        <v/>
      </c>
      <c r="S79" s="4" t="str">
        <f t="array" ref="S79">IFERROR(INDEX(KeKhaiDangKy!$H$2:$H$4889, MATCH(1, (KeKhaiDangKy!$A$2:$A$4889=BC_SINH!D79)*(KeKhaiDangKy!$B$2:$B$4889=BC_SINH!E79), 0)),"")</f>
        <v>A Rông</v>
      </c>
    </row>
    <row r="80" spans="1:19" ht="14.45" customHeight="1" x14ac:dyDescent="0.25">
      <c r="A80" s="4">
        <f>IF(B80&lt;&gt;"", SUBTOTAL(3, $B$2:B80), "")</f>
        <v>79</v>
      </c>
      <c r="B80" s="4" t="s">
        <v>57</v>
      </c>
      <c r="C80" s="4" t="str">
        <f t="shared" si="1"/>
        <v xml:space="preserve"> A Rông</v>
      </c>
      <c r="D80" s="4">
        <v>21</v>
      </c>
      <c r="E80" s="4">
        <v>230</v>
      </c>
      <c r="F80" s="4">
        <v>7015</v>
      </c>
      <c r="G80" s="4" t="s">
        <v>11</v>
      </c>
      <c r="H80" s="4" t="str">
        <f t="array" ref="H80">IFERROR(INDEX(DSCKXA!$B$3:$B$73, MATCH(1, (DSCKXA!$D$3:$D$73=BC_SINH!D80)*(DSCKXA!$E$3:$E$73=BC_SINH!E80), 0)),"")</f>
        <v/>
      </c>
      <c r="I80" s="99" t="str">
        <f t="array" ref="I80">IFERROR(INDEX(DSCKXA!$C$3:$C$73, MATCH(1, (DSCKXA!$D$3:$D$73=BC_SINH!D80)*(DSCKXA!$E$3:$E$73=BC_SINH!E80), 0)),"")</f>
        <v/>
      </c>
      <c r="J80" s="97" t="str">
        <f>IFERROR(VLOOKUP(B80,'Đất sản xuất'!$B$9:$C$216,2,0),"")</f>
        <v xml:space="preserve"> A Rông</v>
      </c>
      <c r="K80" s="97" t="str">
        <f>IFERROR(VLOOKUP(B80,'Sản xuất cấp huyên'!$B$9:$C$177,2,0),"")</f>
        <v/>
      </c>
      <c r="L80" s="4" t="str">
        <f>IFERROR(VLOOKUP(B80,'4069'!$B$9:$C$177,2,0),"")</f>
        <v/>
      </c>
      <c r="M80" s="4" t="str">
        <f t="array" ref="M80">IFERROR(INDEX(KODUDK!$C$8:$C$79, MATCH(1, (KODUDK!$D$8:$D$79=BC_SINH!D80)*(KODUDK!$E$8:$E$79=BC_SINH!E80), 0)),"")</f>
        <v/>
      </c>
      <c r="N80" s="4" t="str">
        <f t="array" ref="N80">IFERROR(INDEX(KODUDK!$H$8:$H$79, MATCH(1, (KODUDK!$D$8:$D$79=BC_SINH!D80)*(KODUDK!$E$8:$E$79=BC_SINH!E80), 0)),"")</f>
        <v/>
      </c>
      <c r="O80" s="4" t="str">
        <f t="array" ref="O80">IFERROR(INDEX('KO DU ĐK NQ10'!$C$8:$C$48, MATCH(1, ('KO DU ĐK NQ10'!$D$8:$D$48=BC_SINH!D80)*('KO DU ĐK NQ10'!$E$8:$E$48=BC_SINH!E80), 0)),"")</f>
        <v/>
      </c>
      <c r="P80" s="4" t="str">
        <f t="array" ref="P80">IFERROR(INDEX('KO DU ĐK NQ10'!$H$8:$H$48, MATCH(1, ('KO DU ĐK NQ10'!$D$8:$D$48=BC_SINH!D80)*('KO DU ĐK NQ10'!$E$8:$E$48=BC_SINH!E80), 0)),"")</f>
        <v/>
      </c>
      <c r="Q80" s="4" t="str">
        <f t="array" ref="Q80">IFERROR(INDEX('KO DU ĐK 4069'!$C$8:$C$38, MATCH(1, ('KO DU ĐK 4069'!$D$8:$D$38=BC_SINH!D80)*('KO DU ĐK 4069'!$E$8:$E$38=BC_SINH!E80), 0)),"")</f>
        <v/>
      </c>
      <c r="R80" s="4" t="str">
        <f t="array" ref="R80">IFERROR(INDEX('KO DU ĐK 4069'!$H$8:$H$38, MATCH(1, ('KO DU ĐK 4069'!$D$8:$D$38=BC_SINH!D80)*('KO DU ĐK 4069'!$E$8:$E$38=BC_SINH!E80), 0)),"")</f>
        <v/>
      </c>
      <c r="S80" s="4" t="str">
        <f t="array" ref="S80">IFERROR(INDEX(KeKhaiDangKy!$H$2:$H$4889, MATCH(1, (KeKhaiDangKy!$A$2:$A$4889=BC_SINH!D80)*(KeKhaiDangKy!$B$2:$B$4889=BC_SINH!E80), 0)),"")</f>
        <v>A Rông</v>
      </c>
    </row>
    <row r="81" spans="1:19" ht="14.45" customHeight="1" x14ac:dyDescent="0.25">
      <c r="A81" s="4">
        <f>IF(B81&lt;&gt;"", SUBTOTAL(3, $B$2:B81), "")</f>
        <v>80</v>
      </c>
      <c r="B81" s="4" t="s">
        <v>58</v>
      </c>
      <c r="C81" s="4" t="str">
        <f t="shared" si="1"/>
        <v xml:space="preserve"> A Quan</v>
      </c>
      <c r="D81" s="4">
        <v>21</v>
      </c>
      <c r="E81" s="4">
        <v>119</v>
      </c>
      <c r="F81" s="4">
        <v>19050</v>
      </c>
      <c r="G81" s="4" t="s">
        <v>11</v>
      </c>
      <c r="H81" s="4" t="str">
        <f t="array" ref="H81">IFERROR(INDEX(DSCKXA!$B$3:$B$73, MATCH(1, (DSCKXA!$D$3:$D$73=BC_SINH!D81)*(DSCKXA!$E$3:$E$73=BC_SINH!E81), 0)),"")</f>
        <v>Hồ Văn Cớc</v>
      </c>
      <c r="I81" s="99" t="str">
        <f t="array" ref="I81">IFERROR(INDEX(DSCKXA!$C$3:$C$73, MATCH(1, (DSCKXA!$D$3:$D$73=BC_SINH!D81)*(DSCKXA!$E$3:$E$73=BC_SINH!E81), 0)),"")</f>
        <v>Thôn A Quan</v>
      </c>
      <c r="J81" s="97" t="str">
        <f>IFERROR(VLOOKUP(B81,'Đất sản xuất'!$B$9:$C$216,2,0),"")</f>
        <v xml:space="preserve"> A Quan</v>
      </c>
      <c r="K81" s="97" t="str">
        <f>IFERROR(VLOOKUP(B81,'Sản xuất cấp huyên'!$B$9:$C$177,2,0),"")</f>
        <v/>
      </c>
      <c r="L81" s="4" t="str">
        <f>IFERROR(VLOOKUP(B81,'4069'!$B$9:$C$177,2,0),"")</f>
        <v/>
      </c>
      <c r="M81" s="4" t="str">
        <f t="array" ref="M81">IFERROR(INDEX(KODUDK!$C$8:$C$79, MATCH(1, (KODUDK!$D$8:$D$79=BC_SINH!D81)*(KODUDK!$E$8:$E$79=BC_SINH!E81), 0)),"")</f>
        <v/>
      </c>
      <c r="N81" s="4" t="str">
        <f t="array" ref="N81">IFERROR(INDEX(KODUDK!$H$8:$H$79, MATCH(1, (KODUDK!$D$8:$D$79=BC_SINH!D81)*(KODUDK!$E$8:$E$79=BC_SINH!E81), 0)),"")</f>
        <v/>
      </c>
      <c r="O81" s="4" t="str">
        <f t="array" ref="O81">IFERROR(INDEX('KO DU ĐK NQ10'!$C$8:$C$48, MATCH(1, ('KO DU ĐK NQ10'!$D$8:$D$48=BC_SINH!D81)*('KO DU ĐK NQ10'!$E$8:$E$48=BC_SINH!E81), 0)),"")</f>
        <v/>
      </c>
      <c r="P81" s="4" t="str">
        <f t="array" ref="P81">IFERROR(INDEX('KO DU ĐK NQ10'!$H$8:$H$48, MATCH(1, ('KO DU ĐK NQ10'!$D$8:$D$48=BC_SINH!D81)*('KO DU ĐK NQ10'!$E$8:$E$48=BC_SINH!E81), 0)),"")</f>
        <v/>
      </c>
      <c r="Q81" s="4" t="str">
        <f t="array" ref="Q81">IFERROR(INDEX('KO DU ĐK 4069'!$C$8:$C$38, MATCH(1, ('KO DU ĐK 4069'!$D$8:$D$38=BC_SINH!D81)*('KO DU ĐK 4069'!$E$8:$E$38=BC_SINH!E81), 0)),"")</f>
        <v/>
      </c>
      <c r="R81" s="4" t="str">
        <f t="array" ref="R81">IFERROR(INDEX('KO DU ĐK 4069'!$H$8:$H$38, MATCH(1, ('KO DU ĐK 4069'!$D$8:$D$38=BC_SINH!D81)*('KO DU ĐK 4069'!$E$8:$E$38=BC_SINH!E81), 0)),"")</f>
        <v/>
      </c>
      <c r="S81" s="4" t="str">
        <f t="array" ref="S81">IFERROR(INDEX(KeKhaiDangKy!$H$2:$H$4889, MATCH(1, (KeKhaiDangKy!$A$2:$A$4889=BC_SINH!D81)*(KeKhaiDangKy!$B$2:$B$4889=BC_SINH!E81), 0)),"")</f>
        <v>Kỳ Tăng</v>
      </c>
    </row>
    <row r="82" spans="1:19" ht="14.45" customHeight="1" x14ac:dyDescent="0.25">
      <c r="A82" s="4">
        <f>IF(B82&lt;&gt;"", SUBTOTAL(3, $B$2:B82), "")</f>
        <v>81</v>
      </c>
      <c r="B82" s="4" t="s">
        <v>58</v>
      </c>
      <c r="C82" s="4" t="str">
        <f t="shared" si="1"/>
        <v xml:space="preserve"> A Quan</v>
      </c>
      <c r="D82" s="4">
        <v>32</v>
      </c>
      <c r="E82" s="4">
        <v>52</v>
      </c>
      <c r="F82" s="4">
        <v>11176</v>
      </c>
      <c r="G82" s="4" t="s">
        <v>11</v>
      </c>
      <c r="H82" s="4" t="str">
        <f t="array" ref="H82">IFERROR(INDEX(DSCKXA!$B$3:$B$73, MATCH(1, (DSCKXA!$D$3:$D$73=BC_SINH!D82)*(DSCKXA!$E$3:$E$73=BC_SINH!E82), 0)),"")</f>
        <v/>
      </c>
      <c r="I82" s="99" t="str">
        <f t="array" ref="I82">IFERROR(INDEX(DSCKXA!$C$3:$C$73, MATCH(1, (DSCKXA!$D$3:$D$73=BC_SINH!D82)*(DSCKXA!$E$3:$E$73=BC_SINH!E82), 0)),"")</f>
        <v/>
      </c>
      <c r="J82" s="97" t="str">
        <f>IFERROR(VLOOKUP(B82,'Đất sản xuất'!$B$9:$C$216,2,0),"")</f>
        <v xml:space="preserve"> A Quan</v>
      </c>
      <c r="K82" s="97" t="str">
        <f>IFERROR(VLOOKUP(B82,'Sản xuất cấp huyên'!$B$9:$C$177,2,0),"")</f>
        <v/>
      </c>
      <c r="L82" s="4" t="str">
        <f>IFERROR(VLOOKUP(B82,'4069'!$B$9:$C$177,2,0),"")</f>
        <v/>
      </c>
      <c r="M82" s="4" t="str">
        <f t="array" ref="M82">IFERROR(INDEX(KODUDK!$C$8:$C$79, MATCH(1, (KODUDK!$D$8:$D$79=BC_SINH!D82)*(KODUDK!$E$8:$E$79=BC_SINH!E82), 0)),"")</f>
        <v/>
      </c>
      <c r="N82" s="4" t="str">
        <f t="array" ref="N82">IFERROR(INDEX(KODUDK!$H$8:$H$79, MATCH(1, (KODUDK!$D$8:$D$79=BC_SINH!D82)*(KODUDK!$E$8:$E$79=BC_SINH!E82), 0)),"")</f>
        <v/>
      </c>
      <c r="O82" s="4" t="str">
        <f t="array" ref="O82">IFERROR(INDEX('KO DU ĐK NQ10'!$C$8:$C$48, MATCH(1, ('KO DU ĐK NQ10'!$D$8:$D$48=BC_SINH!D82)*('KO DU ĐK NQ10'!$E$8:$E$48=BC_SINH!E82), 0)),"")</f>
        <v/>
      </c>
      <c r="P82" s="4" t="str">
        <f t="array" ref="P82">IFERROR(INDEX('KO DU ĐK NQ10'!$H$8:$H$48, MATCH(1, ('KO DU ĐK NQ10'!$D$8:$D$48=BC_SINH!D82)*('KO DU ĐK NQ10'!$E$8:$E$48=BC_SINH!E82), 0)),"")</f>
        <v/>
      </c>
      <c r="Q82" s="4" t="str">
        <f t="array" ref="Q82">IFERROR(INDEX('KO DU ĐK 4069'!$C$8:$C$38, MATCH(1, ('KO DU ĐK 4069'!$D$8:$D$38=BC_SINH!D82)*('KO DU ĐK 4069'!$E$8:$E$38=BC_SINH!E82), 0)),"")</f>
        <v/>
      </c>
      <c r="R82" s="4" t="str">
        <f t="array" ref="R82">IFERROR(INDEX('KO DU ĐK 4069'!$H$8:$H$38, MATCH(1, ('KO DU ĐK 4069'!$D$8:$D$38=BC_SINH!D82)*('KO DU ĐK 4069'!$E$8:$E$38=BC_SINH!E82), 0)),"")</f>
        <v/>
      </c>
      <c r="S82" s="4" t="str">
        <f t="array" ref="S82">IFERROR(INDEX(KeKhaiDangKy!$H$2:$H$4889, MATCH(1, (KeKhaiDangKy!$A$2:$A$4889=BC_SINH!D82)*(KeKhaiDangKy!$B$2:$B$4889=BC_SINH!E82), 0)),"")</f>
        <v/>
      </c>
    </row>
    <row r="83" spans="1:19" ht="14.45" customHeight="1" x14ac:dyDescent="0.25">
      <c r="A83" s="4">
        <f>IF(B83&lt;&gt;"", SUBTOTAL(3, $B$2:B83), "")</f>
        <v>82</v>
      </c>
      <c r="B83" s="4" t="s">
        <v>604</v>
      </c>
      <c r="C83" s="4" t="str">
        <f t="shared" si="1"/>
        <v>Kỳ Tăng</v>
      </c>
      <c r="D83" s="4">
        <v>33</v>
      </c>
      <c r="E83" s="4">
        <v>12</v>
      </c>
      <c r="F83" s="4">
        <v>9487</v>
      </c>
      <c r="G83" s="4" t="s">
        <v>11</v>
      </c>
      <c r="H83" s="4" t="str">
        <f t="array" ref="H83">IFERROR(INDEX(DSCKXA!$B$3:$B$73, MATCH(1, (DSCKXA!$D$3:$D$73=BC_SINH!D83)*(DSCKXA!$E$3:$E$73=BC_SINH!E83), 0)),"")</f>
        <v/>
      </c>
      <c r="I83" s="99" t="str">
        <f t="array" ref="I83">IFERROR(INDEX(DSCKXA!$C$3:$C$73, MATCH(1, (DSCKXA!$D$3:$D$73=BC_SINH!D83)*(DSCKXA!$E$3:$E$73=BC_SINH!E83), 0)),"")</f>
        <v/>
      </c>
      <c r="J83" s="97" t="str">
        <f>IFERROR(VLOOKUP(B83,'Đất sản xuất'!$B$9:$C$216,2,0),"")</f>
        <v/>
      </c>
      <c r="K83" s="97" t="str">
        <f>IFERROR(VLOOKUP(B83,'Sản xuất cấp huyên'!$B$9:$C$177,2,0),"")</f>
        <v>Kỳ Tăng</v>
      </c>
      <c r="L83" s="4" t="str">
        <f>IFERROR(VLOOKUP(B83,'4069'!$B$9:$C$177,2,0),"")</f>
        <v>Kỳ Tăng</v>
      </c>
      <c r="M83" s="4" t="str">
        <f t="array" ref="M83">IFERROR(INDEX(KODUDK!$C$8:$C$79, MATCH(1, (KODUDK!$D$8:$D$79=BC_SINH!D83)*(KODUDK!$E$8:$E$79=BC_SINH!E83), 0)),"")</f>
        <v/>
      </c>
      <c r="N83" s="4" t="str">
        <f t="array" ref="N83">IFERROR(INDEX(KODUDK!$H$8:$H$79, MATCH(1, (KODUDK!$D$8:$D$79=BC_SINH!D83)*(KODUDK!$E$8:$E$79=BC_SINH!E83), 0)),"")</f>
        <v/>
      </c>
      <c r="O83" s="4" t="str">
        <f t="array" ref="O83">IFERROR(INDEX('KO DU ĐK NQ10'!$C$8:$C$48, MATCH(1, ('KO DU ĐK NQ10'!$D$8:$D$48=BC_SINH!D83)*('KO DU ĐK NQ10'!$E$8:$E$48=BC_SINH!E83), 0)),"")</f>
        <v/>
      </c>
      <c r="P83" s="4" t="str">
        <f t="array" ref="P83">IFERROR(INDEX('KO DU ĐK NQ10'!$H$8:$H$48, MATCH(1, ('KO DU ĐK NQ10'!$D$8:$D$48=BC_SINH!D83)*('KO DU ĐK NQ10'!$E$8:$E$48=BC_SINH!E83), 0)),"")</f>
        <v/>
      </c>
      <c r="Q83" s="4" t="str">
        <f t="array" ref="Q83">IFERROR(INDEX('KO DU ĐK 4069'!$C$8:$C$38, MATCH(1, ('KO DU ĐK 4069'!$D$8:$D$38=BC_SINH!D83)*('KO DU ĐK 4069'!$E$8:$E$38=BC_SINH!E83), 0)),"")</f>
        <v/>
      </c>
      <c r="R83" s="4" t="str">
        <f t="array" ref="R83">IFERROR(INDEX('KO DU ĐK 4069'!$H$8:$H$38, MATCH(1, ('KO DU ĐK 4069'!$D$8:$D$38=BC_SINH!D83)*('KO DU ĐK 4069'!$E$8:$E$38=BC_SINH!E83), 0)),"")</f>
        <v/>
      </c>
      <c r="S83" s="4" t="str">
        <f t="array" ref="S83">IFERROR(INDEX(KeKhaiDangKy!$H$2:$H$4889, MATCH(1, (KeKhaiDangKy!$A$2:$A$4889=BC_SINH!D83)*(KeKhaiDangKy!$B$2:$B$4889=BC_SINH!E83), 0)),"")</f>
        <v>Kỳ Tăng</v>
      </c>
    </row>
    <row r="84" spans="1:19" ht="14.45" customHeight="1" x14ac:dyDescent="0.25">
      <c r="A84" s="4">
        <f>IF(B84&lt;&gt;"", SUBTOTAL(3, $B$2:B84), "")</f>
        <v>83</v>
      </c>
      <c r="B84" s="4" t="s">
        <v>604</v>
      </c>
      <c r="C84" s="4" t="str">
        <f t="shared" si="1"/>
        <v>Kỳ Tăng</v>
      </c>
      <c r="D84" s="4">
        <v>21</v>
      </c>
      <c r="E84" s="4">
        <v>120</v>
      </c>
      <c r="F84" s="4">
        <v>20497</v>
      </c>
      <c r="G84" s="4" t="s">
        <v>11</v>
      </c>
      <c r="H84" s="4" t="str">
        <f t="array" ref="H84">IFERROR(INDEX(DSCKXA!$B$3:$B$73, MATCH(1, (DSCKXA!$D$3:$D$73=BC_SINH!D84)*(DSCKXA!$E$3:$E$73=BC_SINH!E84), 0)),"")</f>
        <v>Côn Xuôi</v>
      </c>
      <c r="I84" s="99" t="str">
        <f t="array" ref="I84">IFERROR(INDEX(DSCKXA!$C$3:$C$73, MATCH(1, (DSCKXA!$D$3:$D$73=BC_SINH!D84)*(DSCKXA!$E$3:$E$73=BC_SINH!E84), 0)),"")</f>
        <v>Thôn A Quan</v>
      </c>
      <c r="J84" s="97" t="str">
        <f>IFERROR(VLOOKUP(B84,'Đất sản xuất'!$B$9:$C$216,2,0),"")</f>
        <v/>
      </c>
      <c r="K84" s="97" t="str">
        <f>IFERROR(VLOOKUP(B84,'Sản xuất cấp huyên'!$B$9:$C$177,2,0),"")</f>
        <v>Kỳ Tăng</v>
      </c>
      <c r="L84" s="4" t="str">
        <f>IFERROR(VLOOKUP(B84,'4069'!$B$9:$C$177,2,0),"")</f>
        <v>Kỳ Tăng</v>
      </c>
      <c r="M84" s="4" t="str">
        <f t="array" ref="M84">IFERROR(INDEX(KODUDK!$C$8:$C$79, MATCH(1, (KODUDK!$D$8:$D$79=BC_SINH!D84)*(KODUDK!$E$8:$E$79=BC_SINH!E84), 0)),"")</f>
        <v/>
      </c>
      <c r="N84" s="4" t="str">
        <f t="array" ref="N84">IFERROR(INDEX(KODUDK!$H$8:$H$79, MATCH(1, (KODUDK!$D$8:$D$79=BC_SINH!D84)*(KODUDK!$E$8:$E$79=BC_SINH!E84), 0)),"")</f>
        <v/>
      </c>
      <c r="O84" s="4" t="str">
        <f t="array" ref="O84">IFERROR(INDEX('KO DU ĐK NQ10'!$C$8:$C$48, MATCH(1, ('KO DU ĐK NQ10'!$D$8:$D$48=BC_SINH!D84)*('KO DU ĐK NQ10'!$E$8:$E$48=BC_SINH!E84), 0)),"")</f>
        <v/>
      </c>
      <c r="P84" s="4" t="str">
        <f t="array" ref="P84">IFERROR(INDEX('KO DU ĐK NQ10'!$H$8:$H$48, MATCH(1, ('KO DU ĐK NQ10'!$D$8:$D$48=BC_SINH!D84)*('KO DU ĐK NQ10'!$E$8:$E$48=BC_SINH!E84), 0)),"")</f>
        <v/>
      </c>
      <c r="Q84" s="4" t="str">
        <f t="array" ref="Q84">IFERROR(INDEX('KO DU ĐK 4069'!$C$8:$C$38, MATCH(1, ('KO DU ĐK 4069'!$D$8:$D$38=BC_SINH!D84)*('KO DU ĐK 4069'!$E$8:$E$38=BC_SINH!E84), 0)),"")</f>
        <v/>
      </c>
      <c r="R84" s="4" t="str">
        <f t="array" ref="R84">IFERROR(INDEX('KO DU ĐK 4069'!$H$8:$H$38, MATCH(1, ('KO DU ĐK 4069'!$D$8:$D$38=BC_SINH!D84)*('KO DU ĐK 4069'!$E$8:$E$38=BC_SINH!E84), 0)),"")</f>
        <v/>
      </c>
      <c r="S84" s="4" t="str">
        <f t="array" ref="S84">IFERROR(INDEX(KeKhaiDangKy!$H$2:$H$4889, MATCH(1, (KeKhaiDangKy!$A$2:$A$4889=BC_SINH!D84)*(KeKhaiDangKy!$B$2:$B$4889=BC_SINH!E84), 0)),"")</f>
        <v>Kỳ Tăng</v>
      </c>
    </row>
    <row r="85" spans="1:19" ht="14.45" customHeight="1" x14ac:dyDescent="0.25">
      <c r="A85" s="4">
        <f>IF(B85&lt;&gt;"", SUBTOTAL(3, $B$2:B85), "")</f>
        <v>84</v>
      </c>
      <c r="B85" s="4" t="s">
        <v>604</v>
      </c>
      <c r="C85" s="4" t="str">
        <f t="shared" si="1"/>
        <v>Kỳ Tăng</v>
      </c>
      <c r="D85" s="4">
        <v>21</v>
      </c>
      <c r="E85" s="4">
        <v>121</v>
      </c>
      <c r="F85" s="4">
        <v>11402</v>
      </c>
      <c r="G85" s="4" t="s">
        <v>11</v>
      </c>
      <c r="H85" s="4" t="str">
        <f t="array" ref="H85">IFERROR(INDEX(DSCKXA!$B$3:$B$73, MATCH(1, (DSCKXA!$D$3:$D$73=BC_SINH!D85)*(DSCKXA!$E$3:$E$73=BC_SINH!E85), 0)),"")</f>
        <v/>
      </c>
      <c r="I85" s="99" t="str">
        <f t="array" ref="I85">IFERROR(INDEX(DSCKXA!$C$3:$C$73, MATCH(1, (DSCKXA!$D$3:$D$73=BC_SINH!D85)*(DSCKXA!$E$3:$E$73=BC_SINH!E85), 0)),"")</f>
        <v/>
      </c>
      <c r="J85" s="97" t="str">
        <f>IFERROR(VLOOKUP(B85,'Đất sản xuất'!$B$9:$C$216,2,0),"")</f>
        <v/>
      </c>
      <c r="K85" s="97" t="str">
        <f>IFERROR(VLOOKUP(B85,'Sản xuất cấp huyên'!$B$9:$C$177,2,0),"")</f>
        <v>Kỳ Tăng</v>
      </c>
      <c r="L85" s="4" t="str">
        <f>IFERROR(VLOOKUP(B85,'4069'!$B$9:$C$177,2,0),"")</f>
        <v>Kỳ Tăng</v>
      </c>
      <c r="M85" s="4" t="str">
        <f t="array" ref="M85">IFERROR(INDEX(KODUDK!$C$8:$C$79, MATCH(1, (KODUDK!$D$8:$D$79=BC_SINH!D85)*(KODUDK!$E$8:$E$79=BC_SINH!E85), 0)),"")</f>
        <v/>
      </c>
      <c r="N85" s="4" t="str">
        <f t="array" ref="N85">IFERROR(INDEX(KODUDK!$H$8:$H$79, MATCH(1, (KODUDK!$D$8:$D$79=BC_SINH!D85)*(KODUDK!$E$8:$E$79=BC_SINH!E85), 0)),"")</f>
        <v/>
      </c>
      <c r="O85" s="4" t="str">
        <f t="array" ref="O85">IFERROR(INDEX('KO DU ĐK NQ10'!$C$8:$C$48, MATCH(1, ('KO DU ĐK NQ10'!$D$8:$D$48=BC_SINH!D85)*('KO DU ĐK NQ10'!$E$8:$E$48=BC_SINH!E85), 0)),"")</f>
        <v/>
      </c>
      <c r="P85" s="4" t="str">
        <f t="array" ref="P85">IFERROR(INDEX('KO DU ĐK NQ10'!$H$8:$H$48, MATCH(1, ('KO DU ĐK NQ10'!$D$8:$D$48=BC_SINH!D85)*('KO DU ĐK NQ10'!$E$8:$E$48=BC_SINH!E85), 0)),"")</f>
        <v/>
      </c>
      <c r="Q85" s="4" t="str">
        <f t="array" ref="Q85">IFERROR(INDEX('KO DU ĐK 4069'!$C$8:$C$38, MATCH(1, ('KO DU ĐK 4069'!$D$8:$D$38=BC_SINH!D85)*('KO DU ĐK 4069'!$E$8:$E$38=BC_SINH!E85), 0)),"")</f>
        <v/>
      </c>
      <c r="R85" s="4" t="str">
        <f t="array" ref="R85">IFERROR(INDEX('KO DU ĐK 4069'!$H$8:$H$38, MATCH(1, ('KO DU ĐK 4069'!$D$8:$D$38=BC_SINH!D85)*('KO DU ĐK 4069'!$E$8:$E$38=BC_SINH!E85), 0)),"")</f>
        <v/>
      </c>
      <c r="S85" s="4" t="str">
        <f t="array" ref="S85">IFERROR(INDEX(KeKhaiDangKy!$H$2:$H$4889, MATCH(1, (KeKhaiDangKy!$A$2:$A$4889=BC_SINH!D85)*(KeKhaiDangKy!$B$2:$B$4889=BC_SINH!E85), 0)),"")</f>
        <v/>
      </c>
    </row>
    <row r="86" spans="1:19" ht="14.45" customHeight="1" x14ac:dyDescent="0.25">
      <c r="A86" s="4">
        <f>IF(B86&lt;&gt;"", SUBTOTAL(3, $B$2:B86), "")</f>
        <v>85</v>
      </c>
      <c r="B86" s="4" t="s">
        <v>59</v>
      </c>
      <c r="C86" s="4" t="str">
        <f t="shared" si="1"/>
        <v>A Xau</v>
      </c>
      <c r="D86" s="4">
        <v>7</v>
      </c>
      <c r="E86" s="4">
        <v>32</v>
      </c>
      <c r="F86" s="4">
        <v>3136</v>
      </c>
      <c r="G86" s="4" t="s">
        <v>11</v>
      </c>
      <c r="H86" s="4" t="str">
        <f t="array" ref="H86">IFERROR(INDEX(DSCKXA!$B$3:$B$73, MATCH(1, (DSCKXA!$D$3:$D$73=BC_SINH!D86)*(DSCKXA!$E$3:$E$73=BC_SINH!E86), 0)),"")</f>
        <v/>
      </c>
      <c r="I86" s="99" t="str">
        <f t="array" ref="I86">IFERROR(INDEX(DSCKXA!$C$3:$C$73, MATCH(1, (DSCKXA!$D$3:$D$73=BC_SINH!D86)*(DSCKXA!$E$3:$E$73=BC_SINH!E86), 0)),"")</f>
        <v/>
      </c>
      <c r="J86" s="97" t="str">
        <f>IFERROR(VLOOKUP(B86,'Đất sản xuất'!$B$9:$C$216,2,0),"")</f>
        <v>A Xau</v>
      </c>
      <c r="K86" s="97" t="str">
        <f>IFERROR(VLOOKUP(B86,'Sản xuất cấp huyên'!$B$9:$C$177,2,0),"")</f>
        <v/>
      </c>
      <c r="L86" s="4" t="str">
        <f>IFERROR(VLOOKUP(B86,'4069'!$B$9:$C$177,2,0),"")</f>
        <v/>
      </c>
      <c r="M86" s="4" t="str">
        <f t="array" ref="M86">IFERROR(INDEX(KODUDK!$C$8:$C$79, MATCH(1, (KODUDK!$D$8:$D$79=BC_SINH!D86)*(KODUDK!$E$8:$E$79=BC_SINH!E86), 0)),"")</f>
        <v/>
      </c>
      <c r="N86" s="4" t="str">
        <f t="array" ref="N86">IFERROR(INDEX(KODUDK!$H$8:$H$79, MATCH(1, (KODUDK!$D$8:$D$79=BC_SINH!D86)*(KODUDK!$E$8:$E$79=BC_SINH!E86), 0)),"")</f>
        <v/>
      </c>
      <c r="O86" s="4" t="str">
        <f t="array" ref="O86">IFERROR(INDEX('KO DU ĐK NQ10'!$C$8:$C$48, MATCH(1, ('KO DU ĐK NQ10'!$D$8:$D$48=BC_SINH!D86)*('KO DU ĐK NQ10'!$E$8:$E$48=BC_SINH!E86), 0)),"")</f>
        <v/>
      </c>
      <c r="P86" s="4" t="str">
        <f t="array" ref="P86">IFERROR(INDEX('KO DU ĐK NQ10'!$H$8:$H$48, MATCH(1, ('KO DU ĐK NQ10'!$D$8:$D$48=BC_SINH!D86)*('KO DU ĐK NQ10'!$E$8:$E$48=BC_SINH!E86), 0)),"")</f>
        <v/>
      </c>
      <c r="Q86" s="4" t="str">
        <f t="array" ref="Q86">IFERROR(INDEX('KO DU ĐK 4069'!$C$8:$C$38, MATCH(1, ('KO DU ĐK 4069'!$D$8:$D$38=BC_SINH!D86)*('KO DU ĐK 4069'!$E$8:$E$38=BC_SINH!E86), 0)),"")</f>
        <v/>
      </c>
      <c r="R86" s="4" t="str">
        <f t="array" ref="R86">IFERROR(INDEX('KO DU ĐK 4069'!$H$8:$H$38, MATCH(1, ('KO DU ĐK 4069'!$D$8:$D$38=BC_SINH!D86)*('KO DU ĐK 4069'!$E$8:$E$38=BC_SINH!E86), 0)),"")</f>
        <v/>
      </c>
      <c r="S86" s="4" t="str">
        <f t="array" ref="S86">IFERROR(INDEX(KeKhaiDangKy!$H$2:$H$4889, MATCH(1, (KeKhaiDangKy!$A$2:$A$4889=BC_SINH!D86)*(KeKhaiDangKy!$B$2:$B$4889=BC_SINH!E86), 0)),"")</f>
        <v>A Xau</v>
      </c>
    </row>
    <row r="87" spans="1:19" ht="14.45" customHeight="1" x14ac:dyDescent="0.25">
      <c r="A87" s="4">
        <f>IF(B87&lt;&gt;"", SUBTOTAL(3, $B$2:B87), "")</f>
        <v>86</v>
      </c>
      <c r="B87" s="4" t="s">
        <v>60</v>
      </c>
      <c r="C87" s="4" t="str">
        <f t="shared" si="1"/>
        <v>Kỳ Tăng</v>
      </c>
      <c r="D87" s="4">
        <v>21</v>
      </c>
      <c r="E87" s="4">
        <v>123</v>
      </c>
      <c r="F87" s="4">
        <v>1705</v>
      </c>
      <c r="G87" s="4" t="s">
        <v>11</v>
      </c>
      <c r="H87" s="4" t="str">
        <f t="array" ref="H87">IFERROR(INDEX(DSCKXA!$B$3:$B$73, MATCH(1, (DSCKXA!$D$3:$D$73=BC_SINH!D87)*(DSCKXA!$E$3:$E$73=BC_SINH!E87), 0)),"")</f>
        <v/>
      </c>
      <c r="I87" s="99" t="str">
        <f t="array" ref="I87">IFERROR(INDEX(DSCKXA!$C$3:$C$73, MATCH(1, (DSCKXA!$D$3:$D$73=BC_SINH!D87)*(DSCKXA!$E$3:$E$73=BC_SINH!E87), 0)),"")</f>
        <v/>
      </c>
      <c r="J87" s="97" t="str">
        <f>IFERROR(VLOOKUP(B87,'Đất sản xuất'!$B$9:$C$216,2,0),"")</f>
        <v/>
      </c>
      <c r="K87" s="97" t="str">
        <f>IFERROR(VLOOKUP(B87,'Sản xuất cấp huyên'!$B$9:$C$177,2,0),"")</f>
        <v>Kỳ Tăng</v>
      </c>
      <c r="L87" s="4" t="str">
        <f>IFERROR(VLOOKUP(B87,'4069'!$B$9:$C$177,2,0),"")</f>
        <v>Kỳ Tăng</v>
      </c>
      <c r="M87" s="4" t="str">
        <f t="array" ref="M87">IFERROR(INDEX(KODUDK!$C$8:$C$79, MATCH(1, (KODUDK!$D$8:$D$79=BC_SINH!D87)*(KODUDK!$E$8:$E$79=BC_SINH!E87), 0)),"")</f>
        <v/>
      </c>
      <c r="N87" s="4" t="str">
        <f t="array" ref="N87">IFERROR(INDEX(KODUDK!$H$8:$H$79, MATCH(1, (KODUDK!$D$8:$D$79=BC_SINH!D87)*(KODUDK!$E$8:$E$79=BC_SINH!E87), 0)),"")</f>
        <v/>
      </c>
      <c r="O87" s="4" t="str">
        <f t="array" ref="O87">IFERROR(INDEX('KO DU ĐK NQ10'!$C$8:$C$48, MATCH(1, ('KO DU ĐK NQ10'!$D$8:$D$48=BC_SINH!D87)*('KO DU ĐK NQ10'!$E$8:$E$48=BC_SINH!E87), 0)),"")</f>
        <v/>
      </c>
      <c r="P87" s="4" t="str">
        <f t="array" ref="P87">IFERROR(INDEX('KO DU ĐK NQ10'!$H$8:$H$48, MATCH(1, ('KO DU ĐK NQ10'!$D$8:$D$48=BC_SINH!D87)*('KO DU ĐK NQ10'!$E$8:$E$48=BC_SINH!E87), 0)),"")</f>
        <v/>
      </c>
      <c r="Q87" s="4" t="str">
        <f t="array" ref="Q87">IFERROR(INDEX('KO DU ĐK 4069'!$C$8:$C$38, MATCH(1, ('KO DU ĐK 4069'!$D$8:$D$38=BC_SINH!D87)*('KO DU ĐK 4069'!$E$8:$E$38=BC_SINH!E87), 0)),"")</f>
        <v/>
      </c>
      <c r="R87" s="4" t="str">
        <f t="array" ref="R87">IFERROR(INDEX('KO DU ĐK 4069'!$H$8:$H$38, MATCH(1, ('KO DU ĐK 4069'!$D$8:$D$38=BC_SINH!D87)*('KO DU ĐK 4069'!$E$8:$E$38=BC_SINH!E87), 0)),"")</f>
        <v/>
      </c>
      <c r="S87" s="4" t="str">
        <f t="array" ref="S87">IFERROR(INDEX(KeKhaiDangKy!$H$2:$H$4889, MATCH(1, (KeKhaiDangKy!$A$2:$A$4889=BC_SINH!D87)*(KeKhaiDangKy!$B$2:$B$4889=BC_SINH!E87), 0)),"")</f>
        <v/>
      </c>
    </row>
    <row r="88" spans="1:19" ht="14.45" customHeight="1" x14ac:dyDescent="0.25">
      <c r="A88" s="4">
        <f>IF(B88&lt;&gt;"", SUBTOTAL(3, $B$2:B88), "")</f>
        <v>87</v>
      </c>
      <c r="B88" s="4" t="s">
        <v>60</v>
      </c>
      <c r="C88" s="4" t="str">
        <f t="shared" si="1"/>
        <v>Kỳ Tăng</v>
      </c>
      <c r="D88" s="4">
        <v>21</v>
      </c>
      <c r="E88" s="4">
        <v>124</v>
      </c>
      <c r="F88" s="4">
        <v>8766</v>
      </c>
      <c r="G88" s="4" t="s">
        <v>11</v>
      </c>
      <c r="H88" s="4" t="str">
        <f t="array" ref="H88">IFERROR(INDEX(DSCKXA!$B$3:$B$73, MATCH(1, (DSCKXA!$D$3:$D$73=BC_SINH!D88)*(DSCKXA!$E$3:$E$73=BC_SINH!E88), 0)),"")</f>
        <v/>
      </c>
      <c r="I88" s="99" t="str">
        <f t="array" ref="I88">IFERROR(INDEX(DSCKXA!$C$3:$C$73, MATCH(1, (DSCKXA!$D$3:$D$73=BC_SINH!D88)*(DSCKXA!$E$3:$E$73=BC_SINH!E88), 0)),"")</f>
        <v/>
      </c>
      <c r="J88" s="97" t="str">
        <f>IFERROR(VLOOKUP(B88,'Đất sản xuất'!$B$9:$C$216,2,0),"")</f>
        <v/>
      </c>
      <c r="K88" s="97" t="str">
        <f>IFERROR(VLOOKUP(B88,'Sản xuất cấp huyên'!$B$9:$C$177,2,0),"")</f>
        <v>Kỳ Tăng</v>
      </c>
      <c r="L88" s="4" t="str">
        <f>IFERROR(VLOOKUP(B88,'4069'!$B$9:$C$177,2,0),"")</f>
        <v>Kỳ Tăng</v>
      </c>
      <c r="M88" s="4" t="str">
        <f t="array" ref="M88">IFERROR(INDEX(KODUDK!$C$8:$C$79, MATCH(1, (KODUDK!$D$8:$D$79=BC_SINH!D88)*(KODUDK!$E$8:$E$79=BC_SINH!E88), 0)),"")</f>
        <v/>
      </c>
      <c r="N88" s="4" t="str">
        <f t="array" ref="N88">IFERROR(INDEX(KODUDK!$H$8:$H$79, MATCH(1, (KODUDK!$D$8:$D$79=BC_SINH!D88)*(KODUDK!$E$8:$E$79=BC_SINH!E88), 0)),"")</f>
        <v/>
      </c>
      <c r="O88" s="4" t="str">
        <f t="array" ref="O88">IFERROR(INDEX('KO DU ĐK NQ10'!$C$8:$C$48, MATCH(1, ('KO DU ĐK NQ10'!$D$8:$D$48=BC_SINH!D88)*('KO DU ĐK NQ10'!$E$8:$E$48=BC_SINH!E88), 0)),"")</f>
        <v/>
      </c>
      <c r="P88" s="4" t="str">
        <f t="array" ref="P88">IFERROR(INDEX('KO DU ĐK NQ10'!$H$8:$H$48, MATCH(1, ('KO DU ĐK NQ10'!$D$8:$D$48=BC_SINH!D88)*('KO DU ĐK NQ10'!$E$8:$E$48=BC_SINH!E88), 0)),"")</f>
        <v/>
      </c>
      <c r="Q88" s="4" t="str">
        <f t="array" ref="Q88">IFERROR(INDEX('KO DU ĐK 4069'!$C$8:$C$38, MATCH(1, ('KO DU ĐK 4069'!$D$8:$D$38=BC_SINH!D88)*('KO DU ĐK 4069'!$E$8:$E$38=BC_SINH!E88), 0)),"")</f>
        <v/>
      </c>
      <c r="R88" s="4" t="str">
        <f t="array" ref="R88">IFERROR(INDEX('KO DU ĐK 4069'!$H$8:$H$38, MATCH(1, ('KO DU ĐK 4069'!$D$8:$D$38=BC_SINH!D88)*('KO DU ĐK 4069'!$E$8:$E$38=BC_SINH!E88), 0)),"")</f>
        <v/>
      </c>
      <c r="S88" s="4" t="str">
        <f t="array" ref="S88">IFERROR(INDEX(KeKhaiDangKy!$H$2:$H$4889, MATCH(1, (KeKhaiDangKy!$A$2:$A$4889=BC_SINH!D88)*(KeKhaiDangKy!$B$2:$B$4889=BC_SINH!E88), 0)),"")</f>
        <v/>
      </c>
    </row>
    <row r="89" spans="1:19" ht="14.45" customHeight="1" x14ac:dyDescent="0.25">
      <c r="A89" s="4">
        <f>IF(B89&lt;&gt;"", SUBTOTAL(3, $B$2:B89), "")</f>
        <v>88</v>
      </c>
      <c r="B89" s="4" t="s">
        <v>636</v>
      </c>
      <c r="C89" s="4" t="str">
        <f t="shared" si="1"/>
        <v/>
      </c>
      <c r="D89" s="4">
        <v>8</v>
      </c>
      <c r="E89" s="4">
        <v>207</v>
      </c>
      <c r="F89" s="4">
        <v>2612</v>
      </c>
      <c r="G89" s="4" t="s">
        <v>11</v>
      </c>
      <c r="H89" s="4" t="str">
        <f t="array" ref="H89">IFERROR(INDEX(DSCKXA!$B$3:$B$73, MATCH(1, (DSCKXA!$D$3:$D$73=BC_SINH!D89)*(DSCKXA!$E$3:$E$73=BC_SINH!E89), 0)),"")</f>
        <v>Hồ Thị Tùa</v>
      </c>
      <c r="I89" s="99" t="str">
        <f t="array" ref="I89">IFERROR(INDEX(DSCKXA!$C$3:$C$73, MATCH(1, (DSCKXA!$D$3:$D$73=BC_SINH!D89)*(DSCKXA!$E$3:$E$73=BC_SINH!E89), 0)),"")</f>
        <v>Thôn A Xói Hang</v>
      </c>
      <c r="J89" s="97" t="str">
        <f>IFERROR(VLOOKUP(B89,'Đất sản xuất'!$B$9:$C$216,2,0),"")</f>
        <v/>
      </c>
      <c r="K89" s="97" t="str">
        <f>IFERROR(VLOOKUP(B89,'Sản xuất cấp huyên'!$B$9:$C$177,2,0),"")</f>
        <v/>
      </c>
      <c r="L89" s="4" t="str">
        <f>IFERROR(VLOOKUP(B89,'4069'!$B$9:$C$177,2,0),"")</f>
        <v/>
      </c>
      <c r="M89" s="4" t="str">
        <f t="array" ref="M89">IFERROR(INDEX(KODUDK!$C$8:$C$79, MATCH(1, (KODUDK!$D$8:$D$79=BC_SINH!D89)*(KODUDK!$E$8:$E$79=BC_SINH!E89), 0)),"")</f>
        <v/>
      </c>
      <c r="N89" s="4" t="str">
        <f t="array" ref="N89">IFERROR(INDEX(KODUDK!$H$8:$H$79, MATCH(1, (KODUDK!$D$8:$D$79=BC_SINH!D89)*(KODUDK!$E$8:$E$79=BC_SINH!E89), 0)),"")</f>
        <v/>
      </c>
      <c r="O89" s="4" t="str">
        <f t="array" ref="O89">IFERROR(INDEX('KO DU ĐK NQ10'!$C$8:$C$48, MATCH(1, ('KO DU ĐK NQ10'!$D$8:$D$48=BC_SINH!D89)*('KO DU ĐK NQ10'!$E$8:$E$48=BC_SINH!E89), 0)),"")</f>
        <v/>
      </c>
      <c r="P89" s="4" t="str">
        <f t="array" ref="P89">IFERROR(INDEX('KO DU ĐK NQ10'!$H$8:$H$48, MATCH(1, ('KO DU ĐK NQ10'!$D$8:$D$48=BC_SINH!D89)*('KO DU ĐK NQ10'!$E$8:$E$48=BC_SINH!E89), 0)),"")</f>
        <v/>
      </c>
      <c r="Q89" s="4" t="str">
        <f t="array" ref="Q89">IFERROR(INDEX('KO DU ĐK 4069'!$C$8:$C$38, MATCH(1, ('KO DU ĐK 4069'!$D$8:$D$38=BC_SINH!D89)*('KO DU ĐK 4069'!$E$8:$E$38=BC_SINH!E89), 0)),"")</f>
        <v/>
      </c>
      <c r="R89" s="4" t="str">
        <f t="array" ref="R89">IFERROR(INDEX('KO DU ĐK 4069'!$H$8:$H$38, MATCH(1, ('KO DU ĐK 4069'!$D$8:$D$38=BC_SINH!D89)*('KO DU ĐK 4069'!$E$8:$E$38=BC_SINH!E89), 0)),"")</f>
        <v/>
      </c>
      <c r="S89" s="4" t="str">
        <f t="array" ref="S89">IFERROR(INDEX(KeKhaiDangKy!$H$2:$H$4889, MATCH(1, (KeKhaiDangKy!$A$2:$A$4889=BC_SINH!D89)*(KeKhaiDangKy!$B$2:$B$4889=BC_SINH!E89), 0)),"")</f>
        <v/>
      </c>
    </row>
    <row r="90" spans="1:19" ht="14.45" customHeight="1" x14ac:dyDescent="0.25">
      <c r="A90" s="4">
        <f>IF(B90&lt;&gt;"", SUBTOTAL(3, $B$2:B90), "")</f>
        <v>89</v>
      </c>
      <c r="B90" s="4" t="s">
        <v>61</v>
      </c>
      <c r="C90" s="4" t="str">
        <f t="shared" si="1"/>
        <v>A Máy</v>
      </c>
      <c r="D90" s="4">
        <v>21</v>
      </c>
      <c r="E90" s="4">
        <v>125</v>
      </c>
      <c r="F90" s="4">
        <v>9149</v>
      </c>
      <c r="G90" s="4" t="s">
        <v>11</v>
      </c>
      <c r="H90" s="4" t="str">
        <f t="array" ref="H90">IFERROR(INDEX(DSCKXA!$B$3:$B$73, MATCH(1, (DSCKXA!$D$3:$D$73=BC_SINH!D90)*(DSCKXA!$E$3:$E$73=BC_SINH!E90), 0)),"")</f>
        <v/>
      </c>
      <c r="I90" s="99" t="str">
        <f t="array" ref="I90">IFERROR(INDEX(DSCKXA!$C$3:$C$73, MATCH(1, (DSCKXA!$D$3:$D$73=BC_SINH!D90)*(DSCKXA!$E$3:$E$73=BC_SINH!E90), 0)),"")</f>
        <v/>
      </c>
      <c r="J90" s="97" t="str">
        <f>IFERROR(VLOOKUP(B90,'Đất sản xuất'!$B$9:$C$216,2,0),"")</f>
        <v/>
      </c>
      <c r="K90" s="97" t="str">
        <f>IFERROR(VLOOKUP(B90,'Sản xuất cấp huyên'!$B$9:$C$177,2,0),"")</f>
        <v>A Máy</v>
      </c>
      <c r="L90" s="4" t="str">
        <f>IFERROR(VLOOKUP(B90,'4069'!$B$9:$C$177,2,0),"")</f>
        <v>A Máy</v>
      </c>
      <c r="M90" s="4" t="str">
        <f t="array" ref="M90">IFERROR(INDEX(KODUDK!$C$8:$C$79, MATCH(1, (KODUDK!$D$8:$D$79=BC_SINH!D90)*(KODUDK!$E$8:$E$79=BC_SINH!E90), 0)),"")</f>
        <v>Thôn A Máy</v>
      </c>
      <c r="N90" s="4" t="str">
        <f t="array" ref="N90">IFERROR(INDEX(KODUDK!$H$8:$H$79, MATCH(1, (KODUDK!$D$8:$D$79=BC_SINH!D90)*(KODUDK!$E$8:$E$79=BC_SINH!E90), 0)),"")</f>
        <v>Có 03 thửa đất nên loại 02 thửa</v>
      </c>
      <c r="O90" s="4" t="str">
        <f t="array" ref="O90">IFERROR(INDEX('KO DU ĐK NQ10'!$C$8:$C$48, MATCH(1, ('KO DU ĐK NQ10'!$D$8:$D$48=BC_SINH!D90)*('KO DU ĐK NQ10'!$E$8:$E$48=BC_SINH!E90), 0)),"")</f>
        <v/>
      </c>
      <c r="P90" s="4" t="str">
        <f t="array" ref="P90">IFERROR(INDEX('KO DU ĐK NQ10'!$H$8:$H$48, MATCH(1, ('KO DU ĐK NQ10'!$D$8:$D$48=BC_SINH!D90)*('KO DU ĐK NQ10'!$E$8:$E$48=BC_SINH!E90), 0)),"")</f>
        <v/>
      </c>
      <c r="Q90" s="4" t="str">
        <f t="array" ref="Q90">IFERROR(INDEX('KO DU ĐK 4069'!$C$8:$C$38, MATCH(1, ('KO DU ĐK 4069'!$D$8:$D$38=BC_SINH!D90)*('KO DU ĐK 4069'!$E$8:$E$38=BC_SINH!E90), 0)),"")</f>
        <v>Thôn A Máy</v>
      </c>
      <c r="R90" s="4" t="str">
        <f t="array" ref="R90">IFERROR(INDEX('KO DU ĐK 4069'!$H$8:$H$38, MATCH(1, ('KO DU ĐK 4069'!$D$8:$D$38=BC_SINH!D90)*('KO DU ĐK 4069'!$E$8:$E$38=BC_SINH!E90), 0)),"")</f>
        <v>Có 03 thửa đất nên loại 02 thửa</v>
      </c>
      <c r="S90" s="4" t="str">
        <f t="array" ref="S90">IFERROR(INDEX(KeKhaiDangKy!$H$2:$H$4889, MATCH(1, (KeKhaiDangKy!$A$2:$A$4889=BC_SINH!D90)*(KeKhaiDangKy!$B$2:$B$4889=BC_SINH!E90), 0)),"")</f>
        <v/>
      </c>
    </row>
    <row r="91" spans="1:19" ht="14.45" customHeight="1" x14ac:dyDescent="0.25">
      <c r="A91" s="4">
        <f>IF(B91&lt;&gt;"", SUBTOTAL(3, $B$2:B91), "")</f>
        <v>90</v>
      </c>
      <c r="B91" s="4" t="s">
        <v>61</v>
      </c>
      <c r="C91" s="4" t="str">
        <f t="shared" si="1"/>
        <v>A Máy</v>
      </c>
      <c r="D91" s="4">
        <v>21</v>
      </c>
      <c r="E91" s="4">
        <v>126</v>
      </c>
      <c r="F91" s="4">
        <v>9151</v>
      </c>
      <c r="G91" s="4" t="s">
        <v>11</v>
      </c>
      <c r="H91" s="4" t="str">
        <f t="array" ref="H91">IFERROR(INDEX(DSCKXA!$B$3:$B$73, MATCH(1, (DSCKXA!$D$3:$D$73=BC_SINH!D91)*(DSCKXA!$E$3:$E$73=BC_SINH!E91), 0)),"")</f>
        <v/>
      </c>
      <c r="I91" s="99" t="str">
        <f t="array" ref="I91">IFERROR(INDEX(DSCKXA!$C$3:$C$73, MATCH(1, (DSCKXA!$D$3:$D$73=BC_SINH!D91)*(DSCKXA!$E$3:$E$73=BC_SINH!E91), 0)),"")</f>
        <v/>
      </c>
      <c r="J91" s="97" t="str">
        <f>IFERROR(VLOOKUP(B91,'Đất sản xuất'!$B$9:$C$216,2,0),"")</f>
        <v/>
      </c>
      <c r="K91" s="97" t="str">
        <f>IFERROR(VLOOKUP(B91,'Sản xuất cấp huyên'!$B$9:$C$177,2,0),"")</f>
        <v>A Máy</v>
      </c>
      <c r="L91" s="4" t="str">
        <f>IFERROR(VLOOKUP(B91,'4069'!$B$9:$C$177,2,0),"")</f>
        <v>A Máy</v>
      </c>
      <c r="M91" s="4" t="str">
        <f t="array" ref="M91">IFERROR(INDEX(KODUDK!$C$8:$C$79, MATCH(1, (KODUDK!$D$8:$D$79=BC_SINH!D91)*(KODUDK!$E$8:$E$79=BC_SINH!E91), 0)),"")</f>
        <v/>
      </c>
      <c r="N91" s="4" t="str">
        <f t="array" ref="N91">IFERROR(INDEX(KODUDK!$H$8:$H$79, MATCH(1, (KODUDK!$D$8:$D$79=BC_SINH!D91)*(KODUDK!$E$8:$E$79=BC_SINH!E91), 0)),"")</f>
        <v/>
      </c>
      <c r="O91" s="4" t="str">
        <f t="array" ref="O91">IFERROR(INDEX('KO DU ĐK NQ10'!$C$8:$C$48, MATCH(1, ('KO DU ĐK NQ10'!$D$8:$D$48=BC_SINH!D91)*('KO DU ĐK NQ10'!$E$8:$E$48=BC_SINH!E91), 0)),"")</f>
        <v/>
      </c>
      <c r="P91" s="4" t="str">
        <f t="array" ref="P91">IFERROR(INDEX('KO DU ĐK NQ10'!$H$8:$H$48, MATCH(1, ('KO DU ĐK NQ10'!$D$8:$D$48=BC_SINH!D91)*('KO DU ĐK NQ10'!$E$8:$E$48=BC_SINH!E91), 0)),"")</f>
        <v/>
      </c>
      <c r="Q91" s="4" t="str">
        <f t="array" ref="Q91">IFERROR(INDEX('KO DU ĐK 4069'!$C$8:$C$38, MATCH(1, ('KO DU ĐK 4069'!$D$8:$D$38=BC_SINH!D91)*('KO DU ĐK 4069'!$E$8:$E$38=BC_SINH!E91), 0)),"")</f>
        <v/>
      </c>
      <c r="R91" s="4" t="str">
        <f t="array" ref="R91">IFERROR(INDEX('KO DU ĐK 4069'!$H$8:$H$38, MATCH(1, ('KO DU ĐK 4069'!$D$8:$D$38=BC_SINH!D91)*('KO DU ĐK 4069'!$E$8:$E$38=BC_SINH!E91), 0)),"")</f>
        <v/>
      </c>
      <c r="S91" s="4" t="str">
        <f t="array" ref="S91">IFERROR(INDEX(KeKhaiDangKy!$H$2:$H$4889, MATCH(1, (KeKhaiDangKy!$A$2:$A$4889=BC_SINH!D91)*(KeKhaiDangKy!$B$2:$B$4889=BC_SINH!E91), 0)),"")</f>
        <v/>
      </c>
    </row>
    <row r="92" spans="1:19" ht="14.45" customHeight="1" x14ac:dyDescent="0.25">
      <c r="A92" s="4">
        <f>IF(B92&lt;&gt;"", SUBTOTAL(3, $B$2:B92), "")</f>
        <v>91</v>
      </c>
      <c r="B92" s="4" t="s">
        <v>61</v>
      </c>
      <c r="C92" s="4" t="str">
        <f t="shared" si="1"/>
        <v>A Máy</v>
      </c>
      <c r="D92" s="4">
        <v>21</v>
      </c>
      <c r="E92" s="4">
        <v>127</v>
      </c>
      <c r="F92" s="4">
        <v>5024</v>
      </c>
      <c r="G92" s="4" t="s">
        <v>11</v>
      </c>
      <c r="H92" s="4" t="str">
        <f t="array" ref="H92">IFERROR(INDEX(DSCKXA!$B$3:$B$73, MATCH(1, (DSCKXA!$D$3:$D$73=BC_SINH!D92)*(DSCKXA!$E$3:$E$73=BC_SINH!E92), 0)),"")</f>
        <v/>
      </c>
      <c r="I92" s="99" t="str">
        <f t="array" ref="I92">IFERROR(INDEX(DSCKXA!$C$3:$C$73, MATCH(1, (DSCKXA!$D$3:$D$73=BC_SINH!D92)*(DSCKXA!$E$3:$E$73=BC_SINH!E92), 0)),"")</f>
        <v/>
      </c>
      <c r="J92" s="97" t="str">
        <f>IFERROR(VLOOKUP(B92,'Đất sản xuất'!$B$9:$C$216,2,0),"")</f>
        <v/>
      </c>
      <c r="K92" s="97" t="str">
        <f>IFERROR(VLOOKUP(B92,'Sản xuất cấp huyên'!$B$9:$C$177,2,0),"")</f>
        <v>A Máy</v>
      </c>
      <c r="L92" s="4" t="str">
        <f>IFERROR(VLOOKUP(B92,'4069'!$B$9:$C$177,2,0),"")</f>
        <v>A Máy</v>
      </c>
      <c r="M92" s="4" t="str">
        <f t="array" ref="M92">IFERROR(INDEX(KODUDK!$C$8:$C$79, MATCH(1, (KODUDK!$D$8:$D$79=BC_SINH!D92)*(KODUDK!$E$8:$E$79=BC_SINH!E92), 0)),"")</f>
        <v>Thôn A Máy</v>
      </c>
      <c r="N92" s="4" t="str">
        <f t="array" ref="N92">IFERROR(INDEX(KODUDK!$H$8:$H$79, MATCH(1, (KODUDK!$D$8:$D$79=BC_SINH!D92)*(KODUDK!$E$8:$E$79=BC_SINH!E92), 0)),"")</f>
        <v>Có 03 thửa đất nên loại 02 thửa</v>
      </c>
      <c r="O92" s="4" t="str">
        <f t="array" ref="O92">IFERROR(INDEX('KO DU ĐK NQ10'!$C$8:$C$48, MATCH(1, ('KO DU ĐK NQ10'!$D$8:$D$48=BC_SINH!D92)*('KO DU ĐK NQ10'!$E$8:$E$48=BC_SINH!E92), 0)),"")</f>
        <v/>
      </c>
      <c r="P92" s="4" t="str">
        <f t="array" ref="P92">IFERROR(INDEX('KO DU ĐK NQ10'!$H$8:$H$48, MATCH(1, ('KO DU ĐK NQ10'!$D$8:$D$48=BC_SINH!D92)*('KO DU ĐK NQ10'!$E$8:$E$48=BC_SINH!E92), 0)),"")</f>
        <v/>
      </c>
      <c r="Q92" s="4" t="str">
        <f t="array" ref="Q92">IFERROR(INDEX('KO DU ĐK 4069'!$C$8:$C$38, MATCH(1, ('KO DU ĐK 4069'!$D$8:$D$38=BC_SINH!D92)*('KO DU ĐK 4069'!$E$8:$E$38=BC_SINH!E92), 0)),"")</f>
        <v>Thôn A Máy</v>
      </c>
      <c r="R92" s="4" t="str">
        <f t="array" ref="R92">IFERROR(INDEX('KO DU ĐK 4069'!$H$8:$H$38, MATCH(1, ('KO DU ĐK 4069'!$D$8:$D$38=BC_SINH!D92)*('KO DU ĐK 4069'!$E$8:$E$38=BC_SINH!E92), 0)),"")</f>
        <v>Có 03 thửa đất nên loại 02 thửa</v>
      </c>
      <c r="S92" s="4" t="str">
        <f t="array" ref="S92">IFERROR(INDEX(KeKhaiDangKy!$H$2:$H$4889, MATCH(1, (KeKhaiDangKy!$A$2:$A$4889=BC_SINH!D92)*(KeKhaiDangKy!$B$2:$B$4889=BC_SINH!E92), 0)),"")</f>
        <v/>
      </c>
    </row>
    <row r="93" spans="1:19" ht="14.45" customHeight="1" x14ac:dyDescent="0.25">
      <c r="A93" s="4">
        <f>IF(B93&lt;&gt;"", SUBTOTAL(3, $B$2:B93), "")</f>
        <v>92</v>
      </c>
      <c r="B93" s="4" t="s">
        <v>62</v>
      </c>
      <c r="C93" s="4" t="str">
        <f t="shared" si="1"/>
        <v xml:space="preserve"> A Quan</v>
      </c>
      <c r="D93" s="4">
        <v>21</v>
      </c>
      <c r="E93" s="4">
        <v>128</v>
      </c>
      <c r="F93" s="4">
        <v>7919</v>
      </c>
      <c r="G93" s="4" t="s">
        <v>11</v>
      </c>
      <c r="H93" s="4" t="str">
        <f t="array" ref="H93">IFERROR(INDEX(DSCKXA!$B$3:$B$73, MATCH(1, (DSCKXA!$D$3:$D$73=BC_SINH!D93)*(DSCKXA!$E$3:$E$73=BC_SINH!E93), 0)),"")</f>
        <v>Hồ Văn Do</v>
      </c>
      <c r="I93" s="99" t="str">
        <f t="array" ref="I93">IFERROR(INDEX(DSCKXA!$C$3:$C$73, MATCH(1, (DSCKXA!$D$3:$D$73=BC_SINH!D93)*(DSCKXA!$E$3:$E$73=BC_SINH!E93), 0)),"")</f>
        <v>Thôn A Quan</v>
      </c>
      <c r="J93" s="97" t="str">
        <f>IFERROR(VLOOKUP(B93,'Đất sản xuất'!$B$9:$C$216,2,0),"")</f>
        <v xml:space="preserve"> A Quan</v>
      </c>
      <c r="K93" s="97" t="str">
        <f>IFERROR(VLOOKUP(B93,'Sản xuất cấp huyên'!$B$9:$C$177,2,0),"")</f>
        <v/>
      </c>
      <c r="L93" s="4" t="str">
        <f>IFERROR(VLOOKUP(B93,'4069'!$B$9:$C$177,2,0),"")</f>
        <v/>
      </c>
      <c r="M93" s="4" t="str">
        <f t="array" ref="M93">IFERROR(INDEX(KODUDK!$C$8:$C$79, MATCH(1, (KODUDK!$D$8:$D$79=BC_SINH!D93)*(KODUDK!$E$8:$E$79=BC_SINH!E93), 0)),"")</f>
        <v/>
      </c>
      <c r="N93" s="4" t="str">
        <f t="array" ref="N93">IFERROR(INDEX(KODUDK!$H$8:$H$79, MATCH(1, (KODUDK!$D$8:$D$79=BC_SINH!D93)*(KODUDK!$E$8:$E$79=BC_SINH!E93), 0)),"")</f>
        <v/>
      </c>
      <c r="O93" s="4" t="str">
        <f t="array" ref="O93">IFERROR(INDEX('KO DU ĐK NQ10'!$C$8:$C$48, MATCH(1, ('KO DU ĐK NQ10'!$D$8:$D$48=BC_SINH!D93)*('KO DU ĐK NQ10'!$E$8:$E$48=BC_SINH!E93), 0)),"")</f>
        <v/>
      </c>
      <c r="P93" s="4" t="str">
        <f t="array" ref="P93">IFERROR(INDEX('KO DU ĐK NQ10'!$H$8:$H$48, MATCH(1, ('KO DU ĐK NQ10'!$D$8:$D$48=BC_SINH!D93)*('KO DU ĐK NQ10'!$E$8:$E$48=BC_SINH!E93), 0)),"")</f>
        <v/>
      </c>
      <c r="Q93" s="4" t="str">
        <f t="array" ref="Q93">IFERROR(INDEX('KO DU ĐK 4069'!$C$8:$C$38, MATCH(1, ('KO DU ĐK 4069'!$D$8:$D$38=BC_SINH!D93)*('KO DU ĐK 4069'!$E$8:$E$38=BC_SINH!E93), 0)),"")</f>
        <v/>
      </c>
      <c r="R93" s="4" t="str">
        <f t="array" ref="R93">IFERROR(INDEX('KO DU ĐK 4069'!$H$8:$H$38, MATCH(1, ('KO DU ĐK 4069'!$D$8:$D$38=BC_SINH!D93)*('KO DU ĐK 4069'!$E$8:$E$38=BC_SINH!E93), 0)),"")</f>
        <v/>
      </c>
      <c r="S93" s="4" t="str">
        <f t="array" ref="S93">IFERROR(INDEX(KeKhaiDangKy!$H$2:$H$4889, MATCH(1, (KeKhaiDangKy!$A$2:$A$4889=BC_SINH!D93)*(KeKhaiDangKy!$B$2:$B$4889=BC_SINH!E93), 0)),"")</f>
        <v/>
      </c>
    </row>
    <row r="94" spans="1:19" ht="14.45" customHeight="1" x14ac:dyDescent="0.25">
      <c r="A94" s="4">
        <f>IF(B94&lt;&gt;"", SUBTOTAL(3, $B$2:B94), "")</f>
        <v>93</v>
      </c>
      <c r="B94" s="4" t="s">
        <v>63</v>
      </c>
      <c r="C94" s="4" t="str">
        <f t="shared" si="1"/>
        <v>A Rông</v>
      </c>
      <c r="D94" s="4">
        <v>1</v>
      </c>
      <c r="E94" s="4">
        <v>204</v>
      </c>
      <c r="F94" s="4">
        <v>4276</v>
      </c>
      <c r="G94" s="4" t="s">
        <v>11</v>
      </c>
      <c r="H94" s="4" t="str">
        <f t="array" ref="H94">IFERROR(INDEX(DSCKXA!$B$3:$B$73, MATCH(1, (DSCKXA!$D$3:$D$73=BC_SINH!D94)*(DSCKXA!$E$3:$E$73=BC_SINH!E94), 0)),"")</f>
        <v/>
      </c>
      <c r="I94" s="99" t="str">
        <f t="array" ref="I94">IFERROR(INDEX(DSCKXA!$C$3:$C$73, MATCH(1, (DSCKXA!$D$3:$D$73=BC_SINH!D94)*(DSCKXA!$E$3:$E$73=BC_SINH!E94), 0)),"")</f>
        <v/>
      </c>
      <c r="J94" s="97" t="str">
        <f>IFERROR(VLOOKUP(B94,'Đất sản xuất'!$B$9:$C$216,2,0),"")</f>
        <v>A Rông</v>
      </c>
      <c r="K94" s="97" t="str">
        <f>IFERROR(VLOOKUP(B94,'Sản xuất cấp huyên'!$B$9:$C$177,2,0),"")</f>
        <v/>
      </c>
      <c r="L94" s="4" t="str">
        <f>IFERROR(VLOOKUP(B94,'4069'!$B$9:$C$177,2,0),"")</f>
        <v/>
      </c>
      <c r="M94" s="4" t="str">
        <f t="array" ref="M94">IFERROR(INDEX(KODUDK!$C$8:$C$79, MATCH(1, (KODUDK!$D$8:$D$79=BC_SINH!D94)*(KODUDK!$E$8:$E$79=BC_SINH!E94), 0)),"")</f>
        <v/>
      </c>
      <c r="N94" s="4" t="str">
        <f t="array" ref="N94">IFERROR(INDEX(KODUDK!$H$8:$H$79, MATCH(1, (KODUDK!$D$8:$D$79=BC_SINH!D94)*(KODUDK!$E$8:$E$79=BC_SINH!E94), 0)),"")</f>
        <v/>
      </c>
      <c r="O94" s="4" t="str">
        <f t="array" ref="O94">IFERROR(INDEX('KO DU ĐK NQ10'!$C$8:$C$48, MATCH(1, ('KO DU ĐK NQ10'!$D$8:$D$48=BC_SINH!D94)*('KO DU ĐK NQ10'!$E$8:$E$48=BC_SINH!E94), 0)),"")</f>
        <v/>
      </c>
      <c r="P94" s="4" t="str">
        <f t="array" ref="P94">IFERROR(INDEX('KO DU ĐK NQ10'!$H$8:$H$48, MATCH(1, ('KO DU ĐK NQ10'!$D$8:$D$48=BC_SINH!D94)*('KO DU ĐK NQ10'!$E$8:$E$48=BC_SINH!E94), 0)),"")</f>
        <v/>
      </c>
      <c r="Q94" s="4" t="str">
        <f t="array" ref="Q94">IFERROR(INDEX('KO DU ĐK 4069'!$C$8:$C$38, MATCH(1, ('KO DU ĐK 4069'!$D$8:$D$38=BC_SINH!D94)*('KO DU ĐK 4069'!$E$8:$E$38=BC_SINH!E94), 0)),"")</f>
        <v/>
      </c>
      <c r="R94" s="4" t="str">
        <f t="array" ref="R94">IFERROR(INDEX('KO DU ĐK 4069'!$H$8:$H$38, MATCH(1, ('KO DU ĐK 4069'!$D$8:$D$38=BC_SINH!D94)*('KO DU ĐK 4069'!$E$8:$E$38=BC_SINH!E94), 0)),"")</f>
        <v/>
      </c>
      <c r="S94" s="4" t="str">
        <f t="array" ref="S94">IFERROR(INDEX(KeKhaiDangKy!$H$2:$H$4889, MATCH(1, (KeKhaiDangKy!$A$2:$A$4889=BC_SINH!D94)*(KeKhaiDangKy!$B$2:$B$4889=BC_SINH!E94), 0)),"")</f>
        <v>Kỳ Nơi</v>
      </c>
    </row>
    <row r="95" spans="1:19" ht="14.45" customHeight="1" x14ac:dyDescent="0.25">
      <c r="A95" s="4">
        <f>IF(B95&lt;&gt;"", SUBTOTAL(3, $B$2:B95), "")</f>
        <v>94</v>
      </c>
      <c r="B95" s="4" t="s">
        <v>64</v>
      </c>
      <c r="C95" s="4" t="str">
        <f t="shared" si="1"/>
        <v>A Xau</v>
      </c>
      <c r="D95" s="4">
        <v>33</v>
      </c>
      <c r="E95" s="4">
        <v>5</v>
      </c>
      <c r="F95" s="4">
        <v>9588</v>
      </c>
      <c r="G95" s="4" t="s">
        <v>11</v>
      </c>
      <c r="H95" s="4" t="str">
        <f t="array" ref="H95">IFERROR(INDEX(DSCKXA!$B$3:$B$73, MATCH(1, (DSCKXA!$D$3:$D$73=BC_SINH!D95)*(DSCKXA!$E$3:$E$73=BC_SINH!E95), 0)),"")</f>
        <v/>
      </c>
      <c r="I95" s="99" t="str">
        <f t="array" ref="I95">IFERROR(INDEX(DSCKXA!$C$3:$C$73, MATCH(1, (DSCKXA!$D$3:$D$73=BC_SINH!D95)*(DSCKXA!$E$3:$E$73=BC_SINH!E95), 0)),"")</f>
        <v/>
      </c>
      <c r="J95" s="97" t="str">
        <f>IFERROR(VLOOKUP(B95,'Đất sản xuất'!$B$9:$C$216,2,0),"")</f>
        <v/>
      </c>
      <c r="K95" s="97" t="str">
        <f>IFERROR(VLOOKUP(B95,'Sản xuất cấp huyên'!$B$9:$C$177,2,0),"")</f>
        <v>A Xau</v>
      </c>
      <c r="L95" s="4" t="str">
        <f>IFERROR(VLOOKUP(B95,'4069'!$B$9:$C$177,2,0),"")</f>
        <v>A Xau</v>
      </c>
      <c r="M95" s="4" t="str">
        <f t="array" ref="M95">IFERROR(INDEX(KODUDK!$C$8:$C$79, MATCH(1, (KODUDK!$D$8:$D$79=BC_SINH!D95)*(KODUDK!$E$8:$E$79=BC_SINH!E95), 0)),"")</f>
        <v/>
      </c>
      <c r="N95" s="4" t="str">
        <f t="array" ref="N95">IFERROR(INDEX(KODUDK!$H$8:$H$79, MATCH(1, (KODUDK!$D$8:$D$79=BC_SINH!D95)*(KODUDK!$E$8:$E$79=BC_SINH!E95), 0)),"")</f>
        <v/>
      </c>
      <c r="O95" s="4" t="str">
        <f t="array" ref="O95">IFERROR(INDEX('KO DU ĐK NQ10'!$C$8:$C$48, MATCH(1, ('KO DU ĐK NQ10'!$D$8:$D$48=BC_SINH!D95)*('KO DU ĐK NQ10'!$E$8:$E$48=BC_SINH!E95), 0)),"")</f>
        <v/>
      </c>
      <c r="P95" s="4" t="str">
        <f t="array" ref="P95">IFERROR(INDEX('KO DU ĐK NQ10'!$H$8:$H$48, MATCH(1, ('KO DU ĐK NQ10'!$D$8:$D$48=BC_SINH!D95)*('KO DU ĐK NQ10'!$E$8:$E$48=BC_SINH!E95), 0)),"")</f>
        <v/>
      </c>
      <c r="Q95" s="4" t="str">
        <f t="array" ref="Q95">IFERROR(INDEX('KO DU ĐK 4069'!$C$8:$C$38, MATCH(1, ('KO DU ĐK 4069'!$D$8:$D$38=BC_SINH!D95)*('KO DU ĐK 4069'!$E$8:$E$38=BC_SINH!E95), 0)),"")</f>
        <v/>
      </c>
      <c r="R95" s="4" t="str">
        <f t="array" ref="R95">IFERROR(INDEX('KO DU ĐK 4069'!$H$8:$H$38, MATCH(1, ('KO DU ĐK 4069'!$D$8:$D$38=BC_SINH!D95)*('KO DU ĐK 4069'!$E$8:$E$38=BC_SINH!E95), 0)),"")</f>
        <v/>
      </c>
      <c r="S95" s="4" t="str">
        <f t="array" ref="S95">IFERROR(INDEX(KeKhaiDangKy!$H$2:$H$4889, MATCH(1, (KeKhaiDangKy!$A$2:$A$4889=BC_SINH!D95)*(KeKhaiDangKy!$B$2:$B$4889=BC_SINH!E95), 0)),"")</f>
        <v>Kỳ Tăng</v>
      </c>
    </row>
    <row r="96" spans="1:19" ht="14.45" customHeight="1" x14ac:dyDescent="0.25">
      <c r="A96" s="4">
        <f>IF(B96&lt;&gt;"", SUBTOTAL(3, $B$2:B96), "")</f>
        <v>95</v>
      </c>
      <c r="B96" s="4" t="s">
        <v>65</v>
      </c>
      <c r="C96" s="4" t="str">
        <f t="shared" si="1"/>
        <v>A Quan</v>
      </c>
      <c r="D96" s="4">
        <v>21</v>
      </c>
      <c r="E96" s="4">
        <v>132</v>
      </c>
      <c r="F96" s="4">
        <v>11540</v>
      </c>
      <c r="G96" s="4" t="s">
        <v>11</v>
      </c>
      <c r="H96" s="4" t="str">
        <f t="array" ref="H96">IFERROR(INDEX(DSCKXA!$B$3:$B$73, MATCH(1, (DSCKXA!$D$3:$D$73=BC_SINH!D96)*(DSCKXA!$E$3:$E$73=BC_SINH!E96), 0)),"")</f>
        <v/>
      </c>
      <c r="I96" s="99" t="str">
        <f t="array" ref="I96">IFERROR(INDEX(DSCKXA!$C$3:$C$73, MATCH(1, (DSCKXA!$D$3:$D$73=BC_SINH!D96)*(DSCKXA!$E$3:$E$73=BC_SINH!E96), 0)),"")</f>
        <v/>
      </c>
      <c r="J96" s="97" t="str">
        <f>IFERROR(VLOOKUP(B96,'Đất sản xuất'!$B$9:$C$216,2,0),"")</f>
        <v/>
      </c>
      <c r="K96" s="97" t="str">
        <f>IFERROR(VLOOKUP(B96,'Sản xuất cấp huyên'!$B$9:$C$177,2,0),"")</f>
        <v>A Quan</v>
      </c>
      <c r="L96" s="4" t="str">
        <f>IFERROR(VLOOKUP(B96,'4069'!$B$9:$C$177,2,0),"")</f>
        <v>A Quan</v>
      </c>
      <c r="M96" s="4" t="str">
        <f t="array" ref="M96">IFERROR(INDEX(KODUDK!$C$8:$C$79, MATCH(1, (KODUDK!$D$8:$D$79=BC_SINH!D96)*(KODUDK!$E$8:$E$79=BC_SINH!E96), 0)),"")</f>
        <v/>
      </c>
      <c r="N96" s="4" t="str">
        <f t="array" ref="N96">IFERROR(INDEX(KODUDK!$H$8:$H$79, MATCH(1, (KODUDK!$D$8:$D$79=BC_SINH!D96)*(KODUDK!$E$8:$E$79=BC_SINH!E96), 0)),"")</f>
        <v/>
      </c>
      <c r="O96" s="4" t="str">
        <f t="array" ref="O96">IFERROR(INDEX('KO DU ĐK NQ10'!$C$8:$C$48, MATCH(1, ('KO DU ĐK NQ10'!$D$8:$D$48=BC_SINH!D96)*('KO DU ĐK NQ10'!$E$8:$E$48=BC_SINH!E96), 0)),"")</f>
        <v/>
      </c>
      <c r="P96" s="4" t="str">
        <f t="array" ref="P96">IFERROR(INDEX('KO DU ĐK NQ10'!$H$8:$H$48, MATCH(1, ('KO DU ĐK NQ10'!$D$8:$D$48=BC_SINH!D96)*('KO DU ĐK NQ10'!$E$8:$E$48=BC_SINH!E96), 0)),"")</f>
        <v/>
      </c>
      <c r="Q96" s="4" t="str">
        <f t="array" ref="Q96">IFERROR(INDEX('KO DU ĐK 4069'!$C$8:$C$38, MATCH(1, ('KO DU ĐK 4069'!$D$8:$D$38=BC_SINH!D96)*('KO DU ĐK 4069'!$E$8:$E$38=BC_SINH!E96), 0)),"")</f>
        <v/>
      </c>
      <c r="R96" s="4" t="str">
        <f t="array" ref="R96">IFERROR(INDEX('KO DU ĐK 4069'!$H$8:$H$38, MATCH(1, ('KO DU ĐK 4069'!$D$8:$D$38=BC_SINH!D96)*('KO DU ĐK 4069'!$E$8:$E$38=BC_SINH!E96), 0)),"")</f>
        <v/>
      </c>
      <c r="S96" s="4" t="str">
        <f t="array" ref="S96">IFERROR(INDEX(KeKhaiDangKy!$H$2:$H$4889, MATCH(1, (KeKhaiDangKy!$A$2:$A$4889=BC_SINH!D96)*(KeKhaiDangKy!$B$2:$B$4889=BC_SINH!E96), 0)),"")</f>
        <v>A Quan</v>
      </c>
    </row>
    <row r="97" spans="1:19" ht="14.45" customHeight="1" x14ac:dyDescent="0.25">
      <c r="A97" s="4">
        <f>IF(B97&lt;&gt;"", SUBTOTAL(3, $B$2:B97), "")</f>
        <v>96</v>
      </c>
      <c r="B97" s="4" t="s">
        <v>65</v>
      </c>
      <c r="C97" s="4" t="str">
        <f t="shared" si="1"/>
        <v>A Quan</v>
      </c>
      <c r="D97" s="4">
        <v>21</v>
      </c>
      <c r="E97" s="4">
        <v>70</v>
      </c>
      <c r="F97" s="4">
        <v>8887</v>
      </c>
      <c r="G97" s="4" t="s">
        <v>11</v>
      </c>
      <c r="H97" s="4" t="str">
        <f t="array" ref="H97">IFERROR(INDEX(DSCKXA!$B$3:$B$73, MATCH(1, (DSCKXA!$D$3:$D$73=BC_SINH!D97)*(DSCKXA!$E$3:$E$73=BC_SINH!E97), 0)),"")</f>
        <v/>
      </c>
      <c r="I97" s="99" t="str">
        <f t="array" ref="I97">IFERROR(INDEX(DSCKXA!$C$3:$C$73, MATCH(1, (DSCKXA!$D$3:$D$73=BC_SINH!D97)*(DSCKXA!$E$3:$E$73=BC_SINH!E97), 0)),"")</f>
        <v/>
      </c>
      <c r="J97" s="97" t="str">
        <f>IFERROR(VLOOKUP(B97,'Đất sản xuất'!$B$9:$C$216,2,0),"")</f>
        <v/>
      </c>
      <c r="K97" s="97" t="str">
        <f>IFERROR(VLOOKUP(B97,'Sản xuất cấp huyên'!$B$9:$C$177,2,0),"")</f>
        <v>A Quan</v>
      </c>
      <c r="L97" s="4" t="str">
        <f>IFERROR(VLOOKUP(B97,'4069'!$B$9:$C$177,2,0),"")</f>
        <v>A Quan</v>
      </c>
      <c r="M97" s="4" t="str">
        <f t="array" ref="M97">IFERROR(INDEX(KODUDK!$C$8:$C$79, MATCH(1, (KODUDK!$D$8:$D$79=BC_SINH!D97)*(KODUDK!$E$8:$E$79=BC_SINH!E97), 0)),"")</f>
        <v/>
      </c>
      <c r="N97" s="4" t="str">
        <f t="array" ref="N97">IFERROR(INDEX(KODUDK!$H$8:$H$79, MATCH(1, (KODUDK!$D$8:$D$79=BC_SINH!D97)*(KODUDK!$E$8:$E$79=BC_SINH!E97), 0)),"")</f>
        <v/>
      </c>
      <c r="O97" s="4" t="str">
        <f t="array" ref="O97">IFERROR(INDEX('KO DU ĐK NQ10'!$C$8:$C$48, MATCH(1, ('KO DU ĐK NQ10'!$D$8:$D$48=BC_SINH!D97)*('KO DU ĐK NQ10'!$E$8:$E$48=BC_SINH!E97), 0)),"")</f>
        <v/>
      </c>
      <c r="P97" s="4" t="str">
        <f t="array" ref="P97">IFERROR(INDEX('KO DU ĐK NQ10'!$H$8:$H$48, MATCH(1, ('KO DU ĐK NQ10'!$D$8:$D$48=BC_SINH!D97)*('KO DU ĐK NQ10'!$E$8:$E$48=BC_SINH!E97), 0)),"")</f>
        <v/>
      </c>
      <c r="Q97" s="4" t="str">
        <f t="array" ref="Q97">IFERROR(INDEX('KO DU ĐK 4069'!$C$8:$C$38, MATCH(1, ('KO DU ĐK 4069'!$D$8:$D$38=BC_SINH!D97)*('KO DU ĐK 4069'!$E$8:$E$38=BC_SINH!E97), 0)),"")</f>
        <v/>
      </c>
      <c r="R97" s="4" t="str">
        <f t="array" ref="R97">IFERROR(INDEX('KO DU ĐK 4069'!$H$8:$H$38, MATCH(1, ('KO DU ĐK 4069'!$D$8:$D$38=BC_SINH!D97)*('KO DU ĐK 4069'!$E$8:$E$38=BC_SINH!E97), 0)),"")</f>
        <v/>
      </c>
      <c r="S97" s="4" t="str">
        <f t="array" ref="S97">IFERROR(INDEX(KeKhaiDangKy!$H$2:$H$4889, MATCH(1, (KeKhaiDangKy!$A$2:$A$4889=BC_SINH!D97)*(KeKhaiDangKy!$B$2:$B$4889=BC_SINH!E97), 0)),"")</f>
        <v>Kỳ Tăng</v>
      </c>
    </row>
    <row r="98" spans="1:19" ht="14.45" customHeight="1" x14ac:dyDescent="0.25">
      <c r="A98" s="4">
        <f>IF(B98&lt;&gt;"", SUBTOTAL(3, $B$2:B98), "")</f>
        <v>97</v>
      </c>
      <c r="B98" s="4" t="s">
        <v>65</v>
      </c>
      <c r="C98" s="4" t="str">
        <f t="shared" si="1"/>
        <v>A Quan</v>
      </c>
      <c r="D98" s="4">
        <v>21</v>
      </c>
      <c r="E98" s="4">
        <v>71</v>
      </c>
      <c r="F98" s="4">
        <v>13915</v>
      </c>
      <c r="G98" s="4" t="s">
        <v>11</v>
      </c>
      <c r="H98" s="4" t="str">
        <f t="array" ref="H98">IFERROR(INDEX(DSCKXA!$B$3:$B$73, MATCH(1, (DSCKXA!$D$3:$D$73=BC_SINH!D98)*(DSCKXA!$E$3:$E$73=BC_SINH!E98), 0)),"")</f>
        <v/>
      </c>
      <c r="I98" s="99" t="str">
        <f t="array" ref="I98">IFERROR(INDEX(DSCKXA!$C$3:$C$73, MATCH(1, (DSCKXA!$D$3:$D$73=BC_SINH!D98)*(DSCKXA!$E$3:$E$73=BC_SINH!E98), 0)),"")</f>
        <v/>
      </c>
      <c r="J98" s="97" t="str">
        <f>IFERROR(VLOOKUP(B98,'Đất sản xuất'!$B$9:$C$216,2,0),"")</f>
        <v/>
      </c>
      <c r="K98" s="97" t="str">
        <f>IFERROR(VLOOKUP(B98,'Sản xuất cấp huyên'!$B$9:$C$177,2,0),"")</f>
        <v>A Quan</v>
      </c>
      <c r="L98" s="4" t="str">
        <f>IFERROR(VLOOKUP(B98,'4069'!$B$9:$C$177,2,0),"")</f>
        <v>A Quan</v>
      </c>
      <c r="M98" s="4" t="str">
        <f t="array" ref="M98">IFERROR(INDEX(KODUDK!$C$8:$C$79, MATCH(1, (KODUDK!$D$8:$D$79=BC_SINH!D98)*(KODUDK!$E$8:$E$79=BC_SINH!E98), 0)),"")</f>
        <v>Kỳ Tăng</v>
      </c>
      <c r="N98" s="4" t="str">
        <f t="array" ref="N98">IFERROR(INDEX(KODUDK!$H$8:$H$79, MATCH(1, (KODUDK!$D$8:$D$79=BC_SINH!D98)*(KODUDK!$E$8:$E$79=BC_SINH!E98), 0)),"")</f>
        <v>Có 02 thửa đất nên loại 01 thửa</v>
      </c>
      <c r="O98" s="4" t="str">
        <f t="array" ref="O98">IFERROR(INDEX('KO DU ĐK NQ10'!$C$8:$C$48, MATCH(1, ('KO DU ĐK NQ10'!$D$8:$D$48=BC_SINH!D98)*('KO DU ĐK NQ10'!$E$8:$E$48=BC_SINH!E98), 0)),"")</f>
        <v/>
      </c>
      <c r="P98" s="4" t="str">
        <f t="array" ref="P98">IFERROR(INDEX('KO DU ĐK NQ10'!$H$8:$H$48, MATCH(1, ('KO DU ĐK NQ10'!$D$8:$D$48=BC_SINH!D98)*('KO DU ĐK NQ10'!$E$8:$E$48=BC_SINH!E98), 0)),"")</f>
        <v/>
      </c>
      <c r="Q98" s="4" t="str">
        <f t="array" ref="Q98">IFERROR(INDEX('KO DU ĐK 4069'!$C$8:$C$38, MATCH(1, ('KO DU ĐK 4069'!$D$8:$D$38=BC_SINH!D98)*('KO DU ĐK 4069'!$E$8:$E$38=BC_SINH!E98), 0)),"")</f>
        <v>Kỳ Tăng</v>
      </c>
      <c r="R98" s="4" t="str">
        <f t="array" ref="R98">IFERROR(INDEX('KO DU ĐK 4069'!$H$8:$H$38, MATCH(1, ('KO DU ĐK 4069'!$D$8:$D$38=BC_SINH!D98)*('KO DU ĐK 4069'!$E$8:$E$38=BC_SINH!E98), 0)),"")</f>
        <v>Có 02 thửa đất nên loại 01 thửa</v>
      </c>
      <c r="S98" s="4" t="str">
        <f t="array" ref="S98">IFERROR(INDEX(KeKhaiDangKy!$H$2:$H$4889, MATCH(1, (KeKhaiDangKy!$A$2:$A$4889=BC_SINH!D98)*(KeKhaiDangKy!$B$2:$B$4889=BC_SINH!E98), 0)),"")</f>
        <v>Kỳ Tăng</v>
      </c>
    </row>
    <row r="99" spans="1:19" ht="14.45" customHeight="1" x14ac:dyDescent="0.25">
      <c r="A99" s="4">
        <f>IF(B99&lt;&gt;"", SUBTOTAL(3, $B$2:B99), "")</f>
        <v>98</v>
      </c>
      <c r="B99" s="4" t="s">
        <v>65</v>
      </c>
      <c r="C99" s="4" t="str">
        <f t="shared" si="1"/>
        <v>A Quan</v>
      </c>
      <c r="D99" s="4">
        <v>21</v>
      </c>
      <c r="E99" s="4">
        <v>72</v>
      </c>
      <c r="F99" s="4">
        <v>11043</v>
      </c>
      <c r="G99" s="4" t="s">
        <v>11</v>
      </c>
      <c r="H99" s="4" t="str">
        <f t="array" ref="H99">IFERROR(INDEX(DSCKXA!$B$3:$B$73, MATCH(1, (DSCKXA!$D$3:$D$73=BC_SINH!D99)*(DSCKXA!$E$3:$E$73=BC_SINH!E99), 0)),"")</f>
        <v/>
      </c>
      <c r="I99" s="99" t="str">
        <f t="array" ref="I99">IFERROR(INDEX(DSCKXA!$C$3:$C$73, MATCH(1, (DSCKXA!$D$3:$D$73=BC_SINH!D99)*(DSCKXA!$E$3:$E$73=BC_SINH!E99), 0)),"")</f>
        <v/>
      </c>
      <c r="J99" s="97" t="str">
        <f>IFERROR(VLOOKUP(B99,'Đất sản xuất'!$B$9:$C$216,2,0),"")</f>
        <v/>
      </c>
      <c r="K99" s="97" t="str">
        <f>IFERROR(VLOOKUP(B99,'Sản xuất cấp huyên'!$B$9:$C$177,2,0),"")</f>
        <v>A Quan</v>
      </c>
      <c r="L99" s="4" t="str">
        <f>IFERROR(VLOOKUP(B99,'4069'!$B$9:$C$177,2,0),"")</f>
        <v>A Quan</v>
      </c>
      <c r="M99" s="4" t="str">
        <f t="array" ref="M99">IFERROR(INDEX(KODUDK!$C$8:$C$79, MATCH(1, (KODUDK!$D$8:$D$79=BC_SINH!D99)*(KODUDK!$E$8:$E$79=BC_SINH!E99), 0)),"")</f>
        <v>A Quan</v>
      </c>
      <c r="N99" s="4" t="str">
        <f t="array" ref="N99">IFERROR(INDEX(KODUDK!$H$8:$H$79, MATCH(1, (KODUDK!$D$8:$D$79=BC_SINH!D99)*(KODUDK!$E$8:$E$79=BC_SINH!E99), 0)),"")</f>
        <v>Có 02 thửa đất nên loại 01 thửa</v>
      </c>
      <c r="O99" s="4" t="str">
        <f t="array" ref="O99">IFERROR(INDEX('KO DU ĐK NQ10'!$C$8:$C$48, MATCH(1, ('KO DU ĐK NQ10'!$D$8:$D$48=BC_SINH!D99)*('KO DU ĐK NQ10'!$E$8:$E$48=BC_SINH!E99), 0)),"")</f>
        <v/>
      </c>
      <c r="P99" s="4" t="str">
        <f t="array" ref="P99">IFERROR(INDEX('KO DU ĐK NQ10'!$H$8:$H$48, MATCH(1, ('KO DU ĐK NQ10'!$D$8:$D$48=BC_SINH!D99)*('KO DU ĐK NQ10'!$E$8:$E$48=BC_SINH!E99), 0)),"")</f>
        <v/>
      </c>
      <c r="Q99" s="4" t="str">
        <f t="array" ref="Q99">IFERROR(INDEX('KO DU ĐK 4069'!$C$8:$C$38, MATCH(1, ('KO DU ĐK 4069'!$D$8:$D$38=BC_SINH!D99)*('KO DU ĐK 4069'!$E$8:$E$38=BC_SINH!E99), 0)),"")</f>
        <v>A Quan</v>
      </c>
      <c r="R99" s="4" t="str">
        <f t="array" ref="R99">IFERROR(INDEX('KO DU ĐK 4069'!$H$8:$H$38, MATCH(1, ('KO DU ĐK 4069'!$D$8:$D$38=BC_SINH!D99)*('KO DU ĐK 4069'!$E$8:$E$38=BC_SINH!E99), 0)),"")</f>
        <v>Có 02 thửa đất nên loại 01 thửa</v>
      </c>
      <c r="S99" s="4" t="str">
        <f t="array" ref="S99">IFERROR(INDEX(KeKhaiDangKy!$H$2:$H$4889, MATCH(1, (KeKhaiDangKy!$A$2:$A$4889=BC_SINH!D99)*(KeKhaiDangKy!$B$2:$B$4889=BC_SINH!E99), 0)),"")</f>
        <v>A Quan</v>
      </c>
    </row>
    <row r="100" spans="1:19" ht="14.45" customHeight="1" x14ac:dyDescent="0.25">
      <c r="A100" s="4">
        <f>IF(B100&lt;&gt;"", SUBTOTAL(3, $B$2:B100), "")</f>
        <v>99</v>
      </c>
      <c r="B100" s="4" t="s">
        <v>66</v>
      </c>
      <c r="C100" s="4" t="str">
        <f t="shared" si="1"/>
        <v>A Máy</v>
      </c>
      <c r="D100" s="4">
        <v>21</v>
      </c>
      <c r="E100" s="4">
        <v>133</v>
      </c>
      <c r="F100" s="4">
        <v>26490</v>
      </c>
      <c r="G100" s="4" t="s">
        <v>11</v>
      </c>
      <c r="H100" s="4" t="str">
        <f t="array" ref="H100">IFERROR(INDEX(DSCKXA!$B$3:$B$73, MATCH(1, (DSCKXA!$D$3:$D$73=BC_SINH!D100)*(DSCKXA!$E$3:$E$73=BC_SINH!E100), 0)),"")</f>
        <v/>
      </c>
      <c r="I100" s="99" t="str">
        <f t="array" ref="I100">IFERROR(INDEX(DSCKXA!$C$3:$C$73, MATCH(1, (DSCKXA!$D$3:$D$73=BC_SINH!D100)*(DSCKXA!$E$3:$E$73=BC_SINH!E100), 0)),"")</f>
        <v/>
      </c>
      <c r="J100" s="97" t="str">
        <f>IFERROR(VLOOKUP(B100,'Đất sản xuất'!$B$9:$C$216,2,0),"")</f>
        <v/>
      </c>
      <c r="K100" s="97" t="str">
        <f>IFERROR(VLOOKUP(B100,'Sản xuất cấp huyên'!$B$9:$C$177,2,0),"")</f>
        <v>A Máy</v>
      </c>
      <c r="L100" s="4" t="str">
        <f>IFERROR(VLOOKUP(B100,'4069'!$B$9:$C$177,2,0),"")</f>
        <v>A Máy</v>
      </c>
      <c r="M100" s="4" t="str">
        <f t="array" ref="M100">IFERROR(INDEX(KODUDK!$C$8:$C$79, MATCH(1, (KODUDK!$D$8:$D$79=BC_SINH!D100)*(KODUDK!$E$8:$E$79=BC_SINH!E100), 0)),"")</f>
        <v/>
      </c>
      <c r="N100" s="4" t="str">
        <f t="array" ref="N100">IFERROR(INDEX(KODUDK!$H$8:$H$79, MATCH(1, (KODUDK!$D$8:$D$79=BC_SINH!D100)*(KODUDK!$E$8:$E$79=BC_SINH!E100), 0)),"")</f>
        <v/>
      </c>
      <c r="O100" s="4" t="str">
        <f t="array" ref="O100">IFERROR(INDEX('KO DU ĐK NQ10'!$C$8:$C$48, MATCH(1, ('KO DU ĐK NQ10'!$D$8:$D$48=BC_SINH!D100)*('KO DU ĐK NQ10'!$E$8:$E$48=BC_SINH!E100), 0)),"")</f>
        <v/>
      </c>
      <c r="P100" s="4" t="str">
        <f t="array" ref="P100">IFERROR(INDEX('KO DU ĐK NQ10'!$H$8:$H$48, MATCH(1, ('KO DU ĐK NQ10'!$D$8:$D$48=BC_SINH!D100)*('KO DU ĐK NQ10'!$E$8:$E$48=BC_SINH!E100), 0)),"")</f>
        <v/>
      </c>
      <c r="Q100" s="4" t="str">
        <f t="array" ref="Q100">IFERROR(INDEX('KO DU ĐK 4069'!$C$8:$C$38, MATCH(1, ('KO DU ĐK 4069'!$D$8:$D$38=BC_SINH!D100)*('KO DU ĐK 4069'!$E$8:$E$38=BC_SINH!E100), 0)),"")</f>
        <v/>
      </c>
      <c r="R100" s="4" t="str">
        <f t="array" ref="R100">IFERROR(INDEX('KO DU ĐK 4069'!$H$8:$H$38, MATCH(1, ('KO DU ĐK 4069'!$D$8:$D$38=BC_SINH!D100)*('KO DU ĐK 4069'!$E$8:$E$38=BC_SINH!E100), 0)),"")</f>
        <v/>
      </c>
      <c r="S100" s="4" t="str">
        <f t="array" ref="S100">IFERROR(INDEX(KeKhaiDangKy!$H$2:$H$4889, MATCH(1, (KeKhaiDangKy!$A$2:$A$4889=BC_SINH!D100)*(KeKhaiDangKy!$B$2:$B$4889=BC_SINH!E100), 0)),"")</f>
        <v/>
      </c>
    </row>
    <row r="101" spans="1:19" ht="14.45" customHeight="1" x14ac:dyDescent="0.25">
      <c r="A101" s="4">
        <f>IF(B101&lt;&gt;"", SUBTOTAL(3, $B$2:B101), "")</f>
        <v>100</v>
      </c>
      <c r="B101" s="4" t="s">
        <v>66</v>
      </c>
      <c r="C101" s="4" t="str">
        <f t="shared" si="1"/>
        <v>A Máy</v>
      </c>
      <c r="D101" s="4">
        <v>21</v>
      </c>
      <c r="E101" s="4">
        <v>134</v>
      </c>
      <c r="F101" s="4">
        <v>6891</v>
      </c>
      <c r="G101" s="4" t="s">
        <v>11</v>
      </c>
      <c r="H101" s="4" t="str">
        <f t="array" ref="H101">IFERROR(INDEX(DSCKXA!$B$3:$B$73, MATCH(1, (DSCKXA!$D$3:$D$73=BC_SINH!D101)*(DSCKXA!$E$3:$E$73=BC_SINH!E101), 0)),"")</f>
        <v/>
      </c>
      <c r="I101" s="99" t="str">
        <f t="array" ref="I101">IFERROR(INDEX(DSCKXA!$C$3:$C$73, MATCH(1, (DSCKXA!$D$3:$D$73=BC_SINH!D101)*(DSCKXA!$E$3:$E$73=BC_SINH!E101), 0)),"")</f>
        <v/>
      </c>
      <c r="J101" s="97" t="str">
        <f>IFERROR(VLOOKUP(B101,'Đất sản xuất'!$B$9:$C$216,2,0),"")</f>
        <v/>
      </c>
      <c r="K101" s="97" t="str">
        <f>IFERROR(VLOOKUP(B101,'Sản xuất cấp huyên'!$B$9:$C$177,2,0),"")</f>
        <v>A Máy</v>
      </c>
      <c r="L101" s="4" t="str">
        <f>IFERROR(VLOOKUP(B101,'4069'!$B$9:$C$177,2,0),"")</f>
        <v>A Máy</v>
      </c>
      <c r="M101" s="4" t="str">
        <f t="array" ref="M101">IFERROR(INDEX(KODUDK!$C$8:$C$79, MATCH(1, (KODUDK!$D$8:$D$79=BC_SINH!D101)*(KODUDK!$E$8:$E$79=BC_SINH!E101), 0)),"")</f>
        <v>Thôn A Máy</v>
      </c>
      <c r="N101" s="4" t="str">
        <f t="array" ref="N101">IFERROR(INDEX(KODUDK!$H$8:$H$79, MATCH(1, (KODUDK!$D$8:$D$79=BC_SINH!D101)*(KODUDK!$E$8:$E$79=BC_SINH!E101), 0)),"")</f>
        <v>Có 03 thửa đất nên loại 02 thửa</v>
      </c>
      <c r="O101" s="4" t="str">
        <f t="array" ref="O101">IFERROR(INDEX('KO DU ĐK NQ10'!$C$8:$C$48, MATCH(1, ('KO DU ĐK NQ10'!$D$8:$D$48=BC_SINH!D101)*('KO DU ĐK NQ10'!$E$8:$E$48=BC_SINH!E101), 0)),"")</f>
        <v/>
      </c>
      <c r="P101" s="4" t="str">
        <f t="array" ref="P101">IFERROR(INDEX('KO DU ĐK NQ10'!$H$8:$H$48, MATCH(1, ('KO DU ĐK NQ10'!$D$8:$D$48=BC_SINH!D101)*('KO DU ĐK NQ10'!$E$8:$E$48=BC_SINH!E101), 0)),"")</f>
        <v/>
      </c>
      <c r="Q101" s="4" t="str">
        <f t="array" ref="Q101">IFERROR(INDEX('KO DU ĐK 4069'!$C$8:$C$38, MATCH(1, ('KO DU ĐK 4069'!$D$8:$D$38=BC_SINH!D101)*('KO DU ĐK 4069'!$E$8:$E$38=BC_SINH!E101), 0)),"")</f>
        <v>Thôn A Máy</v>
      </c>
      <c r="R101" s="4" t="str">
        <f t="array" ref="R101">IFERROR(INDEX('KO DU ĐK 4069'!$H$8:$H$38, MATCH(1, ('KO DU ĐK 4069'!$D$8:$D$38=BC_SINH!D101)*('KO DU ĐK 4069'!$E$8:$E$38=BC_SINH!E101), 0)),"")</f>
        <v>Có 03 thửa đất nên loại 02 thửa</v>
      </c>
      <c r="S101" s="4" t="str">
        <f t="array" ref="S101">IFERROR(INDEX(KeKhaiDangKy!$H$2:$H$4889, MATCH(1, (KeKhaiDangKy!$A$2:$A$4889=BC_SINH!D101)*(KeKhaiDangKy!$B$2:$B$4889=BC_SINH!E101), 0)),"")</f>
        <v/>
      </c>
    </row>
    <row r="102" spans="1:19" ht="14.45" customHeight="1" x14ac:dyDescent="0.25">
      <c r="A102" s="4">
        <f>IF(B102&lt;&gt;"", SUBTOTAL(3, $B$2:B102), "")</f>
        <v>101</v>
      </c>
      <c r="B102" s="4" t="s">
        <v>66</v>
      </c>
      <c r="C102" s="4" t="str">
        <f t="shared" si="1"/>
        <v>A Máy</v>
      </c>
      <c r="D102" s="4">
        <v>21</v>
      </c>
      <c r="E102" s="4">
        <v>135</v>
      </c>
      <c r="F102" s="4">
        <v>36590</v>
      </c>
      <c r="G102" s="4" t="s">
        <v>11</v>
      </c>
      <c r="H102" s="4" t="str">
        <f t="array" ref="H102">IFERROR(INDEX(DSCKXA!$B$3:$B$73, MATCH(1, (DSCKXA!$D$3:$D$73=BC_SINH!D102)*(DSCKXA!$E$3:$E$73=BC_SINH!E102), 0)),"")</f>
        <v/>
      </c>
      <c r="I102" s="99" t="str">
        <f t="array" ref="I102">IFERROR(INDEX(DSCKXA!$C$3:$C$73, MATCH(1, (DSCKXA!$D$3:$D$73=BC_SINH!D102)*(DSCKXA!$E$3:$E$73=BC_SINH!E102), 0)),"")</f>
        <v/>
      </c>
      <c r="J102" s="97" t="str">
        <f>IFERROR(VLOOKUP(B102,'Đất sản xuất'!$B$9:$C$216,2,0),"")</f>
        <v/>
      </c>
      <c r="K102" s="97" t="str">
        <f>IFERROR(VLOOKUP(B102,'Sản xuất cấp huyên'!$B$9:$C$177,2,0),"")</f>
        <v>A Máy</v>
      </c>
      <c r="L102" s="4" t="str">
        <f>IFERROR(VLOOKUP(B102,'4069'!$B$9:$C$177,2,0),"")</f>
        <v>A Máy</v>
      </c>
      <c r="M102" s="4" t="str">
        <f t="array" ref="M102">IFERROR(INDEX(KODUDK!$C$8:$C$79, MATCH(1, (KODUDK!$D$8:$D$79=BC_SINH!D102)*(KODUDK!$E$8:$E$79=BC_SINH!E102), 0)),"")</f>
        <v>Thôn A Máy</v>
      </c>
      <c r="N102" s="4" t="str">
        <f t="array" ref="N102">IFERROR(INDEX(KODUDK!$H$8:$H$79, MATCH(1, (KODUDK!$D$8:$D$79=BC_SINH!D102)*(KODUDK!$E$8:$E$79=BC_SINH!E102), 0)),"")</f>
        <v>Có 03 thửa đất nên loại 02 thửa</v>
      </c>
      <c r="O102" s="4" t="str">
        <f t="array" ref="O102">IFERROR(INDEX('KO DU ĐK NQ10'!$C$8:$C$48, MATCH(1, ('KO DU ĐK NQ10'!$D$8:$D$48=BC_SINH!D102)*('KO DU ĐK NQ10'!$E$8:$E$48=BC_SINH!E102), 0)),"")</f>
        <v/>
      </c>
      <c r="P102" s="4" t="str">
        <f t="array" ref="P102">IFERROR(INDEX('KO DU ĐK NQ10'!$H$8:$H$48, MATCH(1, ('KO DU ĐK NQ10'!$D$8:$D$48=BC_SINH!D102)*('KO DU ĐK NQ10'!$E$8:$E$48=BC_SINH!E102), 0)),"")</f>
        <v/>
      </c>
      <c r="Q102" s="4" t="str">
        <f t="array" ref="Q102">IFERROR(INDEX('KO DU ĐK 4069'!$C$8:$C$38, MATCH(1, ('KO DU ĐK 4069'!$D$8:$D$38=BC_SINH!D102)*('KO DU ĐK 4069'!$E$8:$E$38=BC_SINH!E102), 0)),"")</f>
        <v>Thôn A Máy</v>
      </c>
      <c r="R102" s="4" t="str">
        <f t="array" ref="R102">IFERROR(INDEX('KO DU ĐK 4069'!$H$8:$H$38, MATCH(1, ('KO DU ĐK 4069'!$D$8:$D$38=BC_SINH!D102)*('KO DU ĐK 4069'!$E$8:$E$38=BC_SINH!E102), 0)),"")</f>
        <v>Có 03 thửa đất nên loại 02 thửa</v>
      </c>
      <c r="S102" s="4" t="str">
        <f t="array" ref="S102">IFERROR(INDEX(KeKhaiDangKy!$H$2:$H$4889, MATCH(1, (KeKhaiDangKy!$A$2:$A$4889=BC_SINH!D102)*(KeKhaiDangKy!$B$2:$B$4889=BC_SINH!E102), 0)),"")</f>
        <v/>
      </c>
    </row>
    <row r="103" spans="1:19" ht="14.45" customHeight="1" x14ac:dyDescent="0.25">
      <c r="A103" s="4">
        <f>IF(B103&lt;&gt;"", SUBTOTAL(3, $B$2:B103), "")</f>
        <v>102</v>
      </c>
      <c r="B103" s="4" t="s">
        <v>67</v>
      </c>
      <c r="C103" s="4" t="str">
        <f t="shared" si="1"/>
        <v xml:space="preserve"> A Xau</v>
      </c>
      <c r="D103" s="4">
        <v>6</v>
      </c>
      <c r="E103" s="4">
        <v>42</v>
      </c>
      <c r="F103" s="4">
        <v>3867</v>
      </c>
      <c r="G103" s="4" t="s">
        <v>11</v>
      </c>
      <c r="H103" s="4" t="str">
        <f t="array" ref="H103">IFERROR(INDEX(DSCKXA!$B$3:$B$73, MATCH(1, (DSCKXA!$D$3:$D$73=BC_SINH!D103)*(DSCKXA!$E$3:$E$73=BC_SINH!E103), 0)),"")</f>
        <v>Hồ Văn Hà</v>
      </c>
      <c r="I103" s="99" t="str">
        <f t="array" ref="I103">IFERROR(INDEX(DSCKXA!$C$3:$C$73, MATCH(1, (DSCKXA!$D$3:$D$73=BC_SINH!D103)*(DSCKXA!$E$3:$E$73=BC_SINH!E103), 0)),"")</f>
        <v>Thôn A Xau</v>
      </c>
      <c r="J103" s="97" t="str">
        <f>IFERROR(VLOOKUP(B103,'Đất sản xuất'!$B$9:$C$216,2,0),"")</f>
        <v xml:space="preserve"> A Xau</v>
      </c>
      <c r="K103" s="97" t="str">
        <f>IFERROR(VLOOKUP(B103,'Sản xuất cấp huyên'!$B$9:$C$177,2,0),"")</f>
        <v/>
      </c>
      <c r="L103" s="4" t="str">
        <f>IFERROR(VLOOKUP(B103,'4069'!$B$9:$C$177,2,0),"")</f>
        <v/>
      </c>
      <c r="M103" s="4" t="str">
        <f t="array" ref="M103">IFERROR(INDEX(KODUDK!$C$8:$C$79, MATCH(1, (KODUDK!$D$8:$D$79=BC_SINH!D103)*(KODUDK!$E$8:$E$79=BC_SINH!E103), 0)),"")</f>
        <v/>
      </c>
      <c r="N103" s="4" t="str">
        <f t="array" ref="N103">IFERROR(INDEX(KODUDK!$H$8:$H$79, MATCH(1, (KODUDK!$D$8:$D$79=BC_SINH!D103)*(KODUDK!$E$8:$E$79=BC_SINH!E103), 0)),"")</f>
        <v/>
      </c>
      <c r="O103" s="4" t="str">
        <f t="array" ref="O103">IFERROR(INDEX('KO DU ĐK NQ10'!$C$8:$C$48, MATCH(1, ('KO DU ĐK NQ10'!$D$8:$D$48=BC_SINH!D103)*('KO DU ĐK NQ10'!$E$8:$E$48=BC_SINH!E103), 0)),"")</f>
        <v/>
      </c>
      <c r="P103" s="4" t="str">
        <f t="array" ref="P103">IFERROR(INDEX('KO DU ĐK NQ10'!$H$8:$H$48, MATCH(1, ('KO DU ĐK NQ10'!$D$8:$D$48=BC_SINH!D103)*('KO DU ĐK NQ10'!$E$8:$E$48=BC_SINH!E103), 0)),"")</f>
        <v/>
      </c>
      <c r="Q103" s="4" t="str">
        <f t="array" ref="Q103">IFERROR(INDEX('KO DU ĐK 4069'!$C$8:$C$38, MATCH(1, ('KO DU ĐK 4069'!$D$8:$D$38=BC_SINH!D103)*('KO DU ĐK 4069'!$E$8:$E$38=BC_SINH!E103), 0)),"")</f>
        <v/>
      </c>
      <c r="R103" s="4" t="str">
        <f t="array" ref="R103">IFERROR(INDEX('KO DU ĐK 4069'!$H$8:$H$38, MATCH(1, ('KO DU ĐK 4069'!$D$8:$D$38=BC_SINH!D103)*('KO DU ĐK 4069'!$E$8:$E$38=BC_SINH!E103), 0)),"")</f>
        <v/>
      </c>
      <c r="S103" s="4" t="str">
        <f t="array" ref="S103">IFERROR(INDEX(KeKhaiDangKy!$H$2:$H$4889, MATCH(1, (KeKhaiDangKy!$A$2:$A$4889=BC_SINH!D103)*(KeKhaiDangKy!$B$2:$B$4889=BC_SINH!E103), 0)),"")</f>
        <v/>
      </c>
    </row>
    <row r="104" spans="1:19" ht="14.45" customHeight="1" x14ac:dyDescent="0.25">
      <c r="A104" s="4">
        <f>IF(B104&lt;&gt;"", SUBTOTAL(3, $B$2:B104), "")</f>
        <v>103</v>
      </c>
      <c r="B104" s="4" t="s">
        <v>68</v>
      </c>
      <c r="C104" s="4" t="str">
        <f t="shared" si="1"/>
        <v xml:space="preserve"> Kỳ Tăng</v>
      </c>
      <c r="D104" s="4">
        <v>21</v>
      </c>
      <c r="E104" s="4">
        <v>136</v>
      </c>
      <c r="F104" s="4">
        <v>12021</v>
      </c>
      <c r="G104" s="4" t="s">
        <v>11</v>
      </c>
      <c r="H104" s="4" t="str">
        <f t="array" ref="H104">IFERROR(INDEX(DSCKXA!$B$3:$B$73, MATCH(1, (DSCKXA!$D$3:$D$73=BC_SINH!D104)*(DSCKXA!$E$3:$E$73=BC_SINH!E104), 0)),"")</f>
        <v>Hồ Văn Ham</v>
      </c>
      <c r="I104" s="99" t="str">
        <f t="array" ref="I104">IFERROR(INDEX(DSCKXA!$C$3:$C$73, MATCH(1, (DSCKXA!$D$3:$D$73=BC_SINH!D104)*(DSCKXA!$E$3:$E$73=BC_SINH!E104), 0)),"")</f>
        <v>Thôn Kỳ Tăng</v>
      </c>
      <c r="J104" s="97" t="str">
        <f>IFERROR(VLOOKUP(B104,'Đất sản xuất'!$B$9:$C$216,2,0),"")</f>
        <v xml:space="preserve"> Kỳ Tăng</v>
      </c>
      <c r="K104" s="97" t="str">
        <f>IFERROR(VLOOKUP(B104,'Sản xuất cấp huyên'!$B$9:$C$177,2,0),"")</f>
        <v/>
      </c>
      <c r="L104" s="4" t="str">
        <f>IFERROR(VLOOKUP(B104,'4069'!$B$9:$C$177,2,0),"")</f>
        <v/>
      </c>
      <c r="M104" s="4" t="str">
        <f t="array" ref="M104">IFERROR(INDEX(KODUDK!$C$8:$C$79, MATCH(1, (KODUDK!$D$8:$D$79=BC_SINH!D104)*(KODUDK!$E$8:$E$79=BC_SINH!E104), 0)),"")</f>
        <v/>
      </c>
      <c r="N104" s="4" t="str">
        <f t="array" ref="N104">IFERROR(INDEX(KODUDK!$H$8:$H$79, MATCH(1, (KODUDK!$D$8:$D$79=BC_SINH!D104)*(KODUDK!$E$8:$E$79=BC_SINH!E104), 0)),"")</f>
        <v/>
      </c>
      <c r="O104" s="4" t="str">
        <f t="array" ref="O104">IFERROR(INDEX('KO DU ĐK NQ10'!$C$8:$C$48, MATCH(1, ('KO DU ĐK NQ10'!$D$8:$D$48=BC_SINH!D104)*('KO DU ĐK NQ10'!$E$8:$E$48=BC_SINH!E104), 0)),"")</f>
        <v/>
      </c>
      <c r="P104" s="4" t="str">
        <f t="array" ref="P104">IFERROR(INDEX('KO DU ĐK NQ10'!$H$8:$H$48, MATCH(1, ('KO DU ĐK NQ10'!$D$8:$D$48=BC_SINH!D104)*('KO DU ĐK NQ10'!$E$8:$E$48=BC_SINH!E104), 0)),"")</f>
        <v/>
      </c>
      <c r="Q104" s="4" t="str">
        <f t="array" ref="Q104">IFERROR(INDEX('KO DU ĐK 4069'!$C$8:$C$38, MATCH(1, ('KO DU ĐK 4069'!$D$8:$D$38=BC_SINH!D104)*('KO DU ĐK 4069'!$E$8:$E$38=BC_SINH!E104), 0)),"")</f>
        <v/>
      </c>
      <c r="R104" s="4" t="str">
        <f t="array" ref="R104">IFERROR(INDEX('KO DU ĐK 4069'!$H$8:$H$38, MATCH(1, ('KO DU ĐK 4069'!$D$8:$D$38=BC_SINH!D104)*('KO DU ĐK 4069'!$E$8:$E$38=BC_SINH!E104), 0)),"")</f>
        <v/>
      </c>
      <c r="S104" s="4" t="str">
        <f t="array" ref="S104">IFERROR(INDEX(KeKhaiDangKy!$H$2:$H$4889, MATCH(1, (KeKhaiDangKy!$A$2:$A$4889=BC_SINH!D104)*(KeKhaiDangKy!$B$2:$B$4889=BC_SINH!E104), 0)),"")</f>
        <v/>
      </c>
    </row>
    <row r="105" spans="1:19" ht="14.45" customHeight="1" x14ac:dyDescent="0.25">
      <c r="A105" s="4">
        <f>IF(B105&lt;&gt;"", SUBTOTAL(3, $B$2:B105), "")</f>
        <v>104</v>
      </c>
      <c r="B105" s="4" t="s">
        <v>68</v>
      </c>
      <c r="C105" s="4" t="str">
        <f t="shared" si="1"/>
        <v xml:space="preserve"> Kỳ Tăng</v>
      </c>
      <c r="D105" s="4">
        <v>21</v>
      </c>
      <c r="E105" s="4">
        <v>137</v>
      </c>
      <c r="F105" s="4">
        <v>28947</v>
      </c>
      <c r="G105" s="4" t="s">
        <v>11</v>
      </c>
      <c r="H105" s="4" t="str">
        <f t="array" ref="H105">IFERROR(INDEX(DSCKXA!$B$3:$B$73, MATCH(1, (DSCKXA!$D$3:$D$73=BC_SINH!D105)*(DSCKXA!$E$3:$E$73=BC_SINH!E105), 0)),"")</f>
        <v>Hồ Văn Ham</v>
      </c>
      <c r="I105" s="99" t="str">
        <f t="array" ref="I105">IFERROR(INDEX(DSCKXA!$C$3:$C$73, MATCH(1, (DSCKXA!$D$3:$D$73=BC_SINH!D105)*(DSCKXA!$E$3:$E$73=BC_SINH!E105), 0)),"")</f>
        <v>Thôn Kỳ Tăng</v>
      </c>
      <c r="J105" s="97" t="str">
        <f>IFERROR(VLOOKUP(B105,'Đất sản xuất'!$B$9:$C$216,2,0),"")</f>
        <v xml:space="preserve"> Kỳ Tăng</v>
      </c>
      <c r="K105" s="97" t="str">
        <f>IFERROR(VLOOKUP(B105,'Sản xuất cấp huyên'!$B$9:$C$177,2,0),"")</f>
        <v/>
      </c>
      <c r="L105" s="4" t="str">
        <f>IFERROR(VLOOKUP(B105,'4069'!$B$9:$C$177,2,0),"")</f>
        <v/>
      </c>
      <c r="M105" s="4" t="str">
        <f t="array" ref="M105">IFERROR(INDEX(KODUDK!$C$8:$C$79, MATCH(1, (KODUDK!$D$8:$D$79=BC_SINH!D105)*(KODUDK!$E$8:$E$79=BC_SINH!E105), 0)),"")</f>
        <v/>
      </c>
      <c r="N105" s="4" t="str">
        <f t="array" ref="N105">IFERROR(INDEX(KODUDK!$H$8:$H$79, MATCH(1, (KODUDK!$D$8:$D$79=BC_SINH!D105)*(KODUDK!$E$8:$E$79=BC_SINH!E105), 0)),"")</f>
        <v/>
      </c>
      <c r="O105" s="4" t="str">
        <f t="array" ref="O105">IFERROR(INDEX('KO DU ĐK NQ10'!$C$8:$C$48, MATCH(1, ('KO DU ĐK NQ10'!$D$8:$D$48=BC_SINH!D105)*('KO DU ĐK NQ10'!$E$8:$E$48=BC_SINH!E105), 0)),"")</f>
        <v/>
      </c>
      <c r="P105" s="4" t="str">
        <f t="array" ref="P105">IFERROR(INDEX('KO DU ĐK NQ10'!$H$8:$H$48, MATCH(1, ('KO DU ĐK NQ10'!$D$8:$D$48=BC_SINH!D105)*('KO DU ĐK NQ10'!$E$8:$E$48=BC_SINH!E105), 0)),"")</f>
        <v/>
      </c>
      <c r="Q105" s="4" t="str">
        <f t="array" ref="Q105">IFERROR(INDEX('KO DU ĐK 4069'!$C$8:$C$38, MATCH(1, ('KO DU ĐK 4069'!$D$8:$D$38=BC_SINH!D105)*('KO DU ĐK 4069'!$E$8:$E$38=BC_SINH!E105), 0)),"")</f>
        <v/>
      </c>
      <c r="R105" s="4" t="str">
        <f t="array" ref="R105">IFERROR(INDEX('KO DU ĐK 4069'!$H$8:$H$38, MATCH(1, ('KO DU ĐK 4069'!$D$8:$D$38=BC_SINH!D105)*('KO DU ĐK 4069'!$E$8:$E$38=BC_SINH!E105), 0)),"")</f>
        <v/>
      </c>
      <c r="S105" s="4" t="str">
        <f t="array" ref="S105">IFERROR(INDEX(KeKhaiDangKy!$H$2:$H$4889, MATCH(1, (KeKhaiDangKy!$A$2:$A$4889=BC_SINH!D105)*(KeKhaiDangKy!$B$2:$B$4889=BC_SINH!E105), 0)),"")</f>
        <v/>
      </c>
    </row>
    <row r="106" spans="1:19" ht="14.45" customHeight="1" x14ac:dyDescent="0.25">
      <c r="A106" s="4">
        <f>IF(B106&lt;&gt;"", SUBTOTAL(3, $B$2:B106), "")</f>
        <v>105</v>
      </c>
      <c r="B106" s="4" t="s">
        <v>69</v>
      </c>
      <c r="C106" s="4" t="str">
        <f t="shared" si="1"/>
        <v/>
      </c>
      <c r="D106" s="4">
        <v>21</v>
      </c>
      <c r="E106" s="4">
        <v>139</v>
      </c>
      <c r="F106" s="4">
        <v>12126</v>
      </c>
      <c r="G106" s="4" t="s">
        <v>11</v>
      </c>
      <c r="H106" s="4" t="str">
        <f t="array" ref="H106">IFERROR(INDEX(DSCKXA!$B$3:$B$73, MATCH(1, (DSCKXA!$D$3:$D$73=BC_SINH!D106)*(DSCKXA!$E$3:$E$73=BC_SINH!E106), 0)),"")</f>
        <v/>
      </c>
      <c r="I106" s="99" t="str">
        <f t="array" ref="I106">IFERROR(INDEX(DSCKXA!$C$3:$C$73, MATCH(1, (DSCKXA!$D$3:$D$73=BC_SINH!D106)*(DSCKXA!$E$3:$E$73=BC_SINH!E106), 0)),"")</f>
        <v/>
      </c>
      <c r="J106" s="97" t="str">
        <f>IFERROR(VLOOKUP(B106,'Đất sản xuất'!$B$9:$C$216,2,0),"")</f>
        <v/>
      </c>
      <c r="K106" s="97" t="str">
        <f>IFERROR(VLOOKUP(B106,'Sản xuất cấp huyên'!$B$9:$C$177,2,0),"")</f>
        <v/>
      </c>
      <c r="L106" s="4" t="str">
        <f>IFERROR(VLOOKUP(B106,'4069'!$B$9:$C$177,2,0),"")</f>
        <v/>
      </c>
      <c r="M106" s="4" t="str">
        <f t="array" ref="M106">IFERROR(INDEX(KODUDK!$C$8:$C$79, MATCH(1, (KODUDK!$D$8:$D$79=BC_SINH!D106)*(KODUDK!$E$8:$E$79=BC_SINH!E106), 0)),"")</f>
        <v/>
      </c>
      <c r="N106" s="4" t="str">
        <f t="array" ref="N106">IFERROR(INDEX(KODUDK!$H$8:$H$79, MATCH(1, (KODUDK!$D$8:$D$79=BC_SINH!D106)*(KODUDK!$E$8:$E$79=BC_SINH!E106), 0)),"")</f>
        <v/>
      </c>
      <c r="O106" s="4" t="str">
        <f t="array" ref="O106">IFERROR(INDEX('KO DU ĐK NQ10'!$C$8:$C$48, MATCH(1, ('KO DU ĐK NQ10'!$D$8:$D$48=BC_SINH!D106)*('KO DU ĐK NQ10'!$E$8:$E$48=BC_SINH!E106), 0)),"")</f>
        <v/>
      </c>
      <c r="P106" s="4" t="str">
        <f t="array" ref="P106">IFERROR(INDEX('KO DU ĐK NQ10'!$H$8:$H$48, MATCH(1, ('KO DU ĐK NQ10'!$D$8:$D$48=BC_SINH!D106)*('KO DU ĐK NQ10'!$E$8:$E$48=BC_SINH!E106), 0)),"")</f>
        <v/>
      </c>
      <c r="Q106" s="4" t="str">
        <f t="array" ref="Q106">IFERROR(INDEX('KO DU ĐK 4069'!$C$8:$C$38, MATCH(1, ('KO DU ĐK 4069'!$D$8:$D$38=BC_SINH!D106)*('KO DU ĐK 4069'!$E$8:$E$38=BC_SINH!E106), 0)),"")</f>
        <v/>
      </c>
      <c r="R106" s="4" t="str">
        <f t="array" ref="R106">IFERROR(INDEX('KO DU ĐK 4069'!$H$8:$H$38, MATCH(1, ('KO DU ĐK 4069'!$D$8:$D$38=BC_SINH!D106)*('KO DU ĐK 4069'!$E$8:$E$38=BC_SINH!E106), 0)),"")</f>
        <v/>
      </c>
      <c r="S106" s="4" t="str">
        <f t="array" ref="S106">IFERROR(INDEX(KeKhaiDangKy!$H$2:$H$4889, MATCH(1, (KeKhaiDangKy!$A$2:$A$4889=BC_SINH!D106)*(KeKhaiDangKy!$B$2:$B$4889=BC_SINH!E106), 0)),"")</f>
        <v/>
      </c>
    </row>
    <row r="107" spans="1:19" ht="14.45" customHeight="1" x14ac:dyDescent="0.25">
      <c r="A107" s="4">
        <f>IF(B107&lt;&gt;"", SUBTOTAL(3, $B$2:B107), "")</f>
        <v>106</v>
      </c>
      <c r="B107" s="4" t="s">
        <v>70</v>
      </c>
      <c r="C107" s="4" t="str">
        <f t="shared" si="1"/>
        <v/>
      </c>
      <c r="D107" s="4">
        <v>21</v>
      </c>
      <c r="E107" s="4">
        <v>140</v>
      </c>
      <c r="F107" s="4">
        <v>10926</v>
      </c>
      <c r="G107" s="4" t="s">
        <v>11</v>
      </c>
      <c r="H107" s="4" t="str">
        <f t="array" ref="H107">IFERROR(INDEX(DSCKXA!$B$3:$B$73, MATCH(1, (DSCKXA!$D$3:$D$73=BC_SINH!D107)*(DSCKXA!$E$3:$E$73=BC_SINH!E107), 0)),"")</f>
        <v/>
      </c>
      <c r="I107" s="99" t="str">
        <f t="array" ref="I107">IFERROR(INDEX(DSCKXA!$C$3:$C$73, MATCH(1, (DSCKXA!$D$3:$D$73=BC_SINH!D107)*(DSCKXA!$E$3:$E$73=BC_SINH!E107), 0)),"")</f>
        <v/>
      </c>
      <c r="J107" s="97" t="str">
        <f>IFERROR(VLOOKUP(B107,'Đất sản xuất'!$B$9:$C$216,2,0),"")</f>
        <v/>
      </c>
      <c r="K107" s="97" t="str">
        <f>IFERROR(VLOOKUP(B107,'Sản xuất cấp huyên'!$B$9:$C$177,2,0),"")</f>
        <v/>
      </c>
      <c r="L107" s="4" t="str">
        <f>IFERROR(VLOOKUP(B107,'4069'!$B$9:$C$177,2,0),"")</f>
        <v/>
      </c>
      <c r="M107" s="4" t="str">
        <f t="array" ref="M107">IFERROR(INDEX(KODUDK!$C$8:$C$79, MATCH(1, (KODUDK!$D$8:$D$79=BC_SINH!D107)*(KODUDK!$E$8:$E$79=BC_SINH!E107), 0)),"")</f>
        <v/>
      </c>
      <c r="N107" s="4" t="str">
        <f t="array" ref="N107">IFERROR(INDEX(KODUDK!$H$8:$H$79, MATCH(1, (KODUDK!$D$8:$D$79=BC_SINH!D107)*(KODUDK!$E$8:$E$79=BC_SINH!E107), 0)),"")</f>
        <v/>
      </c>
      <c r="O107" s="4" t="str">
        <f t="array" ref="O107">IFERROR(INDEX('KO DU ĐK NQ10'!$C$8:$C$48, MATCH(1, ('KO DU ĐK NQ10'!$D$8:$D$48=BC_SINH!D107)*('KO DU ĐK NQ10'!$E$8:$E$48=BC_SINH!E107), 0)),"")</f>
        <v/>
      </c>
      <c r="P107" s="4" t="str">
        <f t="array" ref="P107">IFERROR(INDEX('KO DU ĐK NQ10'!$H$8:$H$48, MATCH(1, ('KO DU ĐK NQ10'!$D$8:$D$48=BC_SINH!D107)*('KO DU ĐK NQ10'!$E$8:$E$48=BC_SINH!E107), 0)),"")</f>
        <v/>
      </c>
      <c r="Q107" s="4" t="str">
        <f t="array" ref="Q107">IFERROR(INDEX('KO DU ĐK 4069'!$C$8:$C$38, MATCH(1, ('KO DU ĐK 4069'!$D$8:$D$38=BC_SINH!D107)*('KO DU ĐK 4069'!$E$8:$E$38=BC_SINH!E107), 0)),"")</f>
        <v/>
      </c>
      <c r="R107" s="4" t="str">
        <f t="array" ref="R107">IFERROR(INDEX('KO DU ĐK 4069'!$H$8:$H$38, MATCH(1, ('KO DU ĐK 4069'!$D$8:$D$38=BC_SINH!D107)*('KO DU ĐK 4069'!$E$8:$E$38=BC_SINH!E107), 0)),"")</f>
        <v/>
      </c>
      <c r="S107" s="4" t="str">
        <f t="array" ref="S107">IFERROR(INDEX(KeKhaiDangKy!$H$2:$H$4889, MATCH(1, (KeKhaiDangKy!$A$2:$A$4889=BC_SINH!D107)*(KeKhaiDangKy!$B$2:$B$4889=BC_SINH!E107), 0)),"")</f>
        <v/>
      </c>
    </row>
    <row r="108" spans="1:19" ht="14.45" customHeight="1" x14ac:dyDescent="0.25">
      <c r="A108" s="4">
        <f>IF(B108&lt;&gt;"", SUBTOTAL(3, $B$2:B108), "")</f>
        <v>107</v>
      </c>
      <c r="B108" s="4" t="s">
        <v>71</v>
      </c>
      <c r="C108" s="4" t="str">
        <f t="shared" si="1"/>
        <v>Kỳ Nơi</v>
      </c>
      <c r="D108" s="4">
        <v>3</v>
      </c>
      <c r="E108" s="4">
        <v>159</v>
      </c>
      <c r="F108" s="4">
        <v>11383</v>
      </c>
      <c r="G108" s="4" t="s">
        <v>11</v>
      </c>
      <c r="H108" s="4" t="str">
        <f t="array" ref="H108">IFERROR(INDEX(DSCKXA!$B$3:$B$73, MATCH(1, (DSCKXA!$D$3:$D$73=BC_SINH!D108)*(DSCKXA!$E$3:$E$73=BC_SINH!E108), 0)),"")</f>
        <v/>
      </c>
      <c r="I108" s="99" t="str">
        <f t="array" ref="I108">IFERROR(INDEX(DSCKXA!$C$3:$C$73, MATCH(1, (DSCKXA!$D$3:$D$73=BC_SINH!D108)*(DSCKXA!$E$3:$E$73=BC_SINH!E108), 0)),"")</f>
        <v/>
      </c>
      <c r="J108" s="97" t="str">
        <f>IFERROR(VLOOKUP(B108,'Đất sản xuất'!$B$9:$C$216,2,0),"")</f>
        <v/>
      </c>
      <c r="K108" s="97" t="str">
        <f>IFERROR(VLOOKUP(B108,'Sản xuất cấp huyên'!$B$9:$C$177,2,0),"")</f>
        <v/>
      </c>
      <c r="L108" s="4" t="str">
        <f>IFERROR(VLOOKUP(B108,'4069'!$B$9:$C$177,2,0),"")</f>
        <v/>
      </c>
      <c r="M108" s="4" t="str">
        <f t="array" ref="M108">IFERROR(INDEX(KODUDK!$C$8:$C$79, MATCH(1, (KODUDK!$D$8:$D$79=BC_SINH!D108)*(KODUDK!$E$8:$E$79=BC_SINH!E108), 0)),"")</f>
        <v/>
      </c>
      <c r="N108" s="4" t="str">
        <f t="array" ref="N108">IFERROR(INDEX(KODUDK!$H$8:$H$79, MATCH(1, (KODUDK!$D$8:$D$79=BC_SINH!D108)*(KODUDK!$E$8:$E$79=BC_SINH!E108), 0)),"")</f>
        <v/>
      </c>
      <c r="O108" s="4" t="str">
        <f t="array" ref="O108">IFERROR(INDEX('KO DU ĐK NQ10'!$C$8:$C$48, MATCH(1, ('KO DU ĐK NQ10'!$D$8:$D$48=BC_SINH!D108)*('KO DU ĐK NQ10'!$E$8:$E$48=BC_SINH!E108), 0)),"")</f>
        <v/>
      </c>
      <c r="P108" s="4" t="str">
        <f t="array" ref="P108">IFERROR(INDEX('KO DU ĐK NQ10'!$H$8:$H$48, MATCH(1, ('KO DU ĐK NQ10'!$D$8:$D$48=BC_SINH!D108)*('KO DU ĐK NQ10'!$E$8:$E$48=BC_SINH!E108), 0)),"")</f>
        <v/>
      </c>
      <c r="Q108" s="4" t="str">
        <f t="array" ref="Q108">IFERROR(INDEX('KO DU ĐK 4069'!$C$8:$C$38, MATCH(1, ('KO DU ĐK 4069'!$D$8:$D$38=BC_SINH!D108)*('KO DU ĐK 4069'!$E$8:$E$38=BC_SINH!E108), 0)),"")</f>
        <v/>
      </c>
      <c r="R108" s="4" t="str">
        <f t="array" ref="R108">IFERROR(INDEX('KO DU ĐK 4069'!$H$8:$H$38, MATCH(1, ('KO DU ĐK 4069'!$D$8:$D$38=BC_SINH!D108)*('KO DU ĐK 4069'!$E$8:$E$38=BC_SINH!E108), 0)),"")</f>
        <v/>
      </c>
      <c r="S108" s="4" t="str">
        <f t="array" ref="S108">IFERROR(INDEX(KeKhaiDangKy!$H$2:$H$4889, MATCH(1, (KeKhaiDangKy!$A$2:$A$4889=BC_SINH!D108)*(KeKhaiDangKy!$B$2:$B$4889=BC_SINH!E108), 0)),"")</f>
        <v>Kỳ Nơi</v>
      </c>
    </row>
    <row r="109" spans="1:19" ht="14.45" customHeight="1" x14ac:dyDescent="0.25">
      <c r="A109" s="4">
        <f>IF(B109&lt;&gt;"", SUBTOTAL(3, $B$2:B109), "")</f>
        <v>108</v>
      </c>
      <c r="B109" s="4" t="s">
        <v>72</v>
      </c>
      <c r="C109" s="4" t="str">
        <f t="shared" si="1"/>
        <v>Kỳ Tăng</v>
      </c>
      <c r="D109" s="4">
        <v>21</v>
      </c>
      <c r="E109" s="4">
        <v>141</v>
      </c>
      <c r="F109" s="4">
        <v>4128</v>
      </c>
      <c r="G109" s="4" t="s">
        <v>11</v>
      </c>
      <c r="H109" s="4" t="str">
        <f t="array" ref="H109">IFERROR(INDEX(DSCKXA!$B$3:$B$73, MATCH(1, (DSCKXA!$D$3:$D$73=BC_SINH!D109)*(DSCKXA!$E$3:$E$73=BC_SINH!E109), 0)),"")</f>
        <v/>
      </c>
      <c r="I109" s="99" t="str">
        <f t="array" ref="I109">IFERROR(INDEX(DSCKXA!$C$3:$C$73, MATCH(1, (DSCKXA!$D$3:$D$73=BC_SINH!D109)*(DSCKXA!$E$3:$E$73=BC_SINH!E109), 0)),"")</f>
        <v/>
      </c>
      <c r="J109" s="97" t="str">
        <f>IFERROR(VLOOKUP(B109,'Đất sản xuất'!$B$9:$C$216,2,0),"")</f>
        <v/>
      </c>
      <c r="K109" s="97" t="str">
        <f>IFERROR(VLOOKUP(B109,'Sản xuất cấp huyên'!$B$9:$C$177,2,0),"")</f>
        <v/>
      </c>
      <c r="L109" s="4" t="str">
        <f>IFERROR(VLOOKUP(B109,'4069'!$B$9:$C$177,2,0),"")</f>
        <v/>
      </c>
      <c r="M109" s="4" t="str">
        <f t="array" ref="M109">IFERROR(INDEX(KODUDK!$C$8:$C$79, MATCH(1, (KODUDK!$D$8:$D$79=BC_SINH!D109)*(KODUDK!$E$8:$E$79=BC_SINH!E109), 0)),"")</f>
        <v>Kỳ Tăng</v>
      </c>
      <c r="N109" s="4" t="str">
        <f t="array" ref="N109">IFERROR(INDEX(KODUDK!$H$8:$H$79, MATCH(1, (KODUDK!$D$8:$D$79=BC_SINH!D109)*(KODUDK!$E$8:$E$79=BC_SINH!E109), 0)),"")</f>
        <v>Có 02 thửa đất nên loại 01 thửa</v>
      </c>
      <c r="O109" s="4" t="str">
        <f t="array" ref="O109">IFERROR(INDEX('KO DU ĐK NQ10'!$C$8:$C$48, MATCH(1, ('KO DU ĐK NQ10'!$D$8:$D$48=BC_SINH!D109)*('KO DU ĐK NQ10'!$E$8:$E$48=BC_SINH!E109), 0)),"")</f>
        <v>Kỳ Tăng</v>
      </c>
      <c r="P109" s="4" t="str">
        <f t="array" ref="P109">IFERROR(INDEX('KO DU ĐK NQ10'!$H$8:$H$48, MATCH(1, ('KO DU ĐK NQ10'!$D$8:$D$48=BC_SINH!D109)*('KO DU ĐK NQ10'!$E$8:$E$48=BC_SINH!E109), 0)),"")</f>
        <v>Có 02 thửa đất nên loại 01 thửa</v>
      </c>
      <c r="Q109" s="4" t="str">
        <f t="array" ref="Q109">IFERROR(INDEX('KO DU ĐK 4069'!$C$8:$C$38, MATCH(1, ('KO DU ĐK 4069'!$D$8:$D$38=BC_SINH!D109)*('KO DU ĐK 4069'!$E$8:$E$38=BC_SINH!E109), 0)),"")</f>
        <v/>
      </c>
      <c r="R109" s="4" t="str">
        <f t="array" ref="R109">IFERROR(INDEX('KO DU ĐK 4069'!$H$8:$H$38, MATCH(1, ('KO DU ĐK 4069'!$D$8:$D$38=BC_SINH!D109)*('KO DU ĐK 4069'!$E$8:$E$38=BC_SINH!E109), 0)),"")</f>
        <v/>
      </c>
      <c r="S109" s="4" t="str">
        <f t="array" ref="S109">IFERROR(INDEX(KeKhaiDangKy!$H$2:$H$4889, MATCH(1, (KeKhaiDangKy!$A$2:$A$4889=BC_SINH!D109)*(KeKhaiDangKy!$B$2:$B$4889=BC_SINH!E109), 0)),"")</f>
        <v/>
      </c>
    </row>
    <row r="110" spans="1:19" ht="14.45" customHeight="1" x14ac:dyDescent="0.25">
      <c r="A110" s="4">
        <f>IF(B110&lt;&gt;"", SUBTOTAL(3, $B$2:B110), "")</f>
        <v>109</v>
      </c>
      <c r="B110" s="4" t="s">
        <v>72</v>
      </c>
      <c r="C110" s="4" t="str">
        <f t="shared" si="1"/>
        <v/>
      </c>
      <c r="D110" s="4">
        <v>21</v>
      </c>
      <c r="E110" s="4">
        <v>142</v>
      </c>
      <c r="F110" s="4">
        <v>4889</v>
      </c>
      <c r="G110" s="4" t="s">
        <v>11</v>
      </c>
      <c r="H110" s="4" t="str">
        <f t="array" ref="H110">IFERROR(INDEX(DSCKXA!$B$3:$B$73, MATCH(1, (DSCKXA!$D$3:$D$73=BC_SINH!D110)*(DSCKXA!$E$3:$E$73=BC_SINH!E110), 0)),"")</f>
        <v/>
      </c>
      <c r="I110" s="99" t="str">
        <f t="array" ref="I110">IFERROR(INDEX(DSCKXA!$C$3:$C$73, MATCH(1, (DSCKXA!$D$3:$D$73=BC_SINH!D110)*(DSCKXA!$E$3:$E$73=BC_SINH!E110), 0)),"")</f>
        <v/>
      </c>
      <c r="J110" s="97" t="str">
        <f>IFERROR(VLOOKUP(B110,'Đất sản xuất'!$B$9:$C$216,2,0),"")</f>
        <v/>
      </c>
      <c r="K110" s="97" t="str">
        <f>IFERROR(VLOOKUP(B110,'Sản xuất cấp huyên'!$B$9:$C$177,2,0),"")</f>
        <v/>
      </c>
      <c r="L110" s="4" t="str">
        <f>IFERROR(VLOOKUP(B110,'4069'!$B$9:$C$177,2,0),"")</f>
        <v/>
      </c>
      <c r="M110" s="4" t="str">
        <f t="array" ref="M110">IFERROR(INDEX(KODUDK!$C$8:$C$79, MATCH(1, (KODUDK!$D$8:$D$79=BC_SINH!D110)*(KODUDK!$E$8:$E$79=BC_SINH!E110), 0)),"")</f>
        <v/>
      </c>
      <c r="N110" s="4" t="str">
        <f t="array" ref="N110">IFERROR(INDEX(KODUDK!$H$8:$H$79, MATCH(1, (KODUDK!$D$8:$D$79=BC_SINH!D110)*(KODUDK!$E$8:$E$79=BC_SINH!E110), 0)),"")</f>
        <v/>
      </c>
      <c r="O110" s="4" t="str">
        <f t="array" ref="O110">IFERROR(INDEX('KO DU ĐK NQ10'!$C$8:$C$48, MATCH(1, ('KO DU ĐK NQ10'!$D$8:$D$48=BC_SINH!D110)*('KO DU ĐK NQ10'!$E$8:$E$48=BC_SINH!E110), 0)),"")</f>
        <v/>
      </c>
      <c r="P110" s="4" t="str">
        <f t="array" ref="P110">IFERROR(INDEX('KO DU ĐK NQ10'!$H$8:$H$48, MATCH(1, ('KO DU ĐK NQ10'!$D$8:$D$48=BC_SINH!D110)*('KO DU ĐK NQ10'!$E$8:$E$48=BC_SINH!E110), 0)),"")</f>
        <v/>
      </c>
      <c r="Q110" s="4" t="str">
        <f t="array" ref="Q110">IFERROR(INDEX('KO DU ĐK 4069'!$C$8:$C$38, MATCH(1, ('KO DU ĐK 4069'!$D$8:$D$38=BC_SINH!D110)*('KO DU ĐK 4069'!$E$8:$E$38=BC_SINH!E110), 0)),"")</f>
        <v/>
      </c>
      <c r="R110" s="4" t="str">
        <f t="array" ref="R110">IFERROR(INDEX('KO DU ĐK 4069'!$H$8:$H$38, MATCH(1, ('KO DU ĐK 4069'!$D$8:$D$38=BC_SINH!D110)*('KO DU ĐK 4069'!$E$8:$E$38=BC_SINH!E110), 0)),"")</f>
        <v/>
      </c>
      <c r="S110" s="4" t="str">
        <f t="array" ref="S110">IFERROR(INDEX(KeKhaiDangKy!$H$2:$H$4889, MATCH(1, (KeKhaiDangKy!$A$2:$A$4889=BC_SINH!D110)*(KeKhaiDangKy!$B$2:$B$4889=BC_SINH!E110), 0)),"")</f>
        <v/>
      </c>
    </row>
    <row r="111" spans="1:19" ht="14.45" customHeight="1" x14ac:dyDescent="0.25">
      <c r="A111" s="4">
        <f>IF(B111&lt;&gt;"", SUBTOTAL(3, $B$2:B111), "")</f>
        <v>110</v>
      </c>
      <c r="B111" s="4" t="s">
        <v>73</v>
      </c>
      <c r="C111" s="4" t="str">
        <f t="shared" si="1"/>
        <v xml:space="preserve"> A Quan</v>
      </c>
      <c r="D111" s="4">
        <v>21</v>
      </c>
      <c r="E111" s="4">
        <v>143</v>
      </c>
      <c r="F111" s="4">
        <v>10614</v>
      </c>
      <c r="G111" s="4" t="s">
        <v>11</v>
      </c>
      <c r="H111" s="4" t="str">
        <f t="array" ref="H111">IFERROR(INDEX(DSCKXA!$B$3:$B$73, MATCH(1, (DSCKXA!$D$3:$D$73=BC_SINH!D111)*(DSCKXA!$E$3:$E$73=BC_SINH!E111), 0)),"")</f>
        <v/>
      </c>
      <c r="I111" s="99" t="str">
        <f t="array" ref="I111">IFERROR(INDEX(DSCKXA!$C$3:$C$73, MATCH(1, (DSCKXA!$D$3:$D$73=BC_SINH!D111)*(DSCKXA!$E$3:$E$73=BC_SINH!E111), 0)),"")</f>
        <v/>
      </c>
      <c r="J111" s="97" t="str">
        <f>IFERROR(VLOOKUP(B111,'Đất sản xuất'!$B$9:$C$216,2,0),"")</f>
        <v xml:space="preserve"> A Quan</v>
      </c>
      <c r="K111" s="97" t="str">
        <f>IFERROR(VLOOKUP(B111,'Sản xuất cấp huyên'!$B$9:$C$177,2,0),"")</f>
        <v/>
      </c>
      <c r="L111" s="4" t="str">
        <f>IFERROR(VLOOKUP(B111,'4069'!$B$9:$C$177,2,0),"")</f>
        <v/>
      </c>
      <c r="M111" s="4" t="str">
        <f t="array" ref="M111">IFERROR(INDEX(KODUDK!$C$8:$C$79, MATCH(1, (KODUDK!$D$8:$D$79=BC_SINH!D111)*(KODUDK!$E$8:$E$79=BC_SINH!E111), 0)),"")</f>
        <v/>
      </c>
      <c r="N111" s="4" t="str">
        <f t="array" ref="N111">IFERROR(INDEX(KODUDK!$H$8:$H$79, MATCH(1, (KODUDK!$D$8:$D$79=BC_SINH!D111)*(KODUDK!$E$8:$E$79=BC_SINH!E111), 0)),"")</f>
        <v/>
      </c>
      <c r="O111" s="4" t="str">
        <f t="array" ref="O111">IFERROR(INDEX('KO DU ĐK NQ10'!$C$8:$C$48, MATCH(1, ('KO DU ĐK NQ10'!$D$8:$D$48=BC_SINH!D111)*('KO DU ĐK NQ10'!$E$8:$E$48=BC_SINH!E111), 0)),"")</f>
        <v/>
      </c>
      <c r="P111" s="4" t="str">
        <f t="array" ref="P111">IFERROR(INDEX('KO DU ĐK NQ10'!$H$8:$H$48, MATCH(1, ('KO DU ĐK NQ10'!$D$8:$D$48=BC_SINH!D111)*('KO DU ĐK NQ10'!$E$8:$E$48=BC_SINH!E111), 0)),"")</f>
        <v/>
      </c>
      <c r="Q111" s="4" t="str">
        <f t="array" ref="Q111">IFERROR(INDEX('KO DU ĐK 4069'!$C$8:$C$38, MATCH(1, ('KO DU ĐK 4069'!$D$8:$D$38=BC_SINH!D111)*('KO DU ĐK 4069'!$E$8:$E$38=BC_SINH!E111), 0)),"")</f>
        <v/>
      </c>
      <c r="R111" s="4" t="str">
        <f t="array" ref="R111">IFERROR(INDEX('KO DU ĐK 4069'!$H$8:$H$38, MATCH(1, ('KO DU ĐK 4069'!$D$8:$D$38=BC_SINH!D111)*('KO DU ĐK 4069'!$E$8:$E$38=BC_SINH!E111), 0)),"")</f>
        <v/>
      </c>
      <c r="S111" s="4" t="str">
        <f t="array" ref="S111">IFERROR(INDEX(KeKhaiDangKy!$H$2:$H$4889, MATCH(1, (KeKhaiDangKy!$A$2:$A$4889=BC_SINH!D111)*(KeKhaiDangKy!$B$2:$B$4889=BC_SINH!E111), 0)),"")</f>
        <v>A Quan</v>
      </c>
    </row>
    <row r="112" spans="1:19" ht="14.45" customHeight="1" x14ac:dyDescent="0.25">
      <c r="A112" s="4">
        <f>IF(B112&lt;&gt;"", SUBTOTAL(3, $B$2:B112), "")</f>
        <v>111</v>
      </c>
      <c r="B112" s="4" t="s">
        <v>73</v>
      </c>
      <c r="C112" s="4" t="str">
        <f t="shared" si="1"/>
        <v xml:space="preserve"> A Quan</v>
      </c>
      <c r="D112" s="4">
        <v>21</v>
      </c>
      <c r="E112" s="4">
        <v>73</v>
      </c>
      <c r="F112" s="4">
        <v>10414</v>
      </c>
      <c r="G112" s="4" t="s">
        <v>11</v>
      </c>
      <c r="H112" s="4" t="str">
        <f t="array" ref="H112">IFERROR(INDEX(DSCKXA!$B$3:$B$73, MATCH(1, (DSCKXA!$D$3:$D$73=BC_SINH!D112)*(DSCKXA!$E$3:$E$73=BC_SINH!E112), 0)),"")</f>
        <v>Hồ Văn Hồi</v>
      </c>
      <c r="I112" s="99" t="str">
        <f t="array" ref="I112">IFERROR(INDEX(DSCKXA!$C$3:$C$73, MATCH(1, (DSCKXA!$D$3:$D$73=BC_SINH!D112)*(DSCKXA!$E$3:$E$73=BC_SINH!E112), 0)),"")</f>
        <v>Thôn A Quan</v>
      </c>
      <c r="J112" s="97" t="str">
        <f>IFERROR(VLOOKUP(B112,'Đất sản xuất'!$B$9:$C$216,2,0),"")</f>
        <v xml:space="preserve"> A Quan</v>
      </c>
      <c r="K112" s="97" t="str">
        <f>IFERROR(VLOOKUP(B112,'Sản xuất cấp huyên'!$B$9:$C$177,2,0),"")</f>
        <v/>
      </c>
      <c r="L112" s="4" t="str">
        <f>IFERROR(VLOOKUP(B112,'4069'!$B$9:$C$177,2,0),"")</f>
        <v/>
      </c>
      <c r="M112" s="4" t="str">
        <f t="array" ref="M112">IFERROR(INDEX(KODUDK!$C$8:$C$79, MATCH(1, (KODUDK!$D$8:$D$79=BC_SINH!D112)*(KODUDK!$E$8:$E$79=BC_SINH!E112), 0)),"")</f>
        <v>A Quan</v>
      </c>
      <c r="N112" s="4" t="str">
        <f t="array" ref="N112">IFERROR(INDEX(KODUDK!$H$8:$H$79, MATCH(1, (KODUDK!$D$8:$D$79=BC_SINH!D112)*(KODUDK!$E$8:$E$79=BC_SINH!E112), 0)),"")</f>
        <v>Có 02 thửa đất nên loại 01 thửa</v>
      </c>
      <c r="O112" s="4" t="str">
        <f t="array" ref="O112">IFERROR(INDEX('KO DU ĐK NQ10'!$C$8:$C$48, MATCH(1, ('KO DU ĐK NQ10'!$D$8:$D$48=BC_SINH!D112)*('KO DU ĐK NQ10'!$E$8:$E$48=BC_SINH!E112), 0)),"")</f>
        <v>A Quan</v>
      </c>
      <c r="P112" s="4" t="str">
        <f t="array" ref="P112">IFERROR(INDEX('KO DU ĐK NQ10'!$H$8:$H$48, MATCH(1, ('KO DU ĐK NQ10'!$D$8:$D$48=BC_SINH!D112)*('KO DU ĐK NQ10'!$E$8:$E$48=BC_SINH!E112), 0)),"")</f>
        <v>Có 02 thửa đất nên loại 01 thửa</v>
      </c>
      <c r="Q112" s="4" t="str">
        <f t="array" ref="Q112">IFERROR(INDEX('KO DU ĐK 4069'!$C$8:$C$38, MATCH(1, ('KO DU ĐK 4069'!$D$8:$D$38=BC_SINH!D112)*('KO DU ĐK 4069'!$E$8:$E$38=BC_SINH!E112), 0)),"")</f>
        <v/>
      </c>
      <c r="R112" s="4" t="str">
        <f t="array" ref="R112">IFERROR(INDEX('KO DU ĐK 4069'!$H$8:$H$38, MATCH(1, ('KO DU ĐK 4069'!$D$8:$D$38=BC_SINH!D112)*('KO DU ĐK 4069'!$E$8:$E$38=BC_SINH!E112), 0)),"")</f>
        <v/>
      </c>
      <c r="S112" s="4" t="str">
        <f t="array" ref="S112">IFERROR(INDEX(KeKhaiDangKy!$H$2:$H$4889, MATCH(1, (KeKhaiDangKy!$A$2:$A$4889=BC_SINH!D112)*(KeKhaiDangKy!$B$2:$B$4889=BC_SINH!E112), 0)),"")</f>
        <v/>
      </c>
    </row>
    <row r="113" spans="1:19" ht="14.45" customHeight="1" x14ac:dyDescent="0.25">
      <c r="A113" s="4">
        <f>IF(B113&lt;&gt;"", SUBTOTAL(3, $B$2:B113), "")</f>
        <v>112</v>
      </c>
      <c r="B113" s="4" t="s">
        <v>74</v>
      </c>
      <c r="C113" s="4" t="str">
        <f t="shared" si="1"/>
        <v>A Máy</v>
      </c>
      <c r="D113" s="4">
        <v>21</v>
      </c>
      <c r="E113" s="4">
        <v>145</v>
      </c>
      <c r="F113" s="4">
        <v>2824</v>
      </c>
      <c r="G113" s="4" t="s">
        <v>11</v>
      </c>
      <c r="H113" s="4" t="str">
        <f t="array" ref="H113">IFERROR(INDEX(DSCKXA!$B$3:$B$73, MATCH(1, (DSCKXA!$D$3:$D$73=BC_SINH!D113)*(DSCKXA!$E$3:$E$73=BC_SINH!E113), 0)),"")</f>
        <v/>
      </c>
      <c r="I113" s="99" t="str">
        <f t="array" ref="I113">IFERROR(INDEX(DSCKXA!$C$3:$C$73, MATCH(1, (DSCKXA!$D$3:$D$73=BC_SINH!D113)*(DSCKXA!$E$3:$E$73=BC_SINH!E113), 0)),"")</f>
        <v/>
      </c>
      <c r="J113" s="97" t="str">
        <f>IFERROR(VLOOKUP(B113,'Đất sản xuất'!$B$9:$C$216,2,0),"")</f>
        <v/>
      </c>
      <c r="K113" s="97" t="str">
        <f>IFERROR(VLOOKUP(B113,'Sản xuất cấp huyên'!$B$9:$C$177,2,0),"")</f>
        <v>A Máy</v>
      </c>
      <c r="L113" s="4" t="str">
        <f>IFERROR(VLOOKUP(B113,'4069'!$B$9:$C$177,2,0),"")</f>
        <v>A Máy</v>
      </c>
      <c r="M113" s="4" t="str">
        <f t="array" ref="M113">IFERROR(INDEX(KODUDK!$C$8:$C$79, MATCH(1, (KODUDK!$D$8:$D$79=BC_SINH!D113)*(KODUDK!$E$8:$E$79=BC_SINH!E113), 0)),"")</f>
        <v/>
      </c>
      <c r="N113" s="4" t="str">
        <f t="array" ref="N113">IFERROR(INDEX(KODUDK!$H$8:$H$79, MATCH(1, (KODUDK!$D$8:$D$79=BC_SINH!D113)*(KODUDK!$E$8:$E$79=BC_SINH!E113), 0)),"")</f>
        <v/>
      </c>
      <c r="O113" s="4" t="str">
        <f t="array" ref="O113">IFERROR(INDEX('KO DU ĐK NQ10'!$C$8:$C$48, MATCH(1, ('KO DU ĐK NQ10'!$D$8:$D$48=BC_SINH!D113)*('KO DU ĐK NQ10'!$E$8:$E$48=BC_SINH!E113), 0)),"")</f>
        <v/>
      </c>
      <c r="P113" s="4" t="str">
        <f t="array" ref="P113">IFERROR(INDEX('KO DU ĐK NQ10'!$H$8:$H$48, MATCH(1, ('KO DU ĐK NQ10'!$D$8:$D$48=BC_SINH!D113)*('KO DU ĐK NQ10'!$E$8:$E$48=BC_SINH!E113), 0)),"")</f>
        <v/>
      </c>
      <c r="Q113" s="4" t="str">
        <f t="array" ref="Q113">IFERROR(INDEX('KO DU ĐK 4069'!$C$8:$C$38, MATCH(1, ('KO DU ĐK 4069'!$D$8:$D$38=BC_SINH!D113)*('KO DU ĐK 4069'!$E$8:$E$38=BC_SINH!E113), 0)),"")</f>
        <v/>
      </c>
      <c r="R113" s="4" t="str">
        <f t="array" ref="R113">IFERROR(INDEX('KO DU ĐK 4069'!$H$8:$H$38, MATCH(1, ('KO DU ĐK 4069'!$D$8:$D$38=BC_SINH!D113)*('KO DU ĐK 4069'!$E$8:$E$38=BC_SINH!E113), 0)),"")</f>
        <v/>
      </c>
      <c r="S113" s="4" t="str">
        <f t="array" ref="S113">IFERROR(INDEX(KeKhaiDangKy!$H$2:$H$4889, MATCH(1, (KeKhaiDangKy!$A$2:$A$4889=BC_SINH!D113)*(KeKhaiDangKy!$B$2:$B$4889=BC_SINH!E113), 0)),"")</f>
        <v/>
      </c>
    </row>
    <row r="114" spans="1:19" ht="14.45" customHeight="1" x14ac:dyDescent="0.25">
      <c r="A114" s="4">
        <f>IF(B114&lt;&gt;"", SUBTOTAL(3, $B$2:B114), "")</f>
        <v>113</v>
      </c>
      <c r="B114" s="4" t="s">
        <v>75</v>
      </c>
      <c r="C114" s="4" t="str">
        <f t="shared" si="1"/>
        <v xml:space="preserve"> A Xau</v>
      </c>
      <c r="D114" s="4">
        <v>3</v>
      </c>
      <c r="E114" s="4">
        <v>10</v>
      </c>
      <c r="F114" s="4">
        <v>2390</v>
      </c>
      <c r="G114" s="4" t="s">
        <v>11</v>
      </c>
      <c r="H114" s="4" t="str">
        <f t="array" ref="H114">IFERROR(INDEX(DSCKXA!$B$3:$B$73, MATCH(1, (DSCKXA!$D$3:$D$73=BC_SINH!D114)*(DSCKXA!$E$3:$E$73=BC_SINH!E114), 0)),"")</f>
        <v>Hồ Văn Hồng</v>
      </c>
      <c r="I114" s="99" t="str">
        <f t="array" ref="I114">IFERROR(INDEX(DSCKXA!$C$3:$C$73, MATCH(1, (DSCKXA!$D$3:$D$73=BC_SINH!D114)*(DSCKXA!$E$3:$E$73=BC_SINH!E114), 0)),"")</f>
        <v>Thôn A Xau</v>
      </c>
      <c r="J114" s="97" t="str">
        <f>IFERROR(VLOOKUP(B114,'Đất sản xuất'!$B$9:$C$216,2,0),"")</f>
        <v xml:space="preserve"> A Xau</v>
      </c>
      <c r="K114" s="97" t="str">
        <f>IFERROR(VLOOKUP(B114,'Sản xuất cấp huyên'!$B$9:$C$177,2,0),"")</f>
        <v/>
      </c>
      <c r="L114" s="4" t="str">
        <f>IFERROR(VLOOKUP(B114,'4069'!$B$9:$C$177,2,0),"")</f>
        <v/>
      </c>
      <c r="M114" s="4" t="str">
        <f t="array" ref="M114">IFERROR(INDEX(KODUDK!$C$8:$C$79, MATCH(1, (KODUDK!$D$8:$D$79=BC_SINH!D114)*(KODUDK!$E$8:$E$79=BC_SINH!E114), 0)),"")</f>
        <v/>
      </c>
      <c r="N114" s="4" t="str">
        <f t="array" ref="N114">IFERROR(INDEX(KODUDK!$H$8:$H$79, MATCH(1, (KODUDK!$D$8:$D$79=BC_SINH!D114)*(KODUDK!$E$8:$E$79=BC_SINH!E114), 0)),"")</f>
        <v/>
      </c>
      <c r="O114" s="4" t="str">
        <f t="array" ref="O114">IFERROR(INDEX('KO DU ĐK NQ10'!$C$8:$C$48, MATCH(1, ('KO DU ĐK NQ10'!$D$8:$D$48=BC_SINH!D114)*('KO DU ĐK NQ10'!$E$8:$E$48=BC_SINH!E114), 0)),"")</f>
        <v/>
      </c>
      <c r="P114" s="4" t="str">
        <f t="array" ref="P114">IFERROR(INDEX('KO DU ĐK NQ10'!$H$8:$H$48, MATCH(1, ('KO DU ĐK NQ10'!$D$8:$D$48=BC_SINH!D114)*('KO DU ĐK NQ10'!$E$8:$E$48=BC_SINH!E114), 0)),"")</f>
        <v/>
      </c>
      <c r="Q114" s="4" t="str">
        <f t="array" ref="Q114">IFERROR(INDEX('KO DU ĐK 4069'!$C$8:$C$38, MATCH(1, ('KO DU ĐK 4069'!$D$8:$D$38=BC_SINH!D114)*('KO DU ĐK 4069'!$E$8:$E$38=BC_SINH!E114), 0)),"")</f>
        <v/>
      </c>
      <c r="R114" s="4" t="str">
        <f t="array" ref="R114">IFERROR(INDEX('KO DU ĐK 4069'!$H$8:$H$38, MATCH(1, ('KO DU ĐK 4069'!$D$8:$D$38=BC_SINH!D114)*('KO DU ĐK 4069'!$E$8:$E$38=BC_SINH!E114), 0)),"")</f>
        <v/>
      </c>
      <c r="S114" s="4" t="str">
        <f t="array" ref="S114">IFERROR(INDEX(KeKhaiDangKy!$H$2:$H$4889, MATCH(1, (KeKhaiDangKy!$A$2:$A$4889=BC_SINH!D114)*(KeKhaiDangKy!$B$2:$B$4889=BC_SINH!E114), 0)),"")</f>
        <v>A Xau</v>
      </c>
    </row>
    <row r="115" spans="1:19" ht="14.45" customHeight="1" x14ac:dyDescent="0.25">
      <c r="A115" s="4">
        <f>IF(B115&lt;&gt;"", SUBTOTAL(3, $B$2:B115), "")</f>
        <v>114</v>
      </c>
      <c r="B115" s="4" t="s">
        <v>76</v>
      </c>
      <c r="C115" s="4" t="str">
        <f t="shared" si="1"/>
        <v xml:space="preserve"> A Máy</v>
      </c>
      <c r="D115" s="4">
        <v>21</v>
      </c>
      <c r="E115" s="4">
        <v>146</v>
      </c>
      <c r="F115" s="4">
        <v>7264</v>
      </c>
      <c r="G115" s="4" t="s">
        <v>11</v>
      </c>
      <c r="H115" s="4" t="str">
        <f t="array" ref="H115">IFERROR(INDEX(DSCKXA!$B$3:$B$73, MATCH(1, (DSCKXA!$D$3:$D$73=BC_SINH!D115)*(DSCKXA!$E$3:$E$73=BC_SINH!E115), 0)),"")</f>
        <v/>
      </c>
      <c r="I115" s="99" t="str">
        <f t="array" ref="I115">IFERROR(INDEX(DSCKXA!$C$3:$C$73, MATCH(1, (DSCKXA!$D$3:$D$73=BC_SINH!D115)*(DSCKXA!$E$3:$E$73=BC_SINH!E115), 0)),"")</f>
        <v/>
      </c>
      <c r="J115" s="97" t="str">
        <f>IFERROR(VLOOKUP(B115,'Đất sản xuất'!$B$9:$C$216,2,0),"")</f>
        <v xml:space="preserve"> A Máy</v>
      </c>
      <c r="K115" s="97" t="str">
        <f>IFERROR(VLOOKUP(B115,'Sản xuất cấp huyên'!$B$9:$C$177,2,0),"")</f>
        <v>A Xói Hang</v>
      </c>
      <c r="L115" s="4" t="str">
        <f>IFERROR(VLOOKUP(B115,'4069'!$B$9:$C$177,2,0),"")</f>
        <v>A Xói Hang</v>
      </c>
      <c r="M115" s="4" t="str">
        <f t="array" ref="M115">IFERROR(INDEX(KODUDK!$C$8:$C$79, MATCH(1, (KODUDK!$D$8:$D$79=BC_SINH!D115)*(KODUDK!$E$8:$E$79=BC_SINH!E115), 0)),"")</f>
        <v>Thôn A Máy</v>
      </c>
      <c r="N115" s="4" t="str">
        <f t="array" ref="N115">IFERROR(INDEX(KODUDK!$H$8:$H$79, MATCH(1, (KODUDK!$D$8:$D$79=BC_SINH!D115)*(KODUDK!$E$8:$E$79=BC_SINH!E115), 0)),"")</f>
        <v>Có 03 thửa đất nên loại 02 thửa</v>
      </c>
      <c r="O115" s="4" t="str">
        <f t="array" ref="O115">IFERROR(INDEX('KO DU ĐK NQ10'!$C$8:$C$48, MATCH(1, ('KO DU ĐK NQ10'!$D$8:$D$48=BC_SINH!D115)*('KO DU ĐK NQ10'!$E$8:$E$48=BC_SINH!E115), 0)),"")</f>
        <v>Thôn A Máy</v>
      </c>
      <c r="P115" s="4" t="str">
        <f t="array" ref="P115">IFERROR(INDEX('KO DU ĐK NQ10'!$H$8:$H$48, MATCH(1, ('KO DU ĐK NQ10'!$D$8:$D$48=BC_SINH!D115)*('KO DU ĐK NQ10'!$E$8:$E$48=BC_SINH!E115), 0)),"")</f>
        <v>Có 03 thửa đất nên loại 02 thửa</v>
      </c>
      <c r="Q115" s="4" t="str">
        <f t="array" ref="Q115">IFERROR(INDEX('KO DU ĐK 4069'!$C$8:$C$38, MATCH(1, ('KO DU ĐK 4069'!$D$8:$D$38=BC_SINH!D115)*('KO DU ĐK 4069'!$E$8:$E$38=BC_SINH!E115), 0)),"")</f>
        <v/>
      </c>
      <c r="R115" s="4" t="str">
        <f t="array" ref="R115">IFERROR(INDEX('KO DU ĐK 4069'!$H$8:$H$38, MATCH(1, ('KO DU ĐK 4069'!$D$8:$D$38=BC_SINH!D115)*('KO DU ĐK 4069'!$E$8:$E$38=BC_SINH!E115), 0)),"")</f>
        <v/>
      </c>
      <c r="S115" s="4" t="str">
        <f t="array" ref="S115">IFERROR(INDEX(KeKhaiDangKy!$H$2:$H$4889, MATCH(1, (KeKhaiDangKy!$A$2:$A$4889=BC_SINH!D115)*(KeKhaiDangKy!$B$2:$B$4889=BC_SINH!E115), 0)),"")</f>
        <v/>
      </c>
    </row>
    <row r="116" spans="1:19" ht="14.45" customHeight="1" x14ac:dyDescent="0.25">
      <c r="A116" s="4">
        <f>IF(B116&lt;&gt;"", SUBTOTAL(3, $B$2:B116), "")</f>
        <v>115</v>
      </c>
      <c r="B116" s="4" t="s">
        <v>76</v>
      </c>
      <c r="C116" s="4" t="str">
        <f t="shared" si="1"/>
        <v xml:space="preserve"> A Máy</v>
      </c>
      <c r="D116" s="4">
        <v>21</v>
      </c>
      <c r="E116" s="4">
        <v>147</v>
      </c>
      <c r="F116" s="4">
        <v>4738</v>
      </c>
      <c r="G116" s="4" t="s">
        <v>11</v>
      </c>
      <c r="H116" s="4" t="str">
        <f t="array" ref="H116">IFERROR(INDEX(DSCKXA!$B$3:$B$73, MATCH(1, (DSCKXA!$D$3:$D$73=BC_SINH!D116)*(DSCKXA!$E$3:$E$73=BC_SINH!E116), 0)),"")</f>
        <v/>
      </c>
      <c r="I116" s="99" t="str">
        <f t="array" ref="I116">IFERROR(INDEX(DSCKXA!$C$3:$C$73, MATCH(1, (DSCKXA!$D$3:$D$73=BC_SINH!D116)*(DSCKXA!$E$3:$E$73=BC_SINH!E116), 0)),"")</f>
        <v/>
      </c>
      <c r="J116" s="97" t="str">
        <f>IFERROR(VLOOKUP(B116,'Đất sản xuất'!$B$9:$C$216,2,0),"")</f>
        <v xml:space="preserve"> A Máy</v>
      </c>
      <c r="K116" s="97" t="str">
        <f>IFERROR(VLOOKUP(B116,'Sản xuất cấp huyên'!$B$9:$C$177,2,0),"")</f>
        <v>A Xói Hang</v>
      </c>
      <c r="L116" s="4" t="str">
        <f>IFERROR(VLOOKUP(B116,'4069'!$B$9:$C$177,2,0),"")</f>
        <v>A Xói Hang</v>
      </c>
      <c r="M116" s="4" t="str">
        <f t="array" ref="M116">IFERROR(INDEX(KODUDK!$C$8:$C$79, MATCH(1, (KODUDK!$D$8:$D$79=BC_SINH!D116)*(KODUDK!$E$8:$E$79=BC_SINH!E116), 0)),"")</f>
        <v>Thôn A Máy</v>
      </c>
      <c r="N116" s="4" t="str">
        <f t="array" ref="N116">IFERROR(INDEX(KODUDK!$H$8:$H$79, MATCH(1, (KODUDK!$D$8:$D$79=BC_SINH!D116)*(KODUDK!$E$8:$E$79=BC_SINH!E116), 0)),"")</f>
        <v>Có 03 thửa đất nên loại 02 thửa</v>
      </c>
      <c r="O116" s="4" t="str">
        <f t="array" ref="O116">IFERROR(INDEX('KO DU ĐK NQ10'!$C$8:$C$48, MATCH(1, ('KO DU ĐK NQ10'!$D$8:$D$48=BC_SINH!D116)*('KO DU ĐK NQ10'!$E$8:$E$48=BC_SINH!E116), 0)),"")</f>
        <v>Thôn A Máy</v>
      </c>
      <c r="P116" s="4" t="str">
        <f t="array" ref="P116">IFERROR(INDEX('KO DU ĐK NQ10'!$H$8:$H$48, MATCH(1, ('KO DU ĐK NQ10'!$D$8:$D$48=BC_SINH!D116)*('KO DU ĐK NQ10'!$E$8:$E$48=BC_SINH!E116), 0)),"")</f>
        <v>Có 03 thửa đất nên loại 02 thửa</v>
      </c>
      <c r="Q116" s="4" t="str">
        <f t="array" ref="Q116">IFERROR(INDEX('KO DU ĐK 4069'!$C$8:$C$38, MATCH(1, ('KO DU ĐK 4069'!$D$8:$D$38=BC_SINH!D116)*('KO DU ĐK 4069'!$E$8:$E$38=BC_SINH!E116), 0)),"")</f>
        <v/>
      </c>
      <c r="R116" s="4" t="str">
        <f t="array" ref="R116">IFERROR(INDEX('KO DU ĐK 4069'!$H$8:$H$38, MATCH(1, ('KO DU ĐK 4069'!$D$8:$D$38=BC_SINH!D116)*('KO DU ĐK 4069'!$E$8:$E$38=BC_SINH!E116), 0)),"")</f>
        <v/>
      </c>
      <c r="S116" s="4" t="str">
        <f t="array" ref="S116">IFERROR(INDEX(KeKhaiDangKy!$H$2:$H$4889, MATCH(1, (KeKhaiDangKy!$A$2:$A$4889=BC_SINH!D116)*(KeKhaiDangKy!$B$2:$B$4889=BC_SINH!E116), 0)),"")</f>
        <v/>
      </c>
    </row>
    <row r="117" spans="1:19" ht="14.45" customHeight="1" x14ac:dyDescent="0.25">
      <c r="A117" s="4">
        <f>IF(B117&lt;&gt;"", SUBTOTAL(3, $B$2:B117), "")</f>
        <v>116</v>
      </c>
      <c r="B117" s="4" t="s">
        <v>76</v>
      </c>
      <c r="C117" s="4" t="str">
        <f t="shared" si="1"/>
        <v xml:space="preserve"> A Máy</v>
      </c>
      <c r="D117" s="4">
        <v>21</v>
      </c>
      <c r="E117" s="4">
        <v>148</v>
      </c>
      <c r="F117" s="4">
        <v>9342</v>
      </c>
      <c r="G117" s="4" t="s">
        <v>11</v>
      </c>
      <c r="H117" s="4" t="str">
        <f t="array" ref="H117">IFERROR(INDEX(DSCKXA!$B$3:$B$73, MATCH(1, (DSCKXA!$D$3:$D$73=BC_SINH!D117)*(DSCKXA!$E$3:$E$73=BC_SINH!E117), 0)),"")</f>
        <v>Hồ Văn Hùng</v>
      </c>
      <c r="I117" s="99" t="str">
        <f t="array" ref="I117">IFERROR(INDEX(DSCKXA!$C$3:$C$73, MATCH(1, (DSCKXA!$D$3:$D$73=BC_SINH!D117)*(DSCKXA!$E$3:$E$73=BC_SINH!E117), 0)),"")</f>
        <v>Thôn A Máy</v>
      </c>
      <c r="J117" s="97" t="str">
        <f>IFERROR(VLOOKUP(B117,'Đất sản xuất'!$B$9:$C$216,2,0),"")</f>
        <v xml:space="preserve"> A Máy</v>
      </c>
      <c r="K117" s="97" t="str">
        <f>IFERROR(VLOOKUP(B117,'Sản xuất cấp huyên'!$B$9:$C$177,2,0),"")</f>
        <v>A Xói Hang</v>
      </c>
      <c r="L117" s="4" t="str">
        <f>IFERROR(VLOOKUP(B117,'4069'!$B$9:$C$177,2,0),"")</f>
        <v>A Xói Hang</v>
      </c>
      <c r="M117" s="4" t="str">
        <f t="array" ref="M117">IFERROR(INDEX(KODUDK!$C$8:$C$79, MATCH(1, (KODUDK!$D$8:$D$79=BC_SINH!D117)*(KODUDK!$E$8:$E$79=BC_SINH!E117), 0)),"")</f>
        <v/>
      </c>
      <c r="N117" s="4" t="str">
        <f t="array" ref="N117">IFERROR(INDEX(KODUDK!$H$8:$H$79, MATCH(1, (KODUDK!$D$8:$D$79=BC_SINH!D117)*(KODUDK!$E$8:$E$79=BC_SINH!E117), 0)),"")</f>
        <v/>
      </c>
      <c r="O117" s="4" t="str">
        <f t="array" ref="O117">IFERROR(INDEX('KO DU ĐK NQ10'!$C$8:$C$48, MATCH(1, ('KO DU ĐK NQ10'!$D$8:$D$48=BC_SINH!D117)*('KO DU ĐK NQ10'!$E$8:$E$48=BC_SINH!E117), 0)),"")</f>
        <v/>
      </c>
      <c r="P117" s="4" t="str">
        <f t="array" ref="P117">IFERROR(INDEX('KO DU ĐK NQ10'!$H$8:$H$48, MATCH(1, ('KO DU ĐK NQ10'!$D$8:$D$48=BC_SINH!D117)*('KO DU ĐK NQ10'!$E$8:$E$48=BC_SINH!E117), 0)),"")</f>
        <v/>
      </c>
      <c r="Q117" s="4" t="str">
        <f t="array" ref="Q117">IFERROR(INDEX('KO DU ĐK 4069'!$C$8:$C$38, MATCH(1, ('KO DU ĐK 4069'!$D$8:$D$38=BC_SINH!D117)*('KO DU ĐK 4069'!$E$8:$E$38=BC_SINH!E117), 0)),"")</f>
        <v/>
      </c>
      <c r="R117" s="4" t="str">
        <f t="array" ref="R117">IFERROR(INDEX('KO DU ĐK 4069'!$H$8:$H$38, MATCH(1, ('KO DU ĐK 4069'!$D$8:$D$38=BC_SINH!D117)*('KO DU ĐK 4069'!$E$8:$E$38=BC_SINH!E117), 0)),"")</f>
        <v/>
      </c>
      <c r="S117" s="4" t="str">
        <f t="array" ref="S117">IFERROR(INDEX(KeKhaiDangKy!$H$2:$H$4889, MATCH(1, (KeKhaiDangKy!$A$2:$A$4889=BC_SINH!D117)*(KeKhaiDangKy!$B$2:$B$4889=BC_SINH!E117), 0)),"")</f>
        <v/>
      </c>
    </row>
    <row r="118" spans="1:19" ht="14.45" customHeight="1" x14ac:dyDescent="0.25">
      <c r="A118" s="4">
        <f>IF(B118&lt;&gt;"", SUBTOTAL(3, $B$2:B118), "")</f>
        <v>117</v>
      </c>
      <c r="B118" s="4" t="s">
        <v>77</v>
      </c>
      <c r="C118" s="4" t="str">
        <f t="shared" si="1"/>
        <v>A Rông</v>
      </c>
      <c r="D118" s="4">
        <v>8</v>
      </c>
      <c r="E118" s="4">
        <v>244</v>
      </c>
      <c r="F118" s="4">
        <v>5208</v>
      </c>
      <c r="G118" s="4" t="s">
        <v>11</v>
      </c>
      <c r="H118" s="4" t="str">
        <f t="array" ref="H118">IFERROR(INDEX(DSCKXA!$B$3:$B$73, MATCH(1, (DSCKXA!$D$3:$D$73=BC_SINH!D118)*(DSCKXA!$E$3:$E$73=BC_SINH!E118), 0)),"")</f>
        <v/>
      </c>
      <c r="I118" s="99" t="str">
        <f t="array" ref="I118">IFERROR(INDEX(DSCKXA!$C$3:$C$73, MATCH(1, (DSCKXA!$D$3:$D$73=BC_SINH!D118)*(DSCKXA!$E$3:$E$73=BC_SINH!E118), 0)),"")</f>
        <v/>
      </c>
      <c r="J118" s="97" t="str">
        <f>IFERROR(VLOOKUP(B118,'Đất sản xuất'!$B$9:$C$216,2,0),"")</f>
        <v>A Rông</v>
      </c>
      <c r="K118" s="97" t="str">
        <f>IFERROR(VLOOKUP(B118,'Sản xuất cấp huyên'!$B$9:$C$177,2,0),"")</f>
        <v/>
      </c>
      <c r="L118" s="4" t="str">
        <f>IFERROR(VLOOKUP(B118,'4069'!$B$9:$C$177,2,0),"")</f>
        <v/>
      </c>
      <c r="M118" s="4" t="str">
        <f t="array" ref="M118">IFERROR(INDEX(KODUDK!$C$8:$C$79, MATCH(1, (KODUDK!$D$8:$D$79=BC_SINH!D118)*(KODUDK!$E$8:$E$79=BC_SINH!E118), 0)),"")</f>
        <v>Kỳ Nơi</v>
      </c>
      <c r="N118" s="4" t="str">
        <f t="array" ref="N118">IFERROR(INDEX(KODUDK!$H$8:$H$79, MATCH(1, (KODUDK!$D$8:$D$79=BC_SINH!D118)*(KODUDK!$E$8:$E$79=BC_SINH!E118), 0)),"")</f>
        <v>Có 02 thửa đất nên loại 01 thửa</v>
      </c>
      <c r="O118" s="4" t="str">
        <f t="array" ref="O118">IFERROR(INDEX('KO DU ĐK NQ10'!$C$8:$C$48, MATCH(1, ('KO DU ĐK NQ10'!$D$8:$D$48=BC_SINH!D118)*('KO DU ĐK NQ10'!$E$8:$E$48=BC_SINH!E118), 0)),"")</f>
        <v>Kỳ Nơi</v>
      </c>
      <c r="P118" s="4" t="str">
        <f t="array" ref="P118">IFERROR(INDEX('KO DU ĐK NQ10'!$H$8:$H$48, MATCH(1, ('KO DU ĐK NQ10'!$D$8:$D$48=BC_SINH!D118)*('KO DU ĐK NQ10'!$E$8:$E$48=BC_SINH!E118), 0)),"")</f>
        <v>Có 02 thửa đất nên loại 01 thửa</v>
      </c>
      <c r="Q118" s="4" t="str">
        <f t="array" ref="Q118">IFERROR(INDEX('KO DU ĐK 4069'!$C$8:$C$38, MATCH(1, ('KO DU ĐK 4069'!$D$8:$D$38=BC_SINH!D118)*('KO DU ĐK 4069'!$E$8:$E$38=BC_SINH!E118), 0)),"")</f>
        <v/>
      </c>
      <c r="R118" s="4" t="str">
        <f t="array" ref="R118">IFERROR(INDEX('KO DU ĐK 4069'!$H$8:$H$38, MATCH(1, ('KO DU ĐK 4069'!$D$8:$D$38=BC_SINH!D118)*('KO DU ĐK 4069'!$E$8:$E$38=BC_SINH!E118), 0)),"")</f>
        <v/>
      </c>
      <c r="S118" s="4" t="str">
        <f t="array" ref="S118">IFERROR(INDEX(KeKhaiDangKy!$H$2:$H$4889, MATCH(1, (KeKhaiDangKy!$A$2:$A$4889=BC_SINH!D118)*(KeKhaiDangKy!$B$2:$B$4889=BC_SINH!E118), 0)),"")</f>
        <v/>
      </c>
    </row>
    <row r="119" spans="1:19" ht="14.45" customHeight="1" x14ac:dyDescent="0.25">
      <c r="A119" s="4">
        <f>IF(B119&lt;&gt;"", SUBTOTAL(3, $B$2:B119), "")</f>
        <v>118</v>
      </c>
      <c r="B119" s="4" t="s">
        <v>77</v>
      </c>
      <c r="C119" s="4" t="str">
        <f t="shared" si="1"/>
        <v>A Rông</v>
      </c>
      <c r="D119" s="4">
        <v>1</v>
      </c>
      <c r="E119" s="4">
        <v>529</v>
      </c>
      <c r="F119" s="4">
        <v>6204</v>
      </c>
      <c r="G119" s="4" t="s">
        <v>11</v>
      </c>
      <c r="H119" s="4" t="str">
        <f t="array" ref="H119">IFERROR(INDEX(DSCKXA!$B$3:$B$73, MATCH(1, (DSCKXA!$D$3:$D$73=BC_SINH!D119)*(DSCKXA!$E$3:$E$73=BC_SINH!E119), 0)),"")</f>
        <v>Hồ Văn Hữu</v>
      </c>
      <c r="I119" s="99" t="str">
        <f t="array" ref="I119">IFERROR(INDEX(DSCKXA!$C$3:$C$73, MATCH(1, (DSCKXA!$D$3:$D$73=BC_SINH!D119)*(DSCKXA!$E$3:$E$73=BC_SINH!E119), 0)),"")</f>
        <v>Thôn Kỳ Nơi</v>
      </c>
      <c r="J119" s="97" t="str">
        <f>IFERROR(VLOOKUP(B119,'Đất sản xuất'!$B$9:$C$216,2,0),"")</f>
        <v>A Rông</v>
      </c>
      <c r="K119" s="97" t="str">
        <f>IFERROR(VLOOKUP(B119,'Sản xuất cấp huyên'!$B$9:$C$177,2,0),"")</f>
        <v/>
      </c>
      <c r="L119" s="4" t="str">
        <f>IFERROR(VLOOKUP(B119,'4069'!$B$9:$C$177,2,0),"")</f>
        <v/>
      </c>
      <c r="M119" s="4" t="str">
        <f t="array" ref="M119">IFERROR(INDEX(KODUDK!$C$8:$C$79, MATCH(1, (KODUDK!$D$8:$D$79=BC_SINH!D119)*(KODUDK!$E$8:$E$79=BC_SINH!E119), 0)),"")</f>
        <v/>
      </c>
      <c r="N119" s="4" t="str">
        <f t="array" ref="N119">IFERROR(INDEX(KODUDK!$H$8:$H$79, MATCH(1, (KODUDK!$D$8:$D$79=BC_SINH!D119)*(KODUDK!$E$8:$E$79=BC_SINH!E119), 0)),"")</f>
        <v/>
      </c>
      <c r="O119" s="4" t="str">
        <f t="array" ref="O119">IFERROR(INDEX('KO DU ĐK NQ10'!$C$8:$C$48, MATCH(1, ('KO DU ĐK NQ10'!$D$8:$D$48=BC_SINH!D119)*('KO DU ĐK NQ10'!$E$8:$E$48=BC_SINH!E119), 0)),"")</f>
        <v/>
      </c>
      <c r="P119" s="4" t="str">
        <f t="array" ref="P119">IFERROR(INDEX('KO DU ĐK NQ10'!$H$8:$H$48, MATCH(1, ('KO DU ĐK NQ10'!$D$8:$D$48=BC_SINH!D119)*('KO DU ĐK NQ10'!$E$8:$E$48=BC_SINH!E119), 0)),"")</f>
        <v/>
      </c>
      <c r="Q119" s="4" t="str">
        <f t="array" ref="Q119">IFERROR(INDEX('KO DU ĐK 4069'!$C$8:$C$38, MATCH(1, ('KO DU ĐK 4069'!$D$8:$D$38=BC_SINH!D119)*('KO DU ĐK 4069'!$E$8:$E$38=BC_SINH!E119), 0)),"")</f>
        <v/>
      </c>
      <c r="R119" s="4" t="str">
        <f t="array" ref="R119">IFERROR(INDEX('KO DU ĐK 4069'!$H$8:$H$38, MATCH(1, ('KO DU ĐK 4069'!$D$8:$D$38=BC_SINH!D119)*('KO DU ĐK 4069'!$E$8:$E$38=BC_SINH!E119), 0)),"")</f>
        <v/>
      </c>
      <c r="S119" s="4" t="str">
        <f t="array" ref="S119">IFERROR(INDEX(KeKhaiDangKy!$H$2:$H$4889, MATCH(1, (KeKhaiDangKy!$A$2:$A$4889=BC_SINH!D119)*(KeKhaiDangKy!$B$2:$B$4889=BC_SINH!E119), 0)),"")</f>
        <v/>
      </c>
    </row>
    <row r="120" spans="1:19" ht="14.45" customHeight="1" x14ac:dyDescent="0.25">
      <c r="A120" s="4">
        <f>IF(B120&lt;&gt;"", SUBTOTAL(3, $B$2:B120), "")</f>
        <v>119</v>
      </c>
      <c r="B120" s="4" t="s">
        <v>78</v>
      </c>
      <c r="C120" s="4" t="str">
        <f t="shared" si="1"/>
        <v>A Máy</v>
      </c>
      <c r="D120" s="4">
        <v>21</v>
      </c>
      <c r="E120" s="4">
        <v>149</v>
      </c>
      <c r="F120" s="4">
        <v>6275</v>
      </c>
      <c r="G120" s="4" t="s">
        <v>11</v>
      </c>
      <c r="H120" s="4" t="str">
        <f t="array" ref="H120">IFERROR(INDEX(DSCKXA!$B$3:$B$73, MATCH(1, (DSCKXA!$D$3:$D$73=BC_SINH!D120)*(DSCKXA!$E$3:$E$73=BC_SINH!E120), 0)),"")</f>
        <v>Hồ Văn Iêng</v>
      </c>
      <c r="I120" s="99" t="str">
        <f t="array" ref="I120">IFERROR(INDEX(DSCKXA!$C$3:$C$73, MATCH(1, (DSCKXA!$D$3:$D$73=BC_SINH!D120)*(DSCKXA!$E$3:$E$73=BC_SINH!E120), 0)),"")</f>
        <v>Thôn A Máy</v>
      </c>
      <c r="J120" s="97" t="str">
        <f>IFERROR(VLOOKUP(B120,'Đất sản xuất'!$B$9:$C$216,2,0),"")</f>
        <v>A Máy</v>
      </c>
      <c r="K120" s="97" t="str">
        <f>IFERROR(VLOOKUP(B120,'Sản xuất cấp huyên'!$B$9:$C$177,2,0),"")</f>
        <v/>
      </c>
      <c r="L120" s="4" t="str">
        <f>IFERROR(VLOOKUP(B120,'4069'!$B$9:$C$177,2,0),"")</f>
        <v/>
      </c>
      <c r="M120" s="4" t="str">
        <f t="array" ref="M120">IFERROR(INDEX(KODUDK!$C$8:$C$79, MATCH(1, (KODUDK!$D$8:$D$79=BC_SINH!D120)*(KODUDK!$E$8:$E$79=BC_SINH!E120), 0)),"")</f>
        <v/>
      </c>
      <c r="N120" s="4" t="str">
        <f t="array" ref="N120">IFERROR(INDEX(KODUDK!$H$8:$H$79, MATCH(1, (KODUDK!$D$8:$D$79=BC_SINH!D120)*(KODUDK!$E$8:$E$79=BC_SINH!E120), 0)),"")</f>
        <v/>
      </c>
      <c r="O120" s="4" t="str">
        <f t="array" ref="O120">IFERROR(INDEX('KO DU ĐK NQ10'!$C$8:$C$48, MATCH(1, ('KO DU ĐK NQ10'!$D$8:$D$48=BC_SINH!D120)*('KO DU ĐK NQ10'!$E$8:$E$48=BC_SINH!E120), 0)),"")</f>
        <v/>
      </c>
      <c r="P120" s="4" t="str">
        <f t="array" ref="P120">IFERROR(INDEX('KO DU ĐK NQ10'!$H$8:$H$48, MATCH(1, ('KO DU ĐK NQ10'!$D$8:$D$48=BC_SINH!D120)*('KO DU ĐK NQ10'!$E$8:$E$48=BC_SINH!E120), 0)),"")</f>
        <v/>
      </c>
      <c r="Q120" s="4" t="str">
        <f t="array" ref="Q120">IFERROR(INDEX('KO DU ĐK 4069'!$C$8:$C$38, MATCH(1, ('KO DU ĐK 4069'!$D$8:$D$38=BC_SINH!D120)*('KO DU ĐK 4069'!$E$8:$E$38=BC_SINH!E120), 0)),"")</f>
        <v/>
      </c>
      <c r="R120" s="4" t="str">
        <f t="array" ref="R120">IFERROR(INDEX('KO DU ĐK 4069'!$H$8:$H$38, MATCH(1, ('KO DU ĐK 4069'!$D$8:$D$38=BC_SINH!D120)*('KO DU ĐK 4069'!$E$8:$E$38=BC_SINH!E120), 0)),"")</f>
        <v/>
      </c>
      <c r="S120" s="4" t="str">
        <f t="array" ref="S120">IFERROR(INDEX(KeKhaiDangKy!$H$2:$H$4889, MATCH(1, (KeKhaiDangKy!$A$2:$A$4889=BC_SINH!D120)*(KeKhaiDangKy!$B$2:$B$4889=BC_SINH!E120), 0)),"")</f>
        <v/>
      </c>
    </row>
    <row r="121" spans="1:19" ht="14.45" customHeight="1" x14ac:dyDescent="0.25">
      <c r="A121" s="4">
        <f>IF(B121&lt;&gt;"", SUBTOTAL(3, $B$2:B121), "")</f>
        <v>120</v>
      </c>
      <c r="B121" s="4" t="s">
        <v>79</v>
      </c>
      <c r="C121" s="4" t="str">
        <f t="shared" si="1"/>
        <v>A Máy</v>
      </c>
      <c r="D121" s="4">
        <v>21</v>
      </c>
      <c r="E121" s="4">
        <v>150</v>
      </c>
      <c r="F121" s="4">
        <v>7258</v>
      </c>
      <c r="G121" s="4" t="s">
        <v>11</v>
      </c>
      <c r="H121" s="4" t="str">
        <f t="array" ref="H121">IFERROR(INDEX(DSCKXA!$B$3:$B$73, MATCH(1, (DSCKXA!$D$3:$D$73=BC_SINH!D121)*(DSCKXA!$E$3:$E$73=BC_SINH!E121), 0)),"")</f>
        <v/>
      </c>
      <c r="I121" s="99" t="str">
        <f t="array" ref="I121">IFERROR(INDEX(DSCKXA!$C$3:$C$73, MATCH(1, (DSCKXA!$D$3:$D$73=BC_SINH!D121)*(DSCKXA!$E$3:$E$73=BC_SINH!E121), 0)),"")</f>
        <v/>
      </c>
      <c r="J121" s="97" t="str">
        <f>IFERROR(VLOOKUP(B121,'Đất sản xuất'!$B$9:$C$216,2,0),"")</f>
        <v/>
      </c>
      <c r="K121" s="97" t="str">
        <f>IFERROR(VLOOKUP(B121,'Sản xuất cấp huyên'!$B$9:$C$177,2,0),"")</f>
        <v>A Máy</v>
      </c>
      <c r="L121" s="4" t="str">
        <f>IFERROR(VLOOKUP(B121,'4069'!$B$9:$C$177,2,0),"")</f>
        <v>A Máy</v>
      </c>
      <c r="M121" s="4" t="str">
        <f t="array" ref="M121">IFERROR(INDEX(KODUDK!$C$8:$C$79, MATCH(1, (KODUDK!$D$8:$D$79=BC_SINH!D121)*(KODUDK!$E$8:$E$79=BC_SINH!E121), 0)),"")</f>
        <v>Thôn A Máy</v>
      </c>
      <c r="N121" s="4" t="str">
        <f t="array" ref="N121">IFERROR(INDEX(KODUDK!$H$8:$H$79, MATCH(1, (KODUDK!$D$8:$D$79=BC_SINH!D121)*(KODUDK!$E$8:$E$79=BC_SINH!E121), 0)),"")</f>
        <v>Có 03 thửa đất nên loại 02 thửa</v>
      </c>
      <c r="O121" s="4" t="str">
        <f t="array" ref="O121">IFERROR(INDEX('KO DU ĐK NQ10'!$C$8:$C$48, MATCH(1, ('KO DU ĐK NQ10'!$D$8:$D$48=BC_SINH!D121)*('KO DU ĐK NQ10'!$E$8:$E$48=BC_SINH!E121), 0)),"")</f>
        <v/>
      </c>
      <c r="P121" s="4" t="str">
        <f t="array" ref="P121">IFERROR(INDEX('KO DU ĐK NQ10'!$H$8:$H$48, MATCH(1, ('KO DU ĐK NQ10'!$D$8:$D$48=BC_SINH!D121)*('KO DU ĐK NQ10'!$E$8:$E$48=BC_SINH!E121), 0)),"")</f>
        <v/>
      </c>
      <c r="Q121" s="4" t="str">
        <f t="array" ref="Q121">IFERROR(INDEX('KO DU ĐK 4069'!$C$8:$C$38, MATCH(1, ('KO DU ĐK 4069'!$D$8:$D$38=BC_SINH!D121)*('KO DU ĐK 4069'!$E$8:$E$38=BC_SINH!E121), 0)),"")</f>
        <v>Thôn A Máy</v>
      </c>
      <c r="R121" s="4" t="str">
        <f t="array" ref="R121">IFERROR(INDEX('KO DU ĐK 4069'!$H$8:$H$38, MATCH(1, ('KO DU ĐK 4069'!$D$8:$D$38=BC_SINH!D121)*('KO DU ĐK 4069'!$E$8:$E$38=BC_SINH!E121), 0)),"")</f>
        <v>Có 03 thửa đất nên loại 02 thửa</v>
      </c>
      <c r="S121" s="4" t="str">
        <f t="array" ref="S121">IFERROR(INDEX(KeKhaiDangKy!$H$2:$H$4889, MATCH(1, (KeKhaiDangKy!$A$2:$A$4889=BC_SINH!D121)*(KeKhaiDangKy!$B$2:$B$4889=BC_SINH!E121), 0)),"")</f>
        <v/>
      </c>
    </row>
    <row r="122" spans="1:19" ht="14.45" customHeight="1" x14ac:dyDescent="0.25">
      <c r="A122" s="4">
        <f>IF(B122&lt;&gt;"", SUBTOTAL(3, $B$2:B122), "")</f>
        <v>121</v>
      </c>
      <c r="B122" s="4" t="s">
        <v>79</v>
      </c>
      <c r="C122" s="4" t="str">
        <f t="shared" si="1"/>
        <v>A Máy</v>
      </c>
      <c r="D122" s="4">
        <v>21</v>
      </c>
      <c r="E122" s="4">
        <v>151</v>
      </c>
      <c r="F122" s="4">
        <v>11823</v>
      </c>
      <c r="G122" s="4" t="s">
        <v>11</v>
      </c>
      <c r="H122" s="4" t="str">
        <f t="array" ref="H122">IFERROR(INDEX(DSCKXA!$B$3:$B$73, MATCH(1, (DSCKXA!$D$3:$D$73=BC_SINH!D122)*(DSCKXA!$E$3:$E$73=BC_SINH!E122), 0)),"")</f>
        <v/>
      </c>
      <c r="I122" s="99" t="str">
        <f t="array" ref="I122">IFERROR(INDEX(DSCKXA!$C$3:$C$73, MATCH(1, (DSCKXA!$D$3:$D$73=BC_SINH!D122)*(DSCKXA!$E$3:$E$73=BC_SINH!E122), 0)),"")</f>
        <v/>
      </c>
      <c r="J122" s="97" t="str">
        <f>IFERROR(VLOOKUP(B122,'Đất sản xuất'!$B$9:$C$216,2,0),"")</f>
        <v/>
      </c>
      <c r="K122" s="97" t="str">
        <f>IFERROR(VLOOKUP(B122,'Sản xuất cấp huyên'!$B$9:$C$177,2,0),"")</f>
        <v>A Máy</v>
      </c>
      <c r="L122" s="4" t="str">
        <f>IFERROR(VLOOKUP(B122,'4069'!$B$9:$C$177,2,0),"")</f>
        <v>A Máy</v>
      </c>
      <c r="M122" s="4" t="str">
        <f t="array" ref="M122">IFERROR(INDEX(KODUDK!$C$8:$C$79, MATCH(1, (KODUDK!$D$8:$D$79=BC_SINH!D122)*(KODUDK!$E$8:$E$79=BC_SINH!E122), 0)),"")</f>
        <v/>
      </c>
      <c r="N122" s="4" t="str">
        <f t="array" ref="N122">IFERROR(INDEX(KODUDK!$H$8:$H$79, MATCH(1, (KODUDK!$D$8:$D$79=BC_SINH!D122)*(KODUDK!$E$8:$E$79=BC_SINH!E122), 0)),"")</f>
        <v/>
      </c>
      <c r="O122" s="4" t="str">
        <f t="array" ref="O122">IFERROR(INDEX('KO DU ĐK NQ10'!$C$8:$C$48, MATCH(1, ('KO DU ĐK NQ10'!$D$8:$D$48=BC_SINH!D122)*('KO DU ĐK NQ10'!$E$8:$E$48=BC_SINH!E122), 0)),"")</f>
        <v/>
      </c>
      <c r="P122" s="4" t="str">
        <f t="array" ref="P122">IFERROR(INDEX('KO DU ĐK NQ10'!$H$8:$H$48, MATCH(1, ('KO DU ĐK NQ10'!$D$8:$D$48=BC_SINH!D122)*('KO DU ĐK NQ10'!$E$8:$E$48=BC_SINH!E122), 0)),"")</f>
        <v/>
      </c>
      <c r="Q122" s="4" t="str">
        <f t="array" ref="Q122">IFERROR(INDEX('KO DU ĐK 4069'!$C$8:$C$38, MATCH(1, ('KO DU ĐK 4069'!$D$8:$D$38=BC_SINH!D122)*('KO DU ĐK 4069'!$E$8:$E$38=BC_SINH!E122), 0)),"")</f>
        <v/>
      </c>
      <c r="R122" s="4" t="str">
        <f t="array" ref="R122">IFERROR(INDEX('KO DU ĐK 4069'!$H$8:$H$38, MATCH(1, ('KO DU ĐK 4069'!$D$8:$D$38=BC_SINH!D122)*('KO DU ĐK 4069'!$E$8:$E$38=BC_SINH!E122), 0)),"")</f>
        <v/>
      </c>
      <c r="S122" s="4" t="str">
        <f t="array" ref="S122">IFERROR(INDEX(KeKhaiDangKy!$H$2:$H$4889, MATCH(1, (KeKhaiDangKy!$A$2:$A$4889=BC_SINH!D122)*(KeKhaiDangKy!$B$2:$B$4889=BC_SINH!E122), 0)),"")</f>
        <v/>
      </c>
    </row>
    <row r="123" spans="1:19" ht="14.45" customHeight="1" x14ac:dyDescent="0.25">
      <c r="A123" s="4">
        <f>IF(B123&lt;&gt;"", SUBTOTAL(3, $B$2:B123), "")</f>
        <v>122</v>
      </c>
      <c r="B123" s="4" t="s">
        <v>79</v>
      </c>
      <c r="C123" s="4" t="str">
        <f t="shared" si="1"/>
        <v>A Máy</v>
      </c>
      <c r="D123" s="4">
        <v>21</v>
      </c>
      <c r="E123" s="4">
        <v>152</v>
      </c>
      <c r="F123" s="4">
        <v>4680</v>
      </c>
      <c r="G123" s="4" t="s">
        <v>11</v>
      </c>
      <c r="H123" s="4" t="str">
        <f t="array" ref="H123">IFERROR(INDEX(DSCKXA!$B$3:$B$73, MATCH(1, (DSCKXA!$D$3:$D$73=BC_SINH!D123)*(DSCKXA!$E$3:$E$73=BC_SINH!E123), 0)),"")</f>
        <v/>
      </c>
      <c r="I123" s="99" t="str">
        <f t="array" ref="I123">IFERROR(INDEX(DSCKXA!$C$3:$C$73, MATCH(1, (DSCKXA!$D$3:$D$73=BC_SINH!D123)*(DSCKXA!$E$3:$E$73=BC_SINH!E123), 0)),"")</f>
        <v/>
      </c>
      <c r="J123" s="97" t="str">
        <f>IFERROR(VLOOKUP(B123,'Đất sản xuất'!$B$9:$C$216,2,0),"")</f>
        <v/>
      </c>
      <c r="K123" s="97" t="str">
        <f>IFERROR(VLOOKUP(B123,'Sản xuất cấp huyên'!$B$9:$C$177,2,0),"")</f>
        <v>A Máy</v>
      </c>
      <c r="L123" s="4" t="str">
        <f>IFERROR(VLOOKUP(B123,'4069'!$B$9:$C$177,2,0),"")</f>
        <v>A Máy</v>
      </c>
      <c r="M123" s="4" t="str">
        <f t="array" ref="M123">IFERROR(INDEX(KODUDK!$C$8:$C$79, MATCH(1, (KODUDK!$D$8:$D$79=BC_SINH!D123)*(KODUDK!$E$8:$E$79=BC_SINH!E123), 0)),"")</f>
        <v>Thôn A Máy</v>
      </c>
      <c r="N123" s="4" t="str">
        <f t="array" ref="N123">IFERROR(INDEX(KODUDK!$H$8:$H$79, MATCH(1, (KODUDK!$D$8:$D$79=BC_SINH!D123)*(KODUDK!$E$8:$E$79=BC_SINH!E123), 0)),"")</f>
        <v>Có 03 thửa đất nên loại 02 thửa</v>
      </c>
      <c r="O123" s="4" t="str">
        <f t="array" ref="O123">IFERROR(INDEX('KO DU ĐK NQ10'!$C$8:$C$48, MATCH(1, ('KO DU ĐK NQ10'!$D$8:$D$48=BC_SINH!D123)*('KO DU ĐK NQ10'!$E$8:$E$48=BC_SINH!E123), 0)),"")</f>
        <v/>
      </c>
      <c r="P123" s="4" t="str">
        <f t="array" ref="P123">IFERROR(INDEX('KO DU ĐK NQ10'!$H$8:$H$48, MATCH(1, ('KO DU ĐK NQ10'!$D$8:$D$48=BC_SINH!D123)*('KO DU ĐK NQ10'!$E$8:$E$48=BC_SINH!E123), 0)),"")</f>
        <v/>
      </c>
      <c r="Q123" s="4" t="str">
        <f t="array" ref="Q123">IFERROR(INDEX('KO DU ĐK 4069'!$C$8:$C$38, MATCH(1, ('KO DU ĐK 4069'!$D$8:$D$38=BC_SINH!D123)*('KO DU ĐK 4069'!$E$8:$E$38=BC_SINH!E123), 0)),"")</f>
        <v>Thôn A Máy</v>
      </c>
      <c r="R123" s="4" t="str">
        <f t="array" ref="R123">IFERROR(INDEX('KO DU ĐK 4069'!$H$8:$H$38, MATCH(1, ('KO DU ĐK 4069'!$D$8:$D$38=BC_SINH!D123)*('KO DU ĐK 4069'!$E$8:$E$38=BC_SINH!E123), 0)),"")</f>
        <v>Có 03 thửa đất nên loại 02 thửa</v>
      </c>
      <c r="S123" s="4" t="str">
        <f t="array" ref="S123">IFERROR(INDEX(KeKhaiDangKy!$H$2:$H$4889, MATCH(1, (KeKhaiDangKy!$A$2:$A$4889=BC_SINH!D123)*(KeKhaiDangKy!$B$2:$B$4889=BC_SINH!E123), 0)),"")</f>
        <v/>
      </c>
    </row>
    <row r="124" spans="1:19" ht="14.45" customHeight="1" x14ac:dyDescent="0.25">
      <c r="A124" s="4">
        <f>IF(B124&lt;&gt;"", SUBTOTAL(3, $B$2:B124), "")</f>
        <v>123</v>
      </c>
      <c r="B124" s="4" t="s">
        <v>80</v>
      </c>
      <c r="C124" s="4" t="str">
        <f t="shared" si="1"/>
        <v xml:space="preserve"> A Máy</v>
      </c>
      <c r="D124" s="4">
        <v>21</v>
      </c>
      <c r="E124" s="4">
        <v>153</v>
      </c>
      <c r="F124" s="4">
        <v>7804</v>
      </c>
      <c r="G124" s="4" t="s">
        <v>11</v>
      </c>
      <c r="H124" s="4" t="str">
        <f t="array" ref="H124">IFERROR(INDEX(DSCKXA!$B$3:$B$73, MATCH(1, (DSCKXA!$D$3:$D$73=BC_SINH!D124)*(DSCKXA!$E$3:$E$73=BC_SINH!E124), 0)),"")</f>
        <v/>
      </c>
      <c r="I124" s="99" t="str">
        <f t="array" ref="I124">IFERROR(INDEX(DSCKXA!$C$3:$C$73, MATCH(1, (DSCKXA!$D$3:$D$73=BC_SINH!D124)*(DSCKXA!$E$3:$E$73=BC_SINH!E124), 0)),"")</f>
        <v/>
      </c>
      <c r="J124" s="97" t="str">
        <f>IFERROR(VLOOKUP(B124,'Đất sản xuất'!$B$9:$C$216,2,0),"")</f>
        <v xml:space="preserve"> A Máy</v>
      </c>
      <c r="K124" s="97" t="str">
        <f>IFERROR(VLOOKUP(B124,'Sản xuất cấp huyên'!$B$9:$C$177,2,0),"")</f>
        <v/>
      </c>
      <c r="L124" s="4" t="str">
        <f>IFERROR(VLOOKUP(B124,'4069'!$B$9:$C$177,2,0),"")</f>
        <v/>
      </c>
      <c r="M124" s="4" t="str">
        <f t="array" ref="M124">IFERROR(INDEX(KODUDK!$C$8:$C$79, MATCH(1, (KODUDK!$D$8:$D$79=BC_SINH!D124)*(KODUDK!$E$8:$E$79=BC_SINH!E124), 0)),"")</f>
        <v>Thôn A Máy</v>
      </c>
      <c r="N124" s="4" t="str">
        <f t="array" ref="N124">IFERROR(INDEX(KODUDK!$H$8:$H$79, MATCH(1, (KODUDK!$D$8:$D$79=BC_SINH!D124)*(KODUDK!$E$8:$E$79=BC_SINH!E124), 0)),"")</f>
        <v>Có 02 thửa đất nên loại 01 thửa</v>
      </c>
      <c r="O124" s="4" t="str">
        <f t="array" ref="O124">IFERROR(INDEX('KO DU ĐK NQ10'!$C$8:$C$48, MATCH(1, ('KO DU ĐK NQ10'!$D$8:$D$48=BC_SINH!D124)*('KO DU ĐK NQ10'!$E$8:$E$48=BC_SINH!E124), 0)),"")</f>
        <v>Thôn A Máy</v>
      </c>
      <c r="P124" s="4" t="str">
        <f t="array" ref="P124">IFERROR(INDEX('KO DU ĐK NQ10'!$H$8:$H$48, MATCH(1, ('KO DU ĐK NQ10'!$D$8:$D$48=BC_SINH!D124)*('KO DU ĐK NQ10'!$E$8:$E$48=BC_SINH!E124), 0)),"")</f>
        <v>Có 02 thửa đất nên loại 01 thửa</v>
      </c>
      <c r="Q124" s="4" t="str">
        <f t="array" ref="Q124">IFERROR(INDEX('KO DU ĐK 4069'!$C$8:$C$38, MATCH(1, ('KO DU ĐK 4069'!$D$8:$D$38=BC_SINH!D124)*('KO DU ĐK 4069'!$E$8:$E$38=BC_SINH!E124), 0)),"")</f>
        <v/>
      </c>
      <c r="R124" s="4" t="str">
        <f t="array" ref="R124">IFERROR(INDEX('KO DU ĐK 4069'!$H$8:$H$38, MATCH(1, ('KO DU ĐK 4069'!$D$8:$D$38=BC_SINH!D124)*('KO DU ĐK 4069'!$E$8:$E$38=BC_SINH!E124), 0)),"")</f>
        <v/>
      </c>
      <c r="S124" s="4" t="str">
        <f t="array" ref="S124">IFERROR(INDEX(KeKhaiDangKy!$H$2:$H$4889, MATCH(1, (KeKhaiDangKy!$A$2:$A$4889=BC_SINH!D124)*(KeKhaiDangKy!$B$2:$B$4889=BC_SINH!E124), 0)),"")</f>
        <v/>
      </c>
    </row>
    <row r="125" spans="1:19" ht="14.45" customHeight="1" x14ac:dyDescent="0.25">
      <c r="A125" s="4">
        <f>IF(B125&lt;&gt;"", SUBTOTAL(3, $B$2:B125), "")</f>
        <v>124</v>
      </c>
      <c r="B125" s="4" t="s">
        <v>80</v>
      </c>
      <c r="C125" s="4" t="str">
        <f t="shared" si="1"/>
        <v xml:space="preserve"> A Máy</v>
      </c>
      <c r="D125" s="4">
        <v>21</v>
      </c>
      <c r="E125" s="4">
        <v>154</v>
      </c>
      <c r="F125" s="4">
        <v>12952</v>
      </c>
      <c r="G125" s="4" t="s">
        <v>11</v>
      </c>
      <c r="H125" s="4" t="str">
        <f t="array" ref="H125">IFERROR(INDEX(DSCKXA!$B$3:$B$73, MATCH(1, (DSCKXA!$D$3:$D$73=BC_SINH!D125)*(DSCKXA!$E$3:$E$73=BC_SINH!E125), 0)),"")</f>
        <v>Hồ Văn Khang</v>
      </c>
      <c r="I125" s="99" t="str">
        <f t="array" ref="I125">IFERROR(INDEX(DSCKXA!$C$3:$C$73, MATCH(1, (DSCKXA!$D$3:$D$73=BC_SINH!D125)*(DSCKXA!$E$3:$E$73=BC_SINH!E125), 0)),"")</f>
        <v>Thôn A Máy</v>
      </c>
      <c r="J125" s="97" t="str">
        <f>IFERROR(VLOOKUP(B125,'Đất sản xuất'!$B$9:$C$216,2,0),"")</f>
        <v xml:space="preserve"> A Máy</v>
      </c>
      <c r="K125" s="97" t="str">
        <f>IFERROR(VLOOKUP(B125,'Sản xuất cấp huyên'!$B$9:$C$177,2,0),"")</f>
        <v/>
      </c>
      <c r="L125" s="4" t="str">
        <f>IFERROR(VLOOKUP(B125,'4069'!$B$9:$C$177,2,0),"")</f>
        <v/>
      </c>
      <c r="M125" s="4" t="str">
        <f t="array" ref="M125">IFERROR(INDEX(KODUDK!$C$8:$C$79, MATCH(1, (KODUDK!$D$8:$D$79=BC_SINH!D125)*(KODUDK!$E$8:$E$79=BC_SINH!E125), 0)),"")</f>
        <v/>
      </c>
      <c r="N125" s="4" t="str">
        <f t="array" ref="N125">IFERROR(INDEX(KODUDK!$H$8:$H$79, MATCH(1, (KODUDK!$D$8:$D$79=BC_SINH!D125)*(KODUDK!$E$8:$E$79=BC_SINH!E125), 0)),"")</f>
        <v/>
      </c>
      <c r="O125" s="4" t="str">
        <f t="array" ref="O125">IFERROR(INDEX('KO DU ĐK NQ10'!$C$8:$C$48, MATCH(1, ('KO DU ĐK NQ10'!$D$8:$D$48=BC_SINH!D125)*('KO DU ĐK NQ10'!$E$8:$E$48=BC_SINH!E125), 0)),"")</f>
        <v/>
      </c>
      <c r="P125" s="4" t="str">
        <f t="array" ref="P125">IFERROR(INDEX('KO DU ĐK NQ10'!$H$8:$H$48, MATCH(1, ('KO DU ĐK NQ10'!$D$8:$D$48=BC_SINH!D125)*('KO DU ĐK NQ10'!$E$8:$E$48=BC_SINH!E125), 0)),"")</f>
        <v/>
      </c>
      <c r="Q125" s="4" t="str">
        <f t="array" ref="Q125">IFERROR(INDEX('KO DU ĐK 4069'!$C$8:$C$38, MATCH(1, ('KO DU ĐK 4069'!$D$8:$D$38=BC_SINH!D125)*('KO DU ĐK 4069'!$E$8:$E$38=BC_SINH!E125), 0)),"")</f>
        <v/>
      </c>
      <c r="R125" s="4" t="str">
        <f t="array" ref="R125">IFERROR(INDEX('KO DU ĐK 4069'!$H$8:$H$38, MATCH(1, ('KO DU ĐK 4069'!$D$8:$D$38=BC_SINH!D125)*('KO DU ĐK 4069'!$E$8:$E$38=BC_SINH!E125), 0)),"")</f>
        <v/>
      </c>
      <c r="S125" s="4" t="str">
        <f t="array" ref="S125">IFERROR(INDEX(KeKhaiDangKy!$H$2:$H$4889, MATCH(1, (KeKhaiDangKy!$A$2:$A$4889=BC_SINH!D125)*(KeKhaiDangKy!$B$2:$B$4889=BC_SINH!E125), 0)),"")</f>
        <v/>
      </c>
    </row>
    <row r="126" spans="1:19" ht="14.45" customHeight="1" x14ac:dyDescent="0.25">
      <c r="A126" s="4">
        <f>IF(B126&lt;&gt;"", SUBTOTAL(3, $B$2:B126), "")</f>
        <v>125</v>
      </c>
      <c r="B126" s="4" t="s">
        <v>81</v>
      </c>
      <c r="C126" s="4" t="str">
        <f t="shared" si="1"/>
        <v xml:space="preserve"> Kỳ Tăng</v>
      </c>
      <c r="D126" s="4">
        <v>21</v>
      </c>
      <c r="E126" s="4">
        <v>155</v>
      </c>
      <c r="F126" s="4">
        <v>6028</v>
      </c>
      <c r="G126" s="4" t="s">
        <v>11</v>
      </c>
      <c r="H126" s="4" t="str">
        <f t="array" ref="H126">IFERROR(INDEX(DSCKXA!$B$3:$B$73, MATCH(1, (DSCKXA!$D$3:$D$73=BC_SINH!D126)*(DSCKXA!$E$3:$E$73=BC_SINH!E126), 0)),"")</f>
        <v/>
      </c>
      <c r="I126" s="99" t="str">
        <f t="array" ref="I126">IFERROR(INDEX(DSCKXA!$C$3:$C$73, MATCH(1, (DSCKXA!$D$3:$D$73=BC_SINH!D126)*(DSCKXA!$E$3:$E$73=BC_SINH!E126), 0)),"")</f>
        <v/>
      </c>
      <c r="J126" s="97" t="str">
        <f>IFERROR(VLOOKUP(B126,'Đất sản xuất'!$B$9:$C$216,2,0),"")</f>
        <v xml:space="preserve"> Kỳ Tăng</v>
      </c>
      <c r="K126" s="97" t="str">
        <f>IFERROR(VLOOKUP(B126,'Sản xuất cấp huyên'!$B$9:$C$177,2,0),"")</f>
        <v/>
      </c>
      <c r="L126" s="4" t="str">
        <f>IFERROR(VLOOKUP(B126,'4069'!$B$9:$C$177,2,0),"")</f>
        <v/>
      </c>
      <c r="M126" s="4" t="str">
        <f t="array" ref="M126">IFERROR(INDEX(KODUDK!$C$8:$C$79, MATCH(1, (KODUDK!$D$8:$D$79=BC_SINH!D126)*(KODUDK!$E$8:$E$79=BC_SINH!E126), 0)),"")</f>
        <v/>
      </c>
      <c r="N126" s="4" t="str">
        <f t="array" ref="N126">IFERROR(INDEX(KODUDK!$H$8:$H$79, MATCH(1, (KODUDK!$D$8:$D$79=BC_SINH!D126)*(KODUDK!$E$8:$E$79=BC_SINH!E126), 0)),"")</f>
        <v/>
      </c>
      <c r="O126" s="4" t="str">
        <f t="array" ref="O126">IFERROR(INDEX('KO DU ĐK NQ10'!$C$8:$C$48, MATCH(1, ('KO DU ĐK NQ10'!$D$8:$D$48=BC_SINH!D126)*('KO DU ĐK NQ10'!$E$8:$E$48=BC_SINH!E126), 0)),"")</f>
        <v/>
      </c>
      <c r="P126" s="4" t="str">
        <f t="array" ref="P126">IFERROR(INDEX('KO DU ĐK NQ10'!$H$8:$H$48, MATCH(1, ('KO DU ĐK NQ10'!$D$8:$D$48=BC_SINH!D126)*('KO DU ĐK NQ10'!$E$8:$E$48=BC_SINH!E126), 0)),"")</f>
        <v/>
      </c>
      <c r="Q126" s="4" t="str">
        <f t="array" ref="Q126">IFERROR(INDEX('KO DU ĐK 4069'!$C$8:$C$38, MATCH(1, ('KO DU ĐK 4069'!$D$8:$D$38=BC_SINH!D126)*('KO DU ĐK 4069'!$E$8:$E$38=BC_SINH!E126), 0)),"")</f>
        <v/>
      </c>
      <c r="R126" s="4" t="str">
        <f t="array" ref="R126">IFERROR(INDEX('KO DU ĐK 4069'!$H$8:$H$38, MATCH(1, ('KO DU ĐK 4069'!$D$8:$D$38=BC_SINH!D126)*('KO DU ĐK 4069'!$E$8:$E$38=BC_SINH!E126), 0)),"")</f>
        <v/>
      </c>
      <c r="S126" s="4" t="str">
        <f t="array" ref="S126">IFERROR(INDEX(KeKhaiDangKy!$H$2:$H$4889, MATCH(1, (KeKhaiDangKy!$A$2:$A$4889=BC_SINH!D126)*(KeKhaiDangKy!$B$2:$B$4889=BC_SINH!E126), 0)),"")</f>
        <v/>
      </c>
    </row>
    <row r="127" spans="1:19" ht="14.45" customHeight="1" x14ac:dyDescent="0.25">
      <c r="A127" s="4">
        <f>IF(B127&lt;&gt;"", SUBTOTAL(3, $B$2:B127), "")</f>
        <v>126</v>
      </c>
      <c r="B127" s="4" t="s">
        <v>81</v>
      </c>
      <c r="C127" s="4" t="str">
        <f t="shared" si="1"/>
        <v xml:space="preserve"> Kỳ Tăng</v>
      </c>
      <c r="D127" s="4">
        <v>21</v>
      </c>
      <c r="E127" s="4">
        <v>156</v>
      </c>
      <c r="F127" s="4">
        <v>10380</v>
      </c>
      <c r="G127" s="4" t="s">
        <v>11</v>
      </c>
      <c r="H127" s="4" t="str">
        <f t="array" ref="H127">IFERROR(INDEX(DSCKXA!$B$3:$B$73, MATCH(1, (DSCKXA!$D$3:$D$73=BC_SINH!D127)*(DSCKXA!$E$3:$E$73=BC_SINH!E127), 0)),"")</f>
        <v>Hồ Văn Khẩu</v>
      </c>
      <c r="I127" s="99" t="str">
        <f t="array" ref="I127">IFERROR(INDEX(DSCKXA!$C$3:$C$73, MATCH(1, (DSCKXA!$D$3:$D$73=BC_SINH!D127)*(DSCKXA!$E$3:$E$73=BC_SINH!E127), 0)),"")</f>
        <v>Thôn Kỳ Tăng</v>
      </c>
      <c r="J127" s="97" t="str">
        <f>IFERROR(VLOOKUP(B127,'Đất sản xuất'!$B$9:$C$216,2,0),"")</f>
        <v xml:space="preserve"> Kỳ Tăng</v>
      </c>
      <c r="K127" s="97" t="str">
        <f>IFERROR(VLOOKUP(B127,'Sản xuất cấp huyên'!$B$9:$C$177,2,0),"")</f>
        <v/>
      </c>
      <c r="L127" s="4" t="str">
        <f>IFERROR(VLOOKUP(B127,'4069'!$B$9:$C$177,2,0),"")</f>
        <v/>
      </c>
      <c r="M127" s="4" t="str">
        <f t="array" ref="M127">IFERROR(INDEX(KODUDK!$C$8:$C$79, MATCH(1, (KODUDK!$D$8:$D$79=BC_SINH!D127)*(KODUDK!$E$8:$E$79=BC_SINH!E127), 0)),"")</f>
        <v/>
      </c>
      <c r="N127" s="4" t="str">
        <f t="array" ref="N127">IFERROR(INDEX(KODUDK!$H$8:$H$79, MATCH(1, (KODUDK!$D$8:$D$79=BC_SINH!D127)*(KODUDK!$E$8:$E$79=BC_SINH!E127), 0)),"")</f>
        <v/>
      </c>
      <c r="O127" s="4" t="str">
        <f t="array" ref="O127">IFERROR(INDEX('KO DU ĐK NQ10'!$C$8:$C$48, MATCH(1, ('KO DU ĐK NQ10'!$D$8:$D$48=BC_SINH!D127)*('KO DU ĐK NQ10'!$E$8:$E$48=BC_SINH!E127), 0)),"")</f>
        <v/>
      </c>
      <c r="P127" s="4" t="str">
        <f t="array" ref="P127">IFERROR(INDEX('KO DU ĐK NQ10'!$H$8:$H$48, MATCH(1, ('KO DU ĐK NQ10'!$D$8:$D$48=BC_SINH!D127)*('KO DU ĐK NQ10'!$E$8:$E$48=BC_SINH!E127), 0)),"")</f>
        <v/>
      </c>
      <c r="Q127" s="4" t="str">
        <f t="array" ref="Q127">IFERROR(INDEX('KO DU ĐK 4069'!$C$8:$C$38, MATCH(1, ('KO DU ĐK 4069'!$D$8:$D$38=BC_SINH!D127)*('KO DU ĐK 4069'!$E$8:$E$38=BC_SINH!E127), 0)),"")</f>
        <v/>
      </c>
      <c r="R127" s="4" t="str">
        <f t="array" ref="R127">IFERROR(INDEX('KO DU ĐK 4069'!$H$8:$H$38, MATCH(1, ('KO DU ĐK 4069'!$D$8:$D$38=BC_SINH!D127)*('KO DU ĐK 4069'!$E$8:$E$38=BC_SINH!E127), 0)),"")</f>
        <v/>
      </c>
      <c r="S127" s="4" t="str">
        <f t="array" ref="S127">IFERROR(INDEX(KeKhaiDangKy!$H$2:$H$4889, MATCH(1, (KeKhaiDangKy!$A$2:$A$4889=BC_SINH!D127)*(KeKhaiDangKy!$B$2:$B$4889=BC_SINH!E127), 0)),"")</f>
        <v/>
      </c>
    </row>
    <row r="128" spans="1:19" ht="14.45" customHeight="1" x14ac:dyDescent="0.25">
      <c r="A128" s="4">
        <f>IF(B128&lt;&gt;"", SUBTOTAL(3, $B$2:B128), "")</f>
        <v>127</v>
      </c>
      <c r="B128" s="4" t="s">
        <v>82</v>
      </c>
      <c r="C128" s="4" t="str">
        <f t="shared" si="1"/>
        <v>A Máy</v>
      </c>
      <c r="D128" s="4">
        <v>21</v>
      </c>
      <c r="E128" s="4">
        <v>157</v>
      </c>
      <c r="F128" s="4">
        <v>5223</v>
      </c>
      <c r="G128" s="4" t="s">
        <v>11</v>
      </c>
      <c r="H128" s="4" t="str">
        <f t="array" ref="H128">IFERROR(INDEX(DSCKXA!$B$3:$B$73, MATCH(1, (DSCKXA!$D$3:$D$73=BC_SINH!D128)*(DSCKXA!$E$3:$E$73=BC_SINH!E128), 0)),"")</f>
        <v/>
      </c>
      <c r="I128" s="99" t="str">
        <f t="array" ref="I128">IFERROR(INDEX(DSCKXA!$C$3:$C$73, MATCH(1, (DSCKXA!$D$3:$D$73=BC_SINH!D128)*(DSCKXA!$E$3:$E$73=BC_SINH!E128), 0)),"")</f>
        <v/>
      </c>
      <c r="J128" s="97" t="str">
        <f>IFERROR(VLOOKUP(B128,'Đất sản xuất'!$B$9:$C$216,2,0),"")</f>
        <v/>
      </c>
      <c r="K128" s="97" t="str">
        <f>IFERROR(VLOOKUP(B128,'Sản xuất cấp huyên'!$B$9:$C$177,2,0),"")</f>
        <v>A Máy</v>
      </c>
      <c r="L128" s="4" t="str">
        <f>IFERROR(VLOOKUP(B128,'4069'!$B$9:$C$177,2,0),"")</f>
        <v>A Máy</v>
      </c>
      <c r="M128" s="4" t="str">
        <f t="array" ref="M128">IFERROR(INDEX(KODUDK!$C$8:$C$79, MATCH(1, (KODUDK!$D$8:$D$79=BC_SINH!D128)*(KODUDK!$E$8:$E$79=BC_SINH!E128), 0)),"")</f>
        <v>Thôn A Máy</v>
      </c>
      <c r="N128" s="4" t="str">
        <f t="array" ref="N128">IFERROR(INDEX(KODUDK!$H$8:$H$79, MATCH(1, (KODUDK!$D$8:$D$79=BC_SINH!D128)*(KODUDK!$E$8:$E$79=BC_SINH!E128), 0)),"")</f>
        <v>Có 03 thửa đất nên loại 02 thửa</v>
      </c>
      <c r="O128" s="4" t="str">
        <f t="array" ref="O128">IFERROR(INDEX('KO DU ĐK NQ10'!$C$8:$C$48, MATCH(1, ('KO DU ĐK NQ10'!$D$8:$D$48=BC_SINH!D128)*('KO DU ĐK NQ10'!$E$8:$E$48=BC_SINH!E128), 0)),"")</f>
        <v/>
      </c>
      <c r="P128" s="4" t="str">
        <f t="array" ref="P128">IFERROR(INDEX('KO DU ĐK NQ10'!$H$8:$H$48, MATCH(1, ('KO DU ĐK NQ10'!$D$8:$D$48=BC_SINH!D128)*('KO DU ĐK NQ10'!$E$8:$E$48=BC_SINH!E128), 0)),"")</f>
        <v/>
      </c>
      <c r="Q128" s="4" t="str">
        <f t="array" ref="Q128">IFERROR(INDEX('KO DU ĐK 4069'!$C$8:$C$38, MATCH(1, ('KO DU ĐK 4069'!$D$8:$D$38=BC_SINH!D128)*('KO DU ĐK 4069'!$E$8:$E$38=BC_SINH!E128), 0)),"")</f>
        <v>Thôn A Máy</v>
      </c>
      <c r="R128" s="4" t="str">
        <f t="array" ref="R128">IFERROR(INDEX('KO DU ĐK 4069'!$H$8:$H$38, MATCH(1, ('KO DU ĐK 4069'!$D$8:$D$38=BC_SINH!D128)*('KO DU ĐK 4069'!$E$8:$E$38=BC_SINH!E128), 0)),"")</f>
        <v>Có 03 thửa đất nên loại 02 thửa</v>
      </c>
      <c r="S128" s="4" t="str">
        <f t="array" ref="S128">IFERROR(INDEX(KeKhaiDangKy!$H$2:$H$4889, MATCH(1, (KeKhaiDangKy!$A$2:$A$4889=BC_SINH!D128)*(KeKhaiDangKy!$B$2:$B$4889=BC_SINH!E128), 0)),"")</f>
        <v/>
      </c>
    </row>
    <row r="129" spans="1:19" ht="14.45" customHeight="1" x14ac:dyDescent="0.25">
      <c r="A129" s="4">
        <f>IF(B129&lt;&gt;"", SUBTOTAL(3, $B$2:B129), "")</f>
        <v>128</v>
      </c>
      <c r="B129" s="4" t="s">
        <v>82</v>
      </c>
      <c r="C129" s="4" t="str">
        <f t="shared" si="1"/>
        <v>A Máy</v>
      </c>
      <c r="D129" s="4">
        <v>21</v>
      </c>
      <c r="E129" s="4">
        <v>158</v>
      </c>
      <c r="F129" s="4">
        <v>8768</v>
      </c>
      <c r="G129" s="4" t="s">
        <v>11</v>
      </c>
      <c r="H129" s="4" t="str">
        <f t="array" ref="H129">IFERROR(INDEX(DSCKXA!$B$3:$B$73, MATCH(1, (DSCKXA!$D$3:$D$73=BC_SINH!D129)*(DSCKXA!$E$3:$E$73=BC_SINH!E129), 0)),"")</f>
        <v>Hồ Văn Khen</v>
      </c>
      <c r="I129" s="99" t="str">
        <f t="array" ref="I129">IFERROR(INDEX(DSCKXA!$C$3:$C$73, MATCH(1, (DSCKXA!$D$3:$D$73=BC_SINH!D129)*(DSCKXA!$E$3:$E$73=BC_SINH!E129), 0)),"")</f>
        <v>Thôn A Máy</v>
      </c>
      <c r="J129" s="97" t="str">
        <f>IFERROR(VLOOKUP(B129,'Đất sản xuất'!$B$9:$C$216,2,0),"")</f>
        <v/>
      </c>
      <c r="K129" s="97" t="str">
        <f>IFERROR(VLOOKUP(B129,'Sản xuất cấp huyên'!$B$9:$C$177,2,0),"")</f>
        <v>A Máy</v>
      </c>
      <c r="L129" s="4" t="str">
        <f>IFERROR(VLOOKUP(B129,'4069'!$B$9:$C$177,2,0),"")</f>
        <v>A Máy</v>
      </c>
      <c r="M129" s="4" t="str">
        <f t="array" ref="M129">IFERROR(INDEX(KODUDK!$C$8:$C$79, MATCH(1, (KODUDK!$D$8:$D$79=BC_SINH!D129)*(KODUDK!$E$8:$E$79=BC_SINH!E129), 0)),"")</f>
        <v/>
      </c>
      <c r="N129" s="4" t="str">
        <f t="array" ref="N129">IFERROR(INDEX(KODUDK!$H$8:$H$79, MATCH(1, (KODUDK!$D$8:$D$79=BC_SINH!D129)*(KODUDK!$E$8:$E$79=BC_SINH!E129), 0)),"")</f>
        <v/>
      </c>
      <c r="O129" s="4" t="str">
        <f t="array" ref="O129">IFERROR(INDEX('KO DU ĐK NQ10'!$C$8:$C$48, MATCH(1, ('KO DU ĐK NQ10'!$D$8:$D$48=BC_SINH!D129)*('KO DU ĐK NQ10'!$E$8:$E$48=BC_SINH!E129), 0)),"")</f>
        <v/>
      </c>
      <c r="P129" s="4" t="str">
        <f t="array" ref="P129">IFERROR(INDEX('KO DU ĐK NQ10'!$H$8:$H$48, MATCH(1, ('KO DU ĐK NQ10'!$D$8:$D$48=BC_SINH!D129)*('KO DU ĐK NQ10'!$E$8:$E$48=BC_SINH!E129), 0)),"")</f>
        <v/>
      </c>
      <c r="Q129" s="4" t="str">
        <f t="array" ref="Q129">IFERROR(INDEX('KO DU ĐK 4069'!$C$8:$C$38, MATCH(1, ('KO DU ĐK 4069'!$D$8:$D$38=BC_SINH!D129)*('KO DU ĐK 4069'!$E$8:$E$38=BC_SINH!E129), 0)),"")</f>
        <v/>
      </c>
      <c r="R129" s="4" t="str">
        <f t="array" ref="R129">IFERROR(INDEX('KO DU ĐK 4069'!$H$8:$H$38, MATCH(1, ('KO DU ĐK 4069'!$D$8:$D$38=BC_SINH!D129)*('KO DU ĐK 4069'!$E$8:$E$38=BC_SINH!E129), 0)),"")</f>
        <v/>
      </c>
      <c r="S129" s="4" t="str">
        <f t="array" ref="S129">IFERROR(INDEX(KeKhaiDangKy!$H$2:$H$4889, MATCH(1, (KeKhaiDangKy!$A$2:$A$4889=BC_SINH!D129)*(KeKhaiDangKy!$B$2:$B$4889=BC_SINH!E129), 0)),"")</f>
        <v/>
      </c>
    </row>
    <row r="130" spans="1:19" ht="14.45" customHeight="1" x14ac:dyDescent="0.25">
      <c r="A130" s="4">
        <f>IF(B130&lt;&gt;"", SUBTOTAL(3, $B$2:B130), "")</f>
        <v>129</v>
      </c>
      <c r="B130" s="4" t="s">
        <v>82</v>
      </c>
      <c r="C130" s="4" t="str">
        <f t="shared" ref="C130:C193" si="2">IF(J130&lt;&gt;"", J130, IF(L130&lt;&gt;"", L130, IF(M130&lt;&gt;"", M130, IF(N130&lt;&gt;"", N130, IF(O130&lt;&gt;"", O130, IF(P130&lt;&gt;"", P130, IF(Q130&lt;&gt;"", Q130, IF(R130&lt;&gt;"", R130, S130))))))))</f>
        <v>A Máy</v>
      </c>
      <c r="D130" s="4">
        <v>21</v>
      </c>
      <c r="E130" s="4">
        <v>159</v>
      </c>
      <c r="F130" s="4">
        <v>3403</v>
      </c>
      <c r="G130" s="4" t="s">
        <v>11</v>
      </c>
      <c r="H130" s="4" t="str">
        <f t="array" ref="H130">IFERROR(INDEX(DSCKXA!$B$3:$B$73, MATCH(1, (DSCKXA!$D$3:$D$73=BC_SINH!D130)*(DSCKXA!$E$3:$E$73=BC_SINH!E130), 0)),"")</f>
        <v/>
      </c>
      <c r="I130" s="99" t="str">
        <f t="array" ref="I130">IFERROR(INDEX(DSCKXA!$C$3:$C$73, MATCH(1, (DSCKXA!$D$3:$D$73=BC_SINH!D130)*(DSCKXA!$E$3:$E$73=BC_SINH!E130), 0)),"")</f>
        <v/>
      </c>
      <c r="J130" s="97" t="str">
        <f>IFERROR(VLOOKUP(B130,'Đất sản xuất'!$B$9:$C$216,2,0),"")</f>
        <v/>
      </c>
      <c r="K130" s="97" t="str">
        <f>IFERROR(VLOOKUP(B130,'Sản xuất cấp huyên'!$B$9:$C$177,2,0),"")</f>
        <v>A Máy</v>
      </c>
      <c r="L130" s="4" t="str">
        <f>IFERROR(VLOOKUP(B130,'4069'!$B$9:$C$177,2,0),"")</f>
        <v>A Máy</v>
      </c>
      <c r="M130" s="4" t="str">
        <f t="array" ref="M130">IFERROR(INDEX(KODUDK!$C$8:$C$79, MATCH(1, (KODUDK!$D$8:$D$79=BC_SINH!D130)*(KODUDK!$E$8:$E$79=BC_SINH!E130), 0)),"")</f>
        <v>Thôn A Máy</v>
      </c>
      <c r="N130" s="4" t="str">
        <f t="array" ref="N130">IFERROR(INDEX(KODUDK!$H$8:$H$79, MATCH(1, (KODUDK!$D$8:$D$79=BC_SINH!D130)*(KODUDK!$E$8:$E$79=BC_SINH!E130), 0)),"")</f>
        <v>Có 03 thửa đất nên loại 02 thửa</v>
      </c>
      <c r="O130" s="4" t="str">
        <f t="array" ref="O130">IFERROR(INDEX('KO DU ĐK NQ10'!$C$8:$C$48, MATCH(1, ('KO DU ĐK NQ10'!$D$8:$D$48=BC_SINH!D130)*('KO DU ĐK NQ10'!$E$8:$E$48=BC_SINH!E130), 0)),"")</f>
        <v/>
      </c>
      <c r="P130" s="4" t="str">
        <f t="array" ref="P130">IFERROR(INDEX('KO DU ĐK NQ10'!$H$8:$H$48, MATCH(1, ('KO DU ĐK NQ10'!$D$8:$D$48=BC_SINH!D130)*('KO DU ĐK NQ10'!$E$8:$E$48=BC_SINH!E130), 0)),"")</f>
        <v/>
      </c>
      <c r="Q130" s="4" t="str">
        <f t="array" ref="Q130">IFERROR(INDEX('KO DU ĐK 4069'!$C$8:$C$38, MATCH(1, ('KO DU ĐK 4069'!$D$8:$D$38=BC_SINH!D130)*('KO DU ĐK 4069'!$E$8:$E$38=BC_SINH!E130), 0)),"")</f>
        <v>Thôn A Máy</v>
      </c>
      <c r="R130" s="4" t="str">
        <f t="array" ref="R130">IFERROR(INDEX('KO DU ĐK 4069'!$H$8:$H$38, MATCH(1, ('KO DU ĐK 4069'!$D$8:$D$38=BC_SINH!D130)*('KO DU ĐK 4069'!$E$8:$E$38=BC_SINH!E130), 0)),"")</f>
        <v>Có 03 thửa đất nên loại 02 thửa</v>
      </c>
      <c r="S130" s="4" t="str">
        <f t="array" ref="S130">IFERROR(INDEX(KeKhaiDangKy!$H$2:$H$4889, MATCH(1, (KeKhaiDangKy!$A$2:$A$4889=BC_SINH!D130)*(KeKhaiDangKy!$B$2:$B$4889=BC_SINH!E130), 0)),"")</f>
        <v/>
      </c>
    </row>
    <row r="131" spans="1:19" ht="14.45" customHeight="1" x14ac:dyDescent="0.25">
      <c r="A131" s="4">
        <f>IF(B131&lt;&gt;"", SUBTOTAL(3, $B$2:B131), "")</f>
        <v>130</v>
      </c>
      <c r="B131" s="4" t="s">
        <v>83</v>
      </c>
      <c r="C131" s="4" t="str">
        <f t="shared" si="2"/>
        <v>A Máy</v>
      </c>
      <c r="D131" s="4">
        <v>21</v>
      </c>
      <c r="E131" s="4">
        <v>160</v>
      </c>
      <c r="F131" s="4">
        <v>6134</v>
      </c>
      <c r="G131" s="4" t="s">
        <v>11</v>
      </c>
      <c r="H131" s="4" t="str">
        <f t="array" ref="H131">IFERROR(INDEX(DSCKXA!$B$3:$B$73, MATCH(1, (DSCKXA!$D$3:$D$73=BC_SINH!D131)*(DSCKXA!$E$3:$E$73=BC_SINH!E131), 0)),"")</f>
        <v/>
      </c>
      <c r="I131" s="99" t="str">
        <f t="array" ref="I131">IFERROR(INDEX(DSCKXA!$C$3:$C$73, MATCH(1, (DSCKXA!$D$3:$D$73=BC_SINH!D131)*(DSCKXA!$E$3:$E$73=BC_SINH!E131), 0)),"")</f>
        <v/>
      </c>
      <c r="J131" s="97" t="str">
        <f>IFERROR(VLOOKUP(B131,'Đất sản xuất'!$B$9:$C$216,2,0),"")</f>
        <v/>
      </c>
      <c r="K131" s="97" t="str">
        <f>IFERROR(VLOOKUP(B131,'Sản xuất cấp huyên'!$B$9:$C$177,2,0),"")</f>
        <v>A Máy</v>
      </c>
      <c r="L131" s="4" t="str">
        <f>IFERROR(VLOOKUP(B131,'4069'!$B$9:$C$177,2,0),"")</f>
        <v>A Máy</v>
      </c>
      <c r="M131" s="4" t="str">
        <f t="array" ref="M131">IFERROR(INDEX(KODUDK!$C$8:$C$79, MATCH(1, (KODUDK!$D$8:$D$79=BC_SINH!D131)*(KODUDK!$E$8:$E$79=BC_SINH!E131), 0)),"")</f>
        <v>Thôn A Máy</v>
      </c>
      <c r="N131" s="4" t="str">
        <f t="array" ref="N131">IFERROR(INDEX(KODUDK!$H$8:$H$79, MATCH(1, (KODUDK!$D$8:$D$79=BC_SINH!D131)*(KODUDK!$E$8:$E$79=BC_SINH!E131), 0)),"")</f>
        <v>Có 03 thửa đất nên loại 02 thửa</v>
      </c>
      <c r="O131" s="4" t="str">
        <f t="array" ref="O131">IFERROR(INDEX('KO DU ĐK NQ10'!$C$8:$C$48, MATCH(1, ('KO DU ĐK NQ10'!$D$8:$D$48=BC_SINH!D131)*('KO DU ĐK NQ10'!$E$8:$E$48=BC_SINH!E131), 0)),"")</f>
        <v/>
      </c>
      <c r="P131" s="4" t="str">
        <f t="array" ref="P131">IFERROR(INDEX('KO DU ĐK NQ10'!$H$8:$H$48, MATCH(1, ('KO DU ĐK NQ10'!$D$8:$D$48=BC_SINH!D131)*('KO DU ĐK NQ10'!$E$8:$E$48=BC_SINH!E131), 0)),"")</f>
        <v/>
      </c>
      <c r="Q131" s="4" t="str">
        <f t="array" ref="Q131">IFERROR(INDEX('KO DU ĐK 4069'!$C$8:$C$38, MATCH(1, ('KO DU ĐK 4069'!$D$8:$D$38=BC_SINH!D131)*('KO DU ĐK 4069'!$E$8:$E$38=BC_SINH!E131), 0)),"")</f>
        <v>Thôn A Máy</v>
      </c>
      <c r="R131" s="4" t="str">
        <f t="array" ref="R131">IFERROR(INDEX('KO DU ĐK 4069'!$H$8:$H$38, MATCH(1, ('KO DU ĐK 4069'!$D$8:$D$38=BC_SINH!D131)*('KO DU ĐK 4069'!$E$8:$E$38=BC_SINH!E131), 0)),"")</f>
        <v>Có 03 thửa đất nên loại 02 thửa</v>
      </c>
      <c r="S131" s="4" t="str">
        <f t="array" ref="S131">IFERROR(INDEX(KeKhaiDangKy!$H$2:$H$4889, MATCH(1, (KeKhaiDangKy!$A$2:$A$4889=BC_SINH!D131)*(KeKhaiDangKy!$B$2:$B$4889=BC_SINH!E131), 0)),"")</f>
        <v/>
      </c>
    </row>
    <row r="132" spans="1:19" ht="14.45" customHeight="1" x14ac:dyDescent="0.25">
      <c r="A132" s="4">
        <f>IF(B132&lt;&gt;"", SUBTOTAL(3, $B$2:B132), "")</f>
        <v>131</v>
      </c>
      <c r="B132" s="4" t="s">
        <v>83</v>
      </c>
      <c r="C132" s="4" t="str">
        <f t="shared" si="2"/>
        <v>A Máy</v>
      </c>
      <c r="D132" s="4">
        <v>21</v>
      </c>
      <c r="E132" s="4">
        <v>161</v>
      </c>
      <c r="F132" s="4">
        <v>12699</v>
      </c>
      <c r="G132" s="4" t="s">
        <v>11</v>
      </c>
      <c r="H132" s="4" t="str">
        <f t="array" ref="H132">IFERROR(INDEX(DSCKXA!$B$3:$B$73, MATCH(1, (DSCKXA!$D$3:$D$73=BC_SINH!D132)*(DSCKXA!$E$3:$E$73=BC_SINH!E132), 0)),"")</f>
        <v/>
      </c>
      <c r="I132" s="99" t="str">
        <f t="array" ref="I132">IFERROR(INDEX(DSCKXA!$C$3:$C$73, MATCH(1, (DSCKXA!$D$3:$D$73=BC_SINH!D132)*(DSCKXA!$E$3:$E$73=BC_SINH!E132), 0)),"")</f>
        <v/>
      </c>
      <c r="J132" s="97" t="str">
        <f>IFERROR(VLOOKUP(B132,'Đất sản xuất'!$B$9:$C$216,2,0),"")</f>
        <v/>
      </c>
      <c r="K132" s="97" t="str">
        <f>IFERROR(VLOOKUP(B132,'Sản xuất cấp huyên'!$B$9:$C$177,2,0),"")</f>
        <v>A Máy</v>
      </c>
      <c r="L132" s="4" t="str">
        <f>IFERROR(VLOOKUP(B132,'4069'!$B$9:$C$177,2,0),"")</f>
        <v>A Máy</v>
      </c>
      <c r="M132" s="4" t="str">
        <f t="array" ref="M132">IFERROR(INDEX(KODUDK!$C$8:$C$79, MATCH(1, (KODUDK!$D$8:$D$79=BC_SINH!D132)*(KODUDK!$E$8:$E$79=BC_SINH!E132), 0)),"")</f>
        <v>Thôn A Máy</v>
      </c>
      <c r="N132" s="4" t="str">
        <f t="array" ref="N132">IFERROR(INDEX(KODUDK!$H$8:$H$79, MATCH(1, (KODUDK!$D$8:$D$79=BC_SINH!D132)*(KODUDK!$E$8:$E$79=BC_SINH!E132), 0)),"")</f>
        <v>Có 03 thửa đất nên loại 02 thửa</v>
      </c>
      <c r="O132" s="4" t="str">
        <f t="array" ref="O132">IFERROR(INDEX('KO DU ĐK NQ10'!$C$8:$C$48, MATCH(1, ('KO DU ĐK NQ10'!$D$8:$D$48=BC_SINH!D132)*('KO DU ĐK NQ10'!$E$8:$E$48=BC_SINH!E132), 0)),"")</f>
        <v/>
      </c>
      <c r="P132" s="4" t="str">
        <f t="array" ref="P132">IFERROR(INDEX('KO DU ĐK NQ10'!$H$8:$H$48, MATCH(1, ('KO DU ĐK NQ10'!$D$8:$D$48=BC_SINH!D132)*('KO DU ĐK NQ10'!$E$8:$E$48=BC_SINH!E132), 0)),"")</f>
        <v/>
      </c>
      <c r="Q132" s="4" t="str">
        <f t="array" ref="Q132">IFERROR(INDEX('KO DU ĐK 4069'!$C$8:$C$38, MATCH(1, ('KO DU ĐK 4069'!$D$8:$D$38=BC_SINH!D132)*('KO DU ĐK 4069'!$E$8:$E$38=BC_SINH!E132), 0)),"")</f>
        <v>Thôn A Máy</v>
      </c>
      <c r="R132" s="4" t="str">
        <f t="array" ref="R132">IFERROR(INDEX('KO DU ĐK 4069'!$H$8:$H$38, MATCH(1, ('KO DU ĐK 4069'!$D$8:$D$38=BC_SINH!D132)*('KO DU ĐK 4069'!$E$8:$E$38=BC_SINH!E132), 0)),"")</f>
        <v>Có 03 thửa đất nên loại 02 thửa</v>
      </c>
      <c r="S132" s="4" t="str">
        <f t="array" ref="S132">IFERROR(INDEX(KeKhaiDangKy!$H$2:$H$4889, MATCH(1, (KeKhaiDangKy!$A$2:$A$4889=BC_SINH!D132)*(KeKhaiDangKy!$B$2:$B$4889=BC_SINH!E132), 0)),"")</f>
        <v/>
      </c>
    </row>
    <row r="133" spans="1:19" ht="14.45" customHeight="1" x14ac:dyDescent="0.25">
      <c r="A133" s="4">
        <f>IF(B133&lt;&gt;"", SUBTOTAL(3, $B$2:B133), "")</f>
        <v>132</v>
      </c>
      <c r="B133" s="4" t="s">
        <v>83</v>
      </c>
      <c r="C133" s="4" t="str">
        <f t="shared" si="2"/>
        <v>A Máy</v>
      </c>
      <c r="D133" s="4">
        <v>21</v>
      </c>
      <c r="E133" s="4">
        <v>162</v>
      </c>
      <c r="F133" s="4">
        <v>16603</v>
      </c>
      <c r="G133" s="4" t="s">
        <v>11</v>
      </c>
      <c r="H133" s="4" t="str">
        <f t="array" ref="H133">IFERROR(INDEX(DSCKXA!$B$3:$B$73, MATCH(1, (DSCKXA!$D$3:$D$73=BC_SINH!D133)*(DSCKXA!$E$3:$E$73=BC_SINH!E133), 0)),"")</f>
        <v/>
      </c>
      <c r="I133" s="99" t="str">
        <f t="array" ref="I133">IFERROR(INDEX(DSCKXA!$C$3:$C$73, MATCH(1, (DSCKXA!$D$3:$D$73=BC_SINH!D133)*(DSCKXA!$E$3:$E$73=BC_SINH!E133), 0)),"")</f>
        <v/>
      </c>
      <c r="J133" s="97" t="str">
        <f>IFERROR(VLOOKUP(B133,'Đất sản xuất'!$B$9:$C$216,2,0),"")</f>
        <v/>
      </c>
      <c r="K133" s="97" t="str">
        <f>IFERROR(VLOOKUP(B133,'Sản xuất cấp huyên'!$B$9:$C$177,2,0),"")</f>
        <v>A Máy</v>
      </c>
      <c r="L133" s="4" t="str">
        <f>IFERROR(VLOOKUP(B133,'4069'!$B$9:$C$177,2,0),"")</f>
        <v>A Máy</v>
      </c>
      <c r="M133" s="4" t="str">
        <f t="array" ref="M133">IFERROR(INDEX(KODUDK!$C$8:$C$79, MATCH(1, (KODUDK!$D$8:$D$79=BC_SINH!D133)*(KODUDK!$E$8:$E$79=BC_SINH!E133), 0)),"")</f>
        <v/>
      </c>
      <c r="N133" s="4" t="str">
        <f t="array" ref="N133">IFERROR(INDEX(KODUDK!$H$8:$H$79, MATCH(1, (KODUDK!$D$8:$D$79=BC_SINH!D133)*(KODUDK!$E$8:$E$79=BC_SINH!E133), 0)),"")</f>
        <v/>
      </c>
      <c r="O133" s="4" t="str">
        <f t="array" ref="O133">IFERROR(INDEX('KO DU ĐK NQ10'!$C$8:$C$48, MATCH(1, ('KO DU ĐK NQ10'!$D$8:$D$48=BC_SINH!D133)*('KO DU ĐK NQ10'!$E$8:$E$48=BC_SINH!E133), 0)),"")</f>
        <v/>
      </c>
      <c r="P133" s="4" t="str">
        <f t="array" ref="P133">IFERROR(INDEX('KO DU ĐK NQ10'!$H$8:$H$48, MATCH(1, ('KO DU ĐK NQ10'!$D$8:$D$48=BC_SINH!D133)*('KO DU ĐK NQ10'!$E$8:$E$48=BC_SINH!E133), 0)),"")</f>
        <v/>
      </c>
      <c r="Q133" s="4" t="str">
        <f t="array" ref="Q133">IFERROR(INDEX('KO DU ĐK 4069'!$C$8:$C$38, MATCH(1, ('KO DU ĐK 4069'!$D$8:$D$38=BC_SINH!D133)*('KO DU ĐK 4069'!$E$8:$E$38=BC_SINH!E133), 0)),"")</f>
        <v/>
      </c>
      <c r="R133" s="4" t="str">
        <f t="array" ref="R133">IFERROR(INDEX('KO DU ĐK 4069'!$H$8:$H$38, MATCH(1, ('KO DU ĐK 4069'!$D$8:$D$38=BC_SINH!D133)*('KO DU ĐK 4069'!$E$8:$E$38=BC_SINH!E133), 0)),"")</f>
        <v/>
      </c>
      <c r="S133" s="4" t="str">
        <f t="array" ref="S133">IFERROR(INDEX(KeKhaiDangKy!$H$2:$H$4889, MATCH(1, (KeKhaiDangKy!$A$2:$A$4889=BC_SINH!D133)*(KeKhaiDangKy!$B$2:$B$4889=BC_SINH!E133), 0)),"")</f>
        <v/>
      </c>
    </row>
    <row r="134" spans="1:19" ht="14.45" customHeight="1" x14ac:dyDescent="0.25">
      <c r="A134" s="4">
        <f>IF(B134&lt;&gt;"", SUBTOTAL(3, $B$2:B134), "")</f>
        <v>133</v>
      </c>
      <c r="B134" s="4" t="s">
        <v>84</v>
      </c>
      <c r="C134" s="4" t="str">
        <f t="shared" si="2"/>
        <v>Kỳ Tăng</v>
      </c>
      <c r="D134" s="4">
        <v>21</v>
      </c>
      <c r="E134" s="4">
        <v>163</v>
      </c>
      <c r="F134" s="4">
        <v>10831</v>
      </c>
      <c r="G134" s="4" t="s">
        <v>11</v>
      </c>
      <c r="H134" s="4" t="str">
        <f t="array" ref="H134">IFERROR(INDEX(DSCKXA!$B$3:$B$73, MATCH(1, (DSCKXA!$D$3:$D$73=BC_SINH!D134)*(DSCKXA!$E$3:$E$73=BC_SINH!E134), 0)),"")</f>
        <v/>
      </c>
      <c r="I134" s="99" t="str">
        <f t="array" ref="I134">IFERROR(INDEX(DSCKXA!$C$3:$C$73, MATCH(1, (DSCKXA!$D$3:$D$73=BC_SINH!D134)*(DSCKXA!$E$3:$E$73=BC_SINH!E134), 0)),"")</f>
        <v/>
      </c>
      <c r="J134" s="97" t="str">
        <f>IFERROR(VLOOKUP(B134,'Đất sản xuất'!$B$9:$C$216,2,0),"")</f>
        <v>Kỳ Tăng</v>
      </c>
      <c r="K134" s="97" t="str">
        <f>IFERROR(VLOOKUP(B134,'Sản xuất cấp huyên'!$B$9:$C$177,2,0),"")</f>
        <v/>
      </c>
      <c r="L134" s="4" t="str">
        <f>IFERROR(VLOOKUP(B134,'4069'!$B$9:$C$177,2,0),"")</f>
        <v/>
      </c>
      <c r="M134" s="4" t="str">
        <f t="array" ref="M134">IFERROR(INDEX(KODUDK!$C$8:$C$79, MATCH(1, (KODUDK!$D$8:$D$79=BC_SINH!D134)*(KODUDK!$E$8:$E$79=BC_SINH!E134), 0)),"")</f>
        <v/>
      </c>
      <c r="N134" s="4" t="str">
        <f t="array" ref="N134">IFERROR(INDEX(KODUDK!$H$8:$H$79, MATCH(1, (KODUDK!$D$8:$D$79=BC_SINH!D134)*(KODUDK!$E$8:$E$79=BC_SINH!E134), 0)),"")</f>
        <v/>
      </c>
      <c r="O134" s="4" t="str">
        <f t="array" ref="O134">IFERROR(INDEX('KO DU ĐK NQ10'!$C$8:$C$48, MATCH(1, ('KO DU ĐK NQ10'!$D$8:$D$48=BC_SINH!D134)*('KO DU ĐK NQ10'!$E$8:$E$48=BC_SINH!E134), 0)),"")</f>
        <v/>
      </c>
      <c r="P134" s="4" t="str">
        <f t="array" ref="P134">IFERROR(INDEX('KO DU ĐK NQ10'!$H$8:$H$48, MATCH(1, ('KO DU ĐK NQ10'!$D$8:$D$48=BC_SINH!D134)*('KO DU ĐK NQ10'!$E$8:$E$48=BC_SINH!E134), 0)),"")</f>
        <v/>
      </c>
      <c r="Q134" s="4" t="str">
        <f t="array" ref="Q134">IFERROR(INDEX('KO DU ĐK 4069'!$C$8:$C$38, MATCH(1, ('KO DU ĐK 4069'!$D$8:$D$38=BC_SINH!D134)*('KO DU ĐK 4069'!$E$8:$E$38=BC_SINH!E134), 0)),"")</f>
        <v/>
      </c>
      <c r="R134" s="4" t="str">
        <f t="array" ref="R134">IFERROR(INDEX('KO DU ĐK 4069'!$H$8:$H$38, MATCH(1, ('KO DU ĐK 4069'!$D$8:$D$38=BC_SINH!D134)*('KO DU ĐK 4069'!$E$8:$E$38=BC_SINH!E134), 0)),"")</f>
        <v/>
      </c>
      <c r="S134" s="4" t="str">
        <f t="array" ref="S134">IFERROR(INDEX(KeKhaiDangKy!$H$2:$H$4889, MATCH(1, (KeKhaiDangKy!$A$2:$A$4889=BC_SINH!D134)*(KeKhaiDangKy!$B$2:$B$4889=BC_SINH!E134), 0)),"")</f>
        <v>Kỳ Tăng</v>
      </c>
    </row>
    <row r="135" spans="1:19" ht="14.45" customHeight="1" x14ac:dyDescent="0.25">
      <c r="A135" s="4">
        <f>IF(B135&lt;&gt;"", SUBTOTAL(3, $B$2:B135), "")</f>
        <v>134</v>
      </c>
      <c r="B135" s="4" t="s">
        <v>84</v>
      </c>
      <c r="C135" s="4" t="str">
        <f t="shared" si="2"/>
        <v>Kỳ Tăng</v>
      </c>
      <c r="D135" s="4">
        <v>21</v>
      </c>
      <c r="E135" s="4">
        <v>164</v>
      </c>
      <c r="F135" s="4">
        <v>17233</v>
      </c>
      <c r="G135" s="4" t="s">
        <v>11</v>
      </c>
      <c r="H135" s="4" t="str">
        <f t="array" ref="H135">IFERROR(INDEX(DSCKXA!$B$3:$B$73, MATCH(1, (DSCKXA!$D$3:$D$73=BC_SINH!D135)*(DSCKXA!$E$3:$E$73=BC_SINH!E135), 0)),"")</f>
        <v>Hồ Văn Khinh</v>
      </c>
      <c r="I135" s="99" t="str">
        <f t="array" ref="I135">IFERROR(INDEX(DSCKXA!$C$3:$C$73, MATCH(1, (DSCKXA!$D$3:$D$73=BC_SINH!D135)*(DSCKXA!$E$3:$E$73=BC_SINH!E135), 0)),"")</f>
        <v>Thôn Kỳ Tăng</v>
      </c>
      <c r="J135" s="97" t="str">
        <f>IFERROR(VLOOKUP(B135,'Đất sản xuất'!$B$9:$C$216,2,0),"")</f>
        <v>Kỳ Tăng</v>
      </c>
      <c r="K135" s="97" t="str">
        <f>IFERROR(VLOOKUP(B135,'Sản xuất cấp huyên'!$B$9:$C$177,2,0),"")</f>
        <v/>
      </c>
      <c r="L135" s="4" t="str">
        <f>IFERROR(VLOOKUP(B135,'4069'!$B$9:$C$177,2,0),"")</f>
        <v/>
      </c>
      <c r="M135" s="4" t="str">
        <f t="array" ref="M135">IFERROR(INDEX(KODUDK!$C$8:$C$79, MATCH(1, (KODUDK!$D$8:$D$79=BC_SINH!D135)*(KODUDK!$E$8:$E$79=BC_SINH!E135), 0)),"")</f>
        <v/>
      </c>
      <c r="N135" s="4" t="str">
        <f t="array" ref="N135">IFERROR(INDEX(KODUDK!$H$8:$H$79, MATCH(1, (KODUDK!$D$8:$D$79=BC_SINH!D135)*(KODUDK!$E$8:$E$79=BC_SINH!E135), 0)),"")</f>
        <v/>
      </c>
      <c r="O135" s="4" t="str">
        <f t="array" ref="O135">IFERROR(INDEX('KO DU ĐK NQ10'!$C$8:$C$48, MATCH(1, ('KO DU ĐK NQ10'!$D$8:$D$48=BC_SINH!D135)*('KO DU ĐK NQ10'!$E$8:$E$48=BC_SINH!E135), 0)),"")</f>
        <v/>
      </c>
      <c r="P135" s="4" t="str">
        <f t="array" ref="P135">IFERROR(INDEX('KO DU ĐK NQ10'!$H$8:$H$48, MATCH(1, ('KO DU ĐK NQ10'!$D$8:$D$48=BC_SINH!D135)*('KO DU ĐK NQ10'!$E$8:$E$48=BC_SINH!E135), 0)),"")</f>
        <v/>
      </c>
      <c r="Q135" s="4" t="str">
        <f t="array" ref="Q135">IFERROR(INDEX('KO DU ĐK 4069'!$C$8:$C$38, MATCH(1, ('KO DU ĐK 4069'!$D$8:$D$38=BC_SINH!D135)*('KO DU ĐK 4069'!$E$8:$E$38=BC_SINH!E135), 0)),"")</f>
        <v/>
      </c>
      <c r="R135" s="4" t="str">
        <f t="array" ref="R135">IFERROR(INDEX('KO DU ĐK 4069'!$H$8:$H$38, MATCH(1, ('KO DU ĐK 4069'!$D$8:$D$38=BC_SINH!D135)*('KO DU ĐK 4069'!$E$8:$E$38=BC_SINH!E135), 0)),"")</f>
        <v/>
      </c>
      <c r="S135" s="4" t="str">
        <f t="array" ref="S135">IFERROR(INDEX(KeKhaiDangKy!$H$2:$H$4889, MATCH(1, (KeKhaiDangKy!$A$2:$A$4889=BC_SINH!D135)*(KeKhaiDangKy!$B$2:$B$4889=BC_SINH!E135), 0)),"")</f>
        <v/>
      </c>
    </row>
    <row r="136" spans="1:19" ht="14.45" customHeight="1" x14ac:dyDescent="0.25">
      <c r="A136" s="4">
        <f>IF(B136&lt;&gt;"", SUBTOTAL(3, $B$2:B136), "")</f>
        <v>135</v>
      </c>
      <c r="B136" s="4" t="s">
        <v>84</v>
      </c>
      <c r="C136" s="4" t="str">
        <f t="shared" si="2"/>
        <v>Kỳ Tăng</v>
      </c>
      <c r="D136" s="4">
        <v>21</v>
      </c>
      <c r="E136" s="4">
        <v>165</v>
      </c>
      <c r="F136" s="4">
        <v>3672</v>
      </c>
      <c r="G136" s="4" t="s">
        <v>11</v>
      </c>
      <c r="H136" s="4" t="str">
        <f t="array" ref="H136">IFERROR(INDEX(DSCKXA!$B$3:$B$73, MATCH(1, (DSCKXA!$D$3:$D$73=BC_SINH!D136)*(DSCKXA!$E$3:$E$73=BC_SINH!E136), 0)),"")</f>
        <v/>
      </c>
      <c r="I136" s="99" t="str">
        <f t="array" ref="I136">IFERROR(INDEX(DSCKXA!$C$3:$C$73, MATCH(1, (DSCKXA!$D$3:$D$73=BC_SINH!D136)*(DSCKXA!$E$3:$E$73=BC_SINH!E136), 0)),"")</f>
        <v/>
      </c>
      <c r="J136" s="97" t="str">
        <f>IFERROR(VLOOKUP(B136,'Đất sản xuất'!$B$9:$C$216,2,0),"")</f>
        <v>Kỳ Tăng</v>
      </c>
      <c r="K136" s="97" t="str">
        <f>IFERROR(VLOOKUP(B136,'Sản xuất cấp huyên'!$B$9:$C$177,2,0),"")</f>
        <v/>
      </c>
      <c r="L136" s="4" t="str">
        <f>IFERROR(VLOOKUP(B136,'4069'!$B$9:$C$177,2,0),"")</f>
        <v/>
      </c>
      <c r="M136" s="4" t="str">
        <f t="array" ref="M136">IFERROR(INDEX(KODUDK!$C$8:$C$79, MATCH(1, (KODUDK!$D$8:$D$79=BC_SINH!D136)*(KODUDK!$E$8:$E$79=BC_SINH!E136), 0)),"")</f>
        <v>Kỳ Tăng</v>
      </c>
      <c r="N136" s="4" t="str">
        <f t="array" ref="N136">IFERROR(INDEX(KODUDK!$H$8:$H$79, MATCH(1, (KODUDK!$D$8:$D$79=BC_SINH!D136)*(KODUDK!$E$8:$E$79=BC_SINH!E136), 0)),"")</f>
        <v>Có 02 thửa đất nên loại 01 thửa</v>
      </c>
      <c r="O136" s="4" t="str">
        <f t="array" ref="O136">IFERROR(INDEX('KO DU ĐK NQ10'!$C$8:$C$48, MATCH(1, ('KO DU ĐK NQ10'!$D$8:$D$48=BC_SINH!D136)*('KO DU ĐK NQ10'!$E$8:$E$48=BC_SINH!E136), 0)),"")</f>
        <v>Kỳ Tăng</v>
      </c>
      <c r="P136" s="4" t="str">
        <f t="array" ref="P136">IFERROR(INDEX('KO DU ĐK NQ10'!$H$8:$H$48, MATCH(1, ('KO DU ĐK NQ10'!$D$8:$D$48=BC_SINH!D136)*('KO DU ĐK NQ10'!$E$8:$E$48=BC_SINH!E136), 0)),"")</f>
        <v>Có 02 thửa đất nên loại 01 thửa</v>
      </c>
      <c r="Q136" s="4" t="str">
        <f t="array" ref="Q136">IFERROR(INDEX('KO DU ĐK 4069'!$C$8:$C$38, MATCH(1, ('KO DU ĐK 4069'!$D$8:$D$38=BC_SINH!D136)*('KO DU ĐK 4069'!$E$8:$E$38=BC_SINH!E136), 0)),"")</f>
        <v/>
      </c>
      <c r="R136" s="4" t="str">
        <f t="array" ref="R136">IFERROR(INDEX('KO DU ĐK 4069'!$H$8:$H$38, MATCH(1, ('KO DU ĐK 4069'!$D$8:$D$38=BC_SINH!D136)*('KO DU ĐK 4069'!$E$8:$E$38=BC_SINH!E136), 0)),"")</f>
        <v/>
      </c>
      <c r="S136" s="4" t="str">
        <f t="array" ref="S136">IFERROR(INDEX(KeKhaiDangKy!$H$2:$H$4889, MATCH(1, (KeKhaiDangKy!$A$2:$A$4889=BC_SINH!D136)*(KeKhaiDangKy!$B$2:$B$4889=BC_SINH!E136), 0)),"")</f>
        <v/>
      </c>
    </row>
    <row r="137" spans="1:19" ht="14.45" customHeight="1" x14ac:dyDescent="0.25">
      <c r="A137" s="4">
        <f>IF(B137&lt;&gt;"", SUBTOTAL(3, $B$2:B137), "")</f>
        <v>136</v>
      </c>
      <c r="B137" s="4" t="s">
        <v>85</v>
      </c>
      <c r="C137" s="4" t="str">
        <f t="shared" si="2"/>
        <v xml:space="preserve"> A Máy</v>
      </c>
      <c r="D137" s="4">
        <v>21</v>
      </c>
      <c r="E137" s="4">
        <v>166</v>
      </c>
      <c r="F137" s="4">
        <v>15614</v>
      </c>
      <c r="G137" s="4" t="s">
        <v>11</v>
      </c>
      <c r="H137" s="4" t="str">
        <f t="array" ref="H137">IFERROR(INDEX(DSCKXA!$B$3:$B$73, MATCH(1, (DSCKXA!$D$3:$D$73=BC_SINH!D137)*(DSCKXA!$E$3:$E$73=BC_SINH!E137), 0)),"")</f>
        <v>Hồ Văn Khoái</v>
      </c>
      <c r="I137" s="99" t="str">
        <f t="array" ref="I137">IFERROR(INDEX(DSCKXA!$C$3:$C$73, MATCH(1, (DSCKXA!$D$3:$D$73=BC_SINH!D137)*(DSCKXA!$E$3:$E$73=BC_SINH!E137), 0)),"")</f>
        <v>Thôn A Máy</v>
      </c>
      <c r="J137" s="97" t="str">
        <f>IFERROR(VLOOKUP(B137,'Đất sản xuất'!$B$9:$C$216,2,0),"")</f>
        <v xml:space="preserve"> A Máy</v>
      </c>
      <c r="K137" s="97" t="str">
        <f>IFERROR(VLOOKUP(B137,'Sản xuất cấp huyên'!$B$9:$C$177,2,0),"")</f>
        <v/>
      </c>
      <c r="L137" s="4" t="str">
        <f>IFERROR(VLOOKUP(B137,'4069'!$B$9:$C$177,2,0),"")</f>
        <v/>
      </c>
      <c r="M137" s="4" t="str">
        <f t="array" ref="M137">IFERROR(INDEX(KODUDK!$C$8:$C$79, MATCH(1, (KODUDK!$D$8:$D$79=BC_SINH!D137)*(KODUDK!$E$8:$E$79=BC_SINH!E137), 0)),"")</f>
        <v/>
      </c>
      <c r="N137" s="4" t="str">
        <f t="array" ref="N137">IFERROR(INDEX(KODUDK!$H$8:$H$79, MATCH(1, (KODUDK!$D$8:$D$79=BC_SINH!D137)*(KODUDK!$E$8:$E$79=BC_SINH!E137), 0)),"")</f>
        <v/>
      </c>
      <c r="O137" s="4" t="str">
        <f t="array" ref="O137">IFERROR(INDEX('KO DU ĐK NQ10'!$C$8:$C$48, MATCH(1, ('KO DU ĐK NQ10'!$D$8:$D$48=BC_SINH!D137)*('KO DU ĐK NQ10'!$E$8:$E$48=BC_SINH!E137), 0)),"")</f>
        <v/>
      </c>
      <c r="P137" s="4" t="str">
        <f t="array" ref="P137">IFERROR(INDEX('KO DU ĐK NQ10'!$H$8:$H$48, MATCH(1, ('KO DU ĐK NQ10'!$D$8:$D$48=BC_SINH!D137)*('KO DU ĐK NQ10'!$E$8:$E$48=BC_SINH!E137), 0)),"")</f>
        <v/>
      </c>
      <c r="Q137" s="4" t="str">
        <f t="array" ref="Q137">IFERROR(INDEX('KO DU ĐK 4069'!$C$8:$C$38, MATCH(1, ('KO DU ĐK 4069'!$D$8:$D$38=BC_SINH!D137)*('KO DU ĐK 4069'!$E$8:$E$38=BC_SINH!E137), 0)),"")</f>
        <v/>
      </c>
      <c r="R137" s="4" t="str">
        <f t="array" ref="R137">IFERROR(INDEX('KO DU ĐK 4069'!$H$8:$H$38, MATCH(1, ('KO DU ĐK 4069'!$D$8:$D$38=BC_SINH!D137)*('KO DU ĐK 4069'!$E$8:$E$38=BC_SINH!E137), 0)),"")</f>
        <v/>
      </c>
      <c r="S137" s="4" t="str">
        <f t="array" ref="S137">IFERROR(INDEX(KeKhaiDangKy!$H$2:$H$4889, MATCH(1, (KeKhaiDangKy!$A$2:$A$4889=BC_SINH!D137)*(KeKhaiDangKy!$B$2:$B$4889=BC_SINH!E137), 0)),"")</f>
        <v/>
      </c>
    </row>
    <row r="138" spans="1:19" ht="14.45" customHeight="1" x14ac:dyDescent="0.25">
      <c r="A138" s="4">
        <f>IF(B138&lt;&gt;"", SUBTOTAL(3, $B$2:B138), "")</f>
        <v>137</v>
      </c>
      <c r="B138" s="4" t="s">
        <v>86</v>
      </c>
      <c r="C138" s="4" t="str">
        <f t="shared" si="2"/>
        <v>A Môr</v>
      </c>
      <c r="D138" s="4">
        <v>21</v>
      </c>
      <c r="E138" s="4">
        <v>167</v>
      </c>
      <c r="F138" s="4">
        <v>7476</v>
      </c>
      <c r="G138" s="4" t="s">
        <v>11</v>
      </c>
      <c r="H138" s="4" t="str">
        <f t="array" ref="H138">IFERROR(INDEX(DSCKXA!$B$3:$B$73, MATCH(1, (DSCKXA!$D$3:$D$73=BC_SINH!D138)*(DSCKXA!$E$3:$E$73=BC_SINH!E138), 0)),"")</f>
        <v/>
      </c>
      <c r="I138" s="99" t="str">
        <f t="array" ref="I138">IFERROR(INDEX(DSCKXA!$C$3:$C$73, MATCH(1, (DSCKXA!$D$3:$D$73=BC_SINH!D138)*(DSCKXA!$E$3:$E$73=BC_SINH!E138), 0)),"")</f>
        <v/>
      </c>
      <c r="J138" s="97" t="str">
        <f>IFERROR(VLOOKUP(B138,'Đất sản xuất'!$B$9:$C$216,2,0),"")</f>
        <v>A Môr</v>
      </c>
      <c r="K138" s="97" t="str">
        <f>IFERROR(VLOOKUP(B138,'Sản xuất cấp huyên'!$B$9:$C$177,2,0),"")</f>
        <v/>
      </c>
      <c r="L138" s="4" t="str">
        <f>IFERROR(VLOOKUP(B138,'4069'!$B$9:$C$177,2,0),"")</f>
        <v/>
      </c>
      <c r="M138" s="4" t="str">
        <f t="array" ref="M138">IFERROR(INDEX(KODUDK!$C$8:$C$79, MATCH(1, (KODUDK!$D$8:$D$79=BC_SINH!D138)*(KODUDK!$E$8:$E$79=BC_SINH!E138), 0)),"")</f>
        <v/>
      </c>
      <c r="N138" s="4" t="str">
        <f t="array" ref="N138">IFERROR(INDEX(KODUDK!$H$8:$H$79, MATCH(1, (KODUDK!$D$8:$D$79=BC_SINH!D138)*(KODUDK!$E$8:$E$79=BC_SINH!E138), 0)),"")</f>
        <v/>
      </c>
      <c r="O138" s="4" t="str">
        <f t="array" ref="O138">IFERROR(INDEX('KO DU ĐK NQ10'!$C$8:$C$48, MATCH(1, ('KO DU ĐK NQ10'!$D$8:$D$48=BC_SINH!D138)*('KO DU ĐK NQ10'!$E$8:$E$48=BC_SINH!E138), 0)),"")</f>
        <v/>
      </c>
      <c r="P138" s="4" t="str">
        <f t="array" ref="P138">IFERROR(INDEX('KO DU ĐK NQ10'!$H$8:$H$48, MATCH(1, ('KO DU ĐK NQ10'!$D$8:$D$48=BC_SINH!D138)*('KO DU ĐK NQ10'!$E$8:$E$48=BC_SINH!E138), 0)),"")</f>
        <v/>
      </c>
      <c r="Q138" s="4" t="str">
        <f t="array" ref="Q138">IFERROR(INDEX('KO DU ĐK 4069'!$C$8:$C$38, MATCH(1, ('KO DU ĐK 4069'!$D$8:$D$38=BC_SINH!D138)*('KO DU ĐK 4069'!$E$8:$E$38=BC_SINH!E138), 0)),"")</f>
        <v/>
      </c>
      <c r="R138" s="4" t="str">
        <f t="array" ref="R138">IFERROR(INDEX('KO DU ĐK 4069'!$H$8:$H$38, MATCH(1, ('KO DU ĐK 4069'!$D$8:$D$38=BC_SINH!D138)*('KO DU ĐK 4069'!$E$8:$E$38=BC_SINH!E138), 0)),"")</f>
        <v/>
      </c>
      <c r="S138" s="4" t="str">
        <f t="array" ref="S138">IFERROR(INDEX(KeKhaiDangKy!$H$2:$H$4889, MATCH(1, (KeKhaiDangKy!$A$2:$A$4889=BC_SINH!D138)*(KeKhaiDangKy!$B$2:$B$4889=BC_SINH!E138), 0)),"")</f>
        <v/>
      </c>
    </row>
    <row r="139" spans="1:19" ht="14.45" customHeight="1" x14ac:dyDescent="0.25">
      <c r="A139" s="4">
        <f>IF(B139&lt;&gt;"", SUBTOTAL(3, $B$2:B139), "")</f>
        <v>138</v>
      </c>
      <c r="B139" s="4" t="s">
        <v>86</v>
      </c>
      <c r="C139" s="4" t="str">
        <f t="shared" si="2"/>
        <v>A Môr</v>
      </c>
      <c r="D139" s="4">
        <v>21</v>
      </c>
      <c r="E139" s="4">
        <v>168</v>
      </c>
      <c r="F139" s="4">
        <v>7328</v>
      </c>
      <c r="G139" s="4" t="s">
        <v>11</v>
      </c>
      <c r="H139" s="4" t="str">
        <f t="array" ref="H139">IFERROR(INDEX(DSCKXA!$B$3:$B$73, MATCH(1, (DSCKXA!$D$3:$D$73=BC_SINH!D139)*(DSCKXA!$E$3:$E$73=BC_SINH!E139), 0)),"")</f>
        <v>Hồ Văn Khối</v>
      </c>
      <c r="I139" s="99" t="str">
        <f t="array" ref="I139">IFERROR(INDEX(DSCKXA!$C$3:$C$73, MATCH(1, (DSCKXA!$D$3:$D$73=BC_SINH!D139)*(DSCKXA!$E$3:$E$73=BC_SINH!E139), 0)),"")</f>
        <v>Thôn A Máy</v>
      </c>
      <c r="J139" s="97" t="str">
        <f>IFERROR(VLOOKUP(B139,'Đất sản xuất'!$B$9:$C$216,2,0),"")</f>
        <v>A Môr</v>
      </c>
      <c r="K139" s="97" t="str">
        <f>IFERROR(VLOOKUP(B139,'Sản xuất cấp huyên'!$B$9:$C$177,2,0),"")</f>
        <v/>
      </c>
      <c r="L139" s="4" t="str">
        <f>IFERROR(VLOOKUP(B139,'4069'!$B$9:$C$177,2,0),"")</f>
        <v/>
      </c>
      <c r="M139" s="4" t="str">
        <f t="array" ref="M139">IFERROR(INDEX(KODUDK!$C$8:$C$79, MATCH(1, (KODUDK!$D$8:$D$79=BC_SINH!D139)*(KODUDK!$E$8:$E$79=BC_SINH!E139), 0)),"")</f>
        <v/>
      </c>
      <c r="N139" s="4" t="str">
        <f t="array" ref="N139">IFERROR(INDEX(KODUDK!$H$8:$H$79, MATCH(1, (KODUDK!$D$8:$D$79=BC_SINH!D139)*(KODUDK!$E$8:$E$79=BC_SINH!E139), 0)),"")</f>
        <v/>
      </c>
      <c r="O139" s="4" t="str">
        <f t="array" ref="O139">IFERROR(INDEX('KO DU ĐK NQ10'!$C$8:$C$48, MATCH(1, ('KO DU ĐK NQ10'!$D$8:$D$48=BC_SINH!D139)*('KO DU ĐK NQ10'!$E$8:$E$48=BC_SINH!E139), 0)),"")</f>
        <v/>
      </c>
      <c r="P139" s="4" t="str">
        <f t="array" ref="P139">IFERROR(INDEX('KO DU ĐK NQ10'!$H$8:$H$48, MATCH(1, ('KO DU ĐK NQ10'!$D$8:$D$48=BC_SINH!D139)*('KO DU ĐK NQ10'!$E$8:$E$48=BC_SINH!E139), 0)),"")</f>
        <v/>
      </c>
      <c r="Q139" s="4" t="str">
        <f t="array" ref="Q139">IFERROR(INDEX('KO DU ĐK 4069'!$C$8:$C$38, MATCH(1, ('KO DU ĐK 4069'!$D$8:$D$38=BC_SINH!D139)*('KO DU ĐK 4069'!$E$8:$E$38=BC_SINH!E139), 0)),"")</f>
        <v/>
      </c>
      <c r="R139" s="4" t="str">
        <f t="array" ref="R139">IFERROR(INDEX('KO DU ĐK 4069'!$H$8:$H$38, MATCH(1, ('KO DU ĐK 4069'!$D$8:$D$38=BC_SINH!D139)*('KO DU ĐK 4069'!$E$8:$E$38=BC_SINH!E139), 0)),"")</f>
        <v/>
      </c>
      <c r="S139" s="4" t="str">
        <f t="array" ref="S139">IFERROR(INDEX(KeKhaiDangKy!$H$2:$H$4889, MATCH(1, (KeKhaiDangKy!$A$2:$A$4889=BC_SINH!D139)*(KeKhaiDangKy!$B$2:$B$4889=BC_SINH!E139), 0)),"")</f>
        <v/>
      </c>
    </row>
    <row r="140" spans="1:19" ht="14.45" customHeight="1" x14ac:dyDescent="0.25">
      <c r="A140" s="4">
        <f>IF(B140&lt;&gt;"", SUBTOTAL(3, $B$2:B140), "")</f>
        <v>139</v>
      </c>
      <c r="B140" s="4" t="s">
        <v>86</v>
      </c>
      <c r="C140" s="4" t="str">
        <f t="shared" si="2"/>
        <v>A Môr</v>
      </c>
      <c r="D140" s="4">
        <v>21</v>
      </c>
      <c r="E140" s="4">
        <v>169</v>
      </c>
      <c r="F140" s="4">
        <v>14540</v>
      </c>
      <c r="G140" s="4" t="s">
        <v>11</v>
      </c>
      <c r="H140" s="4" t="str">
        <f t="array" ref="H140">IFERROR(INDEX(DSCKXA!$B$3:$B$73, MATCH(1, (DSCKXA!$D$3:$D$73=BC_SINH!D140)*(DSCKXA!$E$3:$E$73=BC_SINH!E140), 0)),"")</f>
        <v/>
      </c>
      <c r="I140" s="99" t="str">
        <f t="array" ref="I140">IFERROR(INDEX(DSCKXA!$C$3:$C$73, MATCH(1, (DSCKXA!$D$3:$D$73=BC_SINH!D140)*(DSCKXA!$E$3:$E$73=BC_SINH!E140), 0)),"")</f>
        <v/>
      </c>
      <c r="J140" s="97" t="str">
        <f>IFERROR(VLOOKUP(B140,'Đất sản xuất'!$B$9:$C$216,2,0),"")</f>
        <v>A Môr</v>
      </c>
      <c r="K140" s="97" t="str">
        <f>IFERROR(VLOOKUP(B140,'Sản xuất cấp huyên'!$B$9:$C$177,2,0),"")</f>
        <v/>
      </c>
      <c r="L140" s="4" t="str">
        <f>IFERROR(VLOOKUP(B140,'4069'!$B$9:$C$177,2,0),"")</f>
        <v/>
      </c>
      <c r="M140" s="4" t="str">
        <f t="array" ref="M140">IFERROR(INDEX(KODUDK!$C$8:$C$79, MATCH(1, (KODUDK!$D$8:$D$79=BC_SINH!D140)*(KODUDK!$E$8:$E$79=BC_SINH!E140), 0)),"")</f>
        <v/>
      </c>
      <c r="N140" s="4" t="str">
        <f t="array" ref="N140">IFERROR(INDEX(KODUDK!$H$8:$H$79, MATCH(1, (KODUDK!$D$8:$D$79=BC_SINH!D140)*(KODUDK!$E$8:$E$79=BC_SINH!E140), 0)),"")</f>
        <v/>
      </c>
      <c r="O140" s="4" t="str">
        <f t="array" ref="O140">IFERROR(INDEX('KO DU ĐK NQ10'!$C$8:$C$48, MATCH(1, ('KO DU ĐK NQ10'!$D$8:$D$48=BC_SINH!D140)*('KO DU ĐK NQ10'!$E$8:$E$48=BC_SINH!E140), 0)),"")</f>
        <v/>
      </c>
      <c r="P140" s="4" t="str">
        <f t="array" ref="P140">IFERROR(INDEX('KO DU ĐK NQ10'!$H$8:$H$48, MATCH(1, ('KO DU ĐK NQ10'!$D$8:$D$48=BC_SINH!D140)*('KO DU ĐK NQ10'!$E$8:$E$48=BC_SINH!E140), 0)),"")</f>
        <v/>
      </c>
      <c r="Q140" s="4" t="str">
        <f t="array" ref="Q140">IFERROR(INDEX('KO DU ĐK 4069'!$C$8:$C$38, MATCH(1, ('KO DU ĐK 4069'!$D$8:$D$38=BC_SINH!D140)*('KO DU ĐK 4069'!$E$8:$E$38=BC_SINH!E140), 0)),"")</f>
        <v/>
      </c>
      <c r="R140" s="4" t="str">
        <f t="array" ref="R140">IFERROR(INDEX('KO DU ĐK 4069'!$H$8:$H$38, MATCH(1, ('KO DU ĐK 4069'!$D$8:$D$38=BC_SINH!D140)*('KO DU ĐK 4069'!$E$8:$E$38=BC_SINH!E140), 0)),"")</f>
        <v/>
      </c>
      <c r="S140" s="4" t="str">
        <f t="array" ref="S140">IFERROR(INDEX(KeKhaiDangKy!$H$2:$H$4889, MATCH(1, (KeKhaiDangKy!$A$2:$A$4889=BC_SINH!D140)*(KeKhaiDangKy!$B$2:$B$4889=BC_SINH!E140), 0)),"")</f>
        <v/>
      </c>
    </row>
    <row r="141" spans="1:19" ht="14.45" customHeight="1" x14ac:dyDescent="0.25">
      <c r="A141" s="4">
        <f>IF(B141&lt;&gt;"", SUBTOTAL(3, $B$2:B141), "")</f>
        <v>140</v>
      </c>
      <c r="B141" s="4" t="s">
        <v>87</v>
      </c>
      <c r="C141" s="4" t="str">
        <f t="shared" si="2"/>
        <v>Kỳ Tăng</v>
      </c>
      <c r="D141" s="4">
        <v>21</v>
      </c>
      <c r="E141" s="4">
        <v>170</v>
      </c>
      <c r="F141" s="4">
        <v>7810</v>
      </c>
      <c r="G141" s="4" t="s">
        <v>11</v>
      </c>
      <c r="H141" s="4" t="str">
        <f t="array" ref="H141">IFERROR(INDEX(DSCKXA!$B$3:$B$73, MATCH(1, (DSCKXA!$D$3:$D$73=BC_SINH!D141)*(DSCKXA!$E$3:$E$73=BC_SINH!E141), 0)),"")</f>
        <v/>
      </c>
      <c r="I141" s="99" t="str">
        <f t="array" ref="I141">IFERROR(INDEX(DSCKXA!$C$3:$C$73, MATCH(1, (DSCKXA!$D$3:$D$73=BC_SINH!D141)*(DSCKXA!$E$3:$E$73=BC_SINH!E141), 0)),"")</f>
        <v/>
      </c>
      <c r="J141" s="97" t="str">
        <f>IFERROR(VLOOKUP(B141,'Đất sản xuất'!$B$9:$C$216,2,0),"")</f>
        <v/>
      </c>
      <c r="K141" s="97" t="str">
        <f>IFERROR(VLOOKUP(B141,'Sản xuất cấp huyên'!$B$9:$C$177,2,0),"")</f>
        <v>Kỳ Tăng</v>
      </c>
      <c r="L141" s="4" t="str">
        <f>IFERROR(VLOOKUP(B141,'4069'!$B$9:$C$177,2,0),"")</f>
        <v>Kỳ Tăng</v>
      </c>
      <c r="M141" s="4" t="str">
        <f t="array" ref="M141">IFERROR(INDEX(KODUDK!$C$8:$C$79, MATCH(1, (KODUDK!$D$8:$D$79=BC_SINH!D141)*(KODUDK!$E$8:$E$79=BC_SINH!E141), 0)),"")</f>
        <v/>
      </c>
      <c r="N141" s="4" t="str">
        <f t="array" ref="N141">IFERROR(INDEX(KODUDK!$H$8:$H$79, MATCH(1, (KODUDK!$D$8:$D$79=BC_SINH!D141)*(KODUDK!$E$8:$E$79=BC_SINH!E141), 0)),"")</f>
        <v/>
      </c>
      <c r="O141" s="4" t="str">
        <f t="array" ref="O141">IFERROR(INDEX('KO DU ĐK NQ10'!$C$8:$C$48, MATCH(1, ('KO DU ĐK NQ10'!$D$8:$D$48=BC_SINH!D141)*('KO DU ĐK NQ10'!$E$8:$E$48=BC_SINH!E141), 0)),"")</f>
        <v/>
      </c>
      <c r="P141" s="4" t="str">
        <f t="array" ref="P141">IFERROR(INDEX('KO DU ĐK NQ10'!$H$8:$H$48, MATCH(1, ('KO DU ĐK NQ10'!$D$8:$D$48=BC_SINH!D141)*('KO DU ĐK NQ10'!$E$8:$E$48=BC_SINH!E141), 0)),"")</f>
        <v/>
      </c>
      <c r="Q141" s="4" t="str">
        <f t="array" ref="Q141">IFERROR(INDEX('KO DU ĐK 4069'!$C$8:$C$38, MATCH(1, ('KO DU ĐK 4069'!$D$8:$D$38=BC_SINH!D141)*('KO DU ĐK 4069'!$E$8:$E$38=BC_SINH!E141), 0)),"")</f>
        <v/>
      </c>
      <c r="R141" s="4" t="str">
        <f t="array" ref="R141">IFERROR(INDEX('KO DU ĐK 4069'!$H$8:$H$38, MATCH(1, ('KO DU ĐK 4069'!$D$8:$D$38=BC_SINH!D141)*('KO DU ĐK 4069'!$E$8:$E$38=BC_SINH!E141), 0)),"")</f>
        <v/>
      </c>
      <c r="S141" s="4" t="str">
        <f t="array" ref="S141">IFERROR(INDEX(KeKhaiDangKy!$H$2:$H$4889, MATCH(1, (KeKhaiDangKy!$A$2:$A$4889=BC_SINH!D141)*(KeKhaiDangKy!$B$2:$B$4889=BC_SINH!E141), 0)),"")</f>
        <v/>
      </c>
    </row>
    <row r="142" spans="1:19" ht="14.45" customHeight="1" x14ac:dyDescent="0.25">
      <c r="A142" s="4">
        <f>IF(B142&lt;&gt;"", SUBTOTAL(3, $B$2:B142), "")</f>
        <v>141</v>
      </c>
      <c r="B142" s="4" t="s">
        <v>88</v>
      </c>
      <c r="C142" s="4" t="str">
        <f t="shared" si="2"/>
        <v xml:space="preserve"> Kỳ Tăng</v>
      </c>
      <c r="D142" s="4">
        <v>21</v>
      </c>
      <c r="E142" s="4">
        <v>171</v>
      </c>
      <c r="F142" s="4">
        <v>3186</v>
      </c>
      <c r="G142" s="4" t="s">
        <v>11</v>
      </c>
      <c r="H142" s="4" t="str">
        <f t="array" ref="H142">IFERROR(INDEX(DSCKXA!$B$3:$B$73, MATCH(1, (DSCKXA!$D$3:$D$73=BC_SINH!D142)*(DSCKXA!$E$3:$E$73=BC_SINH!E142), 0)),"")</f>
        <v/>
      </c>
      <c r="I142" s="99" t="str">
        <f t="array" ref="I142">IFERROR(INDEX(DSCKXA!$C$3:$C$73, MATCH(1, (DSCKXA!$D$3:$D$73=BC_SINH!D142)*(DSCKXA!$E$3:$E$73=BC_SINH!E142), 0)),"")</f>
        <v/>
      </c>
      <c r="J142" s="97" t="str">
        <f>IFERROR(VLOOKUP(B142,'Đất sản xuất'!$B$9:$C$216,2,0),"")</f>
        <v xml:space="preserve"> Kỳ Tăng</v>
      </c>
      <c r="K142" s="97" t="str">
        <f>IFERROR(VLOOKUP(B142,'Sản xuất cấp huyên'!$B$9:$C$177,2,0),"")</f>
        <v/>
      </c>
      <c r="L142" s="4" t="str">
        <f>IFERROR(VLOOKUP(B142,'4069'!$B$9:$C$177,2,0),"")</f>
        <v/>
      </c>
      <c r="M142" s="4" t="str">
        <f t="array" ref="M142">IFERROR(INDEX(KODUDK!$C$8:$C$79, MATCH(1, (KODUDK!$D$8:$D$79=BC_SINH!D142)*(KODUDK!$E$8:$E$79=BC_SINH!E142), 0)),"")</f>
        <v>Kỳ Tăng</v>
      </c>
      <c r="N142" s="4" t="str">
        <f t="array" ref="N142">IFERROR(INDEX(KODUDK!$H$8:$H$79, MATCH(1, (KODUDK!$D$8:$D$79=BC_SINH!D142)*(KODUDK!$E$8:$E$79=BC_SINH!E142), 0)),"")</f>
        <v>Có 02 thửa đất nên loại 01 thửa</v>
      </c>
      <c r="O142" s="4" t="str">
        <f t="array" ref="O142">IFERROR(INDEX('KO DU ĐK NQ10'!$C$8:$C$48, MATCH(1, ('KO DU ĐK NQ10'!$D$8:$D$48=BC_SINH!D142)*('KO DU ĐK NQ10'!$E$8:$E$48=BC_SINH!E142), 0)),"")</f>
        <v>Kỳ Tăng</v>
      </c>
      <c r="P142" s="4" t="str">
        <f t="array" ref="P142">IFERROR(INDEX('KO DU ĐK NQ10'!$H$8:$H$48, MATCH(1, ('KO DU ĐK NQ10'!$D$8:$D$48=BC_SINH!D142)*('KO DU ĐK NQ10'!$E$8:$E$48=BC_SINH!E142), 0)),"")</f>
        <v>Có 02 thửa đất nên loại 01 thửa</v>
      </c>
      <c r="Q142" s="4" t="str">
        <f t="array" ref="Q142">IFERROR(INDEX('KO DU ĐK 4069'!$C$8:$C$38, MATCH(1, ('KO DU ĐK 4069'!$D$8:$D$38=BC_SINH!D142)*('KO DU ĐK 4069'!$E$8:$E$38=BC_SINH!E142), 0)),"")</f>
        <v/>
      </c>
      <c r="R142" s="4" t="str">
        <f t="array" ref="R142">IFERROR(INDEX('KO DU ĐK 4069'!$H$8:$H$38, MATCH(1, ('KO DU ĐK 4069'!$D$8:$D$38=BC_SINH!D142)*('KO DU ĐK 4069'!$E$8:$E$38=BC_SINH!E142), 0)),"")</f>
        <v/>
      </c>
      <c r="S142" s="4" t="str">
        <f t="array" ref="S142">IFERROR(INDEX(KeKhaiDangKy!$H$2:$H$4889, MATCH(1, (KeKhaiDangKy!$A$2:$A$4889=BC_SINH!D142)*(KeKhaiDangKy!$B$2:$B$4889=BC_SINH!E142), 0)),"")</f>
        <v/>
      </c>
    </row>
    <row r="143" spans="1:19" ht="14.45" customHeight="1" x14ac:dyDescent="0.25">
      <c r="A143" s="4">
        <f>IF(B143&lt;&gt;"", SUBTOTAL(3, $B$2:B143), "")</f>
        <v>142</v>
      </c>
      <c r="B143" s="4" t="s">
        <v>88</v>
      </c>
      <c r="C143" s="4" t="str">
        <f t="shared" si="2"/>
        <v xml:space="preserve"> Kỳ Tăng</v>
      </c>
      <c r="D143" s="4">
        <v>21</v>
      </c>
      <c r="E143" s="4">
        <v>172</v>
      </c>
      <c r="F143" s="4">
        <v>14831</v>
      </c>
      <c r="G143" s="4" t="s">
        <v>11</v>
      </c>
      <c r="H143" s="4" t="str">
        <f t="array" ref="H143">IFERROR(INDEX(DSCKXA!$B$3:$B$73, MATCH(1, (DSCKXA!$D$3:$D$73=BC_SINH!D143)*(DSCKXA!$E$3:$E$73=BC_SINH!E143), 0)),"")</f>
        <v>Hồ Văn Khư</v>
      </c>
      <c r="I143" s="99" t="str">
        <f t="array" ref="I143">IFERROR(INDEX(DSCKXA!$C$3:$C$73, MATCH(1, (DSCKXA!$D$3:$D$73=BC_SINH!D143)*(DSCKXA!$E$3:$E$73=BC_SINH!E143), 0)),"")</f>
        <v>Thôn Kỳ Tăng</v>
      </c>
      <c r="J143" s="97" t="str">
        <f>IFERROR(VLOOKUP(B143,'Đất sản xuất'!$B$9:$C$216,2,0),"")</f>
        <v xml:space="preserve"> Kỳ Tăng</v>
      </c>
      <c r="K143" s="97" t="str">
        <f>IFERROR(VLOOKUP(B143,'Sản xuất cấp huyên'!$B$9:$C$177,2,0),"")</f>
        <v/>
      </c>
      <c r="L143" s="4" t="str">
        <f>IFERROR(VLOOKUP(B143,'4069'!$B$9:$C$177,2,0),"")</f>
        <v/>
      </c>
      <c r="M143" s="4" t="str">
        <f t="array" ref="M143">IFERROR(INDEX(KODUDK!$C$8:$C$79, MATCH(1, (KODUDK!$D$8:$D$79=BC_SINH!D143)*(KODUDK!$E$8:$E$79=BC_SINH!E143), 0)),"")</f>
        <v/>
      </c>
      <c r="N143" s="4" t="str">
        <f t="array" ref="N143">IFERROR(INDEX(KODUDK!$H$8:$H$79, MATCH(1, (KODUDK!$D$8:$D$79=BC_SINH!D143)*(KODUDK!$E$8:$E$79=BC_SINH!E143), 0)),"")</f>
        <v/>
      </c>
      <c r="O143" s="4" t="str">
        <f t="array" ref="O143">IFERROR(INDEX('KO DU ĐK NQ10'!$C$8:$C$48, MATCH(1, ('KO DU ĐK NQ10'!$D$8:$D$48=BC_SINH!D143)*('KO DU ĐK NQ10'!$E$8:$E$48=BC_SINH!E143), 0)),"")</f>
        <v/>
      </c>
      <c r="P143" s="4" t="str">
        <f t="array" ref="P143">IFERROR(INDEX('KO DU ĐK NQ10'!$H$8:$H$48, MATCH(1, ('KO DU ĐK NQ10'!$D$8:$D$48=BC_SINH!D143)*('KO DU ĐK NQ10'!$E$8:$E$48=BC_SINH!E143), 0)),"")</f>
        <v/>
      </c>
      <c r="Q143" s="4" t="str">
        <f t="array" ref="Q143">IFERROR(INDEX('KO DU ĐK 4069'!$C$8:$C$38, MATCH(1, ('KO DU ĐK 4069'!$D$8:$D$38=BC_SINH!D143)*('KO DU ĐK 4069'!$E$8:$E$38=BC_SINH!E143), 0)),"")</f>
        <v/>
      </c>
      <c r="R143" s="4" t="str">
        <f t="array" ref="R143">IFERROR(INDEX('KO DU ĐK 4069'!$H$8:$H$38, MATCH(1, ('KO DU ĐK 4069'!$D$8:$D$38=BC_SINH!D143)*('KO DU ĐK 4069'!$E$8:$E$38=BC_SINH!E143), 0)),"")</f>
        <v/>
      </c>
      <c r="S143" s="4" t="str">
        <f t="array" ref="S143">IFERROR(INDEX(KeKhaiDangKy!$H$2:$H$4889, MATCH(1, (KeKhaiDangKy!$A$2:$A$4889=BC_SINH!D143)*(KeKhaiDangKy!$B$2:$B$4889=BC_SINH!E143), 0)),"")</f>
        <v/>
      </c>
    </row>
    <row r="144" spans="1:19" ht="14.45" customHeight="1" x14ac:dyDescent="0.25">
      <c r="A144" s="4">
        <f>IF(B144&lt;&gt;"", SUBTOTAL(3, $B$2:B144), "")</f>
        <v>143</v>
      </c>
      <c r="B144" s="4" t="s">
        <v>88</v>
      </c>
      <c r="C144" s="4" t="str">
        <f t="shared" si="2"/>
        <v xml:space="preserve"> Kỳ Tăng</v>
      </c>
      <c r="D144" s="4">
        <v>21</v>
      </c>
      <c r="E144" s="4">
        <v>173</v>
      </c>
      <c r="F144" s="4">
        <v>2547</v>
      </c>
      <c r="G144" s="4" t="s">
        <v>11</v>
      </c>
      <c r="H144" s="4" t="str">
        <f t="array" ref="H144">IFERROR(INDEX(DSCKXA!$B$3:$B$73, MATCH(1, (DSCKXA!$D$3:$D$73=BC_SINH!D144)*(DSCKXA!$E$3:$E$73=BC_SINH!E144), 0)),"")</f>
        <v/>
      </c>
      <c r="I144" s="99" t="str">
        <f t="array" ref="I144">IFERROR(INDEX(DSCKXA!$C$3:$C$73, MATCH(1, (DSCKXA!$D$3:$D$73=BC_SINH!D144)*(DSCKXA!$E$3:$E$73=BC_SINH!E144), 0)),"")</f>
        <v/>
      </c>
      <c r="J144" s="97" t="str">
        <f>IFERROR(VLOOKUP(B144,'Đất sản xuất'!$B$9:$C$216,2,0),"")</f>
        <v xml:space="preserve"> Kỳ Tăng</v>
      </c>
      <c r="K144" s="97" t="str">
        <f>IFERROR(VLOOKUP(B144,'Sản xuất cấp huyên'!$B$9:$C$177,2,0),"")</f>
        <v/>
      </c>
      <c r="L144" s="4" t="str">
        <f>IFERROR(VLOOKUP(B144,'4069'!$B$9:$C$177,2,0),"")</f>
        <v/>
      </c>
      <c r="M144" s="4" t="str">
        <f t="array" ref="M144">IFERROR(INDEX(KODUDK!$C$8:$C$79, MATCH(1, (KODUDK!$D$8:$D$79=BC_SINH!D144)*(KODUDK!$E$8:$E$79=BC_SINH!E144), 0)),"")</f>
        <v/>
      </c>
      <c r="N144" s="4" t="str">
        <f t="array" ref="N144">IFERROR(INDEX(KODUDK!$H$8:$H$79, MATCH(1, (KODUDK!$D$8:$D$79=BC_SINH!D144)*(KODUDK!$E$8:$E$79=BC_SINH!E144), 0)),"")</f>
        <v/>
      </c>
      <c r="O144" s="4" t="str">
        <f t="array" ref="O144">IFERROR(INDEX('KO DU ĐK NQ10'!$C$8:$C$48, MATCH(1, ('KO DU ĐK NQ10'!$D$8:$D$48=BC_SINH!D144)*('KO DU ĐK NQ10'!$E$8:$E$48=BC_SINH!E144), 0)),"")</f>
        <v/>
      </c>
      <c r="P144" s="4" t="str">
        <f t="array" ref="P144">IFERROR(INDEX('KO DU ĐK NQ10'!$H$8:$H$48, MATCH(1, ('KO DU ĐK NQ10'!$D$8:$D$48=BC_SINH!D144)*('KO DU ĐK NQ10'!$E$8:$E$48=BC_SINH!E144), 0)),"")</f>
        <v/>
      </c>
      <c r="Q144" s="4" t="str">
        <f t="array" ref="Q144">IFERROR(INDEX('KO DU ĐK 4069'!$C$8:$C$38, MATCH(1, ('KO DU ĐK 4069'!$D$8:$D$38=BC_SINH!D144)*('KO DU ĐK 4069'!$E$8:$E$38=BC_SINH!E144), 0)),"")</f>
        <v/>
      </c>
      <c r="R144" s="4" t="str">
        <f t="array" ref="R144">IFERROR(INDEX('KO DU ĐK 4069'!$H$8:$H$38, MATCH(1, ('KO DU ĐK 4069'!$D$8:$D$38=BC_SINH!D144)*('KO DU ĐK 4069'!$E$8:$E$38=BC_SINH!E144), 0)),"")</f>
        <v/>
      </c>
      <c r="S144" s="4" t="str">
        <f t="array" ref="S144">IFERROR(INDEX(KeKhaiDangKy!$H$2:$H$4889, MATCH(1, (KeKhaiDangKy!$A$2:$A$4889=BC_SINH!D144)*(KeKhaiDangKy!$B$2:$B$4889=BC_SINH!E144), 0)),"")</f>
        <v/>
      </c>
    </row>
    <row r="145" spans="1:19" ht="14.45" customHeight="1" x14ac:dyDescent="0.25">
      <c r="A145" s="4">
        <f>IF(B145&lt;&gt;"", SUBTOTAL(3, $B$2:B145), "")</f>
        <v>144</v>
      </c>
      <c r="B145" s="4" t="s">
        <v>88</v>
      </c>
      <c r="C145" s="4" t="str">
        <f t="shared" si="2"/>
        <v xml:space="preserve"> Kỳ Tăng</v>
      </c>
      <c r="D145" s="4">
        <v>21</v>
      </c>
      <c r="E145" s="4">
        <v>174</v>
      </c>
      <c r="F145" s="4">
        <v>11112</v>
      </c>
      <c r="G145" s="4" t="s">
        <v>11</v>
      </c>
      <c r="H145" s="4" t="str">
        <f t="array" ref="H145">IFERROR(INDEX(DSCKXA!$B$3:$B$73, MATCH(1, (DSCKXA!$D$3:$D$73=BC_SINH!D145)*(DSCKXA!$E$3:$E$73=BC_SINH!E145), 0)),"")</f>
        <v/>
      </c>
      <c r="I145" s="99" t="str">
        <f t="array" ref="I145">IFERROR(INDEX(DSCKXA!$C$3:$C$73, MATCH(1, (DSCKXA!$D$3:$D$73=BC_SINH!D145)*(DSCKXA!$E$3:$E$73=BC_SINH!E145), 0)),"")</f>
        <v/>
      </c>
      <c r="J145" s="97" t="str">
        <f>IFERROR(VLOOKUP(B145,'Đất sản xuất'!$B$9:$C$216,2,0),"")</f>
        <v xml:space="preserve"> Kỳ Tăng</v>
      </c>
      <c r="K145" s="97" t="str">
        <f>IFERROR(VLOOKUP(B145,'Sản xuất cấp huyên'!$B$9:$C$177,2,0),"")</f>
        <v/>
      </c>
      <c r="L145" s="4" t="str">
        <f>IFERROR(VLOOKUP(B145,'4069'!$B$9:$C$177,2,0),"")</f>
        <v/>
      </c>
      <c r="M145" s="4" t="str">
        <f t="array" ref="M145">IFERROR(INDEX(KODUDK!$C$8:$C$79, MATCH(1, (KODUDK!$D$8:$D$79=BC_SINH!D145)*(KODUDK!$E$8:$E$79=BC_SINH!E145), 0)),"")</f>
        <v>Thôn A Máy</v>
      </c>
      <c r="N145" s="4" t="str">
        <f t="array" ref="N145">IFERROR(INDEX(KODUDK!$H$8:$H$79, MATCH(1, (KODUDK!$D$8:$D$79=BC_SINH!D145)*(KODUDK!$E$8:$E$79=BC_SINH!E145), 0)),"")</f>
        <v>Có 04 thửa đất nên loại 03 thửa</v>
      </c>
      <c r="O145" s="4" t="str">
        <f t="array" ref="O145">IFERROR(INDEX('KO DU ĐK NQ10'!$C$8:$C$48, MATCH(1, ('KO DU ĐK NQ10'!$D$8:$D$48=BC_SINH!D145)*('KO DU ĐK NQ10'!$E$8:$E$48=BC_SINH!E145), 0)),"")</f>
        <v>Thôn A Máy</v>
      </c>
      <c r="P145" s="4" t="str">
        <f t="array" ref="P145">IFERROR(INDEX('KO DU ĐK NQ10'!$H$8:$H$48, MATCH(1, ('KO DU ĐK NQ10'!$D$8:$D$48=BC_SINH!D145)*('KO DU ĐK NQ10'!$E$8:$E$48=BC_SINH!E145), 0)),"")</f>
        <v>Có 04 thửa đất nên loại 03 thửa</v>
      </c>
      <c r="Q145" s="4" t="str">
        <f t="array" ref="Q145">IFERROR(INDEX('KO DU ĐK 4069'!$C$8:$C$38, MATCH(1, ('KO DU ĐK 4069'!$D$8:$D$38=BC_SINH!D145)*('KO DU ĐK 4069'!$E$8:$E$38=BC_SINH!E145), 0)),"")</f>
        <v/>
      </c>
      <c r="R145" s="4" t="str">
        <f t="array" ref="R145">IFERROR(INDEX('KO DU ĐK 4069'!$H$8:$H$38, MATCH(1, ('KO DU ĐK 4069'!$D$8:$D$38=BC_SINH!D145)*('KO DU ĐK 4069'!$E$8:$E$38=BC_SINH!E145), 0)),"")</f>
        <v/>
      </c>
      <c r="S145" s="4" t="str">
        <f t="array" ref="S145">IFERROR(INDEX(KeKhaiDangKy!$H$2:$H$4889, MATCH(1, (KeKhaiDangKy!$A$2:$A$4889=BC_SINH!D145)*(KeKhaiDangKy!$B$2:$B$4889=BC_SINH!E145), 0)),"")</f>
        <v/>
      </c>
    </row>
    <row r="146" spans="1:19" ht="14.45" customHeight="1" x14ac:dyDescent="0.25">
      <c r="A146" s="4">
        <f>IF(B146&lt;&gt;"", SUBTOTAL(3, $B$2:B146), "")</f>
        <v>145</v>
      </c>
      <c r="B146" s="4" t="s">
        <v>88</v>
      </c>
      <c r="C146" s="4" t="str">
        <f t="shared" si="2"/>
        <v xml:space="preserve"> Kỳ Tăng</v>
      </c>
      <c r="D146" s="4">
        <v>21</v>
      </c>
      <c r="E146" s="4">
        <v>175</v>
      </c>
      <c r="F146" s="4">
        <v>19372</v>
      </c>
      <c r="G146" s="4" t="s">
        <v>11</v>
      </c>
      <c r="H146" s="4" t="str">
        <f t="array" ref="H146">IFERROR(INDEX(DSCKXA!$B$3:$B$73, MATCH(1, (DSCKXA!$D$3:$D$73=BC_SINH!D146)*(DSCKXA!$E$3:$E$73=BC_SINH!E146), 0)),"")</f>
        <v>Hồ Văn Khư</v>
      </c>
      <c r="I146" s="99" t="str">
        <f t="array" ref="I146">IFERROR(INDEX(DSCKXA!$C$3:$C$73, MATCH(1, (DSCKXA!$D$3:$D$73=BC_SINH!D146)*(DSCKXA!$E$3:$E$73=BC_SINH!E146), 0)),"")</f>
        <v>Thôn A Máy</v>
      </c>
      <c r="J146" s="97" t="str">
        <f>IFERROR(VLOOKUP(B146,'Đất sản xuất'!$B$9:$C$216,2,0),"")</f>
        <v xml:space="preserve"> Kỳ Tăng</v>
      </c>
      <c r="K146" s="97" t="str">
        <f>IFERROR(VLOOKUP(B146,'Sản xuất cấp huyên'!$B$9:$C$177,2,0),"")</f>
        <v/>
      </c>
      <c r="L146" s="4" t="str">
        <f>IFERROR(VLOOKUP(B146,'4069'!$B$9:$C$177,2,0),"")</f>
        <v/>
      </c>
      <c r="M146" s="4" t="str">
        <f t="array" ref="M146">IFERROR(INDEX(KODUDK!$C$8:$C$79, MATCH(1, (KODUDK!$D$8:$D$79=BC_SINH!D146)*(KODUDK!$E$8:$E$79=BC_SINH!E146), 0)),"")</f>
        <v/>
      </c>
      <c r="N146" s="4" t="str">
        <f t="array" ref="N146">IFERROR(INDEX(KODUDK!$H$8:$H$79, MATCH(1, (KODUDK!$D$8:$D$79=BC_SINH!D146)*(KODUDK!$E$8:$E$79=BC_SINH!E146), 0)),"")</f>
        <v/>
      </c>
      <c r="O146" s="4" t="str">
        <f t="array" ref="O146">IFERROR(INDEX('KO DU ĐK NQ10'!$C$8:$C$48, MATCH(1, ('KO DU ĐK NQ10'!$D$8:$D$48=BC_SINH!D146)*('KO DU ĐK NQ10'!$E$8:$E$48=BC_SINH!E146), 0)),"")</f>
        <v/>
      </c>
      <c r="P146" s="4" t="str">
        <f t="array" ref="P146">IFERROR(INDEX('KO DU ĐK NQ10'!$H$8:$H$48, MATCH(1, ('KO DU ĐK NQ10'!$D$8:$D$48=BC_SINH!D146)*('KO DU ĐK NQ10'!$E$8:$E$48=BC_SINH!E146), 0)),"")</f>
        <v/>
      </c>
      <c r="Q146" s="4" t="str">
        <f t="array" ref="Q146">IFERROR(INDEX('KO DU ĐK 4069'!$C$8:$C$38, MATCH(1, ('KO DU ĐK 4069'!$D$8:$D$38=BC_SINH!D146)*('KO DU ĐK 4069'!$E$8:$E$38=BC_SINH!E146), 0)),"")</f>
        <v/>
      </c>
      <c r="R146" s="4" t="str">
        <f t="array" ref="R146">IFERROR(INDEX('KO DU ĐK 4069'!$H$8:$H$38, MATCH(1, ('KO DU ĐK 4069'!$D$8:$D$38=BC_SINH!D146)*('KO DU ĐK 4069'!$E$8:$E$38=BC_SINH!E146), 0)),"")</f>
        <v/>
      </c>
      <c r="S146" s="4" t="str">
        <f t="array" ref="S146">IFERROR(INDEX(KeKhaiDangKy!$H$2:$H$4889, MATCH(1, (KeKhaiDangKy!$A$2:$A$4889=BC_SINH!D146)*(KeKhaiDangKy!$B$2:$B$4889=BC_SINH!E146), 0)),"")</f>
        <v/>
      </c>
    </row>
    <row r="147" spans="1:19" ht="14.45" customHeight="1" x14ac:dyDescent="0.25">
      <c r="A147" s="4">
        <f>IF(B147&lt;&gt;"", SUBTOTAL(3, $B$2:B147), "")</f>
        <v>146</v>
      </c>
      <c r="B147" s="4" t="s">
        <v>88</v>
      </c>
      <c r="C147" s="4" t="str">
        <f t="shared" si="2"/>
        <v xml:space="preserve"> Kỳ Tăng</v>
      </c>
      <c r="D147" s="4">
        <v>21</v>
      </c>
      <c r="E147" s="4">
        <v>176</v>
      </c>
      <c r="F147" s="4">
        <v>18329</v>
      </c>
      <c r="G147" s="4" t="s">
        <v>11</v>
      </c>
      <c r="H147" s="4" t="str">
        <f t="array" ref="H147">IFERROR(INDEX(DSCKXA!$B$3:$B$73, MATCH(1, (DSCKXA!$D$3:$D$73=BC_SINH!D147)*(DSCKXA!$E$3:$E$73=BC_SINH!E147), 0)),"")</f>
        <v/>
      </c>
      <c r="I147" s="99" t="str">
        <f t="array" ref="I147">IFERROR(INDEX(DSCKXA!$C$3:$C$73, MATCH(1, (DSCKXA!$D$3:$D$73=BC_SINH!D147)*(DSCKXA!$E$3:$E$73=BC_SINH!E147), 0)),"")</f>
        <v/>
      </c>
      <c r="J147" s="97" t="str">
        <f>IFERROR(VLOOKUP(B147,'Đất sản xuất'!$B$9:$C$216,2,0),"")</f>
        <v xml:space="preserve"> Kỳ Tăng</v>
      </c>
      <c r="K147" s="97" t="str">
        <f>IFERROR(VLOOKUP(B147,'Sản xuất cấp huyên'!$B$9:$C$177,2,0),"")</f>
        <v/>
      </c>
      <c r="L147" s="4" t="str">
        <f>IFERROR(VLOOKUP(B147,'4069'!$B$9:$C$177,2,0),"")</f>
        <v/>
      </c>
      <c r="M147" s="4" t="str">
        <f t="array" ref="M147">IFERROR(INDEX(KODUDK!$C$8:$C$79, MATCH(1, (KODUDK!$D$8:$D$79=BC_SINH!D147)*(KODUDK!$E$8:$E$79=BC_SINH!E147), 0)),"")</f>
        <v>Thôn A Máy</v>
      </c>
      <c r="N147" s="4" t="str">
        <f t="array" ref="N147">IFERROR(INDEX(KODUDK!$H$8:$H$79, MATCH(1, (KODUDK!$D$8:$D$79=BC_SINH!D147)*(KODUDK!$E$8:$E$79=BC_SINH!E147), 0)),"")</f>
        <v>Có 04 thửa đất nên loại 03 thửa</v>
      </c>
      <c r="O147" s="4" t="str">
        <f t="array" ref="O147">IFERROR(INDEX('KO DU ĐK NQ10'!$C$8:$C$48, MATCH(1, ('KO DU ĐK NQ10'!$D$8:$D$48=BC_SINH!D147)*('KO DU ĐK NQ10'!$E$8:$E$48=BC_SINH!E147), 0)),"")</f>
        <v>Thôn A Máy</v>
      </c>
      <c r="P147" s="4" t="str">
        <f t="array" ref="P147">IFERROR(INDEX('KO DU ĐK NQ10'!$H$8:$H$48, MATCH(1, ('KO DU ĐK NQ10'!$D$8:$D$48=BC_SINH!D147)*('KO DU ĐK NQ10'!$E$8:$E$48=BC_SINH!E147), 0)),"")</f>
        <v>Có 04 thửa đất nên loại 03 thửa</v>
      </c>
      <c r="Q147" s="4" t="str">
        <f t="array" ref="Q147">IFERROR(INDEX('KO DU ĐK 4069'!$C$8:$C$38, MATCH(1, ('KO DU ĐK 4069'!$D$8:$D$38=BC_SINH!D147)*('KO DU ĐK 4069'!$E$8:$E$38=BC_SINH!E147), 0)),"")</f>
        <v/>
      </c>
      <c r="R147" s="4" t="str">
        <f t="array" ref="R147">IFERROR(INDEX('KO DU ĐK 4069'!$H$8:$H$38, MATCH(1, ('KO DU ĐK 4069'!$D$8:$D$38=BC_SINH!D147)*('KO DU ĐK 4069'!$E$8:$E$38=BC_SINH!E147), 0)),"")</f>
        <v/>
      </c>
      <c r="S147" s="4" t="str">
        <f t="array" ref="S147">IFERROR(INDEX(KeKhaiDangKy!$H$2:$H$4889, MATCH(1, (KeKhaiDangKy!$A$2:$A$4889=BC_SINH!D147)*(KeKhaiDangKy!$B$2:$B$4889=BC_SINH!E147), 0)),"")</f>
        <v/>
      </c>
    </row>
    <row r="148" spans="1:19" ht="14.45" customHeight="1" x14ac:dyDescent="0.25">
      <c r="A148" s="4">
        <f>IF(B148&lt;&gt;"", SUBTOTAL(3, $B$2:B148), "")</f>
        <v>147</v>
      </c>
      <c r="B148" s="4" t="s">
        <v>89</v>
      </c>
      <c r="C148" s="4" t="str">
        <f t="shared" si="2"/>
        <v xml:space="preserve"> Kỳ Tăng</v>
      </c>
      <c r="D148" s="4">
        <v>21</v>
      </c>
      <c r="E148" s="4">
        <v>177</v>
      </c>
      <c r="F148" s="4">
        <v>12061</v>
      </c>
      <c r="G148" s="4" t="s">
        <v>11</v>
      </c>
      <c r="H148" s="4" t="str">
        <f t="array" ref="H148">IFERROR(INDEX(DSCKXA!$B$3:$B$73, MATCH(1, (DSCKXA!$D$3:$D$73=BC_SINH!D148)*(DSCKXA!$E$3:$E$73=BC_SINH!E148), 0)),"")</f>
        <v>Hồ Văn Khua</v>
      </c>
      <c r="I148" s="99" t="str">
        <f t="array" ref="I148">IFERROR(INDEX(DSCKXA!$C$3:$C$73, MATCH(1, (DSCKXA!$D$3:$D$73=BC_SINH!D148)*(DSCKXA!$E$3:$E$73=BC_SINH!E148), 0)),"")</f>
        <v>Thôn Kỳ Tăng</v>
      </c>
      <c r="J148" s="97" t="str">
        <f>IFERROR(VLOOKUP(B148,'Đất sản xuất'!$B$9:$C$216,2,0),"")</f>
        <v xml:space="preserve"> Kỳ Tăng</v>
      </c>
      <c r="K148" s="97" t="str">
        <f>IFERROR(VLOOKUP(B148,'Sản xuất cấp huyên'!$B$9:$C$177,2,0),"")</f>
        <v/>
      </c>
      <c r="L148" s="4" t="str">
        <f>IFERROR(VLOOKUP(B148,'4069'!$B$9:$C$177,2,0),"")</f>
        <v/>
      </c>
      <c r="M148" s="4" t="str">
        <f t="array" ref="M148">IFERROR(INDEX(KODUDK!$C$8:$C$79, MATCH(1, (KODUDK!$D$8:$D$79=BC_SINH!D148)*(KODUDK!$E$8:$E$79=BC_SINH!E148), 0)),"")</f>
        <v/>
      </c>
      <c r="N148" s="4" t="str">
        <f t="array" ref="N148">IFERROR(INDEX(KODUDK!$H$8:$H$79, MATCH(1, (KODUDK!$D$8:$D$79=BC_SINH!D148)*(KODUDK!$E$8:$E$79=BC_SINH!E148), 0)),"")</f>
        <v/>
      </c>
      <c r="O148" s="4" t="str">
        <f t="array" ref="O148">IFERROR(INDEX('KO DU ĐK NQ10'!$C$8:$C$48, MATCH(1, ('KO DU ĐK NQ10'!$D$8:$D$48=BC_SINH!D148)*('KO DU ĐK NQ10'!$E$8:$E$48=BC_SINH!E148), 0)),"")</f>
        <v/>
      </c>
      <c r="P148" s="4" t="str">
        <f t="array" ref="P148">IFERROR(INDEX('KO DU ĐK NQ10'!$H$8:$H$48, MATCH(1, ('KO DU ĐK NQ10'!$D$8:$D$48=BC_SINH!D148)*('KO DU ĐK NQ10'!$E$8:$E$48=BC_SINH!E148), 0)),"")</f>
        <v/>
      </c>
      <c r="Q148" s="4" t="str">
        <f t="array" ref="Q148">IFERROR(INDEX('KO DU ĐK 4069'!$C$8:$C$38, MATCH(1, ('KO DU ĐK 4069'!$D$8:$D$38=BC_SINH!D148)*('KO DU ĐK 4069'!$E$8:$E$38=BC_SINH!E148), 0)),"")</f>
        <v/>
      </c>
      <c r="R148" s="4" t="str">
        <f t="array" ref="R148">IFERROR(INDEX('KO DU ĐK 4069'!$H$8:$H$38, MATCH(1, ('KO DU ĐK 4069'!$D$8:$D$38=BC_SINH!D148)*('KO DU ĐK 4069'!$E$8:$E$38=BC_SINH!E148), 0)),"")</f>
        <v/>
      </c>
      <c r="S148" s="4" t="str">
        <f t="array" ref="S148">IFERROR(INDEX(KeKhaiDangKy!$H$2:$H$4889, MATCH(1, (KeKhaiDangKy!$A$2:$A$4889=BC_SINH!D148)*(KeKhaiDangKy!$B$2:$B$4889=BC_SINH!E148), 0)),"")</f>
        <v/>
      </c>
    </row>
    <row r="149" spans="1:19" ht="14.45" customHeight="1" x14ac:dyDescent="0.25">
      <c r="A149" s="4">
        <f>IF(B149&lt;&gt;"", SUBTOTAL(3, $B$2:B149), "")</f>
        <v>148</v>
      </c>
      <c r="B149" s="4" t="s">
        <v>90</v>
      </c>
      <c r="C149" s="4" t="str">
        <f t="shared" si="2"/>
        <v>A Máy</v>
      </c>
      <c r="D149" s="4">
        <v>21</v>
      </c>
      <c r="E149" s="4">
        <v>178</v>
      </c>
      <c r="F149" s="4">
        <v>6472</v>
      </c>
      <c r="G149" s="4" t="s">
        <v>11</v>
      </c>
      <c r="H149" s="4" t="str">
        <f t="array" ref="H149">IFERROR(INDEX(DSCKXA!$B$3:$B$73, MATCH(1, (DSCKXA!$D$3:$D$73=BC_SINH!D149)*(DSCKXA!$E$3:$E$73=BC_SINH!E149), 0)),"")</f>
        <v/>
      </c>
      <c r="I149" s="99" t="str">
        <f t="array" ref="I149">IFERROR(INDEX(DSCKXA!$C$3:$C$73, MATCH(1, (DSCKXA!$D$3:$D$73=BC_SINH!D149)*(DSCKXA!$E$3:$E$73=BC_SINH!E149), 0)),"")</f>
        <v/>
      </c>
      <c r="J149" s="97" t="str">
        <f>IFERROR(VLOOKUP(B149,'Đất sản xuất'!$B$9:$C$216,2,0),"")</f>
        <v>A Máy</v>
      </c>
      <c r="K149" s="97" t="str">
        <f>IFERROR(VLOOKUP(B149,'Sản xuất cấp huyên'!$B$9:$C$177,2,0),"")</f>
        <v/>
      </c>
      <c r="L149" s="4" t="str">
        <f>IFERROR(VLOOKUP(B149,'4069'!$B$9:$C$177,2,0),"")</f>
        <v/>
      </c>
      <c r="M149" s="4" t="str">
        <f t="array" ref="M149">IFERROR(INDEX(KODUDK!$C$8:$C$79, MATCH(1, (KODUDK!$D$8:$D$79=BC_SINH!D149)*(KODUDK!$E$8:$E$79=BC_SINH!E149), 0)),"")</f>
        <v>Thôn A Máy</v>
      </c>
      <c r="N149" s="4" t="str">
        <f t="array" ref="N149">IFERROR(INDEX(KODUDK!$H$8:$H$79, MATCH(1, (KODUDK!$D$8:$D$79=BC_SINH!D149)*(KODUDK!$E$8:$E$79=BC_SINH!E149), 0)),"")</f>
        <v>Có 03 thửa đất nên loại 02 thửa</v>
      </c>
      <c r="O149" s="4" t="str">
        <f t="array" ref="O149">IFERROR(INDEX('KO DU ĐK NQ10'!$C$8:$C$48, MATCH(1, ('KO DU ĐK NQ10'!$D$8:$D$48=BC_SINH!D149)*('KO DU ĐK NQ10'!$E$8:$E$48=BC_SINH!E149), 0)),"")</f>
        <v>Thôn A Máy</v>
      </c>
      <c r="P149" s="4" t="str">
        <f t="array" ref="P149">IFERROR(INDEX('KO DU ĐK NQ10'!$H$8:$H$48, MATCH(1, ('KO DU ĐK NQ10'!$D$8:$D$48=BC_SINH!D149)*('KO DU ĐK NQ10'!$E$8:$E$48=BC_SINH!E149), 0)),"")</f>
        <v>Có 03 thửa đất nên loại 02 thửa</v>
      </c>
      <c r="Q149" s="4" t="str">
        <f t="array" ref="Q149">IFERROR(INDEX('KO DU ĐK 4069'!$C$8:$C$38, MATCH(1, ('KO DU ĐK 4069'!$D$8:$D$38=BC_SINH!D149)*('KO DU ĐK 4069'!$E$8:$E$38=BC_SINH!E149), 0)),"")</f>
        <v/>
      </c>
      <c r="R149" s="4" t="str">
        <f t="array" ref="R149">IFERROR(INDEX('KO DU ĐK 4069'!$H$8:$H$38, MATCH(1, ('KO DU ĐK 4069'!$D$8:$D$38=BC_SINH!D149)*('KO DU ĐK 4069'!$E$8:$E$38=BC_SINH!E149), 0)),"")</f>
        <v/>
      </c>
      <c r="S149" s="4" t="str">
        <f t="array" ref="S149">IFERROR(INDEX(KeKhaiDangKy!$H$2:$H$4889, MATCH(1, (KeKhaiDangKy!$A$2:$A$4889=BC_SINH!D149)*(KeKhaiDangKy!$B$2:$B$4889=BC_SINH!E149), 0)),"")</f>
        <v/>
      </c>
    </row>
    <row r="150" spans="1:19" ht="14.45" customHeight="1" x14ac:dyDescent="0.25">
      <c r="A150" s="4">
        <f>IF(B150&lt;&gt;"", SUBTOTAL(3, $B$2:B150), "")</f>
        <v>149</v>
      </c>
      <c r="B150" s="4" t="s">
        <v>90</v>
      </c>
      <c r="C150" s="4" t="str">
        <f t="shared" si="2"/>
        <v>A Máy</v>
      </c>
      <c r="D150" s="4">
        <v>21</v>
      </c>
      <c r="E150" s="4">
        <v>179</v>
      </c>
      <c r="F150" s="4">
        <v>10813</v>
      </c>
      <c r="G150" s="4" t="s">
        <v>11</v>
      </c>
      <c r="H150" s="4" t="str">
        <f t="array" ref="H150">IFERROR(INDEX(DSCKXA!$B$3:$B$73, MATCH(1, (DSCKXA!$D$3:$D$73=BC_SINH!D150)*(DSCKXA!$E$3:$E$73=BC_SINH!E150), 0)),"")</f>
        <v/>
      </c>
      <c r="I150" s="99" t="str">
        <f t="array" ref="I150">IFERROR(INDEX(DSCKXA!$C$3:$C$73, MATCH(1, (DSCKXA!$D$3:$D$73=BC_SINH!D150)*(DSCKXA!$E$3:$E$73=BC_SINH!E150), 0)),"")</f>
        <v/>
      </c>
      <c r="J150" s="97" t="str">
        <f>IFERROR(VLOOKUP(B150,'Đất sản xuất'!$B$9:$C$216,2,0),"")</f>
        <v>A Máy</v>
      </c>
      <c r="K150" s="97" t="str">
        <f>IFERROR(VLOOKUP(B150,'Sản xuất cấp huyên'!$B$9:$C$177,2,0),"")</f>
        <v/>
      </c>
      <c r="L150" s="4" t="str">
        <f>IFERROR(VLOOKUP(B150,'4069'!$B$9:$C$177,2,0),"")</f>
        <v/>
      </c>
      <c r="M150" s="4" t="str">
        <f t="array" ref="M150">IFERROR(INDEX(KODUDK!$C$8:$C$79, MATCH(1, (KODUDK!$D$8:$D$79=BC_SINH!D150)*(KODUDK!$E$8:$E$79=BC_SINH!E150), 0)),"")</f>
        <v>Thôn A Máy</v>
      </c>
      <c r="N150" s="4" t="str">
        <f t="array" ref="N150">IFERROR(INDEX(KODUDK!$H$8:$H$79, MATCH(1, (KODUDK!$D$8:$D$79=BC_SINH!D150)*(KODUDK!$E$8:$E$79=BC_SINH!E150), 0)),"")</f>
        <v>Có 04 thửa đất nên loại 03 thửa</v>
      </c>
      <c r="O150" s="4" t="str">
        <f t="array" ref="O150">IFERROR(INDEX('KO DU ĐK NQ10'!$C$8:$C$48, MATCH(1, ('KO DU ĐK NQ10'!$D$8:$D$48=BC_SINH!D150)*('KO DU ĐK NQ10'!$E$8:$E$48=BC_SINH!E150), 0)),"")</f>
        <v>Thôn A Máy</v>
      </c>
      <c r="P150" s="4" t="str">
        <f t="array" ref="P150">IFERROR(INDEX('KO DU ĐK NQ10'!$H$8:$H$48, MATCH(1, ('KO DU ĐK NQ10'!$D$8:$D$48=BC_SINH!D150)*('KO DU ĐK NQ10'!$E$8:$E$48=BC_SINH!E150), 0)),"")</f>
        <v>Có 04 thửa đất nên loại 03 thửa</v>
      </c>
      <c r="Q150" s="4" t="str">
        <f t="array" ref="Q150">IFERROR(INDEX('KO DU ĐK 4069'!$C$8:$C$38, MATCH(1, ('KO DU ĐK 4069'!$D$8:$D$38=BC_SINH!D150)*('KO DU ĐK 4069'!$E$8:$E$38=BC_SINH!E150), 0)),"")</f>
        <v/>
      </c>
      <c r="R150" s="4" t="str">
        <f t="array" ref="R150">IFERROR(INDEX('KO DU ĐK 4069'!$H$8:$H$38, MATCH(1, ('KO DU ĐK 4069'!$D$8:$D$38=BC_SINH!D150)*('KO DU ĐK 4069'!$E$8:$E$38=BC_SINH!E150), 0)),"")</f>
        <v/>
      </c>
      <c r="S150" s="4" t="str">
        <f t="array" ref="S150">IFERROR(INDEX(KeKhaiDangKy!$H$2:$H$4889, MATCH(1, (KeKhaiDangKy!$A$2:$A$4889=BC_SINH!D150)*(KeKhaiDangKy!$B$2:$B$4889=BC_SINH!E150), 0)),"")</f>
        <v/>
      </c>
    </row>
    <row r="151" spans="1:19" ht="14.45" customHeight="1" x14ac:dyDescent="0.25">
      <c r="A151" s="4">
        <f>IF(B151&lt;&gt;"", SUBTOTAL(3, $B$2:B151), "")</f>
        <v>150</v>
      </c>
      <c r="B151" s="4" t="s">
        <v>90</v>
      </c>
      <c r="C151" s="4" t="str">
        <f t="shared" si="2"/>
        <v>A Máy</v>
      </c>
      <c r="D151" s="4">
        <v>21</v>
      </c>
      <c r="E151" s="4">
        <v>180</v>
      </c>
      <c r="F151" s="4">
        <v>7786</v>
      </c>
      <c r="G151" s="4" t="s">
        <v>11</v>
      </c>
      <c r="H151" s="4" t="str">
        <f t="array" ref="H151">IFERROR(INDEX(DSCKXA!$B$3:$B$73, MATCH(1, (DSCKXA!$D$3:$D$73=BC_SINH!D151)*(DSCKXA!$E$3:$E$73=BC_SINH!E151), 0)),"")</f>
        <v/>
      </c>
      <c r="I151" s="99" t="str">
        <f t="array" ref="I151">IFERROR(INDEX(DSCKXA!$C$3:$C$73, MATCH(1, (DSCKXA!$D$3:$D$73=BC_SINH!D151)*(DSCKXA!$E$3:$E$73=BC_SINH!E151), 0)),"")</f>
        <v/>
      </c>
      <c r="J151" s="97" t="str">
        <f>IFERROR(VLOOKUP(B151,'Đất sản xuất'!$B$9:$C$216,2,0),"")</f>
        <v>A Máy</v>
      </c>
      <c r="K151" s="97" t="str">
        <f>IFERROR(VLOOKUP(B151,'Sản xuất cấp huyên'!$B$9:$C$177,2,0),"")</f>
        <v/>
      </c>
      <c r="L151" s="4" t="str">
        <f>IFERROR(VLOOKUP(B151,'4069'!$B$9:$C$177,2,0),"")</f>
        <v/>
      </c>
      <c r="M151" s="4" t="str">
        <f t="array" ref="M151">IFERROR(INDEX(KODUDK!$C$8:$C$79, MATCH(1, (KODUDK!$D$8:$D$79=BC_SINH!D151)*(KODUDK!$E$8:$E$79=BC_SINH!E151), 0)),"")</f>
        <v/>
      </c>
      <c r="N151" s="4" t="str">
        <f t="array" ref="N151">IFERROR(INDEX(KODUDK!$H$8:$H$79, MATCH(1, (KODUDK!$D$8:$D$79=BC_SINH!D151)*(KODUDK!$E$8:$E$79=BC_SINH!E151), 0)),"")</f>
        <v/>
      </c>
      <c r="O151" s="4" t="str">
        <f t="array" ref="O151">IFERROR(INDEX('KO DU ĐK NQ10'!$C$8:$C$48, MATCH(1, ('KO DU ĐK NQ10'!$D$8:$D$48=BC_SINH!D151)*('KO DU ĐK NQ10'!$E$8:$E$48=BC_SINH!E151), 0)),"")</f>
        <v/>
      </c>
      <c r="P151" s="4" t="str">
        <f t="array" ref="P151">IFERROR(INDEX('KO DU ĐK NQ10'!$H$8:$H$48, MATCH(1, ('KO DU ĐK NQ10'!$D$8:$D$48=BC_SINH!D151)*('KO DU ĐK NQ10'!$E$8:$E$48=BC_SINH!E151), 0)),"")</f>
        <v/>
      </c>
      <c r="Q151" s="4" t="str">
        <f t="array" ref="Q151">IFERROR(INDEX('KO DU ĐK 4069'!$C$8:$C$38, MATCH(1, ('KO DU ĐK 4069'!$D$8:$D$38=BC_SINH!D151)*('KO DU ĐK 4069'!$E$8:$E$38=BC_SINH!E151), 0)),"")</f>
        <v/>
      </c>
      <c r="R151" s="4" t="str">
        <f t="array" ref="R151">IFERROR(INDEX('KO DU ĐK 4069'!$H$8:$H$38, MATCH(1, ('KO DU ĐK 4069'!$D$8:$D$38=BC_SINH!D151)*('KO DU ĐK 4069'!$E$8:$E$38=BC_SINH!E151), 0)),"")</f>
        <v/>
      </c>
      <c r="S151" s="4" t="str">
        <f t="array" ref="S151">IFERROR(INDEX(KeKhaiDangKy!$H$2:$H$4889, MATCH(1, (KeKhaiDangKy!$A$2:$A$4889=BC_SINH!D151)*(KeKhaiDangKy!$B$2:$B$4889=BC_SINH!E151), 0)),"")</f>
        <v/>
      </c>
    </row>
    <row r="152" spans="1:19" ht="14.45" customHeight="1" x14ac:dyDescent="0.25">
      <c r="A152" s="4">
        <f>IF(B152&lt;&gt;"", SUBTOTAL(3, $B$2:B152), "")</f>
        <v>151</v>
      </c>
      <c r="B152" s="4" t="s">
        <v>90</v>
      </c>
      <c r="C152" s="4" t="str">
        <f t="shared" si="2"/>
        <v>A Máy</v>
      </c>
      <c r="D152" s="4">
        <v>21</v>
      </c>
      <c r="E152" s="4">
        <v>181</v>
      </c>
      <c r="F152" s="4">
        <v>26159</v>
      </c>
      <c r="G152" s="4" t="s">
        <v>11</v>
      </c>
      <c r="H152" s="4" t="str">
        <f t="array" ref="H152">IFERROR(INDEX(DSCKXA!$B$3:$B$73, MATCH(1, (DSCKXA!$D$3:$D$73=BC_SINH!D152)*(DSCKXA!$E$3:$E$73=BC_SINH!E152), 0)),"")</f>
        <v>Hồ Văn Khưa</v>
      </c>
      <c r="I152" s="99" t="str">
        <f t="array" ref="I152">IFERROR(INDEX(DSCKXA!$C$3:$C$73, MATCH(1, (DSCKXA!$D$3:$D$73=BC_SINH!D152)*(DSCKXA!$E$3:$E$73=BC_SINH!E152), 0)),"")</f>
        <v>Thôn A Máy</v>
      </c>
      <c r="J152" s="97" t="str">
        <f>IFERROR(VLOOKUP(B152,'Đất sản xuất'!$B$9:$C$216,2,0),"")</f>
        <v>A Máy</v>
      </c>
      <c r="K152" s="97" t="str">
        <f>IFERROR(VLOOKUP(B152,'Sản xuất cấp huyên'!$B$9:$C$177,2,0),"")</f>
        <v/>
      </c>
      <c r="L152" s="4" t="str">
        <f>IFERROR(VLOOKUP(B152,'4069'!$B$9:$C$177,2,0),"")</f>
        <v/>
      </c>
      <c r="M152" s="4" t="str">
        <f t="array" ref="M152">IFERROR(INDEX(KODUDK!$C$8:$C$79, MATCH(1, (KODUDK!$D$8:$D$79=BC_SINH!D152)*(KODUDK!$E$8:$E$79=BC_SINH!E152), 0)),"")</f>
        <v/>
      </c>
      <c r="N152" s="4" t="str">
        <f t="array" ref="N152">IFERROR(INDEX(KODUDK!$H$8:$H$79, MATCH(1, (KODUDK!$D$8:$D$79=BC_SINH!D152)*(KODUDK!$E$8:$E$79=BC_SINH!E152), 0)),"")</f>
        <v/>
      </c>
      <c r="O152" s="4" t="str">
        <f t="array" ref="O152">IFERROR(INDEX('KO DU ĐK NQ10'!$C$8:$C$48, MATCH(1, ('KO DU ĐK NQ10'!$D$8:$D$48=BC_SINH!D152)*('KO DU ĐK NQ10'!$E$8:$E$48=BC_SINH!E152), 0)),"")</f>
        <v/>
      </c>
      <c r="P152" s="4" t="str">
        <f t="array" ref="P152">IFERROR(INDEX('KO DU ĐK NQ10'!$H$8:$H$48, MATCH(1, ('KO DU ĐK NQ10'!$D$8:$D$48=BC_SINH!D152)*('KO DU ĐK NQ10'!$E$8:$E$48=BC_SINH!E152), 0)),"")</f>
        <v/>
      </c>
      <c r="Q152" s="4" t="str">
        <f t="array" ref="Q152">IFERROR(INDEX('KO DU ĐK 4069'!$C$8:$C$38, MATCH(1, ('KO DU ĐK 4069'!$D$8:$D$38=BC_SINH!D152)*('KO DU ĐK 4069'!$E$8:$E$38=BC_SINH!E152), 0)),"")</f>
        <v/>
      </c>
      <c r="R152" s="4" t="str">
        <f t="array" ref="R152">IFERROR(INDEX('KO DU ĐK 4069'!$H$8:$H$38, MATCH(1, ('KO DU ĐK 4069'!$D$8:$D$38=BC_SINH!D152)*('KO DU ĐK 4069'!$E$8:$E$38=BC_SINH!E152), 0)),"")</f>
        <v/>
      </c>
      <c r="S152" s="4" t="str">
        <f t="array" ref="S152">IFERROR(INDEX(KeKhaiDangKy!$H$2:$H$4889, MATCH(1, (KeKhaiDangKy!$A$2:$A$4889=BC_SINH!D152)*(KeKhaiDangKy!$B$2:$B$4889=BC_SINH!E152), 0)),"")</f>
        <v/>
      </c>
    </row>
    <row r="153" spans="1:19" ht="14.45" customHeight="1" x14ac:dyDescent="0.25">
      <c r="A153" s="4">
        <f>IF(B153&lt;&gt;"", SUBTOTAL(3, $B$2:B153), "")</f>
        <v>152</v>
      </c>
      <c r="B153" s="4" t="s">
        <v>91</v>
      </c>
      <c r="C153" s="4" t="str">
        <f t="shared" si="2"/>
        <v>A Máy</v>
      </c>
      <c r="D153" s="4">
        <v>21</v>
      </c>
      <c r="E153" s="4">
        <v>182</v>
      </c>
      <c r="F153" s="4">
        <v>5395</v>
      </c>
      <c r="G153" s="4" t="s">
        <v>11</v>
      </c>
      <c r="H153" s="4" t="str">
        <f t="array" ref="H153">IFERROR(INDEX(DSCKXA!$B$3:$B$73, MATCH(1, (DSCKXA!$D$3:$D$73=BC_SINH!D153)*(DSCKXA!$E$3:$E$73=BC_SINH!E153), 0)),"")</f>
        <v/>
      </c>
      <c r="I153" s="99" t="str">
        <f t="array" ref="I153">IFERROR(INDEX(DSCKXA!$C$3:$C$73, MATCH(1, (DSCKXA!$D$3:$D$73=BC_SINH!D153)*(DSCKXA!$E$3:$E$73=BC_SINH!E153), 0)),"")</f>
        <v/>
      </c>
      <c r="J153" s="97" t="str">
        <f>IFERROR(VLOOKUP(B153,'Đất sản xuất'!$B$9:$C$216,2,0),"")</f>
        <v/>
      </c>
      <c r="K153" s="97" t="str">
        <f>IFERROR(VLOOKUP(B153,'Sản xuất cấp huyên'!$B$9:$C$177,2,0),"")</f>
        <v>A Máy</v>
      </c>
      <c r="L153" s="4" t="str">
        <f>IFERROR(VLOOKUP(B153,'4069'!$B$9:$C$177,2,0),"")</f>
        <v>A Máy</v>
      </c>
      <c r="M153" s="4" t="str">
        <f t="array" ref="M153">IFERROR(INDEX(KODUDK!$C$8:$C$79, MATCH(1, (KODUDK!$D$8:$D$79=BC_SINH!D153)*(KODUDK!$E$8:$E$79=BC_SINH!E153), 0)),"")</f>
        <v>Thôn A Máy</v>
      </c>
      <c r="N153" s="4" t="str">
        <f t="array" ref="N153">IFERROR(INDEX(KODUDK!$H$8:$H$79, MATCH(1, (KODUDK!$D$8:$D$79=BC_SINH!D153)*(KODUDK!$E$8:$E$79=BC_SINH!E153), 0)),"")</f>
        <v>Có 02 thửa đất nên loại 01 thửa</v>
      </c>
      <c r="O153" s="4" t="str">
        <f t="array" ref="O153">IFERROR(INDEX('KO DU ĐK NQ10'!$C$8:$C$48, MATCH(1, ('KO DU ĐK NQ10'!$D$8:$D$48=BC_SINH!D153)*('KO DU ĐK NQ10'!$E$8:$E$48=BC_SINH!E153), 0)),"")</f>
        <v/>
      </c>
      <c r="P153" s="4" t="str">
        <f t="array" ref="P153">IFERROR(INDEX('KO DU ĐK NQ10'!$H$8:$H$48, MATCH(1, ('KO DU ĐK NQ10'!$D$8:$D$48=BC_SINH!D153)*('KO DU ĐK NQ10'!$E$8:$E$48=BC_SINH!E153), 0)),"")</f>
        <v/>
      </c>
      <c r="Q153" s="4" t="str">
        <f t="array" ref="Q153">IFERROR(INDEX('KO DU ĐK 4069'!$C$8:$C$38, MATCH(1, ('KO DU ĐK 4069'!$D$8:$D$38=BC_SINH!D153)*('KO DU ĐK 4069'!$E$8:$E$38=BC_SINH!E153), 0)),"")</f>
        <v>Thôn A Máy</v>
      </c>
      <c r="R153" s="4" t="str">
        <f t="array" ref="R153">IFERROR(INDEX('KO DU ĐK 4069'!$H$8:$H$38, MATCH(1, ('KO DU ĐK 4069'!$D$8:$D$38=BC_SINH!D153)*('KO DU ĐK 4069'!$E$8:$E$38=BC_SINH!E153), 0)),"")</f>
        <v>Có 02 thửa đất nên loại 01 thửa</v>
      </c>
      <c r="S153" s="4" t="str">
        <f t="array" ref="S153">IFERROR(INDEX(KeKhaiDangKy!$H$2:$H$4889, MATCH(1, (KeKhaiDangKy!$A$2:$A$4889=BC_SINH!D153)*(KeKhaiDangKy!$B$2:$B$4889=BC_SINH!E153), 0)),"")</f>
        <v/>
      </c>
    </row>
    <row r="154" spans="1:19" ht="14.45" customHeight="1" x14ac:dyDescent="0.25">
      <c r="A154" s="4">
        <f>IF(B154&lt;&gt;"", SUBTOTAL(3, $B$2:B154), "")</f>
        <v>153</v>
      </c>
      <c r="B154" s="4" t="s">
        <v>91</v>
      </c>
      <c r="C154" s="4" t="str">
        <f t="shared" si="2"/>
        <v>A Máy</v>
      </c>
      <c r="D154" s="4">
        <v>21</v>
      </c>
      <c r="E154" s="4">
        <v>183</v>
      </c>
      <c r="F154" s="4">
        <v>7194</v>
      </c>
      <c r="G154" s="4" t="s">
        <v>11</v>
      </c>
      <c r="H154" s="4" t="str">
        <f t="array" ref="H154">IFERROR(INDEX(DSCKXA!$B$3:$B$73, MATCH(1, (DSCKXA!$D$3:$D$73=BC_SINH!D154)*(DSCKXA!$E$3:$E$73=BC_SINH!E154), 0)),"")</f>
        <v/>
      </c>
      <c r="I154" s="99" t="str">
        <f t="array" ref="I154">IFERROR(INDEX(DSCKXA!$C$3:$C$73, MATCH(1, (DSCKXA!$D$3:$D$73=BC_SINH!D154)*(DSCKXA!$E$3:$E$73=BC_SINH!E154), 0)),"")</f>
        <v/>
      </c>
      <c r="J154" s="97" t="str">
        <f>IFERROR(VLOOKUP(B154,'Đất sản xuất'!$B$9:$C$216,2,0),"")</f>
        <v/>
      </c>
      <c r="K154" s="97" t="str">
        <f>IFERROR(VLOOKUP(B154,'Sản xuất cấp huyên'!$B$9:$C$177,2,0),"")</f>
        <v>A Máy</v>
      </c>
      <c r="L154" s="4" t="str">
        <f>IFERROR(VLOOKUP(B154,'4069'!$B$9:$C$177,2,0),"")</f>
        <v>A Máy</v>
      </c>
      <c r="M154" s="4" t="str">
        <f t="array" ref="M154">IFERROR(INDEX(KODUDK!$C$8:$C$79, MATCH(1, (KODUDK!$D$8:$D$79=BC_SINH!D154)*(KODUDK!$E$8:$E$79=BC_SINH!E154), 0)),"")</f>
        <v/>
      </c>
      <c r="N154" s="4" t="str">
        <f t="array" ref="N154">IFERROR(INDEX(KODUDK!$H$8:$H$79, MATCH(1, (KODUDK!$D$8:$D$79=BC_SINH!D154)*(KODUDK!$E$8:$E$79=BC_SINH!E154), 0)),"")</f>
        <v/>
      </c>
      <c r="O154" s="4" t="str">
        <f t="array" ref="O154">IFERROR(INDEX('KO DU ĐK NQ10'!$C$8:$C$48, MATCH(1, ('KO DU ĐK NQ10'!$D$8:$D$48=BC_SINH!D154)*('KO DU ĐK NQ10'!$E$8:$E$48=BC_SINH!E154), 0)),"")</f>
        <v/>
      </c>
      <c r="P154" s="4" t="str">
        <f t="array" ref="P154">IFERROR(INDEX('KO DU ĐK NQ10'!$H$8:$H$48, MATCH(1, ('KO DU ĐK NQ10'!$D$8:$D$48=BC_SINH!D154)*('KO DU ĐK NQ10'!$E$8:$E$48=BC_SINH!E154), 0)),"")</f>
        <v/>
      </c>
      <c r="Q154" s="4" t="str">
        <f t="array" ref="Q154">IFERROR(INDEX('KO DU ĐK 4069'!$C$8:$C$38, MATCH(1, ('KO DU ĐK 4069'!$D$8:$D$38=BC_SINH!D154)*('KO DU ĐK 4069'!$E$8:$E$38=BC_SINH!E154), 0)),"")</f>
        <v/>
      </c>
      <c r="R154" s="4" t="str">
        <f t="array" ref="R154">IFERROR(INDEX('KO DU ĐK 4069'!$H$8:$H$38, MATCH(1, ('KO DU ĐK 4069'!$D$8:$D$38=BC_SINH!D154)*('KO DU ĐK 4069'!$E$8:$E$38=BC_SINH!E154), 0)),"")</f>
        <v/>
      </c>
      <c r="S154" s="4" t="str">
        <f t="array" ref="S154">IFERROR(INDEX(KeKhaiDangKy!$H$2:$H$4889, MATCH(1, (KeKhaiDangKy!$A$2:$A$4889=BC_SINH!D154)*(KeKhaiDangKy!$B$2:$B$4889=BC_SINH!E154), 0)),"")</f>
        <v/>
      </c>
    </row>
    <row r="155" spans="1:19" ht="14.45" customHeight="1" x14ac:dyDescent="0.25">
      <c r="A155" s="4">
        <f>IF(B155&lt;&gt;"", SUBTOTAL(3, $B$2:B155), "")</f>
        <v>154</v>
      </c>
      <c r="B155" s="4" t="s">
        <v>92</v>
      </c>
      <c r="C155" s="4" t="str">
        <f t="shared" si="2"/>
        <v xml:space="preserve"> A Quan</v>
      </c>
      <c r="D155" s="4">
        <v>21</v>
      </c>
      <c r="E155" s="4">
        <v>185</v>
      </c>
      <c r="F155" s="4">
        <v>6193</v>
      </c>
      <c r="G155" s="4" t="s">
        <v>11</v>
      </c>
      <c r="H155" s="4" t="str">
        <f t="array" ref="H155">IFERROR(INDEX(DSCKXA!$B$3:$B$73, MATCH(1, (DSCKXA!$D$3:$D$73=BC_SINH!D155)*(DSCKXA!$E$3:$E$73=BC_SINH!E155), 0)),"")</f>
        <v>Hồ Văn Kiều</v>
      </c>
      <c r="I155" s="99" t="str">
        <f t="array" ref="I155">IFERROR(INDEX(DSCKXA!$C$3:$C$73, MATCH(1, (DSCKXA!$D$3:$D$73=BC_SINH!D155)*(DSCKXA!$E$3:$E$73=BC_SINH!E155), 0)),"")</f>
        <v>Thôn A Quan</v>
      </c>
      <c r="J155" s="97" t="str">
        <f>IFERROR(VLOOKUP(B155,'Đất sản xuất'!$B$9:$C$216,2,0),"")</f>
        <v xml:space="preserve"> A Quan</v>
      </c>
      <c r="K155" s="97" t="str">
        <f>IFERROR(VLOOKUP(B155,'Sản xuất cấp huyên'!$B$9:$C$177,2,0),"")</f>
        <v/>
      </c>
      <c r="L155" s="4" t="str">
        <f>IFERROR(VLOOKUP(B155,'4069'!$B$9:$C$177,2,0),"")</f>
        <v/>
      </c>
      <c r="M155" s="4" t="str">
        <f t="array" ref="M155">IFERROR(INDEX(KODUDK!$C$8:$C$79, MATCH(1, (KODUDK!$D$8:$D$79=BC_SINH!D155)*(KODUDK!$E$8:$E$79=BC_SINH!E155), 0)),"")</f>
        <v/>
      </c>
      <c r="N155" s="4" t="str">
        <f t="array" ref="N155">IFERROR(INDEX(KODUDK!$H$8:$H$79, MATCH(1, (KODUDK!$D$8:$D$79=BC_SINH!D155)*(KODUDK!$E$8:$E$79=BC_SINH!E155), 0)),"")</f>
        <v/>
      </c>
      <c r="O155" s="4" t="str">
        <f t="array" ref="O155">IFERROR(INDEX('KO DU ĐK NQ10'!$C$8:$C$48, MATCH(1, ('KO DU ĐK NQ10'!$D$8:$D$48=BC_SINH!D155)*('KO DU ĐK NQ10'!$E$8:$E$48=BC_SINH!E155), 0)),"")</f>
        <v/>
      </c>
      <c r="P155" s="4" t="str">
        <f t="array" ref="P155">IFERROR(INDEX('KO DU ĐK NQ10'!$H$8:$H$48, MATCH(1, ('KO DU ĐK NQ10'!$D$8:$D$48=BC_SINH!D155)*('KO DU ĐK NQ10'!$E$8:$E$48=BC_SINH!E155), 0)),"")</f>
        <v/>
      </c>
      <c r="Q155" s="4" t="str">
        <f t="array" ref="Q155">IFERROR(INDEX('KO DU ĐK 4069'!$C$8:$C$38, MATCH(1, ('KO DU ĐK 4069'!$D$8:$D$38=BC_SINH!D155)*('KO DU ĐK 4069'!$E$8:$E$38=BC_SINH!E155), 0)),"")</f>
        <v/>
      </c>
      <c r="R155" s="4" t="str">
        <f t="array" ref="R155">IFERROR(INDEX('KO DU ĐK 4069'!$H$8:$H$38, MATCH(1, ('KO DU ĐK 4069'!$D$8:$D$38=BC_SINH!D155)*('KO DU ĐK 4069'!$E$8:$E$38=BC_SINH!E155), 0)),"")</f>
        <v/>
      </c>
      <c r="S155" s="4" t="str">
        <f t="array" ref="S155">IFERROR(INDEX(KeKhaiDangKy!$H$2:$H$4889, MATCH(1, (KeKhaiDangKy!$A$2:$A$4889=BC_SINH!D155)*(KeKhaiDangKy!$B$2:$B$4889=BC_SINH!E155), 0)),"")</f>
        <v>Kỳ Tăng</v>
      </c>
    </row>
    <row r="156" spans="1:19" ht="14.45" customHeight="1" x14ac:dyDescent="0.25">
      <c r="A156" s="4">
        <f>IF(B156&lt;&gt;"", SUBTOTAL(3, $B$2:B156), "")</f>
        <v>155</v>
      </c>
      <c r="B156" s="4" t="s">
        <v>92</v>
      </c>
      <c r="C156" s="4" t="str">
        <f t="shared" si="2"/>
        <v xml:space="preserve"> A Quan</v>
      </c>
      <c r="D156" s="4">
        <v>21</v>
      </c>
      <c r="E156" s="4">
        <v>74</v>
      </c>
      <c r="F156" s="4">
        <v>4352</v>
      </c>
      <c r="G156" s="4" t="s">
        <v>11</v>
      </c>
      <c r="H156" s="4" t="str">
        <f t="array" ref="H156">IFERROR(INDEX(DSCKXA!$B$3:$B$73, MATCH(1, (DSCKXA!$D$3:$D$73=BC_SINH!D156)*(DSCKXA!$E$3:$E$73=BC_SINH!E156), 0)),"")</f>
        <v/>
      </c>
      <c r="I156" s="99" t="str">
        <f t="array" ref="I156">IFERROR(INDEX(DSCKXA!$C$3:$C$73, MATCH(1, (DSCKXA!$D$3:$D$73=BC_SINH!D156)*(DSCKXA!$E$3:$E$73=BC_SINH!E156), 0)),"")</f>
        <v/>
      </c>
      <c r="J156" s="97" t="str">
        <f>IFERROR(VLOOKUP(B156,'Đất sản xuất'!$B$9:$C$216,2,0),"")</f>
        <v xml:space="preserve"> A Quan</v>
      </c>
      <c r="K156" s="97" t="str">
        <f>IFERROR(VLOOKUP(B156,'Sản xuất cấp huyên'!$B$9:$C$177,2,0),"")</f>
        <v/>
      </c>
      <c r="L156" s="4" t="str">
        <f>IFERROR(VLOOKUP(B156,'4069'!$B$9:$C$177,2,0),"")</f>
        <v/>
      </c>
      <c r="M156" s="4" t="str">
        <f t="array" ref="M156">IFERROR(INDEX(KODUDK!$C$8:$C$79, MATCH(1, (KODUDK!$D$8:$D$79=BC_SINH!D156)*(KODUDK!$E$8:$E$79=BC_SINH!E156), 0)),"")</f>
        <v>A Quan</v>
      </c>
      <c r="N156" s="4" t="str">
        <f t="array" ref="N156">IFERROR(INDEX(KODUDK!$H$8:$H$79, MATCH(1, (KODUDK!$D$8:$D$79=BC_SINH!D156)*(KODUDK!$E$8:$E$79=BC_SINH!E156), 0)),"")</f>
        <v>Có 02 thửa đất nên loại 01 thửa</v>
      </c>
      <c r="O156" s="4" t="str">
        <f t="array" ref="O156">IFERROR(INDEX('KO DU ĐK NQ10'!$C$8:$C$48, MATCH(1, ('KO DU ĐK NQ10'!$D$8:$D$48=BC_SINH!D156)*('KO DU ĐK NQ10'!$E$8:$E$48=BC_SINH!E156), 0)),"")</f>
        <v>A Quan</v>
      </c>
      <c r="P156" s="4" t="str">
        <f t="array" ref="P156">IFERROR(INDEX('KO DU ĐK NQ10'!$H$8:$H$48, MATCH(1, ('KO DU ĐK NQ10'!$D$8:$D$48=BC_SINH!D156)*('KO DU ĐK NQ10'!$E$8:$E$48=BC_SINH!E156), 0)),"")</f>
        <v>Có 02 thửa đất nên loại 01 thửa</v>
      </c>
      <c r="Q156" s="4" t="str">
        <f t="array" ref="Q156">IFERROR(INDEX('KO DU ĐK 4069'!$C$8:$C$38, MATCH(1, ('KO DU ĐK 4069'!$D$8:$D$38=BC_SINH!D156)*('KO DU ĐK 4069'!$E$8:$E$38=BC_SINH!E156), 0)),"")</f>
        <v/>
      </c>
      <c r="R156" s="4" t="str">
        <f t="array" ref="R156">IFERROR(INDEX('KO DU ĐK 4069'!$H$8:$H$38, MATCH(1, ('KO DU ĐK 4069'!$D$8:$D$38=BC_SINH!D156)*('KO DU ĐK 4069'!$E$8:$E$38=BC_SINH!E156), 0)),"")</f>
        <v/>
      </c>
      <c r="S156" s="4" t="str">
        <f t="array" ref="S156">IFERROR(INDEX(KeKhaiDangKy!$H$2:$H$4889, MATCH(1, (KeKhaiDangKy!$A$2:$A$4889=BC_SINH!D156)*(KeKhaiDangKy!$B$2:$B$4889=BC_SINH!E156), 0)),"")</f>
        <v>Kỳ Tăng</v>
      </c>
    </row>
    <row r="157" spans="1:19" ht="14.45" customHeight="1" x14ac:dyDescent="0.25">
      <c r="A157" s="4">
        <f>IF(B157&lt;&gt;"", SUBTOTAL(3, $B$2:B157), "")</f>
        <v>156</v>
      </c>
      <c r="B157" s="4" t="s">
        <v>93</v>
      </c>
      <c r="C157" s="4" t="str">
        <f t="shared" si="2"/>
        <v>Kỳ Tăng</v>
      </c>
      <c r="D157" s="4">
        <v>33</v>
      </c>
      <c r="E157" s="4">
        <v>32</v>
      </c>
      <c r="F157" s="4">
        <v>6891</v>
      </c>
      <c r="G157" s="4" t="s">
        <v>11</v>
      </c>
      <c r="H157" s="4" t="str">
        <f t="array" ref="H157">IFERROR(INDEX(DSCKXA!$B$3:$B$73, MATCH(1, (DSCKXA!$D$3:$D$73=BC_SINH!D157)*(DSCKXA!$E$3:$E$73=BC_SINH!E157), 0)),"")</f>
        <v/>
      </c>
      <c r="I157" s="99" t="str">
        <f t="array" ref="I157">IFERROR(INDEX(DSCKXA!$C$3:$C$73, MATCH(1, (DSCKXA!$D$3:$D$73=BC_SINH!D157)*(DSCKXA!$E$3:$E$73=BC_SINH!E157), 0)),"")</f>
        <v/>
      </c>
      <c r="J157" s="97" t="str">
        <f>IFERROR(VLOOKUP(B157,'Đất sản xuất'!$B$9:$C$216,2,0),"")</f>
        <v/>
      </c>
      <c r="K157" s="97" t="str">
        <f>IFERROR(VLOOKUP(B157,'Sản xuất cấp huyên'!$B$9:$C$177,2,0),"")</f>
        <v/>
      </c>
      <c r="L157" s="4" t="str">
        <f>IFERROR(VLOOKUP(B157,'4069'!$B$9:$C$177,2,0),"")</f>
        <v/>
      </c>
      <c r="M157" s="4" t="str">
        <f t="array" ref="M157">IFERROR(INDEX(KODUDK!$C$8:$C$79, MATCH(1, (KODUDK!$D$8:$D$79=BC_SINH!D157)*(KODUDK!$E$8:$E$79=BC_SINH!E157), 0)),"")</f>
        <v/>
      </c>
      <c r="N157" s="4" t="str">
        <f t="array" ref="N157">IFERROR(INDEX(KODUDK!$H$8:$H$79, MATCH(1, (KODUDK!$D$8:$D$79=BC_SINH!D157)*(KODUDK!$E$8:$E$79=BC_SINH!E157), 0)),"")</f>
        <v/>
      </c>
      <c r="O157" s="4" t="str">
        <f t="array" ref="O157">IFERROR(INDEX('KO DU ĐK NQ10'!$C$8:$C$48, MATCH(1, ('KO DU ĐK NQ10'!$D$8:$D$48=BC_SINH!D157)*('KO DU ĐK NQ10'!$E$8:$E$48=BC_SINH!E157), 0)),"")</f>
        <v/>
      </c>
      <c r="P157" s="4" t="str">
        <f t="array" ref="P157">IFERROR(INDEX('KO DU ĐK NQ10'!$H$8:$H$48, MATCH(1, ('KO DU ĐK NQ10'!$D$8:$D$48=BC_SINH!D157)*('KO DU ĐK NQ10'!$E$8:$E$48=BC_SINH!E157), 0)),"")</f>
        <v/>
      </c>
      <c r="Q157" s="4" t="str">
        <f t="array" ref="Q157">IFERROR(INDEX('KO DU ĐK 4069'!$C$8:$C$38, MATCH(1, ('KO DU ĐK 4069'!$D$8:$D$38=BC_SINH!D157)*('KO DU ĐK 4069'!$E$8:$E$38=BC_SINH!E157), 0)),"")</f>
        <v/>
      </c>
      <c r="R157" s="4" t="str">
        <f t="array" ref="R157">IFERROR(INDEX('KO DU ĐK 4069'!$H$8:$H$38, MATCH(1, ('KO DU ĐK 4069'!$D$8:$D$38=BC_SINH!D157)*('KO DU ĐK 4069'!$E$8:$E$38=BC_SINH!E157), 0)),"")</f>
        <v/>
      </c>
      <c r="S157" s="4" t="str">
        <f t="array" ref="S157">IFERROR(INDEX(KeKhaiDangKy!$H$2:$H$4889, MATCH(1, (KeKhaiDangKy!$A$2:$A$4889=BC_SINH!D157)*(KeKhaiDangKy!$B$2:$B$4889=BC_SINH!E157), 0)),"")</f>
        <v>Kỳ Tăng</v>
      </c>
    </row>
    <row r="158" spans="1:19" ht="14.45" customHeight="1" x14ac:dyDescent="0.25">
      <c r="A158" s="4">
        <f>IF(B158&lt;&gt;"", SUBTOTAL(3, $B$2:B158), "")</f>
        <v>157</v>
      </c>
      <c r="B158" s="4" t="s">
        <v>94</v>
      </c>
      <c r="C158" s="4" t="str">
        <f t="shared" si="2"/>
        <v>Kỳ Tăng</v>
      </c>
      <c r="D158" s="4">
        <v>21</v>
      </c>
      <c r="E158" s="4">
        <v>187</v>
      </c>
      <c r="F158" s="4">
        <v>11735</v>
      </c>
      <c r="G158" s="4" t="s">
        <v>11</v>
      </c>
      <c r="H158" s="4" t="str">
        <f t="array" ref="H158">IFERROR(INDEX(DSCKXA!$B$3:$B$73, MATCH(1, (DSCKXA!$D$3:$D$73=BC_SINH!D158)*(DSCKXA!$E$3:$E$73=BC_SINH!E158), 0)),"")</f>
        <v/>
      </c>
      <c r="I158" s="99" t="str">
        <f t="array" ref="I158">IFERROR(INDEX(DSCKXA!$C$3:$C$73, MATCH(1, (DSCKXA!$D$3:$D$73=BC_SINH!D158)*(DSCKXA!$E$3:$E$73=BC_SINH!E158), 0)),"")</f>
        <v/>
      </c>
      <c r="J158" s="97" t="str">
        <f>IFERROR(VLOOKUP(B158,'Đất sản xuất'!$B$9:$C$216,2,0),"")</f>
        <v/>
      </c>
      <c r="K158" s="97" t="str">
        <f>IFERROR(VLOOKUP(B158,'Sản xuất cấp huyên'!$B$9:$C$177,2,0),"")</f>
        <v/>
      </c>
      <c r="L158" s="4" t="str">
        <f>IFERROR(VLOOKUP(B158,'4069'!$B$9:$C$177,2,0),"")</f>
        <v/>
      </c>
      <c r="M158" s="4" t="str">
        <f t="array" ref="M158">IFERROR(INDEX(KODUDK!$C$8:$C$79, MATCH(1, (KODUDK!$D$8:$D$79=BC_SINH!D158)*(KODUDK!$E$8:$E$79=BC_SINH!E158), 0)),"")</f>
        <v/>
      </c>
      <c r="N158" s="4" t="str">
        <f t="array" ref="N158">IFERROR(INDEX(KODUDK!$H$8:$H$79, MATCH(1, (KODUDK!$D$8:$D$79=BC_SINH!D158)*(KODUDK!$E$8:$E$79=BC_SINH!E158), 0)),"")</f>
        <v/>
      </c>
      <c r="O158" s="4" t="str">
        <f t="array" ref="O158">IFERROR(INDEX('KO DU ĐK NQ10'!$C$8:$C$48, MATCH(1, ('KO DU ĐK NQ10'!$D$8:$D$48=BC_SINH!D158)*('KO DU ĐK NQ10'!$E$8:$E$48=BC_SINH!E158), 0)),"")</f>
        <v/>
      </c>
      <c r="P158" s="4" t="str">
        <f t="array" ref="P158">IFERROR(INDEX('KO DU ĐK NQ10'!$H$8:$H$48, MATCH(1, ('KO DU ĐK NQ10'!$D$8:$D$48=BC_SINH!D158)*('KO DU ĐK NQ10'!$E$8:$E$48=BC_SINH!E158), 0)),"")</f>
        <v/>
      </c>
      <c r="Q158" s="4" t="str">
        <f t="array" ref="Q158">IFERROR(INDEX('KO DU ĐK 4069'!$C$8:$C$38, MATCH(1, ('KO DU ĐK 4069'!$D$8:$D$38=BC_SINH!D158)*('KO DU ĐK 4069'!$E$8:$E$38=BC_SINH!E158), 0)),"")</f>
        <v/>
      </c>
      <c r="R158" s="4" t="str">
        <f t="array" ref="R158">IFERROR(INDEX('KO DU ĐK 4069'!$H$8:$H$38, MATCH(1, ('KO DU ĐK 4069'!$D$8:$D$38=BC_SINH!D158)*('KO DU ĐK 4069'!$E$8:$E$38=BC_SINH!E158), 0)),"")</f>
        <v/>
      </c>
      <c r="S158" s="4" t="str">
        <f t="array" ref="S158">IFERROR(INDEX(KeKhaiDangKy!$H$2:$H$4889, MATCH(1, (KeKhaiDangKy!$A$2:$A$4889=BC_SINH!D158)*(KeKhaiDangKy!$B$2:$B$4889=BC_SINH!E158), 0)),"")</f>
        <v>Kỳ Tăng</v>
      </c>
    </row>
    <row r="159" spans="1:19" ht="14.45" customHeight="1" x14ac:dyDescent="0.25">
      <c r="A159" s="4">
        <f>IF(B159&lt;&gt;"", SUBTOTAL(3, $B$2:B159), "")</f>
        <v>158</v>
      </c>
      <c r="B159" s="4" t="s">
        <v>577</v>
      </c>
      <c r="C159" s="4" t="str">
        <f t="shared" si="2"/>
        <v xml:space="preserve"> A Quan</v>
      </c>
      <c r="D159" s="4">
        <v>21</v>
      </c>
      <c r="E159" s="4">
        <v>188</v>
      </c>
      <c r="F159" s="4">
        <v>4307</v>
      </c>
      <c r="G159" s="4" t="s">
        <v>11</v>
      </c>
      <c r="H159" s="4" t="str">
        <f t="array" ref="H159">IFERROR(INDEX(DSCKXA!$B$3:$B$73, MATCH(1, (DSCKXA!$D$3:$D$73=BC_SINH!D159)*(DSCKXA!$E$3:$E$73=BC_SINH!E159), 0)),"")</f>
        <v>Hồ Văn Lão</v>
      </c>
      <c r="I159" s="99" t="str">
        <f t="array" ref="I159">IFERROR(INDEX(DSCKXA!$C$3:$C$73, MATCH(1, (DSCKXA!$D$3:$D$73=BC_SINH!D159)*(DSCKXA!$E$3:$E$73=BC_SINH!E159), 0)),"")</f>
        <v>Thôn A Quan</v>
      </c>
      <c r="J159" s="97" t="str">
        <f>IFERROR(VLOOKUP(B159,'Đất sản xuất'!$B$9:$C$216,2,0),"")</f>
        <v xml:space="preserve"> A Quan</v>
      </c>
      <c r="K159" s="97" t="str">
        <f>IFERROR(VLOOKUP(B159,'Sản xuất cấp huyên'!$B$9:$C$177,2,0),"")</f>
        <v/>
      </c>
      <c r="L159" s="4" t="str">
        <f>IFERROR(VLOOKUP(B159,'4069'!$B$9:$C$177,2,0),"")</f>
        <v/>
      </c>
      <c r="M159" s="4" t="str">
        <f t="array" ref="M159">IFERROR(INDEX(KODUDK!$C$8:$C$79, MATCH(1, (KODUDK!$D$8:$D$79=BC_SINH!D159)*(KODUDK!$E$8:$E$79=BC_SINH!E159), 0)),"")</f>
        <v/>
      </c>
      <c r="N159" s="4" t="str">
        <f t="array" ref="N159">IFERROR(INDEX(KODUDK!$H$8:$H$79, MATCH(1, (KODUDK!$D$8:$D$79=BC_SINH!D159)*(KODUDK!$E$8:$E$79=BC_SINH!E159), 0)),"")</f>
        <v/>
      </c>
      <c r="O159" s="4" t="str">
        <f t="array" ref="O159">IFERROR(INDEX('KO DU ĐK NQ10'!$C$8:$C$48, MATCH(1, ('KO DU ĐK NQ10'!$D$8:$D$48=BC_SINH!D159)*('KO DU ĐK NQ10'!$E$8:$E$48=BC_SINH!E159), 0)),"")</f>
        <v/>
      </c>
      <c r="P159" s="4" t="str">
        <f t="array" ref="P159">IFERROR(INDEX('KO DU ĐK NQ10'!$H$8:$H$48, MATCH(1, ('KO DU ĐK NQ10'!$D$8:$D$48=BC_SINH!D159)*('KO DU ĐK NQ10'!$E$8:$E$48=BC_SINH!E159), 0)),"")</f>
        <v/>
      </c>
      <c r="Q159" s="4" t="str">
        <f t="array" ref="Q159">IFERROR(INDEX('KO DU ĐK 4069'!$C$8:$C$38, MATCH(1, ('KO DU ĐK 4069'!$D$8:$D$38=BC_SINH!D159)*('KO DU ĐK 4069'!$E$8:$E$38=BC_SINH!E159), 0)),"")</f>
        <v/>
      </c>
      <c r="R159" s="4" t="str">
        <f t="array" ref="R159">IFERROR(INDEX('KO DU ĐK 4069'!$H$8:$H$38, MATCH(1, ('KO DU ĐK 4069'!$D$8:$D$38=BC_SINH!D159)*('KO DU ĐK 4069'!$E$8:$E$38=BC_SINH!E159), 0)),"")</f>
        <v/>
      </c>
      <c r="S159" s="4" t="str">
        <f t="array" ref="S159">IFERROR(INDEX(KeKhaiDangKy!$H$2:$H$4889, MATCH(1, (KeKhaiDangKy!$A$2:$A$4889=BC_SINH!D159)*(KeKhaiDangKy!$B$2:$B$4889=BC_SINH!E159), 0)),"")</f>
        <v>A Quan</v>
      </c>
    </row>
    <row r="160" spans="1:19" ht="14.45" customHeight="1" x14ac:dyDescent="0.25">
      <c r="A160" s="4">
        <f>IF(B160&lt;&gt;"", SUBTOTAL(3, $B$2:B160), "")</f>
        <v>159</v>
      </c>
      <c r="B160" s="4" t="s">
        <v>95</v>
      </c>
      <c r="C160" s="4" t="str">
        <f t="shared" si="2"/>
        <v>Kỳ Tăng</v>
      </c>
      <c r="D160" s="4">
        <v>21</v>
      </c>
      <c r="E160" s="4">
        <v>189</v>
      </c>
      <c r="F160" s="4">
        <v>4497</v>
      </c>
      <c r="G160" s="4" t="s">
        <v>11</v>
      </c>
      <c r="H160" s="4" t="str">
        <f t="array" ref="H160">IFERROR(INDEX(DSCKXA!$B$3:$B$73, MATCH(1, (DSCKXA!$D$3:$D$73=BC_SINH!D160)*(DSCKXA!$E$3:$E$73=BC_SINH!E160), 0)),"")</f>
        <v/>
      </c>
      <c r="I160" s="99" t="str">
        <f t="array" ref="I160">IFERROR(INDEX(DSCKXA!$C$3:$C$73, MATCH(1, (DSCKXA!$D$3:$D$73=BC_SINH!D160)*(DSCKXA!$E$3:$E$73=BC_SINH!E160), 0)),"")</f>
        <v/>
      </c>
      <c r="J160" s="97" t="str">
        <f>IFERROR(VLOOKUP(B160,'Đất sản xuất'!$B$9:$C$216,2,0),"")</f>
        <v/>
      </c>
      <c r="K160" s="97" t="str">
        <f>IFERROR(VLOOKUP(B160,'Sản xuất cấp huyên'!$B$9:$C$177,2,0),"")</f>
        <v/>
      </c>
      <c r="L160" s="4" t="str">
        <f>IFERROR(VLOOKUP(B160,'4069'!$B$9:$C$177,2,0),"")</f>
        <v/>
      </c>
      <c r="M160" s="4" t="str">
        <f t="array" ref="M160">IFERROR(INDEX(KODUDK!$C$8:$C$79, MATCH(1, (KODUDK!$D$8:$D$79=BC_SINH!D160)*(KODUDK!$E$8:$E$79=BC_SINH!E160), 0)),"")</f>
        <v>Kỳ Tăng</v>
      </c>
      <c r="N160" s="4" t="str">
        <f t="array" ref="N160">IFERROR(INDEX(KODUDK!$H$8:$H$79, MATCH(1, (KODUDK!$D$8:$D$79=BC_SINH!D160)*(KODUDK!$E$8:$E$79=BC_SINH!E160), 0)),"")</f>
        <v>Có 02 thửa đất nên loại 01 thửa</v>
      </c>
      <c r="O160" s="4" t="str">
        <f t="array" ref="O160">IFERROR(INDEX('KO DU ĐK NQ10'!$C$8:$C$48, MATCH(1, ('KO DU ĐK NQ10'!$D$8:$D$48=BC_SINH!D160)*('KO DU ĐK NQ10'!$E$8:$E$48=BC_SINH!E160), 0)),"")</f>
        <v/>
      </c>
      <c r="P160" s="4" t="str">
        <f t="array" ref="P160">IFERROR(INDEX('KO DU ĐK NQ10'!$H$8:$H$48, MATCH(1, ('KO DU ĐK NQ10'!$D$8:$D$48=BC_SINH!D160)*('KO DU ĐK NQ10'!$E$8:$E$48=BC_SINH!E160), 0)),"")</f>
        <v/>
      </c>
      <c r="Q160" s="4" t="str">
        <f t="array" ref="Q160">IFERROR(INDEX('KO DU ĐK 4069'!$C$8:$C$38, MATCH(1, ('KO DU ĐK 4069'!$D$8:$D$38=BC_SINH!D160)*('KO DU ĐK 4069'!$E$8:$E$38=BC_SINH!E160), 0)),"")</f>
        <v>Kỳ Tăng</v>
      </c>
      <c r="R160" s="4" t="str">
        <f t="array" ref="R160">IFERROR(INDEX('KO DU ĐK 4069'!$H$8:$H$38, MATCH(1, ('KO DU ĐK 4069'!$D$8:$D$38=BC_SINH!D160)*('KO DU ĐK 4069'!$E$8:$E$38=BC_SINH!E160), 0)),"")</f>
        <v>Có 02 thửa đất nên loại 01 thửa</v>
      </c>
      <c r="S160" s="4" t="str">
        <f t="array" ref="S160">IFERROR(INDEX(KeKhaiDangKy!$H$2:$H$4889, MATCH(1, (KeKhaiDangKy!$A$2:$A$4889=BC_SINH!D160)*(KeKhaiDangKy!$B$2:$B$4889=BC_SINH!E160), 0)),"")</f>
        <v>Kỳ Tăng</v>
      </c>
    </row>
    <row r="161" spans="1:19" ht="14.45" customHeight="1" x14ac:dyDescent="0.25">
      <c r="A161" s="4">
        <f>IF(B161&lt;&gt;"", SUBTOTAL(3, $B$2:B161), "")</f>
        <v>160</v>
      </c>
      <c r="B161" s="4" t="s">
        <v>95</v>
      </c>
      <c r="C161" s="4" t="str">
        <f t="shared" si="2"/>
        <v>Kỳ Tăng</v>
      </c>
      <c r="D161" s="4">
        <v>21</v>
      </c>
      <c r="E161" s="4">
        <v>190</v>
      </c>
      <c r="F161" s="4">
        <v>8912</v>
      </c>
      <c r="G161" s="4" t="s">
        <v>11</v>
      </c>
      <c r="H161" s="4" t="str">
        <f t="array" ref="H161">IFERROR(INDEX(DSCKXA!$B$3:$B$73, MATCH(1, (DSCKXA!$D$3:$D$73=BC_SINH!D161)*(DSCKXA!$E$3:$E$73=BC_SINH!E161), 0)),"")</f>
        <v/>
      </c>
      <c r="I161" s="99" t="str">
        <f t="array" ref="I161">IFERROR(INDEX(DSCKXA!$C$3:$C$73, MATCH(1, (DSCKXA!$D$3:$D$73=BC_SINH!D161)*(DSCKXA!$E$3:$E$73=BC_SINH!E161), 0)),"")</f>
        <v/>
      </c>
      <c r="J161" s="97" t="str">
        <f>IFERROR(VLOOKUP(B161,'Đất sản xuất'!$B$9:$C$216,2,0),"")</f>
        <v/>
      </c>
      <c r="K161" s="97" t="str">
        <f>IFERROR(VLOOKUP(B161,'Sản xuất cấp huyên'!$B$9:$C$177,2,0),"")</f>
        <v/>
      </c>
      <c r="L161" s="4" t="str">
        <f>IFERROR(VLOOKUP(B161,'4069'!$B$9:$C$177,2,0),"")</f>
        <v/>
      </c>
      <c r="M161" s="4" t="str">
        <f t="array" ref="M161">IFERROR(INDEX(KODUDK!$C$8:$C$79, MATCH(1, (KODUDK!$D$8:$D$79=BC_SINH!D161)*(KODUDK!$E$8:$E$79=BC_SINH!E161), 0)),"")</f>
        <v/>
      </c>
      <c r="N161" s="4" t="str">
        <f t="array" ref="N161">IFERROR(INDEX(KODUDK!$H$8:$H$79, MATCH(1, (KODUDK!$D$8:$D$79=BC_SINH!D161)*(KODUDK!$E$8:$E$79=BC_SINH!E161), 0)),"")</f>
        <v/>
      </c>
      <c r="O161" s="4" t="str">
        <f t="array" ref="O161">IFERROR(INDEX('KO DU ĐK NQ10'!$C$8:$C$48, MATCH(1, ('KO DU ĐK NQ10'!$D$8:$D$48=BC_SINH!D161)*('KO DU ĐK NQ10'!$E$8:$E$48=BC_SINH!E161), 0)),"")</f>
        <v/>
      </c>
      <c r="P161" s="4" t="str">
        <f t="array" ref="P161">IFERROR(INDEX('KO DU ĐK NQ10'!$H$8:$H$48, MATCH(1, ('KO DU ĐK NQ10'!$D$8:$D$48=BC_SINH!D161)*('KO DU ĐK NQ10'!$E$8:$E$48=BC_SINH!E161), 0)),"")</f>
        <v/>
      </c>
      <c r="Q161" s="4" t="str">
        <f t="array" ref="Q161">IFERROR(INDEX('KO DU ĐK 4069'!$C$8:$C$38, MATCH(1, ('KO DU ĐK 4069'!$D$8:$D$38=BC_SINH!D161)*('KO DU ĐK 4069'!$E$8:$E$38=BC_SINH!E161), 0)),"")</f>
        <v/>
      </c>
      <c r="R161" s="4" t="str">
        <f t="array" ref="R161">IFERROR(INDEX('KO DU ĐK 4069'!$H$8:$H$38, MATCH(1, ('KO DU ĐK 4069'!$D$8:$D$38=BC_SINH!D161)*('KO DU ĐK 4069'!$E$8:$E$38=BC_SINH!E161), 0)),"")</f>
        <v/>
      </c>
      <c r="S161" s="4" t="str">
        <f t="array" ref="S161">IFERROR(INDEX(KeKhaiDangKy!$H$2:$H$4889, MATCH(1, (KeKhaiDangKy!$A$2:$A$4889=BC_SINH!D161)*(KeKhaiDangKy!$B$2:$B$4889=BC_SINH!E161), 0)),"")</f>
        <v>Kỳ Tăng</v>
      </c>
    </row>
    <row r="162" spans="1:19" ht="14.45" customHeight="1" x14ac:dyDescent="0.25">
      <c r="A162" s="4">
        <f>IF(B162&lt;&gt;"", SUBTOTAL(3, $B$2:B162), "")</f>
        <v>161</v>
      </c>
      <c r="B162" s="4" t="s">
        <v>96</v>
      </c>
      <c r="C162" s="4" t="str">
        <f t="shared" si="2"/>
        <v>A Rông</v>
      </c>
      <c r="D162" s="4">
        <v>21</v>
      </c>
      <c r="E162" s="4">
        <v>191</v>
      </c>
      <c r="F162" s="4">
        <v>18950</v>
      </c>
      <c r="G162" s="4" t="s">
        <v>11</v>
      </c>
      <c r="H162" s="4" t="str">
        <f t="array" ref="H162">IFERROR(INDEX(DSCKXA!$B$3:$B$73, MATCH(1, (DSCKXA!$D$3:$D$73=BC_SINH!D162)*(DSCKXA!$E$3:$E$73=BC_SINH!E162), 0)),"")</f>
        <v/>
      </c>
      <c r="I162" s="99" t="str">
        <f t="array" ref="I162">IFERROR(INDEX(DSCKXA!$C$3:$C$73, MATCH(1, (DSCKXA!$D$3:$D$73=BC_SINH!D162)*(DSCKXA!$E$3:$E$73=BC_SINH!E162), 0)),"")</f>
        <v/>
      </c>
      <c r="J162" s="97" t="str">
        <f>IFERROR(VLOOKUP(B162,'Đất sản xuất'!$B$9:$C$216,2,0),"")</f>
        <v/>
      </c>
      <c r="K162" s="97" t="str">
        <f>IFERROR(VLOOKUP(B162,'Sản xuất cấp huyên'!$B$9:$C$177,2,0),"")</f>
        <v>A Rông</v>
      </c>
      <c r="L162" s="4" t="str">
        <f>IFERROR(VLOOKUP(B162,'4069'!$B$9:$C$177,2,0),"")</f>
        <v>A Rông</v>
      </c>
      <c r="M162" s="4" t="str">
        <f t="array" ref="M162">IFERROR(INDEX(KODUDK!$C$8:$C$79, MATCH(1, (KODUDK!$D$8:$D$79=BC_SINH!D162)*(KODUDK!$E$8:$E$79=BC_SINH!E162), 0)),"")</f>
        <v/>
      </c>
      <c r="N162" s="4" t="str">
        <f t="array" ref="N162">IFERROR(INDEX(KODUDK!$H$8:$H$79, MATCH(1, (KODUDK!$D$8:$D$79=BC_SINH!D162)*(KODUDK!$E$8:$E$79=BC_SINH!E162), 0)),"")</f>
        <v/>
      </c>
      <c r="O162" s="4" t="str">
        <f t="array" ref="O162">IFERROR(INDEX('KO DU ĐK NQ10'!$C$8:$C$48, MATCH(1, ('KO DU ĐK NQ10'!$D$8:$D$48=BC_SINH!D162)*('KO DU ĐK NQ10'!$E$8:$E$48=BC_SINH!E162), 0)),"")</f>
        <v/>
      </c>
      <c r="P162" s="4" t="str">
        <f t="array" ref="P162">IFERROR(INDEX('KO DU ĐK NQ10'!$H$8:$H$48, MATCH(1, ('KO DU ĐK NQ10'!$D$8:$D$48=BC_SINH!D162)*('KO DU ĐK NQ10'!$E$8:$E$48=BC_SINH!E162), 0)),"")</f>
        <v/>
      </c>
      <c r="Q162" s="4" t="str">
        <f t="array" ref="Q162">IFERROR(INDEX('KO DU ĐK 4069'!$C$8:$C$38, MATCH(1, ('KO DU ĐK 4069'!$D$8:$D$38=BC_SINH!D162)*('KO DU ĐK 4069'!$E$8:$E$38=BC_SINH!E162), 0)),"")</f>
        <v/>
      </c>
      <c r="R162" s="4" t="str">
        <f t="array" ref="R162">IFERROR(INDEX('KO DU ĐK 4069'!$H$8:$H$38, MATCH(1, ('KO DU ĐK 4069'!$D$8:$D$38=BC_SINH!D162)*('KO DU ĐK 4069'!$E$8:$E$38=BC_SINH!E162), 0)),"")</f>
        <v/>
      </c>
      <c r="S162" s="4" t="str">
        <f t="array" ref="S162">IFERROR(INDEX(KeKhaiDangKy!$H$2:$H$4889, MATCH(1, (KeKhaiDangKy!$A$2:$A$4889=BC_SINH!D162)*(KeKhaiDangKy!$B$2:$B$4889=BC_SINH!E162), 0)),"")</f>
        <v>A Rông</v>
      </c>
    </row>
    <row r="163" spans="1:19" ht="14.45" customHeight="1" x14ac:dyDescent="0.25">
      <c r="A163" s="4">
        <f>IF(B163&lt;&gt;"", SUBTOTAL(3, $B$2:B163), "")</f>
        <v>162</v>
      </c>
      <c r="B163" s="4" t="s">
        <v>97</v>
      </c>
      <c r="C163" s="4" t="str">
        <f t="shared" si="2"/>
        <v>A Xói Hang</v>
      </c>
      <c r="D163" s="4">
        <v>8</v>
      </c>
      <c r="E163" s="4">
        <v>210</v>
      </c>
      <c r="F163" s="4">
        <v>4483</v>
      </c>
      <c r="G163" s="4" t="s">
        <v>11</v>
      </c>
      <c r="H163" s="4" t="str">
        <f t="array" ref="H163">IFERROR(INDEX(DSCKXA!$B$3:$B$73, MATCH(1, (DSCKXA!$D$3:$D$73=BC_SINH!D163)*(DSCKXA!$E$3:$E$73=BC_SINH!E163), 0)),"")</f>
        <v/>
      </c>
      <c r="I163" s="99" t="str">
        <f t="array" ref="I163">IFERROR(INDEX(DSCKXA!$C$3:$C$73, MATCH(1, (DSCKXA!$D$3:$D$73=BC_SINH!D163)*(DSCKXA!$E$3:$E$73=BC_SINH!E163), 0)),"")</f>
        <v/>
      </c>
      <c r="J163" s="97" t="str">
        <f>IFERROR(VLOOKUP(B163,'Đất sản xuất'!$B$9:$C$216,2,0),"")</f>
        <v/>
      </c>
      <c r="K163" s="97" t="str">
        <f>IFERROR(VLOOKUP(B163,'Sản xuất cấp huyên'!$B$9:$C$177,2,0),"")</f>
        <v>A Xói Hang</v>
      </c>
      <c r="L163" s="4" t="str">
        <f>IFERROR(VLOOKUP(B163,'4069'!$B$9:$C$177,2,0),"")</f>
        <v>A Xói Hang</v>
      </c>
      <c r="M163" s="4" t="str">
        <f t="array" ref="M163">IFERROR(INDEX(KODUDK!$C$8:$C$79, MATCH(1, (KODUDK!$D$8:$D$79=BC_SINH!D163)*(KODUDK!$E$8:$E$79=BC_SINH!E163), 0)),"")</f>
        <v/>
      </c>
      <c r="N163" s="4" t="str">
        <f t="array" ref="N163">IFERROR(INDEX(KODUDK!$H$8:$H$79, MATCH(1, (KODUDK!$D$8:$D$79=BC_SINH!D163)*(KODUDK!$E$8:$E$79=BC_SINH!E163), 0)),"")</f>
        <v/>
      </c>
      <c r="O163" s="4" t="str">
        <f t="array" ref="O163">IFERROR(INDEX('KO DU ĐK NQ10'!$C$8:$C$48, MATCH(1, ('KO DU ĐK NQ10'!$D$8:$D$48=BC_SINH!D163)*('KO DU ĐK NQ10'!$E$8:$E$48=BC_SINH!E163), 0)),"")</f>
        <v/>
      </c>
      <c r="P163" s="4" t="str">
        <f t="array" ref="P163">IFERROR(INDEX('KO DU ĐK NQ10'!$H$8:$H$48, MATCH(1, ('KO DU ĐK NQ10'!$D$8:$D$48=BC_SINH!D163)*('KO DU ĐK NQ10'!$E$8:$E$48=BC_SINH!E163), 0)),"")</f>
        <v/>
      </c>
      <c r="Q163" s="4" t="str">
        <f t="array" ref="Q163">IFERROR(INDEX('KO DU ĐK 4069'!$C$8:$C$38, MATCH(1, ('KO DU ĐK 4069'!$D$8:$D$38=BC_SINH!D163)*('KO DU ĐK 4069'!$E$8:$E$38=BC_SINH!E163), 0)),"")</f>
        <v/>
      </c>
      <c r="R163" s="4" t="str">
        <f t="array" ref="R163">IFERROR(INDEX('KO DU ĐK 4069'!$H$8:$H$38, MATCH(1, ('KO DU ĐK 4069'!$D$8:$D$38=BC_SINH!D163)*('KO DU ĐK 4069'!$E$8:$E$38=BC_SINH!E163), 0)),"")</f>
        <v/>
      </c>
      <c r="S163" s="4" t="str">
        <f t="array" ref="S163">IFERROR(INDEX(KeKhaiDangKy!$H$2:$H$4889, MATCH(1, (KeKhaiDangKy!$A$2:$A$4889=BC_SINH!D163)*(KeKhaiDangKy!$B$2:$B$4889=BC_SINH!E163), 0)),"")</f>
        <v>A Sói Hang</v>
      </c>
    </row>
    <row r="164" spans="1:19" ht="14.45" customHeight="1" x14ac:dyDescent="0.25">
      <c r="A164" s="4">
        <f>IF(B164&lt;&gt;"", SUBTOTAL(3, $B$2:B164), "")</f>
        <v>163</v>
      </c>
      <c r="B164" s="4" t="s">
        <v>98</v>
      </c>
      <c r="C164" s="4" t="str">
        <f t="shared" si="2"/>
        <v>A Rông</v>
      </c>
      <c r="D164" s="4">
        <v>21</v>
      </c>
      <c r="E164" s="4">
        <v>232</v>
      </c>
      <c r="F164" s="4">
        <v>7245</v>
      </c>
      <c r="G164" s="4" t="s">
        <v>11</v>
      </c>
      <c r="H164" s="4" t="str">
        <f t="array" ref="H164">IFERROR(INDEX(DSCKXA!$B$3:$B$73, MATCH(1, (DSCKXA!$D$3:$D$73=BC_SINH!D164)*(DSCKXA!$E$3:$E$73=BC_SINH!E164), 0)),"")</f>
        <v/>
      </c>
      <c r="I164" s="99" t="str">
        <f t="array" ref="I164">IFERROR(INDEX(DSCKXA!$C$3:$C$73, MATCH(1, (DSCKXA!$D$3:$D$73=BC_SINH!D164)*(DSCKXA!$E$3:$E$73=BC_SINH!E164), 0)),"")</f>
        <v/>
      </c>
      <c r="J164" s="97" t="str">
        <f>IFERROR(VLOOKUP(B164,'Đất sản xuất'!$B$9:$C$216,2,0),"")</f>
        <v/>
      </c>
      <c r="K164" s="97" t="str">
        <f>IFERROR(VLOOKUP(B164,'Sản xuất cấp huyên'!$B$9:$C$177,2,0),"")</f>
        <v/>
      </c>
      <c r="L164" s="4" t="str">
        <f>IFERROR(VLOOKUP(B164,'4069'!$B$9:$C$177,2,0),"")</f>
        <v/>
      </c>
      <c r="M164" s="4" t="str">
        <f t="array" ref="M164">IFERROR(INDEX(KODUDK!$C$8:$C$79, MATCH(1, (KODUDK!$D$8:$D$79=BC_SINH!D164)*(KODUDK!$E$8:$E$79=BC_SINH!E164), 0)),"")</f>
        <v/>
      </c>
      <c r="N164" s="4" t="str">
        <f t="array" ref="N164">IFERROR(INDEX(KODUDK!$H$8:$H$79, MATCH(1, (KODUDK!$D$8:$D$79=BC_SINH!D164)*(KODUDK!$E$8:$E$79=BC_SINH!E164), 0)),"")</f>
        <v/>
      </c>
      <c r="O164" s="4" t="str">
        <f t="array" ref="O164">IFERROR(INDEX('KO DU ĐK NQ10'!$C$8:$C$48, MATCH(1, ('KO DU ĐK NQ10'!$D$8:$D$48=BC_SINH!D164)*('KO DU ĐK NQ10'!$E$8:$E$48=BC_SINH!E164), 0)),"")</f>
        <v/>
      </c>
      <c r="P164" s="4" t="str">
        <f t="array" ref="P164">IFERROR(INDEX('KO DU ĐK NQ10'!$H$8:$H$48, MATCH(1, ('KO DU ĐK NQ10'!$D$8:$D$48=BC_SINH!D164)*('KO DU ĐK NQ10'!$E$8:$E$48=BC_SINH!E164), 0)),"")</f>
        <v/>
      </c>
      <c r="Q164" s="4" t="str">
        <f t="array" ref="Q164">IFERROR(INDEX('KO DU ĐK 4069'!$C$8:$C$38, MATCH(1, ('KO DU ĐK 4069'!$D$8:$D$38=BC_SINH!D164)*('KO DU ĐK 4069'!$E$8:$E$38=BC_SINH!E164), 0)),"")</f>
        <v/>
      </c>
      <c r="R164" s="4" t="str">
        <f t="array" ref="R164">IFERROR(INDEX('KO DU ĐK 4069'!$H$8:$H$38, MATCH(1, ('KO DU ĐK 4069'!$D$8:$D$38=BC_SINH!D164)*('KO DU ĐK 4069'!$E$8:$E$38=BC_SINH!E164), 0)),"")</f>
        <v/>
      </c>
      <c r="S164" s="4" t="str">
        <f t="array" ref="S164">IFERROR(INDEX(KeKhaiDangKy!$H$2:$H$4889, MATCH(1, (KeKhaiDangKy!$A$2:$A$4889=BC_SINH!D164)*(KeKhaiDangKy!$B$2:$B$4889=BC_SINH!E164), 0)),"")</f>
        <v>A Rông</v>
      </c>
    </row>
    <row r="165" spans="1:19" ht="14.45" customHeight="1" x14ac:dyDescent="0.25">
      <c r="A165" s="4">
        <f>IF(B165&lt;&gt;"", SUBTOTAL(3, $B$2:B165), "")</f>
        <v>164</v>
      </c>
      <c r="B165" s="4" t="s">
        <v>99</v>
      </c>
      <c r="C165" s="4" t="str">
        <f t="shared" si="2"/>
        <v xml:space="preserve"> A Máy</v>
      </c>
      <c r="D165" s="4">
        <v>21</v>
      </c>
      <c r="E165" s="4">
        <v>194</v>
      </c>
      <c r="F165" s="4">
        <v>13244</v>
      </c>
      <c r="G165" s="4" t="s">
        <v>11</v>
      </c>
      <c r="H165" s="4" t="str">
        <f t="array" ref="H165">IFERROR(INDEX(DSCKXA!$B$3:$B$73, MATCH(1, (DSCKXA!$D$3:$D$73=BC_SINH!D165)*(DSCKXA!$E$3:$E$73=BC_SINH!E165), 0)),"")</f>
        <v>Hồ Văn Mê</v>
      </c>
      <c r="I165" s="99" t="str">
        <f t="array" ref="I165">IFERROR(INDEX(DSCKXA!$C$3:$C$73, MATCH(1, (DSCKXA!$D$3:$D$73=BC_SINH!D165)*(DSCKXA!$E$3:$E$73=BC_SINH!E165), 0)),"")</f>
        <v>Thôn A Máy</v>
      </c>
      <c r="J165" s="97" t="str">
        <f>IFERROR(VLOOKUP(B165,'Đất sản xuất'!$B$9:$C$216,2,0),"")</f>
        <v xml:space="preserve"> A Máy</v>
      </c>
      <c r="K165" s="97" t="str">
        <f>IFERROR(VLOOKUP(B165,'Sản xuất cấp huyên'!$B$9:$C$177,2,0),"")</f>
        <v/>
      </c>
      <c r="L165" s="4" t="str">
        <f>IFERROR(VLOOKUP(B165,'4069'!$B$9:$C$177,2,0),"")</f>
        <v/>
      </c>
      <c r="M165" s="4" t="str">
        <f t="array" ref="M165">IFERROR(INDEX(KODUDK!$C$8:$C$79, MATCH(1, (KODUDK!$D$8:$D$79=BC_SINH!D165)*(KODUDK!$E$8:$E$79=BC_SINH!E165), 0)),"")</f>
        <v/>
      </c>
      <c r="N165" s="4" t="str">
        <f t="array" ref="N165">IFERROR(INDEX(KODUDK!$H$8:$H$79, MATCH(1, (KODUDK!$D$8:$D$79=BC_SINH!D165)*(KODUDK!$E$8:$E$79=BC_SINH!E165), 0)),"")</f>
        <v/>
      </c>
      <c r="O165" s="4" t="str">
        <f t="array" ref="O165">IFERROR(INDEX('KO DU ĐK NQ10'!$C$8:$C$48, MATCH(1, ('KO DU ĐK NQ10'!$D$8:$D$48=BC_SINH!D165)*('KO DU ĐK NQ10'!$E$8:$E$48=BC_SINH!E165), 0)),"")</f>
        <v/>
      </c>
      <c r="P165" s="4" t="str">
        <f t="array" ref="P165">IFERROR(INDEX('KO DU ĐK NQ10'!$H$8:$H$48, MATCH(1, ('KO DU ĐK NQ10'!$D$8:$D$48=BC_SINH!D165)*('KO DU ĐK NQ10'!$E$8:$E$48=BC_SINH!E165), 0)),"")</f>
        <v/>
      </c>
      <c r="Q165" s="4" t="str">
        <f t="array" ref="Q165">IFERROR(INDEX('KO DU ĐK 4069'!$C$8:$C$38, MATCH(1, ('KO DU ĐK 4069'!$D$8:$D$38=BC_SINH!D165)*('KO DU ĐK 4069'!$E$8:$E$38=BC_SINH!E165), 0)),"")</f>
        <v/>
      </c>
      <c r="R165" s="4" t="str">
        <f t="array" ref="R165">IFERROR(INDEX('KO DU ĐK 4069'!$H$8:$H$38, MATCH(1, ('KO DU ĐK 4069'!$D$8:$D$38=BC_SINH!D165)*('KO DU ĐK 4069'!$E$8:$E$38=BC_SINH!E165), 0)),"")</f>
        <v/>
      </c>
      <c r="S165" s="4" t="str">
        <f t="array" ref="S165">IFERROR(INDEX(KeKhaiDangKy!$H$2:$H$4889, MATCH(1, (KeKhaiDangKy!$A$2:$A$4889=BC_SINH!D165)*(KeKhaiDangKy!$B$2:$B$4889=BC_SINH!E165), 0)),"")</f>
        <v/>
      </c>
    </row>
    <row r="166" spans="1:19" ht="14.45" customHeight="1" x14ac:dyDescent="0.25">
      <c r="A166" s="4">
        <f>IF(B166&lt;&gt;"", SUBTOTAL(3, $B$2:B166), "")</f>
        <v>165</v>
      </c>
      <c r="B166" s="4" t="s">
        <v>613</v>
      </c>
      <c r="C166" s="4" t="str">
        <f t="shared" si="2"/>
        <v>A Xau</v>
      </c>
      <c r="D166" s="4">
        <v>21</v>
      </c>
      <c r="E166" s="4">
        <v>195</v>
      </c>
      <c r="F166" s="4">
        <v>10616</v>
      </c>
      <c r="G166" s="4" t="s">
        <v>11</v>
      </c>
      <c r="H166" s="4" t="str">
        <f t="array" ref="H166">IFERROR(INDEX(DSCKXA!$B$3:$B$73, MATCH(1, (DSCKXA!$D$3:$D$73=BC_SINH!D166)*(DSCKXA!$E$3:$E$73=BC_SINH!E166), 0)),"")</f>
        <v/>
      </c>
      <c r="I166" s="99" t="str">
        <f t="array" ref="I166">IFERROR(INDEX(DSCKXA!$C$3:$C$73, MATCH(1, (DSCKXA!$D$3:$D$73=BC_SINH!D166)*(DSCKXA!$E$3:$E$73=BC_SINH!E166), 0)),"")</f>
        <v/>
      </c>
      <c r="J166" s="97" t="str">
        <f>IFERROR(VLOOKUP(B166,'Đất sản xuất'!$B$9:$C$216,2,0),"")</f>
        <v>A Xau</v>
      </c>
      <c r="K166" s="97" t="str">
        <f>IFERROR(VLOOKUP(B166,'Sản xuất cấp huyên'!$B$9:$C$177,2,0),"")</f>
        <v>A Máy</v>
      </c>
      <c r="L166" s="4" t="str">
        <f>IFERROR(VLOOKUP(B166,'4069'!$B$9:$C$177,2,0),"")</f>
        <v>A Máy</v>
      </c>
      <c r="M166" s="4" t="str">
        <f t="array" ref="M166">IFERROR(INDEX(KODUDK!$C$8:$C$79, MATCH(1, (KODUDK!$D$8:$D$79=BC_SINH!D166)*(KODUDK!$E$8:$E$79=BC_SINH!E166), 0)),"")</f>
        <v/>
      </c>
      <c r="N166" s="4" t="str">
        <f t="array" ref="N166">IFERROR(INDEX(KODUDK!$H$8:$H$79, MATCH(1, (KODUDK!$D$8:$D$79=BC_SINH!D166)*(KODUDK!$E$8:$E$79=BC_SINH!E166), 0)),"")</f>
        <v/>
      </c>
      <c r="O166" s="4" t="str">
        <f t="array" ref="O166">IFERROR(INDEX('KO DU ĐK NQ10'!$C$8:$C$48, MATCH(1, ('KO DU ĐK NQ10'!$D$8:$D$48=BC_SINH!D166)*('KO DU ĐK NQ10'!$E$8:$E$48=BC_SINH!E166), 0)),"")</f>
        <v/>
      </c>
      <c r="P166" s="4" t="str">
        <f t="array" ref="P166">IFERROR(INDEX('KO DU ĐK NQ10'!$H$8:$H$48, MATCH(1, ('KO DU ĐK NQ10'!$D$8:$D$48=BC_SINH!D166)*('KO DU ĐK NQ10'!$E$8:$E$48=BC_SINH!E166), 0)),"")</f>
        <v/>
      </c>
      <c r="Q166" s="4" t="str">
        <f t="array" ref="Q166">IFERROR(INDEX('KO DU ĐK 4069'!$C$8:$C$38, MATCH(1, ('KO DU ĐK 4069'!$D$8:$D$38=BC_SINH!D166)*('KO DU ĐK 4069'!$E$8:$E$38=BC_SINH!E166), 0)),"")</f>
        <v/>
      </c>
      <c r="R166" s="4" t="str">
        <f t="array" ref="R166">IFERROR(INDEX('KO DU ĐK 4069'!$H$8:$H$38, MATCH(1, ('KO DU ĐK 4069'!$D$8:$D$38=BC_SINH!D166)*('KO DU ĐK 4069'!$E$8:$E$38=BC_SINH!E166), 0)),"")</f>
        <v/>
      </c>
      <c r="S166" s="4" t="str">
        <f t="array" ref="S166">IFERROR(INDEX(KeKhaiDangKy!$H$2:$H$4889, MATCH(1, (KeKhaiDangKy!$A$2:$A$4889=BC_SINH!D166)*(KeKhaiDangKy!$B$2:$B$4889=BC_SINH!E166), 0)),"")</f>
        <v/>
      </c>
    </row>
    <row r="167" spans="1:19" ht="14.45" customHeight="1" x14ac:dyDescent="0.25">
      <c r="A167" s="4">
        <f>IF(B167&lt;&gt;"", SUBTOTAL(3, $B$2:B167), "")</f>
        <v>166</v>
      </c>
      <c r="B167" s="4" t="s">
        <v>613</v>
      </c>
      <c r="C167" s="4" t="str">
        <f t="shared" si="2"/>
        <v>A Xau</v>
      </c>
      <c r="D167" s="4">
        <v>7</v>
      </c>
      <c r="E167" s="4">
        <v>280</v>
      </c>
      <c r="F167" s="4">
        <v>3256</v>
      </c>
      <c r="G167" s="4" t="s">
        <v>11</v>
      </c>
      <c r="H167" s="4" t="str">
        <f t="array" ref="H167">IFERROR(INDEX(DSCKXA!$B$3:$B$73, MATCH(1, (DSCKXA!$D$3:$D$73=BC_SINH!D167)*(DSCKXA!$E$3:$E$73=BC_SINH!E167), 0)),"")</f>
        <v>Hồ Thị Hia</v>
      </c>
      <c r="I167" s="99" t="str">
        <f t="array" ref="I167">IFERROR(INDEX(DSCKXA!$C$3:$C$73, MATCH(1, (DSCKXA!$D$3:$D$73=BC_SINH!D167)*(DSCKXA!$E$3:$E$73=BC_SINH!E167), 0)),"")</f>
        <v>Thôn A Xau</v>
      </c>
      <c r="J167" s="97" t="str">
        <f>IFERROR(VLOOKUP(B167,'Đất sản xuất'!$B$9:$C$216,2,0),"")</f>
        <v>A Xau</v>
      </c>
      <c r="K167" s="97" t="str">
        <f>IFERROR(VLOOKUP(B167,'Sản xuất cấp huyên'!$B$9:$C$177,2,0),"")</f>
        <v>A Máy</v>
      </c>
      <c r="L167" s="4" t="str">
        <f>IFERROR(VLOOKUP(B167,'4069'!$B$9:$C$177,2,0),"")</f>
        <v>A Máy</v>
      </c>
      <c r="M167" s="4" t="str">
        <f t="array" ref="M167">IFERROR(INDEX(KODUDK!$C$8:$C$79, MATCH(1, (KODUDK!$D$8:$D$79=BC_SINH!D167)*(KODUDK!$E$8:$E$79=BC_SINH!E167), 0)),"")</f>
        <v/>
      </c>
      <c r="N167" s="4" t="str">
        <f t="array" ref="N167">IFERROR(INDEX(KODUDK!$H$8:$H$79, MATCH(1, (KODUDK!$D$8:$D$79=BC_SINH!D167)*(KODUDK!$E$8:$E$79=BC_SINH!E167), 0)),"")</f>
        <v/>
      </c>
      <c r="O167" s="4" t="str">
        <f t="array" ref="O167">IFERROR(INDEX('KO DU ĐK NQ10'!$C$8:$C$48, MATCH(1, ('KO DU ĐK NQ10'!$D$8:$D$48=BC_SINH!D167)*('KO DU ĐK NQ10'!$E$8:$E$48=BC_SINH!E167), 0)),"")</f>
        <v/>
      </c>
      <c r="P167" s="4" t="str">
        <f t="array" ref="P167">IFERROR(INDEX('KO DU ĐK NQ10'!$H$8:$H$48, MATCH(1, ('KO DU ĐK NQ10'!$D$8:$D$48=BC_SINH!D167)*('KO DU ĐK NQ10'!$E$8:$E$48=BC_SINH!E167), 0)),"")</f>
        <v/>
      </c>
      <c r="Q167" s="4" t="str">
        <f t="array" ref="Q167">IFERROR(INDEX('KO DU ĐK 4069'!$C$8:$C$38, MATCH(1, ('KO DU ĐK 4069'!$D$8:$D$38=BC_SINH!D167)*('KO DU ĐK 4069'!$E$8:$E$38=BC_SINH!E167), 0)),"")</f>
        <v/>
      </c>
      <c r="R167" s="4" t="str">
        <f t="array" ref="R167">IFERROR(INDEX('KO DU ĐK 4069'!$H$8:$H$38, MATCH(1, ('KO DU ĐK 4069'!$D$8:$D$38=BC_SINH!D167)*('KO DU ĐK 4069'!$E$8:$E$38=BC_SINH!E167), 0)),"")</f>
        <v/>
      </c>
      <c r="S167" s="4" t="str">
        <f t="array" ref="S167">IFERROR(INDEX(KeKhaiDangKy!$H$2:$H$4889, MATCH(1, (KeKhaiDangKy!$A$2:$A$4889=BC_SINH!D167)*(KeKhaiDangKy!$B$2:$B$4889=BC_SINH!E167), 0)),"")</f>
        <v>A Xau</v>
      </c>
    </row>
    <row r="168" spans="1:19" ht="14.45" customHeight="1" x14ac:dyDescent="0.25">
      <c r="A168" s="4">
        <f>IF(B168&lt;&gt;"", SUBTOTAL(3, $B$2:B168), "")</f>
        <v>167</v>
      </c>
      <c r="B168" s="4" t="s">
        <v>613</v>
      </c>
      <c r="C168" s="4" t="str">
        <f t="shared" si="2"/>
        <v>A Xau</v>
      </c>
      <c r="D168" s="4">
        <v>8</v>
      </c>
      <c r="E168" s="4">
        <v>83</v>
      </c>
      <c r="F168" s="4">
        <v>3693</v>
      </c>
      <c r="G168" s="4" t="s">
        <v>11</v>
      </c>
      <c r="H168" s="4" t="str">
        <f t="array" ref="H168">IFERROR(INDEX(DSCKXA!$B$3:$B$73, MATCH(1, (DSCKXA!$D$3:$D$73=BC_SINH!D168)*(DSCKXA!$E$3:$E$73=BC_SINH!E168), 0)),"")</f>
        <v/>
      </c>
      <c r="I168" s="99" t="str">
        <f t="array" ref="I168">IFERROR(INDEX(DSCKXA!$C$3:$C$73, MATCH(1, (DSCKXA!$D$3:$D$73=BC_SINH!D168)*(DSCKXA!$E$3:$E$73=BC_SINH!E168), 0)),"")</f>
        <v/>
      </c>
      <c r="J168" s="97" t="str">
        <f>IFERROR(VLOOKUP(B168,'Đất sản xuất'!$B$9:$C$216,2,0),"")</f>
        <v>A Xau</v>
      </c>
      <c r="K168" s="97" t="str">
        <f>IFERROR(VLOOKUP(B168,'Sản xuất cấp huyên'!$B$9:$C$177,2,0),"")</f>
        <v>A Máy</v>
      </c>
      <c r="L168" s="4" t="str">
        <f>IFERROR(VLOOKUP(B168,'4069'!$B$9:$C$177,2,0),"")</f>
        <v>A Máy</v>
      </c>
      <c r="M168" s="4" t="str">
        <f t="array" ref="M168">IFERROR(INDEX(KODUDK!$C$8:$C$79, MATCH(1, (KODUDK!$D$8:$D$79=BC_SINH!D168)*(KODUDK!$E$8:$E$79=BC_SINH!E168), 0)),"")</f>
        <v/>
      </c>
      <c r="N168" s="4" t="str">
        <f t="array" ref="N168">IFERROR(INDEX(KODUDK!$H$8:$H$79, MATCH(1, (KODUDK!$D$8:$D$79=BC_SINH!D168)*(KODUDK!$E$8:$E$79=BC_SINH!E168), 0)),"")</f>
        <v/>
      </c>
      <c r="O168" s="4" t="str">
        <f t="array" ref="O168">IFERROR(INDEX('KO DU ĐK NQ10'!$C$8:$C$48, MATCH(1, ('KO DU ĐK NQ10'!$D$8:$D$48=BC_SINH!D168)*('KO DU ĐK NQ10'!$E$8:$E$48=BC_SINH!E168), 0)),"")</f>
        <v/>
      </c>
      <c r="P168" s="4" t="str">
        <f t="array" ref="P168">IFERROR(INDEX('KO DU ĐK NQ10'!$H$8:$H$48, MATCH(1, ('KO DU ĐK NQ10'!$D$8:$D$48=BC_SINH!D168)*('KO DU ĐK NQ10'!$E$8:$E$48=BC_SINH!E168), 0)),"")</f>
        <v/>
      </c>
      <c r="Q168" s="4" t="str">
        <f t="array" ref="Q168">IFERROR(INDEX('KO DU ĐK 4069'!$C$8:$C$38, MATCH(1, ('KO DU ĐK 4069'!$D$8:$D$38=BC_SINH!D168)*('KO DU ĐK 4069'!$E$8:$E$38=BC_SINH!E168), 0)),"")</f>
        <v/>
      </c>
      <c r="R168" s="4" t="str">
        <f t="array" ref="R168">IFERROR(INDEX('KO DU ĐK 4069'!$H$8:$H$38, MATCH(1, ('KO DU ĐK 4069'!$D$8:$D$38=BC_SINH!D168)*('KO DU ĐK 4069'!$E$8:$E$38=BC_SINH!E168), 0)),"")</f>
        <v/>
      </c>
      <c r="S168" s="4" t="str">
        <f t="array" ref="S168">IFERROR(INDEX(KeKhaiDangKy!$H$2:$H$4889, MATCH(1, (KeKhaiDangKy!$A$2:$A$4889=BC_SINH!D168)*(KeKhaiDangKy!$B$2:$B$4889=BC_SINH!E168), 0)),"")</f>
        <v/>
      </c>
    </row>
    <row r="169" spans="1:19" ht="14.45" customHeight="1" x14ac:dyDescent="0.25">
      <c r="A169" s="4">
        <f>IF(B169&lt;&gt;"", SUBTOTAL(3, $B$2:B169), "")</f>
        <v>168</v>
      </c>
      <c r="B169" s="4" t="s">
        <v>100</v>
      </c>
      <c r="C169" s="4" t="str">
        <f t="shared" si="2"/>
        <v xml:space="preserve"> A Xói Hang</v>
      </c>
      <c r="D169" s="4">
        <v>36</v>
      </c>
      <c r="E169" s="4">
        <v>116</v>
      </c>
      <c r="F169" s="4">
        <v>2119</v>
      </c>
      <c r="G169" s="4" t="s">
        <v>11</v>
      </c>
      <c r="H169" s="4" t="str">
        <f t="array" ref="H169">IFERROR(INDEX(DSCKXA!$B$3:$B$73, MATCH(1, (DSCKXA!$D$3:$D$73=BC_SINH!D169)*(DSCKXA!$E$3:$E$73=BC_SINH!E169), 0)),"")</f>
        <v/>
      </c>
      <c r="I169" s="99" t="str">
        <f t="array" ref="I169">IFERROR(INDEX(DSCKXA!$C$3:$C$73, MATCH(1, (DSCKXA!$D$3:$D$73=BC_SINH!D169)*(DSCKXA!$E$3:$E$73=BC_SINH!E169), 0)),"")</f>
        <v/>
      </c>
      <c r="J169" s="97" t="str">
        <f>IFERROR(VLOOKUP(B169,'Đất sản xuất'!$B$9:$C$216,2,0),"")</f>
        <v xml:space="preserve"> A Xói Hang</v>
      </c>
      <c r="K169" s="97" t="str">
        <f>IFERROR(VLOOKUP(B169,'Sản xuất cấp huyên'!$B$9:$C$177,2,0),"")</f>
        <v/>
      </c>
      <c r="L169" s="4" t="str">
        <f>IFERROR(VLOOKUP(B169,'4069'!$B$9:$C$177,2,0),"")</f>
        <v/>
      </c>
      <c r="M169" s="4" t="str">
        <f t="array" ref="M169">IFERROR(INDEX(KODUDK!$C$8:$C$79, MATCH(1, (KODUDK!$D$8:$D$79=BC_SINH!D169)*(KODUDK!$E$8:$E$79=BC_SINH!E169), 0)),"")</f>
        <v/>
      </c>
      <c r="N169" s="4" t="str">
        <f t="array" ref="N169">IFERROR(INDEX(KODUDK!$H$8:$H$79, MATCH(1, (KODUDK!$D$8:$D$79=BC_SINH!D169)*(KODUDK!$E$8:$E$79=BC_SINH!E169), 0)),"")</f>
        <v/>
      </c>
      <c r="O169" s="4" t="str">
        <f t="array" ref="O169">IFERROR(INDEX('KO DU ĐK NQ10'!$C$8:$C$48, MATCH(1, ('KO DU ĐK NQ10'!$D$8:$D$48=BC_SINH!D169)*('KO DU ĐK NQ10'!$E$8:$E$48=BC_SINH!E169), 0)),"")</f>
        <v/>
      </c>
      <c r="P169" s="4" t="str">
        <f t="array" ref="P169">IFERROR(INDEX('KO DU ĐK NQ10'!$H$8:$H$48, MATCH(1, ('KO DU ĐK NQ10'!$D$8:$D$48=BC_SINH!D169)*('KO DU ĐK NQ10'!$E$8:$E$48=BC_SINH!E169), 0)),"")</f>
        <v/>
      </c>
      <c r="Q169" s="4" t="str">
        <f t="array" ref="Q169">IFERROR(INDEX('KO DU ĐK 4069'!$C$8:$C$38, MATCH(1, ('KO DU ĐK 4069'!$D$8:$D$38=BC_SINH!D169)*('KO DU ĐK 4069'!$E$8:$E$38=BC_SINH!E169), 0)),"")</f>
        <v/>
      </c>
      <c r="R169" s="4" t="str">
        <f t="array" ref="R169">IFERROR(INDEX('KO DU ĐK 4069'!$H$8:$H$38, MATCH(1, ('KO DU ĐK 4069'!$D$8:$D$38=BC_SINH!D169)*('KO DU ĐK 4069'!$E$8:$E$38=BC_SINH!E169), 0)),"")</f>
        <v/>
      </c>
      <c r="S169" s="4" t="str">
        <f t="array" ref="S169">IFERROR(INDEX(KeKhaiDangKy!$H$2:$H$4889, MATCH(1, (KeKhaiDangKy!$A$2:$A$4889=BC_SINH!D169)*(KeKhaiDangKy!$B$2:$B$4889=BC_SINH!E169), 0)),"")</f>
        <v>A Xói Hang</v>
      </c>
    </row>
    <row r="170" spans="1:19" ht="14.45" customHeight="1" x14ac:dyDescent="0.25">
      <c r="A170" s="4">
        <f>IF(B170&lt;&gt;"", SUBTOTAL(3, $B$2:B170), "")</f>
        <v>169</v>
      </c>
      <c r="B170" s="4" t="s">
        <v>100</v>
      </c>
      <c r="C170" s="4" t="str">
        <f t="shared" si="2"/>
        <v xml:space="preserve"> A Xói Hang</v>
      </c>
      <c r="D170" s="4">
        <v>18</v>
      </c>
      <c r="E170" s="4">
        <v>225</v>
      </c>
      <c r="F170" s="4">
        <v>7397</v>
      </c>
      <c r="G170" s="4" t="s">
        <v>11</v>
      </c>
      <c r="H170" s="4" t="str">
        <f t="array" ref="H170">IFERROR(INDEX(DSCKXA!$B$3:$B$73, MATCH(1, (DSCKXA!$D$3:$D$73=BC_SINH!D170)*(DSCKXA!$E$3:$E$73=BC_SINH!E170), 0)),"")</f>
        <v>Hồ Văn Moa</v>
      </c>
      <c r="I170" s="99" t="str">
        <f t="array" ref="I170">IFERROR(INDEX(DSCKXA!$C$3:$C$73, MATCH(1, (DSCKXA!$D$3:$D$73=BC_SINH!D170)*(DSCKXA!$E$3:$E$73=BC_SINH!E170), 0)),"")</f>
        <v>Thôn A Xói Hang</v>
      </c>
      <c r="J170" s="97" t="str">
        <f>IFERROR(VLOOKUP(B170,'Đất sản xuất'!$B$9:$C$216,2,0),"")</f>
        <v xml:space="preserve"> A Xói Hang</v>
      </c>
      <c r="K170" s="97" t="str">
        <f>IFERROR(VLOOKUP(B170,'Sản xuất cấp huyên'!$B$9:$C$177,2,0),"")</f>
        <v/>
      </c>
      <c r="L170" s="4" t="str">
        <f>IFERROR(VLOOKUP(B170,'4069'!$B$9:$C$177,2,0),"")</f>
        <v/>
      </c>
      <c r="M170" s="4" t="str">
        <f t="array" ref="M170">IFERROR(INDEX(KODUDK!$C$8:$C$79, MATCH(1, (KODUDK!$D$8:$D$79=BC_SINH!D170)*(KODUDK!$E$8:$E$79=BC_SINH!E170), 0)),"")</f>
        <v/>
      </c>
      <c r="N170" s="4" t="str">
        <f t="array" ref="N170">IFERROR(INDEX(KODUDK!$H$8:$H$79, MATCH(1, (KODUDK!$D$8:$D$79=BC_SINH!D170)*(KODUDK!$E$8:$E$79=BC_SINH!E170), 0)),"")</f>
        <v/>
      </c>
      <c r="O170" s="4" t="str">
        <f t="array" ref="O170">IFERROR(INDEX('KO DU ĐK NQ10'!$C$8:$C$48, MATCH(1, ('KO DU ĐK NQ10'!$D$8:$D$48=BC_SINH!D170)*('KO DU ĐK NQ10'!$E$8:$E$48=BC_SINH!E170), 0)),"")</f>
        <v/>
      </c>
      <c r="P170" s="4" t="str">
        <f t="array" ref="P170">IFERROR(INDEX('KO DU ĐK NQ10'!$H$8:$H$48, MATCH(1, ('KO DU ĐK NQ10'!$D$8:$D$48=BC_SINH!D170)*('KO DU ĐK NQ10'!$E$8:$E$48=BC_SINH!E170), 0)),"")</f>
        <v/>
      </c>
      <c r="Q170" s="4" t="str">
        <f t="array" ref="Q170">IFERROR(INDEX('KO DU ĐK 4069'!$C$8:$C$38, MATCH(1, ('KO DU ĐK 4069'!$D$8:$D$38=BC_SINH!D170)*('KO DU ĐK 4069'!$E$8:$E$38=BC_SINH!E170), 0)),"")</f>
        <v/>
      </c>
      <c r="R170" s="4" t="str">
        <f t="array" ref="R170">IFERROR(INDEX('KO DU ĐK 4069'!$H$8:$H$38, MATCH(1, ('KO DU ĐK 4069'!$D$8:$D$38=BC_SINH!D170)*('KO DU ĐK 4069'!$E$8:$E$38=BC_SINH!E170), 0)),"")</f>
        <v/>
      </c>
      <c r="S170" s="4" t="str">
        <f t="array" ref="S170">IFERROR(INDEX(KeKhaiDangKy!$H$2:$H$4889, MATCH(1, (KeKhaiDangKy!$A$2:$A$4889=BC_SINH!D170)*(KeKhaiDangKy!$B$2:$B$4889=BC_SINH!E170), 0)),"")</f>
        <v>A Xói Hang</v>
      </c>
    </row>
    <row r="171" spans="1:19" ht="14.45" customHeight="1" x14ac:dyDescent="0.25">
      <c r="A171" s="4">
        <f>IF(B171&lt;&gt;"", SUBTOTAL(3, $B$2:B171), "")</f>
        <v>170</v>
      </c>
      <c r="B171" s="4" t="s">
        <v>101</v>
      </c>
      <c r="C171" s="4" t="str">
        <f t="shared" si="2"/>
        <v>A Xóc Lìa</v>
      </c>
      <c r="D171" s="4">
        <v>16</v>
      </c>
      <c r="E171" s="4">
        <v>47</v>
      </c>
      <c r="F171" s="4">
        <v>3989</v>
      </c>
      <c r="G171" s="4" t="s">
        <v>11</v>
      </c>
      <c r="H171" s="4" t="str">
        <f t="array" ref="H171">IFERROR(INDEX(DSCKXA!$B$3:$B$73, MATCH(1, (DSCKXA!$D$3:$D$73=BC_SINH!D171)*(DSCKXA!$E$3:$E$73=BC_SINH!E171), 0)),"")</f>
        <v/>
      </c>
      <c r="I171" s="99" t="str">
        <f t="array" ref="I171">IFERROR(INDEX(DSCKXA!$C$3:$C$73, MATCH(1, (DSCKXA!$D$3:$D$73=BC_SINH!D171)*(DSCKXA!$E$3:$E$73=BC_SINH!E171), 0)),"")</f>
        <v/>
      </c>
      <c r="J171" s="97" t="str">
        <f>IFERROR(VLOOKUP(B171,'Đất sản xuất'!$B$9:$C$216,2,0),"")</f>
        <v>A Xóc Lìa</v>
      </c>
      <c r="K171" s="97" t="str">
        <f>IFERROR(VLOOKUP(B171,'Sản xuất cấp huyên'!$B$9:$C$177,2,0),"")</f>
        <v/>
      </c>
      <c r="L171" s="4" t="str">
        <f>IFERROR(VLOOKUP(B171,'4069'!$B$9:$C$177,2,0),"")</f>
        <v/>
      </c>
      <c r="M171" s="4" t="str">
        <f t="array" ref="M171">IFERROR(INDEX(KODUDK!$C$8:$C$79, MATCH(1, (KODUDK!$D$8:$D$79=BC_SINH!D171)*(KODUDK!$E$8:$E$79=BC_SINH!E171), 0)),"")</f>
        <v/>
      </c>
      <c r="N171" s="4" t="str">
        <f t="array" ref="N171">IFERROR(INDEX(KODUDK!$H$8:$H$79, MATCH(1, (KODUDK!$D$8:$D$79=BC_SINH!D171)*(KODUDK!$E$8:$E$79=BC_SINH!E171), 0)),"")</f>
        <v/>
      </c>
      <c r="O171" s="4" t="str">
        <f t="array" ref="O171">IFERROR(INDEX('KO DU ĐK NQ10'!$C$8:$C$48, MATCH(1, ('KO DU ĐK NQ10'!$D$8:$D$48=BC_SINH!D171)*('KO DU ĐK NQ10'!$E$8:$E$48=BC_SINH!E171), 0)),"")</f>
        <v/>
      </c>
      <c r="P171" s="4" t="str">
        <f t="array" ref="P171">IFERROR(INDEX('KO DU ĐK NQ10'!$H$8:$H$48, MATCH(1, ('KO DU ĐK NQ10'!$D$8:$D$48=BC_SINH!D171)*('KO DU ĐK NQ10'!$E$8:$E$48=BC_SINH!E171), 0)),"")</f>
        <v/>
      </c>
      <c r="Q171" s="4" t="str">
        <f t="array" ref="Q171">IFERROR(INDEX('KO DU ĐK 4069'!$C$8:$C$38, MATCH(1, ('KO DU ĐK 4069'!$D$8:$D$38=BC_SINH!D171)*('KO DU ĐK 4069'!$E$8:$E$38=BC_SINH!E171), 0)),"")</f>
        <v/>
      </c>
      <c r="R171" s="4" t="str">
        <f t="array" ref="R171">IFERROR(INDEX('KO DU ĐK 4069'!$H$8:$H$38, MATCH(1, ('KO DU ĐK 4069'!$D$8:$D$38=BC_SINH!D171)*('KO DU ĐK 4069'!$E$8:$E$38=BC_SINH!E171), 0)),"")</f>
        <v/>
      </c>
      <c r="S171" s="4" t="str">
        <f t="array" ref="S171">IFERROR(INDEX(KeKhaiDangKy!$H$2:$H$4889, MATCH(1, (KeKhaiDangKy!$A$2:$A$4889=BC_SINH!D171)*(KeKhaiDangKy!$B$2:$B$4889=BC_SINH!E171), 0)),"")</f>
        <v>A Sóc Lìa</v>
      </c>
    </row>
    <row r="172" spans="1:19" ht="14.45" customHeight="1" x14ac:dyDescent="0.25">
      <c r="A172" s="4">
        <f>IF(B172&lt;&gt;"", SUBTOTAL(3, $B$2:B172), "")</f>
        <v>171</v>
      </c>
      <c r="B172" s="4" t="s">
        <v>102</v>
      </c>
      <c r="C172" s="4" t="str">
        <f t="shared" si="2"/>
        <v xml:space="preserve"> A Máy</v>
      </c>
      <c r="D172" s="4">
        <v>21</v>
      </c>
      <c r="E172" s="4">
        <v>196</v>
      </c>
      <c r="F172" s="4">
        <v>6110</v>
      </c>
      <c r="G172" s="4" t="s">
        <v>11</v>
      </c>
      <c r="H172" s="4" t="str">
        <f t="array" ref="H172">IFERROR(INDEX(DSCKXA!$B$3:$B$73, MATCH(1, (DSCKXA!$D$3:$D$73=BC_SINH!D172)*(DSCKXA!$E$3:$E$73=BC_SINH!E172), 0)),"")</f>
        <v>Hồ Văn Mừng</v>
      </c>
      <c r="I172" s="99" t="str">
        <f t="array" ref="I172">IFERROR(INDEX(DSCKXA!$C$3:$C$73, MATCH(1, (DSCKXA!$D$3:$D$73=BC_SINH!D172)*(DSCKXA!$E$3:$E$73=BC_SINH!E172), 0)),"")</f>
        <v>Thôn A Máy</v>
      </c>
      <c r="J172" s="97" t="str">
        <f>IFERROR(VLOOKUP(B172,'Đất sản xuất'!$B$9:$C$216,2,0),"")</f>
        <v xml:space="preserve"> A Máy</v>
      </c>
      <c r="K172" s="97" t="str">
        <f>IFERROR(VLOOKUP(B172,'Sản xuất cấp huyên'!$B$9:$C$177,2,0),"")</f>
        <v/>
      </c>
      <c r="L172" s="4" t="str">
        <f>IFERROR(VLOOKUP(B172,'4069'!$B$9:$C$177,2,0),"")</f>
        <v/>
      </c>
      <c r="M172" s="4" t="str">
        <f t="array" ref="M172">IFERROR(INDEX(KODUDK!$C$8:$C$79, MATCH(1, (KODUDK!$D$8:$D$79=BC_SINH!D172)*(KODUDK!$E$8:$E$79=BC_SINH!E172), 0)),"")</f>
        <v/>
      </c>
      <c r="N172" s="4" t="str">
        <f t="array" ref="N172">IFERROR(INDEX(KODUDK!$H$8:$H$79, MATCH(1, (KODUDK!$D$8:$D$79=BC_SINH!D172)*(KODUDK!$E$8:$E$79=BC_SINH!E172), 0)),"")</f>
        <v/>
      </c>
      <c r="O172" s="4" t="str">
        <f t="array" ref="O172">IFERROR(INDEX('KO DU ĐK NQ10'!$C$8:$C$48, MATCH(1, ('KO DU ĐK NQ10'!$D$8:$D$48=BC_SINH!D172)*('KO DU ĐK NQ10'!$E$8:$E$48=BC_SINH!E172), 0)),"")</f>
        <v/>
      </c>
      <c r="P172" s="4" t="str">
        <f t="array" ref="P172">IFERROR(INDEX('KO DU ĐK NQ10'!$H$8:$H$48, MATCH(1, ('KO DU ĐK NQ10'!$D$8:$D$48=BC_SINH!D172)*('KO DU ĐK NQ10'!$E$8:$E$48=BC_SINH!E172), 0)),"")</f>
        <v/>
      </c>
      <c r="Q172" s="4" t="str">
        <f t="array" ref="Q172">IFERROR(INDEX('KO DU ĐK 4069'!$C$8:$C$38, MATCH(1, ('KO DU ĐK 4069'!$D$8:$D$38=BC_SINH!D172)*('KO DU ĐK 4069'!$E$8:$E$38=BC_SINH!E172), 0)),"")</f>
        <v/>
      </c>
      <c r="R172" s="4" t="str">
        <f t="array" ref="R172">IFERROR(INDEX('KO DU ĐK 4069'!$H$8:$H$38, MATCH(1, ('KO DU ĐK 4069'!$D$8:$D$38=BC_SINH!D172)*('KO DU ĐK 4069'!$E$8:$E$38=BC_SINH!E172), 0)),"")</f>
        <v/>
      </c>
      <c r="S172" s="4" t="str">
        <f t="array" ref="S172">IFERROR(INDEX(KeKhaiDangKy!$H$2:$H$4889, MATCH(1, (KeKhaiDangKy!$A$2:$A$4889=BC_SINH!D172)*(KeKhaiDangKy!$B$2:$B$4889=BC_SINH!E172), 0)),"")</f>
        <v/>
      </c>
    </row>
    <row r="173" spans="1:19" ht="14.45" customHeight="1" x14ac:dyDescent="0.25">
      <c r="A173" s="4">
        <f>IF(B173&lt;&gt;"", SUBTOTAL(3, $B$2:B173), "")</f>
        <v>172</v>
      </c>
      <c r="B173" s="4" t="s">
        <v>103</v>
      </c>
      <c r="C173" s="4" t="str">
        <f t="shared" si="2"/>
        <v>A Máy</v>
      </c>
      <c r="D173" s="4">
        <v>21</v>
      </c>
      <c r="E173" s="4">
        <v>197</v>
      </c>
      <c r="F173" s="4">
        <v>13396</v>
      </c>
      <c r="G173" s="4" t="s">
        <v>11</v>
      </c>
      <c r="H173" s="4" t="str">
        <f t="array" ref="H173">IFERROR(INDEX(DSCKXA!$B$3:$B$73, MATCH(1, (DSCKXA!$D$3:$D$73=BC_SINH!D173)*(DSCKXA!$E$3:$E$73=BC_SINH!E173), 0)),"")</f>
        <v/>
      </c>
      <c r="I173" s="99" t="str">
        <f t="array" ref="I173">IFERROR(INDEX(DSCKXA!$C$3:$C$73, MATCH(1, (DSCKXA!$D$3:$D$73=BC_SINH!D173)*(DSCKXA!$E$3:$E$73=BC_SINH!E173), 0)),"")</f>
        <v/>
      </c>
      <c r="J173" s="97" t="str">
        <f>IFERROR(VLOOKUP(B173,'Đất sản xuất'!$B$9:$C$216,2,0),"")</f>
        <v/>
      </c>
      <c r="K173" s="97" t="str">
        <f>IFERROR(VLOOKUP(B173,'Sản xuất cấp huyên'!$B$9:$C$177,2,0),"")</f>
        <v>A Máy</v>
      </c>
      <c r="L173" s="4" t="str">
        <f>IFERROR(VLOOKUP(B173,'4069'!$B$9:$C$177,2,0),"")</f>
        <v>A Máy</v>
      </c>
      <c r="M173" s="4" t="str">
        <f t="array" ref="M173">IFERROR(INDEX(KODUDK!$C$8:$C$79, MATCH(1, (KODUDK!$D$8:$D$79=BC_SINH!D173)*(KODUDK!$E$8:$E$79=BC_SINH!E173), 0)),"")</f>
        <v/>
      </c>
      <c r="N173" s="4" t="str">
        <f t="array" ref="N173">IFERROR(INDEX(KODUDK!$H$8:$H$79, MATCH(1, (KODUDK!$D$8:$D$79=BC_SINH!D173)*(KODUDK!$E$8:$E$79=BC_SINH!E173), 0)),"")</f>
        <v/>
      </c>
      <c r="O173" s="4" t="str">
        <f t="array" ref="O173">IFERROR(INDEX('KO DU ĐK NQ10'!$C$8:$C$48, MATCH(1, ('KO DU ĐK NQ10'!$D$8:$D$48=BC_SINH!D173)*('KO DU ĐK NQ10'!$E$8:$E$48=BC_SINH!E173), 0)),"")</f>
        <v/>
      </c>
      <c r="P173" s="4" t="str">
        <f t="array" ref="P173">IFERROR(INDEX('KO DU ĐK NQ10'!$H$8:$H$48, MATCH(1, ('KO DU ĐK NQ10'!$D$8:$D$48=BC_SINH!D173)*('KO DU ĐK NQ10'!$E$8:$E$48=BC_SINH!E173), 0)),"")</f>
        <v/>
      </c>
      <c r="Q173" s="4" t="str">
        <f t="array" ref="Q173">IFERROR(INDEX('KO DU ĐK 4069'!$C$8:$C$38, MATCH(1, ('KO DU ĐK 4069'!$D$8:$D$38=BC_SINH!D173)*('KO DU ĐK 4069'!$E$8:$E$38=BC_SINH!E173), 0)),"")</f>
        <v/>
      </c>
      <c r="R173" s="4" t="str">
        <f t="array" ref="R173">IFERROR(INDEX('KO DU ĐK 4069'!$H$8:$H$38, MATCH(1, ('KO DU ĐK 4069'!$D$8:$D$38=BC_SINH!D173)*('KO DU ĐK 4069'!$E$8:$E$38=BC_SINH!E173), 0)),"")</f>
        <v/>
      </c>
      <c r="S173" s="4" t="str">
        <f t="array" ref="S173">IFERROR(INDEX(KeKhaiDangKy!$H$2:$H$4889, MATCH(1, (KeKhaiDangKy!$A$2:$A$4889=BC_SINH!D173)*(KeKhaiDangKy!$B$2:$B$4889=BC_SINH!E173), 0)),"")</f>
        <v/>
      </c>
    </row>
    <row r="174" spans="1:19" ht="14.45" customHeight="1" x14ac:dyDescent="0.25">
      <c r="A174" s="4">
        <f>IF(B174&lt;&gt;"", SUBTOTAL(3, $B$2:B174), "")</f>
        <v>173</v>
      </c>
      <c r="B174" s="4" t="s">
        <v>103</v>
      </c>
      <c r="C174" s="4" t="str">
        <f t="shared" si="2"/>
        <v>A Máy</v>
      </c>
      <c r="D174" s="4">
        <v>21</v>
      </c>
      <c r="E174" s="4">
        <v>198</v>
      </c>
      <c r="F174" s="4">
        <v>4280</v>
      </c>
      <c r="G174" s="4" t="s">
        <v>11</v>
      </c>
      <c r="H174" s="4" t="str">
        <f t="array" ref="H174">IFERROR(INDEX(DSCKXA!$B$3:$B$73, MATCH(1, (DSCKXA!$D$3:$D$73=BC_SINH!D174)*(DSCKXA!$E$3:$E$73=BC_SINH!E174), 0)),"")</f>
        <v/>
      </c>
      <c r="I174" s="99" t="str">
        <f t="array" ref="I174">IFERROR(INDEX(DSCKXA!$C$3:$C$73, MATCH(1, (DSCKXA!$D$3:$D$73=BC_SINH!D174)*(DSCKXA!$E$3:$E$73=BC_SINH!E174), 0)),"")</f>
        <v/>
      </c>
      <c r="J174" s="97" t="str">
        <f>IFERROR(VLOOKUP(B174,'Đất sản xuất'!$B$9:$C$216,2,0),"")</f>
        <v/>
      </c>
      <c r="K174" s="97" t="str">
        <f>IFERROR(VLOOKUP(B174,'Sản xuất cấp huyên'!$B$9:$C$177,2,0),"")</f>
        <v>A Máy</v>
      </c>
      <c r="L174" s="4" t="str">
        <f>IFERROR(VLOOKUP(B174,'4069'!$B$9:$C$177,2,0),"")</f>
        <v>A Máy</v>
      </c>
      <c r="M174" s="4" t="str">
        <f t="array" ref="M174">IFERROR(INDEX(KODUDK!$C$8:$C$79, MATCH(1, (KODUDK!$D$8:$D$79=BC_SINH!D174)*(KODUDK!$E$8:$E$79=BC_SINH!E174), 0)),"")</f>
        <v>Thôn A Máy</v>
      </c>
      <c r="N174" s="4" t="str">
        <f t="array" ref="N174">IFERROR(INDEX(KODUDK!$H$8:$H$79, MATCH(1, (KODUDK!$D$8:$D$79=BC_SINH!D174)*(KODUDK!$E$8:$E$79=BC_SINH!E174), 0)),"")</f>
        <v>Có 02 thửa đất nên loại 01 thửa</v>
      </c>
      <c r="O174" s="4" t="str">
        <f t="array" ref="O174">IFERROR(INDEX('KO DU ĐK NQ10'!$C$8:$C$48, MATCH(1, ('KO DU ĐK NQ10'!$D$8:$D$48=BC_SINH!D174)*('KO DU ĐK NQ10'!$E$8:$E$48=BC_SINH!E174), 0)),"")</f>
        <v/>
      </c>
      <c r="P174" s="4" t="str">
        <f t="array" ref="P174">IFERROR(INDEX('KO DU ĐK NQ10'!$H$8:$H$48, MATCH(1, ('KO DU ĐK NQ10'!$D$8:$D$48=BC_SINH!D174)*('KO DU ĐK NQ10'!$E$8:$E$48=BC_SINH!E174), 0)),"")</f>
        <v/>
      </c>
      <c r="Q174" s="4" t="str">
        <f t="array" ref="Q174">IFERROR(INDEX('KO DU ĐK 4069'!$C$8:$C$38, MATCH(1, ('KO DU ĐK 4069'!$D$8:$D$38=BC_SINH!D174)*('KO DU ĐK 4069'!$E$8:$E$38=BC_SINH!E174), 0)),"")</f>
        <v>Thôn A Máy</v>
      </c>
      <c r="R174" s="4" t="str">
        <f t="array" ref="R174">IFERROR(INDEX('KO DU ĐK 4069'!$H$8:$H$38, MATCH(1, ('KO DU ĐK 4069'!$D$8:$D$38=BC_SINH!D174)*('KO DU ĐK 4069'!$E$8:$E$38=BC_SINH!E174), 0)),"")</f>
        <v>Có 02 thửa đất nên loại 01 thửa</v>
      </c>
      <c r="S174" s="4" t="str">
        <f t="array" ref="S174">IFERROR(INDEX(KeKhaiDangKy!$H$2:$H$4889, MATCH(1, (KeKhaiDangKy!$A$2:$A$4889=BC_SINH!D174)*(KeKhaiDangKy!$B$2:$B$4889=BC_SINH!E174), 0)),"")</f>
        <v/>
      </c>
    </row>
    <row r="175" spans="1:19" ht="14.45" customHeight="1" x14ac:dyDescent="0.25">
      <c r="A175" s="4">
        <f>IF(B175&lt;&gt;"", SUBTOTAL(3, $B$2:B175), "")</f>
        <v>174</v>
      </c>
      <c r="B175" s="4" t="s">
        <v>104</v>
      </c>
      <c r="C175" s="4" t="str">
        <f t="shared" si="2"/>
        <v>Kỳ Nơi</v>
      </c>
      <c r="D175" s="4">
        <v>3</v>
      </c>
      <c r="E175" s="4">
        <v>9</v>
      </c>
      <c r="F175" s="4">
        <v>13514</v>
      </c>
      <c r="G175" s="4" t="s">
        <v>11</v>
      </c>
      <c r="H175" s="4" t="str">
        <f t="array" ref="H175">IFERROR(INDEX(DSCKXA!$B$3:$B$73, MATCH(1, (DSCKXA!$D$3:$D$73=BC_SINH!D175)*(DSCKXA!$E$3:$E$73=BC_SINH!E175), 0)),"")</f>
        <v/>
      </c>
      <c r="I175" s="99" t="str">
        <f t="array" ref="I175">IFERROR(INDEX(DSCKXA!$C$3:$C$73, MATCH(1, (DSCKXA!$D$3:$D$73=BC_SINH!D175)*(DSCKXA!$E$3:$E$73=BC_SINH!E175), 0)),"")</f>
        <v/>
      </c>
      <c r="J175" s="97" t="str">
        <f>IFERROR(VLOOKUP(B175,'Đất sản xuất'!$B$9:$C$216,2,0),"")</f>
        <v/>
      </c>
      <c r="K175" s="97" t="str">
        <f>IFERROR(VLOOKUP(B175,'Sản xuất cấp huyên'!$B$9:$C$177,2,0),"")</f>
        <v/>
      </c>
      <c r="L175" s="4" t="str">
        <f>IFERROR(VLOOKUP(B175,'4069'!$B$9:$C$177,2,0),"")</f>
        <v/>
      </c>
      <c r="M175" s="4" t="str">
        <f t="array" ref="M175">IFERROR(INDEX(KODUDK!$C$8:$C$79, MATCH(1, (KODUDK!$D$8:$D$79=BC_SINH!D175)*(KODUDK!$E$8:$E$79=BC_SINH!E175), 0)),"")</f>
        <v/>
      </c>
      <c r="N175" s="4" t="str">
        <f t="array" ref="N175">IFERROR(INDEX(KODUDK!$H$8:$H$79, MATCH(1, (KODUDK!$D$8:$D$79=BC_SINH!D175)*(KODUDK!$E$8:$E$79=BC_SINH!E175), 0)),"")</f>
        <v/>
      </c>
      <c r="O175" s="4" t="str">
        <f t="array" ref="O175">IFERROR(INDEX('KO DU ĐK NQ10'!$C$8:$C$48, MATCH(1, ('KO DU ĐK NQ10'!$D$8:$D$48=BC_SINH!D175)*('KO DU ĐK NQ10'!$E$8:$E$48=BC_SINH!E175), 0)),"")</f>
        <v/>
      </c>
      <c r="P175" s="4" t="str">
        <f t="array" ref="P175">IFERROR(INDEX('KO DU ĐK NQ10'!$H$8:$H$48, MATCH(1, ('KO DU ĐK NQ10'!$D$8:$D$48=BC_SINH!D175)*('KO DU ĐK NQ10'!$E$8:$E$48=BC_SINH!E175), 0)),"")</f>
        <v/>
      </c>
      <c r="Q175" s="4" t="str">
        <f t="array" ref="Q175">IFERROR(INDEX('KO DU ĐK 4069'!$C$8:$C$38, MATCH(1, ('KO DU ĐK 4069'!$D$8:$D$38=BC_SINH!D175)*('KO DU ĐK 4069'!$E$8:$E$38=BC_SINH!E175), 0)),"")</f>
        <v/>
      </c>
      <c r="R175" s="4" t="str">
        <f t="array" ref="R175">IFERROR(INDEX('KO DU ĐK 4069'!$H$8:$H$38, MATCH(1, ('KO DU ĐK 4069'!$D$8:$D$38=BC_SINH!D175)*('KO DU ĐK 4069'!$E$8:$E$38=BC_SINH!E175), 0)),"")</f>
        <v/>
      </c>
      <c r="S175" s="4" t="str">
        <f t="array" ref="S175">IFERROR(INDEX(KeKhaiDangKy!$H$2:$H$4889, MATCH(1, (KeKhaiDangKy!$A$2:$A$4889=BC_SINH!D175)*(KeKhaiDangKy!$B$2:$B$4889=BC_SINH!E175), 0)),"")</f>
        <v>Kỳ Nơi</v>
      </c>
    </row>
    <row r="176" spans="1:19" ht="14.45" customHeight="1" x14ac:dyDescent="0.25">
      <c r="A176" s="4">
        <f>IF(B176&lt;&gt;"", SUBTOTAL(3, $B$2:B176), "")</f>
        <v>175</v>
      </c>
      <c r="B176" s="4" t="s">
        <v>105</v>
      </c>
      <c r="C176" s="4" t="str">
        <f t="shared" si="2"/>
        <v/>
      </c>
      <c r="D176" s="4">
        <v>21</v>
      </c>
      <c r="E176" s="4">
        <v>199</v>
      </c>
      <c r="F176" s="4">
        <v>23522</v>
      </c>
      <c r="G176" s="4" t="s">
        <v>11</v>
      </c>
      <c r="H176" s="4" t="str">
        <f t="array" ref="H176">IFERROR(INDEX(DSCKXA!$B$3:$B$73, MATCH(1, (DSCKXA!$D$3:$D$73=BC_SINH!D176)*(DSCKXA!$E$3:$E$73=BC_SINH!E176), 0)),"")</f>
        <v/>
      </c>
      <c r="I176" s="99" t="str">
        <f t="array" ref="I176">IFERROR(INDEX(DSCKXA!$C$3:$C$73, MATCH(1, (DSCKXA!$D$3:$D$73=BC_SINH!D176)*(DSCKXA!$E$3:$E$73=BC_SINH!E176), 0)),"")</f>
        <v/>
      </c>
      <c r="J176" s="97" t="str">
        <f>IFERROR(VLOOKUP(B176,'Đất sản xuất'!$B$9:$C$216,2,0),"")</f>
        <v/>
      </c>
      <c r="K176" s="97" t="str">
        <f>IFERROR(VLOOKUP(B176,'Sản xuất cấp huyên'!$B$9:$C$177,2,0),"")</f>
        <v/>
      </c>
      <c r="L176" s="4" t="str">
        <f>IFERROR(VLOOKUP(B176,'4069'!$B$9:$C$177,2,0),"")</f>
        <v/>
      </c>
      <c r="M176" s="4" t="str">
        <f t="array" ref="M176">IFERROR(INDEX(KODUDK!$C$8:$C$79, MATCH(1, (KODUDK!$D$8:$D$79=BC_SINH!D176)*(KODUDK!$E$8:$E$79=BC_SINH!E176), 0)),"")</f>
        <v/>
      </c>
      <c r="N176" s="4" t="str">
        <f t="array" ref="N176">IFERROR(INDEX(KODUDK!$H$8:$H$79, MATCH(1, (KODUDK!$D$8:$D$79=BC_SINH!D176)*(KODUDK!$E$8:$E$79=BC_SINH!E176), 0)),"")</f>
        <v/>
      </c>
      <c r="O176" s="4" t="str">
        <f t="array" ref="O176">IFERROR(INDEX('KO DU ĐK NQ10'!$C$8:$C$48, MATCH(1, ('KO DU ĐK NQ10'!$D$8:$D$48=BC_SINH!D176)*('KO DU ĐK NQ10'!$E$8:$E$48=BC_SINH!E176), 0)),"")</f>
        <v/>
      </c>
      <c r="P176" s="4" t="str">
        <f t="array" ref="P176">IFERROR(INDEX('KO DU ĐK NQ10'!$H$8:$H$48, MATCH(1, ('KO DU ĐK NQ10'!$D$8:$D$48=BC_SINH!D176)*('KO DU ĐK NQ10'!$E$8:$E$48=BC_SINH!E176), 0)),"")</f>
        <v/>
      </c>
      <c r="Q176" s="4" t="str">
        <f t="array" ref="Q176">IFERROR(INDEX('KO DU ĐK 4069'!$C$8:$C$38, MATCH(1, ('KO DU ĐK 4069'!$D$8:$D$38=BC_SINH!D176)*('KO DU ĐK 4069'!$E$8:$E$38=BC_SINH!E176), 0)),"")</f>
        <v/>
      </c>
      <c r="R176" s="4" t="str">
        <f t="array" ref="R176">IFERROR(INDEX('KO DU ĐK 4069'!$H$8:$H$38, MATCH(1, ('KO DU ĐK 4069'!$D$8:$D$38=BC_SINH!D176)*('KO DU ĐK 4069'!$E$8:$E$38=BC_SINH!E176), 0)),"")</f>
        <v/>
      </c>
      <c r="S176" s="4" t="str">
        <f t="array" ref="S176">IFERROR(INDEX(KeKhaiDangKy!$H$2:$H$4889, MATCH(1, (KeKhaiDangKy!$A$2:$A$4889=BC_SINH!D176)*(KeKhaiDangKy!$B$2:$B$4889=BC_SINH!E176), 0)),"")</f>
        <v/>
      </c>
    </row>
    <row r="177" spans="1:19" ht="14.45" customHeight="1" x14ac:dyDescent="0.25">
      <c r="A177" s="4">
        <f>IF(B177&lt;&gt;"", SUBTOTAL(3, $B$2:B177), "")</f>
        <v>176</v>
      </c>
      <c r="B177" s="4" t="s">
        <v>106</v>
      </c>
      <c r="C177" s="4" t="str">
        <f t="shared" si="2"/>
        <v xml:space="preserve"> Kỳ Tăng</v>
      </c>
      <c r="D177" s="4">
        <v>21</v>
      </c>
      <c r="E177" s="4">
        <v>200</v>
      </c>
      <c r="F177" s="4">
        <v>24876</v>
      </c>
      <c r="G177" s="4" t="s">
        <v>11</v>
      </c>
      <c r="H177" s="4" t="str">
        <f t="array" ref="H177">IFERROR(INDEX(DSCKXA!$B$3:$B$73, MATCH(1, (DSCKXA!$D$3:$D$73=BC_SINH!D177)*(DSCKXA!$E$3:$E$73=BC_SINH!E177), 0)),"")</f>
        <v>Hồ Văn Ngưm</v>
      </c>
      <c r="I177" s="99" t="str">
        <f t="array" ref="I177">IFERROR(INDEX(DSCKXA!$C$3:$C$73, MATCH(1, (DSCKXA!$D$3:$D$73=BC_SINH!D177)*(DSCKXA!$E$3:$E$73=BC_SINH!E177), 0)),"")</f>
        <v>Thôn Kỳ Tăng</v>
      </c>
      <c r="J177" s="97" t="str">
        <f>IFERROR(VLOOKUP(B177,'Đất sản xuất'!$B$9:$C$216,2,0),"")</f>
        <v xml:space="preserve"> Kỳ Tăng</v>
      </c>
      <c r="K177" s="97" t="str">
        <f>IFERROR(VLOOKUP(B177,'Sản xuất cấp huyên'!$B$9:$C$177,2,0),"")</f>
        <v/>
      </c>
      <c r="L177" s="4" t="str">
        <f>IFERROR(VLOOKUP(B177,'4069'!$B$9:$C$177,2,0),"")</f>
        <v/>
      </c>
      <c r="M177" s="4" t="str">
        <f t="array" ref="M177">IFERROR(INDEX(KODUDK!$C$8:$C$79, MATCH(1, (KODUDK!$D$8:$D$79=BC_SINH!D177)*(KODUDK!$E$8:$E$79=BC_SINH!E177), 0)),"")</f>
        <v/>
      </c>
      <c r="N177" s="4" t="str">
        <f t="array" ref="N177">IFERROR(INDEX(KODUDK!$H$8:$H$79, MATCH(1, (KODUDK!$D$8:$D$79=BC_SINH!D177)*(KODUDK!$E$8:$E$79=BC_SINH!E177), 0)),"")</f>
        <v/>
      </c>
      <c r="O177" s="4" t="str">
        <f t="array" ref="O177">IFERROR(INDEX('KO DU ĐK NQ10'!$C$8:$C$48, MATCH(1, ('KO DU ĐK NQ10'!$D$8:$D$48=BC_SINH!D177)*('KO DU ĐK NQ10'!$E$8:$E$48=BC_SINH!E177), 0)),"")</f>
        <v/>
      </c>
      <c r="P177" s="4" t="str">
        <f t="array" ref="P177">IFERROR(INDEX('KO DU ĐK NQ10'!$H$8:$H$48, MATCH(1, ('KO DU ĐK NQ10'!$D$8:$D$48=BC_SINH!D177)*('KO DU ĐK NQ10'!$E$8:$E$48=BC_SINH!E177), 0)),"")</f>
        <v/>
      </c>
      <c r="Q177" s="4" t="str">
        <f t="array" ref="Q177">IFERROR(INDEX('KO DU ĐK 4069'!$C$8:$C$38, MATCH(1, ('KO DU ĐK 4069'!$D$8:$D$38=BC_SINH!D177)*('KO DU ĐK 4069'!$E$8:$E$38=BC_SINH!E177), 0)),"")</f>
        <v/>
      </c>
      <c r="R177" s="4" t="str">
        <f t="array" ref="R177">IFERROR(INDEX('KO DU ĐK 4069'!$H$8:$H$38, MATCH(1, ('KO DU ĐK 4069'!$D$8:$D$38=BC_SINH!D177)*('KO DU ĐK 4069'!$E$8:$E$38=BC_SINH!E177), 0)),"")</f>
        <v/>
      </c>
      <c r="S177" s="4" t="str">
        <f t="array" ref="S177">IFERROR(INDEX(KeKhaiDangKy!$H$2:$H$4889, MATCH(1, (KeKhaiDangKy!$A$2:$A$4889=BC_SINH!D177)*(KeKhaiDangKy!$B$2:$B$4889=BC_SINH!E177), 0)),"")</f>
        <v/>
      </c>
    </row>
    <row r="178" spans="1:19" ht="14.45" customHeight="1" x14ac:dyDescent="0.25">
      <c r="A178" s="4">
        <f>IF(B178&lt;&gt;"", SUBTOTAL(3, $B$2:B178), "")</f>
        <v>177</v>
      </c>
      <c r="B178" s="4" t="s">
        <v>106</v>
      </c>
      <c r="C178" s="4" t="str">
        <f t="shared" si="2"/>
        <v xml:space="preserve"> Kỳ Tăng</v>
      </c>
      <c r="D178" s="4">
        <v>21</v>
      </c>
      <c r="E178" s="4">
        <v>201</v>
      </c>
      <c r="F178" s="4">
        <v>10400</v>
      </c>
      <c r="G178" s="4" t="s">
        <v>11</v>
      </c>
      <c r="H178" s="4" t="str">
        <f t="array" ref="H178">IFERROR(INDEX(DSCKXA!$B$3:$B$73, MATCH(1, (DSCKXA!$D$3:$D$73=BC_SINH!D178)*(DSCKXA!$E$3:$E$73=BC_SINH!E178), 0)),"")</f>
        <v/>
      </c>
      <c r="I178" s="99" t="str">
        <f t="array" ref="I178">IFERROR(INDEX(DSCKXA!$C$3:$C$73, MATCH(1, (DSCKXA!$D$3:$D$73=BC_SINH!D178)*(DSCKXA!$E$3:$E$73=BC_SINH!E178), 0)),"")</f>
        <v/>
      </c>
      <c r="J178" s="97" t="str">
        <f>IFERROR(VLOOKUP(B178,'Đất sản xuất'!$B$9:$C$216,2,0),"")</f>
        <v xml:space="preserve"> Kỳ Tăng</v>
      </c>
      <c r="K178" s="97" t="str">
        <f>IFERROR(VLOOKUP(B178,'Sản xuất cấp huyên'!$B$9:$C$177,2,0),"")</f>
        <v/>
      </c>
      <c r="L178" s="4" t="str">
        <f>IFERROR(VLOOKUP(B178,'4069'!$B$9:$C$177,2,0),"")</f>
        <v/>
      </c>
      <c r="M178" s="4" t="str">
        <f t="array" ref="M178">IFERROR(INDEX(KODUDK!$C$8:$C$79, MATCH(1, (KODUDK!$D$8:$D$79=BC_SINH!D178)*(KODUDK!$E$8:$E$79=BC_SINH!E178), 0)),"")</f>
        <v/>
      </c>
      <c r="N178" s="4" t="str">
        <f t="array" ref="N178">IFERROR(INDEX(KODUDK!$H$8:$H$79, MATCH(1, (KODUDK!$D$8:$D$79=BC_SINH!D178)*(KODUDK!$E$8:$E$79=BC_SINH!E178), 0)),"")</f>
        <v/>
      </c>
      <c r="O178" s="4" t="str">
        <f t="array" ref="O178">IFERROR(INDEX('KO DU ĐK NQ10'!$C$8:$C$48, MATCH(1, ('KO DU ĐK NQ10'!$D$8:$D$48=BC_SINH!D178)*('KO DU ĐK NQ10'!$E$8:$E$48=BC_SINH!E178), 0)),"")</f>
        <v/>
      </c>
      <c r="P178" s="4" t="str">
        <f t="array" ref="P178">IFERROR(INDEX('KO DU ĐK NQ10'!$H$8:$H$48, MATCH(1, ('KO DU ĐK NQ10'!$D$8:$D$48=BC_SINH!D178)*('KO DU ĐK NQ10'!$E$8:$E$48=BC_SINH!E178), 0)),"")</f>
        <v/>
      </c>
      <c r="Q178" s="4" t="str">
        <f t="array" ref="Q178">IFERROR(INDEX('KO DU ĐK 4069'!$C$8:$C$38, MATCH(1, ('KO DU ĐK 4069'!$D$8:$D$38=BC_SINH!D178)*('KO DU ĐK 4069'!$E$8:$E$38=BC_SINH!E178), 0)),"")</f>
        <v/>
      </c>
      <c r="R178" s="4" t="str">
        <f t="array" ref="R178">IFERROR(INDEX('KO DU ĐK 4069'!$H$8:$H$38, MATCH(1, ('KO DU ĐK 4069'!$D$8:$D$38=BC_SINH!D178)*('KO DU ĐK 4069'!$E$8:$E$38=BC_SINH!E178), 0)),"")</f>
        <v/>
      </c>
      <c r="S178" s="4" t="str">
        <f t="array" ref="S178">IFERROR(INDEX(KeKhaiDangKy!$H$2:$H$4889, MATCH(1, (KeKhaiDangKy!$A$2:$A$4889=BC_SINH!D178)*(KeKhaiDangKy!$B$2:$B$4889=BC_SINH!E178), 0)),"")</f>
        <v/>
      </c>
    </row>
    <row r="179" spans="1:19" ht="14.45" customHeight="1" x14ac:dyDescent="0.25">
      <c r="A179" s="4">
        <f>IF(B179&lt;&gt;"", SUBTOTAL(3, $B$2:B179), "")</f>
        <v>178</v>
      </c>
      <c r="B179" s="4" t="s">
        <v>107</v>
      </c>
      <c r="C179" s="4" t="str">
        <f t="shared" si="2"/>
        <v xml:space="preserve"> Kỳ Tăng</v>
      </c>
      <c r="D179" s="4">
        <v>21</v>
      </c>
      <c r="E179" s="4">
        <v>202</v>
      </c>
      <c r="F179" s="4">
        <v>25707</v>
      </c>
      <c r="G179" s="4" t="s">
        <v>11</v>
      </c>
      <c r="H179" s="4" t="str">
        <f t="array" ref="H179">IFERROR(INDEX(DSCKXA!$B$3:$B$73, MATCH(1, (DSCKXA!$D$3:$D$73=BC_SINH!D179)*(DSCKXA!$E$3:$E$73=BC_SINH!E179), 0)),"")</f>
        <v>Hồ Văn Nhiên</v>
      </c>
      <c r="I179" s="99" t="str">
        <f t="array" ref="I179">IFERROR(INDEX(DSCKXA!$C$3:$C$73, MATCH(1, (DSCKXA!$D$3:$D$73=BC_SINH!D179)*(DSCKXA!$E$3:$E$73=BC_SINH!E179), 0)),"")</f>
        <v>Thôn Kỳ Tăng</v>
      </c>
      <c r="J179" s="97" t="str">
        <f>IFERROR(VLOOKUP(B179,'Đất sản xuất'!$B$9:$C$216,2,0),"")</f>
        <v xml:space="preserve"> Kỳ Tăng</v>
      </c>
      <c r="K179" s="97" t="str">
        <f>IFERROR(VLOOKUP(B179,'Sản xuất cấp huyên'!$B$9:$C$177,2,0),"")</f>
        <v/>
      </c>
      <c r="L179" s="4" t="str">
        <f>IFERROR(VLOOKUP(B179,'4069'!$B$9:$C$177,2,0),"")</f>
        <v/>
      </c>
      <c r="M179" s="4" t="str">
        <f t="array" ref="M179">IFERROR(INDEX(KODUDK!$C$8:$C$79, MATCH(1, (KODUDK!$D$8:$D$79=BC_SINH!D179)*(KODUDK!$E$8:$E$79=BC_SINH!E179), 0)),"")</f>
        <v/>
      </c>
      <c r="N179" s="4" t="str">
        <f t="array" ref="N179">IFERROR(INDEX(KODUDK!$H$8:$H$79, MATCH(1, (KODUDK!$D$8:$D$79=BC_SINH!D179)*(KODUDK!$E$8:$E$79=BC_SINH!E179), 0)),"")</f>
        <v/>
      </c>
      <c r="O179" s="4" t="str">
        <f t="array" ref="O179">IFERROR(INDEX('KO DU ĐK NQ10'!$C$8:$C$48, MATCH(1, ('KO DU ĐK NQ10'!$D$8:$D$48=BC_SINH!D179)*('KO DU ĐK NQ10'!$E$8:$E$48=BC_SINH!E179), 0)),"")</f>
        <v/>
      </c>
      <c r="P179" s="4" t="str">
        <f t="array" ref="P179">IFERROR(INDEX('KO DU ĐK NQ10'!$H$8:$H$48, MATCH(1, ('KO DU ĐK NQ10'!$D$8:$D$48=BC_SINH!D179)*('KO DU ĐK NQ10'!$E$8:$E$48=BC_SINH!E179), 0)),"")</f>
        <v/>
      </c>
      <c r="Q179" s="4" t="str">
        <f t="array" ref="Q179">IFERROR(INDEX('KO DU ĐK 4069'!$C$8:$C$38, MATCH(1, ('KO DU ĐK 4069'!$D$8:$D$38=BC_SINH!D179)*('KO DU ĐK 4069'!$E$8:$E$38=BC_SINH!E179), 0)),"")</f>
        <v/>
      </c>
      <c r="R179" s="4" t="str">
        <f t="array" ref="R179">IFERROR(INDEX('KO DU ĐK 4069'!$H$8:$H$38, MATCH(1, ('KO DU ĐK 4069'!$D$8:$D$38=BC_SINH!D179)*('KO DU ĐK 4069'!$E$8:$E$38=BC_SINH!E179), 0)),"")</f>
        <v/>
      </c>
      <c r="S179" s="4" t="str">
        <f t="array" ref="S179">IFERROR(INDEX(KeKhaiDangKy!$H$2:$H$4889, MATCH(1, (KeKhaiDangKy!$A$2:$A$4889=BC_SINH!D179)*(KeKhaiDangKy!$B$2:$B$4889=BC_SINH!E179), 0)),"")</f>
        <v/>
      </c>
    </row>
    <row r="180" spans="1:19" ht="14.45" customHeight="1" x14ac:dyDescent="0.25">
      <c r="A180" s="4">
        <f>IF(B180&lt;&gt;"", SUBTOTAL(3, $B$2:B180), "")</f>
        <v>179</v>
      </c>
      <c r="B180" s="4" t="s">
        <v>108</v>
      </c>
      <c r="C180" s="4" t="str">
        <f t="shared" si="2"/>
        <v xml:space="preserve"> Kỳ Tăng</v>
      </c>
      <c r="D180" s="4">
        <v>21</v>
      </c>
      <c r="E180" s="4">
        <v>203</v>
      </c>
      <c r="F180" s="4">
        <v>11193</v>
      </c>
      <c r="G180" s="4" t="s">
        <v>11</v>
      </c>
      <c r="H180" s="4" t="str">
        <f t="array" ref="H180">IFERROR(INDEX(DSCKXA!$B$3:$B$73, MATCH(1, (DSCKXA!$D$3:$D$73=BC_SINH!D180)*(DSCKXA!$E$3:$E$73=BC_SINH!E180), 0)),"")</f>
        <v>Hồ Văn Nhương</v>
      </c>
      <c r="I180" s="99" t="str">
        <f t="array" ref="I180">IFERROR(INDEX(DSCKXA!$C$3:$C$73, MATCH(1, (DSCKXA!$D$3:$D$73=BC_SINH!D180)*(DSCKXA!$E$3:$E$73=BC_SINH!E180), 0)),"")</f>
        <v>Thôn Kỳ Tăng</v>
      </c>
      <c r="J180" s="97" t="str">
        <f>IFERROR(VLOOKUP(B180,'Đất sản xuất'!$B$9:$C$216,2,0),"")</f>
        <v xml:space="preserve"> Kỳ Tăng</v>
      </c>
      <c r="K180" s="97" t="str">
        <f>IFERROR(VLOOKUP(B180,'Sản xuất cấp huyên'!$B$9:$C$177,2,0),"")</f>
        <v/>
      </c>
      <c r="L180" s="4" t="str">
        <f>IFERROR(VLOOKUP(B180,'4069'!$B$9:$C$177,2,0),"")</f>
        <v/>
      </c>
      <c r="M180" s="4" t="str">
        <f t="array" ref="M180">IFERROR(INDEX(KODUDK!$C$8:$C$79, MATCH(1, (KODUDK!$D$8:$D$79=BC_SINH!D180)*(KODUDK!$E$8:$E$79=BC_SINH!E180), 0)),"")</f>
        <v/>
      </c>
      <c r="N180" s="4" t="str">
        <f t="array" ref="N180">IFERROR(INDEX(KODUDK!$H$8:$H$79, MATCH(1, (KODUDK!$D$8:$D$79=BC_SINH!D180)*(KODUDK!$E$8:$E$79=BC_SINH!E180), 0)),"")</f>
        <v/>
      </c>
      <c r="O180" s="4" t="str">
        <f t="array" ref="O180">IFERROR(INDEX('KO DU ĐK NQ10'!$C$8:$C$48, MATCH(1, ('KO DU ĐK NQ10'!$D$8:$D$48=BC_SINH!D180)*('KO DU ĐK NQ10'!$E$8:$E$48=BC_SINH!E180), 0)),"")</f>
        <v/>
      </c>
      <c r="P180" s="4" t="str">
        <f t="array" ref="P180">IFERROR(INDEX('KO DU ĐK NQ10'!$H$8:$H$48, MATCH(1, ('KO DU ĐK NQ10'!$D$8:$D$48=BC_SINH!D180)*('KO DU ĐK NQ10'!$E$8:$E$48=BC_SINH!E180), 0)),"")</f>
        <v/>
      </c>
      <c r="Q180" s="4" t="str">
        <f t="array" ref="Q180">IFERROR(INDEX('KO DU ĐK 4069'!$C$8:$C$38, MATCH(1, ('KO DU ĐK 4069'!$D$8:$D$38=BC_SINH!D180)*('KO DU ĐK 4069'!$E$8:$E$38=BC_SINH!E180), 0)),"")</f>
        <v/>
      </c>
      <c r="R180" s="4" t="str">
        <f t="array" ref="R180">IFERROR(INDEX('KO DU ĐK 4069'!$H$8:$H$38, MATCH(1, ('KO DU ĐK 4069'!$D$8:$D$38=BC_SINH!D180)*('KO DU ĐK 4069'!$E$8:$E$38=BC_SINH!E180), 0)),"")</f>
        <v/>
      </c>
      <c r="S180" s="4" t="str">
        <f t="array" ref="S180">IFERROR(INDEX(KeKhaiDangKy!$H$2:$H$4889, MATCH(1, (KeKhaiDangKy!$A$2:$A$4889=BC_SINH!D180)*(KeKhaiDangKy!$B$2:$B$4889=BC_SINH!E180), 0)),"")</f>
        <v/>
      </c>
    </row>
    <row r="181" spans="1:19" ht="14.45" customHeight="1" x14ac:dyDescent="0.25">
      <c r="A181" s="4">
        <f>IF(B181&lt;&gt;"", SUBTOTAL(3, $B$2:B181), "")</f>
        <v>180</v>
      </c>
      <c r="B181" s="4" t="s">
        <v>639</v>
      </c>
      <c r="C181" s="4" t="str">
        <f t="shared" si="2"/>
        <v/>
      </c>
      <c r="D181" s="4">
        <v>21</v>
      </c>
      <c r="E181" s="4">
        <v>204</v>
      </c>
      <c r="F181" s="4">
        <v>27683</v>
      </c>
      <c r="G181" s="4" t="s">
        <v>11</v>
      </c>
      <c r="H181" s="4" t="str">
        <f t="array" ref="H181">IFERROR(INDEX(DSCKXA!$B$3:$B$73, MATCH(1, (DSCKXA!$D$3:$D$73=BC_SINH!D181)*(DSCKXA!$E$3:$E$73=BC_SINH!E181), 0)),"")</f>
        <v>Hồ Thị Lý</v>
      </c>
      <c r="I181" s="99" t="str">
        <f t="array" ref="I181">IFERROR(INDEX(DSCKXA!$C$3:$C$73, MATCH(1, (DSCKXA!$D$3:$D$73=BC_SINH!D181)*(DSCKXA!$E$3:$E$73=BC_SINH!E181), 0)),"")</f>
        <v>Thôn A Quan</v>
      </c>
      <c r="J181" s="97" t="str">
        <f>IFERROR(VLOOKUP(B181,'Đất sản xuất'!$B$9:$C$216,2,0),"")</f>
        <v/>
      </c>
      <c r="K181" s="97" t="str">
        <f>IFERROR(VLOOKUP(B181,'Sản xuất cấp huyên'!$B$9:$C$177,2,0),"")</f>
        <v/>
      </c>
      <c r="L181" s="4" t="str">
        <f>IFERROR(VLOOKUP(B181,'4069'!$B$9:$C$177,2,0),"")</f>
        <v/>
      </c>
      <c r="M181" s="4" t="str">
        <f t="array" ref="M181">IFERROR(INDEX(KODUDK!$C$8:$C$79, MATCH(1, (KODUDK!$D$8:$D$79=BC_SINH!D181)*(KODUDK!$E$8:$E$79=BC_SINH!E181), 0)),"")</f>
        <v/>
      </c>
      <c r="N181" s="4" t="str">
        <f t="array" ref="N181">IFERROR(INDEX(KODUDK!$H$8:$H$79, MATCH(1, (KODUDK!$D$8:$D$79=BC_SINH!D181)*(KODUDK!$E$8:$E$79=BC_SINH!E181), 0)),"")</f>
        <v/>
      </c>
      <c r="O181" s="4" t="str">
        <f t="array" ref="O181">IFERROR(INDEX('KO DU ĐK NQ10'!$C$8:$C$48, MATCH(1, ('KO DU ĐK NQ10'!$D$8:$D$48=BC_SINH!D181)*('KO DU ĐK NQ10'!$E$8:$E$48=BC_SINH!E181), 0)),"")</f>
        <v/>
      </c>
      <c r="P181" s="4" t="str">
        <f t="array" ref="P181">IFERROR(INDEX('KO DU ĐK NQ10'!$H$8:$H$48, MATCH(1, ('KO DU ĐK NQ10'!$D$8:$D$48=BC_SINH!D181)*('KO DU ĐK NQ10'!$E$8:$E$48=BC_SINH!E181), 0)),"")</f>
        <v/>
      </c>
      <c r="Q181" s="4" t="str">
        <f t="array" ref="Q181">IFERROR(INDEX('KO DU ĐK 4069'!$C$8:$C$38, MATCH(1, ('KO DU ĐK 4069'!$D$8:$D$38=BC_SINH!D181)*('KO DU ĐK 4069'!$E$8:$E$38=BC_SINH!E181), 0)),"")</f>
        <v/>
      </c>
      <c r="R181" s="4" t="str">
        <f t="array" ref="R181">IFERROR(INDEX('KO DU ĐK 4069'!$H$8:$H$38, MATCH(1, ('KO DU ĐK 4069'!$D$8:$D$38=BC_SINH!D181)*('KO DU ĐK 4069'!$E$8:$E$38=BC_SINH!E181), 0)),"")</f>
        <v/>
      </c>
      <c r="S181" s="4" t="str">
        <f t="array" ref="S181">IFERROR(INDEX(KeKhaiDangKy!$H$2:$H$4889, MATCH(1, (KeKhaiDangKy!$A$2:$A$4889=BC_SINH!D181)*(KeKhaiDangKy!$B$2:$B$4889=BC_SINH!E181), 0)),"")</f>
        <v/>
      </c>
    </row>
    <row r="182" spans="1:19" ht="14.45" customHeight="1" x14ac:dyDescent="0.25">
      <c r="A182" s="4">
        <f>IF(B182&lt;&gt;"", SUBTOTAL(3, $B$2:B182), "")</f>
        <v>181</v>
      </c>
      <c r="B182" s="4" t="s">
        <v>109</v>
      </c>
      <c r="C182" s="4" t="str">
        <f t="shared" si="2"/>
        <v>A Môr</v>
      </c>
      <c r="D182" s="4">
        <v>21</v>
      </c>
      <c r="E182" s="4">
        <v>205</v>
      </c>
      <c r="F182" s="4">
        <v>11493</v>
      </c>
      <c r="G182" s="4" t="s">
        <v>11</v>
      </c>
      <c r="H182" s="4" t="str">
        <f t="array" ref="H182">IFERROR(INDEX(DSCKXA!$B$3:$B$73, MATCH(1, (DSCKXA!$D$3:$D$73=BC_SINH!D182)*(DSCKXA!$E$3:$E$73=BC_SINH!E182), 0)),"")</f>
        <v/>
      </c>
      <c r="I182" s="99" t="str">
        <f t="array" ref="I182">IFERROR(INDEX(DSCKXA!$C$3:$C$73, MATCH(1, (DSCKXA!$D$3:$D$73=BC_SINH!D182)*(DSCKXA!$E$3:$E$73=BC_SINH!E182), 0)),"")</f>
        <v/>
      </c>
      <c r="J182" s="97" t="str">
        <f>IFERROR(VLOOKUP(B182,'Đất sản xuất'!$B$9:$C$216,2,0),"")</f>
        <v>A Môr</v>
      </c>
      <c r="K182" s="97" t="str">
        <f>IFERROR(VLOOKUP(B182,'Sản xuất cấp huyên'!$B$9:$C$177,2,0),"")</f>
        <v/>
      </c>
      <c r="L182" s="4" t="str">
        <f>IFERROR(VLOOKUP(B182,'4069'!$B$9:$C$177,2,0),"")</f>
        <v/>
      </c>
      <c r="M182" s="4" t="str">
        <f t="array" ref="M182">IFERROR(INDEX(KODUDK!$C$8:$C$79, MATCH(1, (KODUDK!$D$8:$D$79=BC_SINH!D182)*(KODUDK!$E$8:$E$79=BC_SINH!E182), 0)),"")</f>
        <v/>
      </c>
      <c r="N182" s="4" t="str">
        <f t="array" ref="N182">IFERROR(INDEX(KODUDK!$H$8:$H$79, MATCH(1, (KODUDK!$D$8:$D$79=BC_SINH!D182)*(KODUDK!$E$8:$E$79=BC_SINH!E182), 0)),"")</f>
        <v/>
      </c>
      <c r="O182" s="4" t="str">
        <f t="array" ref="O182">IFERROR(INDEX('KO DU ĐK NQ10'!$C$8:$C$48, MATCH(1, ('KO DU ĐK NQ10'!$D$8:$D$48=BC_SINH!D182)*('KO DU ĐK NQ10'!$E$8:$E$48=BC_SINH!E182), 0)),"")</f>
        <v/>
      </c>
      <c r="P182" s="4" t="str">
        <f t="array" ref="P182">IFERROR(INDEX('KO DU ĐK NQ10'!$H$8:$H$48, MATCH(1, ('KO DU ĐK NQ10'!$D$8:$D$48=BC_SINH!D182)*('KO DU ĐK NQ10'!$E$8:$E$48=BC_SINH!E182), 0)),"")</f>
        <v/>
      </c>
      <c r="Q182" s="4" t="str">
        <f t="array" ref="Q182">IFERROR(INDEX('KO DU ĐK 4069'!$C$8:$C$38, MATCH(1, ('KO DU ĐK 4069'!$D$8:$D$38=BC_SINH!D182)*('KO DU ĐK 4069'!$E$8:$E$38=BC_SINH!E182), 0)),"")</f>
        <v/>
      </c>
      <c r="R182" s="4" t="str">
        <f t="array" ref="R182">IFERROR(INDEX('KO DU ĐK 4069'!$H$8:$H$38, MATCH(1, ('KO DU ĐK 4069'!$D$8:$D$38=BC_SINH!D182)*('KO DU ĐK 4069'!$E$8:$E$38=BC_SINH!E182), 0)),"")</f>
        <v/>
      </c>
      <c r="S182" s="4" t="str">
        <f t="array" ref="S182">IFERROR(INDEX(KeKhaiDangKy!$H$2:$H$4889, MATCH(1, (KeKhaiDangKy!$A$2:$A$4889=BC_SINH!D182)*(KeKhaiDangKy!$B$2:$B$4889=BC_SINH!E182), 0)),"")</f>
        <v>MôR</v>
      </c>
    </row>
    <row r="183" spans="1:19" ht="14.45" customHeight="1" x14ac:dyDescent="0.25">
      <c r="A183" s="4">
        <f>IF(B183&lt;&gt;"", SUBTOTAL(3, $B$2:B183), "")</f>
        <v>182</v>
      </c>
      <c r="B183" s="4" t="s">
        <v>110</v>
      </c>
      <c r="C183" s="4" t="str">
        <f t="shared" si="2"/>
        <v xml:space="preserve"> A Máy</v>
      </c>
      <c r="D183" s="4">
        <v>22</v>
      </c>
      <c r="E183" s="4">
        <v>14</v>
      </c>
      <c r="F183" s="4">
        <v>7934</v>
      </c>
      <c r="G183" s="4" t="s">
        <v>11</v>
      </c>
      <c r="H183" s="4" t="str">
        <f t="array" ref="H183">IFERROR(INDEX(DSCKXA!$B$3:$B$73, MATCH(1, (DSCKXA!$D$3:$D$73=BC_SINH!D183)*(DSCKXA!$E$3:$E$73=BC_SINH!E183), 0)),"")</f>
        <v/>
      </c>
      <c r="I183" s="99" t="str">
        <f t="array" ref="I183">IFERROR(INDEX(DSCKXA!$C$3:$C$73, MATCH(1, (DSCKXA!$D$3:$D$73=BC_SINH!D183)*(DSCKXA!$E$3:$E$73=BC_SINH!E183), 0)),"")</f>
        <v/>
      </c>
      <c r="J183" s="97" t="str">
        <f>IFERROR(VLOOKUP(B183,'Đất sản xuất'!$B$9:$C$216,2,0),"")</f>
        <v xml:space="preserve"> A Máy</v>
      </c>
      <c r="K183" s="97" t="str">
        <f>IFERROR(VLOOKUP(B183,'Sản xuất cấp huyên'!$B$9:$C$177,2,0),"")</f>
        <v/>
      </c>
      <c r="L183" s="4" t="str">
        <f>IFERROR(VLOOKUP(B183,'4069'!$B$9:$C$177,2,0),"")</f>
        <v/>
      </c>
      <c r="M183" s="4" t="str">
        <f t="array" ref="M183">IFERROR(INDEX(KODUDK!$C$8:$C$79, MATCH(1, (KODUDK!$D$8:$D$79=BC_SINH!D183)*(KODUDK!$E$8:$E$79=BC_SINH!E183), 0)),"")</f>
        <v/>
      </c>
      <c r="N183" s="4" t="str">
        <f t="array" ref="N183">IFERROR(INDEX(KODUDK!$H$8:$H$79, MATCH(1, (KODUDK!$D$8:$D$79=BC_SINH!D183)*(KODUDK!$E$8:$E$79=BC_SINH!E183), 0)),"")</f>
        <v/>
      </c>
      <c r="O183" s="4" t="str">
        <f t="array" ref="O183">IFERROR(INDEX('KO DU ĐK NQ10'!$C$8:$C$48, MATCH(1, ('KO DU ĐK NQ10'!$D$8:$D$48=BC_SINH!D183)*('KO DU ĐK NQ10'!$E$8:$E$48=BC_SINH!E183), 0)),"")</f>
        <v/>
      </c>
      <c r="P183" s="4" t="str">
        <f t="array" ref="P183">IFERROR(INDEX('KO DU ĐK NQ10'!$H$8:$H$48, MATCH(1, ('KO DU ĐK NQ10'!$D$8:$D$48=BC_SINH!D183)*('KO DU ĐK NQ10'!$E$8:$E$48=BC_SINH!E183), 0)),"")</f>
        <v/>
      </c>
      <c r="Q183" s="4" t="str">
        <f t="array" ref="Q183">IFERROR(INDEX('KO DU ĐK 4069'!$C$8:$C$38, MATCH(1, ('KO DU ĐK 4069'!$D$8:$D$38=BC_SINH!D183)*('KO DU ĐK 4069'!$E$8:$E$38=BC_SINH!E183), 0)),"")</f>
        <v/>
      </c>
      <c r="R183" s="4" t="str">
        <f t="array" ref="R183">IFERROR(INDEX('KO DU ĐK 4069'!$H$8:$H$38, MATCH(1, ('KO DU ĐK 4069'!$D$8:$D$38=BC_SINH!D183)*('KO DU ĐK 4069'!$E$8:$E$38=BC_SINH!E183), 0)),"")</f>
        <v/>
      </c>
      <c r="S183" s="4" t="str">
        <f t="array" ref="S183">IFERROR(INDEX(KeKhaiDangKy!$H$2:$H$4889, MATCH(1, (KeKhaiDangKy!$A$2:$A$4889=BC_SINH!D183)*(KeKhaiDangKy!$B$2:$B$4889=BC_SINH!E183), 0)),"")</f>
        <v/>
      </c>
    </row>
    <row r="184" spans="1:19" ht="14.45" customHeight="1" x14ac:dyDescent="0.25">
      <c r="A184" s="4">
        <f>IF(B184&lt;&gt;"", SUBTOTAL(3, $B$2:B184), "")</f>
        <v>183</v>
      </c>
      <c r="B184" s="4" t="s">
        <v>110</v>
      </c>
      <c r="C184" s="4" t="str">
        <f t="shared" si="2"/>
        <v xml:space="preserve"> A Máy</v>
      </c>
      <c r="D184" s="4">
        <v>21</v>
      </c>
      <c r="E184" s="4">
        <v>206</v>
      </c>
      <c r="F184" s="4">
        <v>38824</v>
      </c>
      <c r="G184" s="4" t="s">
        <v>11</v>
      </c>
      <c r="H184" s="4" t="str">
        <f t="array" ref="H184">IFERROR(INDEX(DSCKXA!$B$3:$B$73, MATCH(1, (DSCKXA!$D$3:$D$73=BC_SINH!D184)*(DSCKXA!$E$3:$E$73=BC_SINH!E184), 0)),"")</f>
        <v>Hồ Văn Oanh</v>
      </c>
      <c r="I184" s="99" t="str">
        <f t="array" ref="I184">IFERROR(INDEX(DSCKXA!$C$3:$C$73, MATCH(1, (DSCKXA!$D$3:$D$73=BC_SINH!D184)*(DSCKXA!$E$3:$E$73=BC_SINH!E184), 0)),"")</f>
        <v>Thôn A Máy</v>
      </c>
      <c r="J184" s="97" t="str">
        <f>IFERROR(VLOOKUP(B184,'Đất sản xuất'!$B$9:$C$216,2,0),"")</f>
        <v xml:space="preserve"> A Máy</v>
      </c>
      <c r="K184" s="97" t="str">
        <f>IFERROR(VLOOKUP(B184,'Sản xuất cấp huyên'!$B$9:$C$177,2,0),"")</f>
        <v/>
      </c>
      <c r="L184" s="4" t="str">
        <f>IFERROR(VLOOKUP(B184,'4069'!$B$9:$C$177,2,0),"")</f>
        <v/>
      </c>
      <c r="M184" s="4" t="str">
        <f t="array" ref="M184">IFERROR(INDEX(KODUDK!$C$8:$C$79, MATCH(1, (KODUDK!$D$8:$D$79=BC_SINH!D184)*(KODUDK!$E$8:$E$79=BC_SINH!E184), 0)),"")</f>
        <v>Thôn A Máy</v>
      </c>
      <c r="N184" s="4" t="str">
        <f t="array" ref="N184">IFERROR(INDEX(KODUDK!$H$8:$H$79, MATCH(1, (KODUDK!$D$8:$D$79=BC_SINH!D184)*(KODUDK!$E$8:$E$79=BC_SINH!E184), 0)),"")</f>
        <v>Có 02 thửa đất nên loại 01 thửa</v>
      </c>
      <c r="O184" s="4" t="str">
        <f t="array" ref="O184">IFERROR(INDEX('KO DU ĐK NQ10'!$C$8:$C$48, MATCH(1, ('KO DU ĐK NQ10'!$D$8:$D$48=BC_SINH!D184)*('KO DU ĐK NQ10'!$E$8:$E$48=BC_SINH!E184), 0)),"")</f>
        <v>Thôn A Máy</v>
      </c>
      <c r="P184" s="4" t="str">
        <f t="array" ref="P184">IFERROR(INDEX('KO DU ĐK NQ10'!$H$8:$H$48, MATCH(1, ('KO DU ĐK NQ10'!$D$8:$D$48=BC_SINH!D184)*('KO DU ĐK NQ10'!$E$8:$E$48=BC_SINH!E184), 0)),"")</f>
        <v>Có 02 thửa đất nên loại 01 thửa</v>
      </c>
      <c r="Q184" s="4" t="str">
        <f t="array" ref="Q184">IFERROR(INDEX('KO DU ĐK 4069'!$C$8:$C$38, MATCH(1, ('KO DU ĐK 4069'!$D$8:$D$38=BC_SINH!D184)*('KO DU ĐK 4069'!$E$8:$E$38=BC_SINH!E184), 0)),"")</f>
        <v/>
      </c>
      <c r="R184" s="4" t="str">
        <f t="array" ref="R184">IFERROR(INDEX('KO DU ĐK 4069'!$H$8:$H$38, MATCH(1, ('KO DU ĐK 4069'!$D$8:$D$38=BC_SINH!D184)*('KO DU ĐK 4069'!$E$8:$E$38=BC_SINH!E184), 0)),"")</f>
        <v/>
      </c>
      <c r="S184" s="4" t="str">
        <f t="array" ref="S184">IFERROR(INDEX(KeKhaiDangKy!$H$2:$H$4889, MATCH(1, (KeKhaiDangKy!$A$2:$A$4889=BC_SINH!D184)*(KeKhaiDangKy!$B$2:$B$4889=BC_SINH!E184), 0)),"")</f>
        <v/>
      </c>
    </row>
    <row r="185" spans="1:19" ht="14.45" customHeight="1" x14ac:dyDescent="0.25">
      <c r="A185" s="4">
        <f>IF(B185&lt;&gt;"", SUBTOTAL(3, $B$2:B185), "")</f>
        <v>184</v>
      </c>
      <c r="B185" s="4" t="s">
        <v>110</v>
      </c>
      <c r="C185" s="4" t="str">
        <f t="shared" si="2"/>
        <v xml:space="preserve"> A Máy</v>
      </c>
      <c r="D185" s="4">
        <v>21</v>
      </c>
      <c r="E185" s="4">
        <v>208</v>
      </c>
      <c r="F185" s="4">
        <v>27215</v>
      </c>
      <c r="G185" s="4" t="s">
        <v>11</v>
      </c>
      <c r="H185" s="4" t="str">
        <f t="array" ref="H185">IFERROR(INDEX(DSCKXA!$B$3:$B$73, MATCH(1, (DSCKXA!$D$3:$D$73=BC_SINH!D185)*(DSCKXA!$E$3:$E$73=BC_SINH!E185), 0)),"")</f>
        <v/>
      </c>
      <c r="I185" s="99" t="str">
        <f t="array" ref="I185">IFERROR(INDEX(DSCKXA!$C$3:$C$73, MATCH(1, (DSCKXA!$D$3:$D$73=BC_SINH!D185)*(DSCKXA!$E$3:$E$73=BC_SINH!E185), 0)),"")</f>
        <v/>
      </c>
      <c r="J185" s="97" t="str">
        <f>IFERROR(VLOOKUP(B185,'Đất sản xuất'!$B$9:$C$216,2,0),"")</f>
        <v xml:space="preserve"> A Máy</v>
      </c>
      <c r="K185" s="97" t="str">
        <f>IFERROR(VLOOKUP(B185,'Sản xuất cấp huyên'!$B$9:$C$177,2,0),"")</f>
        <v/>
      </c>
      <c r="L185" s="4" t="str">
        <f>IFERROR(VLOOKUP(B185,'4069'!$B$9:$C$177,2,0),"")</f>
        <v/>
      </c>
      <c r="M185" s="4" t="str">
        <f t="array" ref="M185">IFERROR(INDEX(KODUDK!$C$8:$C$79, MATCH(1, (KODUDK!$D$8:$D$79=BC_SINH!D185)*(KODUDK!$E$8:$E$79=BC_SINH!E185), 0)),"")</f>
        <v/>
      </c>
      <c r="N185" s="4" t="str">
        <f t="array" ref="N185">IFERROR(INDEX(KODUDK!$H$8:$H$79, MATCH(1, (KODUDK!$D$8:$D$79=BC_SINH!D185)*(KODUDK!$E$8:$E$79=BC_SINH!E185), 0)),"")</f>
        <v/>
      </c>
      <c r="O185" s="4" t="str">
        <f t="array" ref="O185">IFERROR(INDEX('KO DU ĐK NQ10'!$C$8:$C$48, MATCH(1, ('KO DU ĐK NQ10'!$D$8:$D$48=BC_SINH!D185)*('KO DU ĐK NQ10'!$E$8:$E$48=BC_SINH!E185), 0)),"")</f>
        <v/>
      </c>
      <c r="P185" s="4" t="str">
        <f t="array" ref="P185">IFERROR(INDEX('KO DU ĐK NQ10'!$H$8:$H$48, MATCH(1, ('KO DU ĐK NQ10'!$D$8:$D$48=BC_SINH!D185)*('KO DU ĐK NQ10'!$E$8:$E$48=BC_SINH!E185), 0)),"")</f>
        <v/>
      </c>
      <c r="Q185" s="4" t="str">
        <f t="array" ref="Q185">IFERROR(INDEX('KO DU ĐK 4069'!$C$8:$C$38, MATCH(1, ('KO DU ĐK 4069'!$D$8:$D$38=BC_SINH!D185)*('KO DU ĐK 4069'!$E$8:$E$38=BC_SINH!E185), 0)),"")</f>
        <v/>
      </c>
      <c r="R185" s="4" t="str">
        <f t="array" ref="R185">IFERROR(INDEX('KO DU ĐK 4069'!$H$8:$H$38, MATCH(1, ('KO DU ĐK 4069'!$D$8:$D$38=BC_SINH!D185)*('KO DU ĐK 4069'!$E$8:$E$38=BC_SINH!E185), 0)),"")</f>
        <v/>
      </c>
      <c r="S185" s="4" t="str">
        <f t="array" ref="S185">IFERROR(INDEX(KeKhaiDangKy!$H$2:$H$4889, MATCH(1, (KeKhaiDangKy!$A$2:$A$4889=BC_SINH!D185)*(KeKhaiDangKy!$B$2:$B$4889=BC_SINH!E185), 0)),"")</f>
        <v/>
      </c>
    </row>
    <row r="186" spans="1:19" ht="14.45" customHeight="1" x14ac:dyDescent="0.25">
      <c r="A186" s="4">
        <f>IF(B186&lt;&gt;"", SUBTOTAL(3, $B$2:B186), "")</f>
        <v>185</v>
      </c>
      <c r="B186" s="4" t="s">
        <v>111</v>
      </c>
      <c r="C186" s="4" t="str">
        <f t="shared" si="2"/>
        <v>Thôn A Máy</v>
      </c>
      <c r="D186" s="4">
        <v>21</v>
      </c>
      <c r="E186" s="4">
        <v>209</v>
      </c>
      <c r="F186" s="4">
        <v>6317</v>
      </c>
      <c r="G186" s="4" t="s">
        <v>11</v>
      </c>
      <c r="H186" s="4" t="str">
        <f t="array" ref="H186">IFERROR(INDEX(DSCKXA!$B$3:$B$73, MATCH(1, (DSCKXA!$D$3:$D$73=BC_SINH!D186)*(DSCKXA!$E$3:$E$73=BC_SINH!E186), 0)),"")</f>
        <v/>
      </c>
      <c r="I186" s="99" t="str">
        <f t="array" ref="I186">IFERROR(INDEX(DSCKXA!$C$3:$C$73, MATCH(1, (DSCKXA!$D$3:$D$73=BC_SINH!D186)*(DSCKXA!$E$3:$E$73=BC_SINH!E186), 0)),"")</f>
        <v/>
      </c>
      <c r="J186" s="97" t="str">
        <f>IFERROR(VLOOKUP(B186,'Đất sản xuất'!$B$9:$C$216,2,0),"")</f>
        <v/>
      </c>
      <c r="K186" s="97" t="str">
        <f>IFERROR(VLOOKUP(B186,'Sản xuất cấp huyên'!$B$9:$C$177,2,0),"")</f>
        <v/>
      </c>
      <c r="L186" s="4" t="str">
        <f>IFERROR(VLOOKUP(B186,'4069'!$B$9:$C$177,2,0),"")</f>
        <v/>
      </c>
      <c r="M186" s="4" t="str">
        <f t="array" ref="M186">IFERROR(INDEX(KODUDK!$C$8:$C$79, MATCH(1, (KODUDK!$D$8:$D$79=BC_SINH!D186)*(KODUDK!$E$8:$E$79=BC_SINH!E186), 0)),"")</f>
        <v>Thôn A Máy</v>
      </c>
      <c r="N186" s="4" t="str">
        <f t="array" ref="N186">IFERROR(INDEX(KODUDK!$H$8:$H$79, MATCH(1, (KODUDK!$D$8:$D$79=BC_SINH!D186)*(KODUDK!$E$8:$E$79=BC_SINH!E186), 0)),"")</f>
        <v>Có 02 thửa đất nên loại 01 thửa</v>
      </c>
      <c r="O186" s="4" t="str">
        <f t="array" ref="O186">IFERROR(INDEX('KO DU ĐK NQ10'!$C$8:$C$48, MATCH(1, ('KO DU ĐK NQ10'!$D$8:$D$48=BC_SINH!D186)*('KO DU ĐK NQ10'!$E$8:$E$48=BC_SINH!E186), 0)),"")</f>
        <v/>
      </c>
      <c r="P186" s="4" t="str">
        <f t="array" ref="P186">IFERROR(INDEX('KO DU ĐK NQ10'!$H$8:$H$48, MATCH(1, ('KO DU ĐK NQ10'!$D$8:$D$48=BC_SINH!D186)*('KO DU ĐK NQ10'!$E$8:$E$48=BC_SINH!E186), 0)),"")</f>
        <v/>
      </c>
      <c r="Q186" s="4" t="str">
        <f t="array" ref="Q186">IFERROR(INDEX('KO DU ĐK 4069'!$C$8:$C$38, MATCH(1, ('KO DU ĐK 4069'!$D$8:$D$38=BC_SINH!D186)*('KO DU ĐK 4069'!$E$8:$E$38=BC_SINH!E186), 0)),"")</f>
        <v>Thôn A Máy</v>
      </c>
      <c r="R186" s="4" t="str">
        <f t="array" ref="R186">IFERROR(INDEX('KO DU ĐK 4069'!$H$8:$H$38, MATCH(1, ('KO DU ĐK 4069'!$D$8:$D$38=BC_SINH!D186)*('KO DU ĐK 4069'!$E$8:$E$38=BC_SINH!E186), 0)),"")</f>
        <v>Có 02 thửa đất nên loại 01 thửa</v>
      </c>
      <c r="S186" s="4" t="str">
        <f t="array" ref="S186">IFERROR(INDEX(KeKhaiDangKy!$H$2:$H$4889, MATCH(1, (KeKhaiDangKy!$A$2:$A$4889=BC_SINH!D186)*(KeKhaiDangKy!$B$2:$B$4889=BC_SINH!E186), 0)),"")</f>
        <v/>
      </c>
    </row>
    <row r="187" spans="1:19" ht="14.45" customHeight="1" x14ac:dyDescent="0.25">
      <c r="A187" s="4">
        <f>IF(B187&lt;&gt;"", SUBTOTAL(3, $B$2:B187), "")</f>
        <v>186</v>
      </c>
      <c r="B187" s="4" t="s">
        <v>112</v>
      </c>
      <c r="C187" s="4" t="str">
        <f t="shared" si="2"/>
        <v>A Rông</v>
      </c>
      <c r="D187" s="4">
        <v>21</v>
      </c>
      <c r="E187" s="4">
        <v>210</v>
      </c>
      <c r="F187" s="4">
        <v>12375</v>
      </c>
      <c r="G187" s="4" t="s">
        <v>11</v>
      </c>
      <c r="H187" s="4" t="str">
        <f t="array" ref="H187">IFERROR(INDEX(DSCKXA!$B$3:$B$73, MATCH(1, (DSCKXA!$D$3:$D$73=BC_SINH!D187)*(DSCKXA!$E$3:$E$73=BC_SINH!E187), 0)),"")</f>
        <v/>
      </c>
      <c r="I187" s="99" t="str">
        <f t="array" ref="I187">IFERROR(INDEX(DSCKXA!$C$3:$C$73, MATCH(1, (DSCKXA!$D$3:$D$73=BC_SINH!D187)*(DSCKXA!$E$3:$E$73=BC_SINH!E187), 0)),"")</f>
        <v/>
      </c>
      <c r="J187" s="97" t="str">
        <f>IFERROR(VLOOKUP(B187,'Đất sản xuất'!$B$9:$C$216,2,0),"")</f>
        <v/>
      </c>
      <c r="K187" s="97" t="str">
        <f>IFERROR(VLOOKUP(B187,'Sản xuất cấp huyên'!$B$9:$C$177,2,0),"")</f>
        <v/>
      </c>
      <c r="L187" s="4" t="str">
        <f>IFERROR(VLOOKUP(B187,'4069'!$B$9:$C$177,2,0),"")</f>
        <v/>
      </c>
      <c r="M187" s="4" t="str">
        <f t="array" ref="M187">IFERROR(INDEX(KODUDK!$C$8:$C$79, MATCH(1, (KODUDK!$D$8:$D$79=BC_SINH!D187)*(KODUDK!$E$8:$E$79=BC_SINH!E187), 0)),"")</f>
        <v/>
      </c>
      <c r="N187" s="4" t="str">
        <f t="array" ref="N187">IFERROR(INDEX(KODUDK!$H$8:$H$79, MATCH(1, (KODUDK!$D$8:$D$79=BC_SINH!D187)*(KODUDK!$E$8:$E$79=BC_SINH!E187), 0)),"")</f>
        <v/>
      </c>
      <c r="O187" s="4" t="str">
        <f t="array" ref="O187">IFERROR(INDEX('KO DU ĐK NQ10'!$C$8:$C$48, MATCH(1, ('KO DU ĐK NQ10'!$D$8:$D$48=BC_SINH!D187)*('KO DU ĐK NQ10'!$E$8:$E$48=BC_SINH!E187), 0)),"")</f>
        <v/>
      </c>
      <c r="P187" s="4" t="str">
        <f t="array" ref="P187">IFERROR(INDEX('KO DU ĐK NQ10'!$H$8:$H$48, MATCH(1, ('KO DU ĐK NQ10'!$D$8:$D$48=BC_SINH!D187)*('KO DU ĐK NQ10'!$E$8:$E$48=BC_SINH!E187), 0)),"")</f>
        <v/>
      </c>
      <c r="Q187" s="4" t="str">
        <f t="array" ref="Q187">IFERROR(INDEX('KO DU ĐK 4069'!$C$8:$C$38, MATCH(1, ('KO DU ĐK 4069'!$D$8:$D$38=BC_SINH!D187)*('KO DU ĐK 4069'!$E$8:$E$38=BC_SINH!E187), 0)),"")</f>
        <v/>
      </c>
      <c r="R187" s="4" t="str">
        <f t="array" ref="R187">IFERROR(INDEX('KO DU ĐK 4069'!$H$8:$H$38, MATCH(1, ('KO DU ĐK 4069'!$D$8:$D$38=BC_SINH!D187)*('KO DU ĐK 4069'!$E$8:$E$38=BC_SINH!E187), 0)),"")</f>
        <v/>
      </c>
      <c r="S187" s="4" t="str">
        <f t="array" ref="S187">IFERROR(INDEX(KeKhaiDangKy!$H$2:$H$4889, MATCH(1, (KeKhaiDangKy!$A$2:$A$4889=BC_SINH!D187)*(KeKhaiDangKy!$B$2:$B$4889=BC_SINH!E187), 0)),"")</f>
        <v>A Rông</v>
      </c>
    </row>
    <row r="188" spans="1:19" ht="14.45" customHeight="1" x14ac:dyDescent="0.25">
      <c r="A188" s="4">
        <f>IF(B188&lt;&gt;"", SUBTOTAL(3, $B$2:B188), "")</f>
        <v>187</v>
      </c>
      <c r="B188" s="4" t="s">
        <v>113</v>
      </c>
      <c r="C188" s="4" t="str">
        <f t="shared" si="2"/>
        <v>MôR</v>
      </c>
      <c r="D188" s="4">
        <v>21</v>
      </c>
      <c r="E188" s="4">
        <v>212</v>
      </c>
      <c r="F188" s="4">
        <v>2395</v>
      </c>
      <c r="G188" s="4" t="s">
        <v>11</v>
      </c>
      <c r="H188" s="4" t="str">
        <f t="array" ref="H188">IFERROR(INDEX(DSCKXA!$B$3:$B$73, MATCH(1, (DSCKXA!$D$3:$D$73=BC_SINH!D188)*(DSCKXA!$E$3:$E$73=BC_SINH!E188), 0)),"")</f>
        <v/>
      </c>
      <c r="I188" s="99" t="str">
        <f t="array" ref="I188">IFERROR(INDEX(DSCKXA!$C$3:$C$73, MATCH(1, (DSCKXA!$D$3:$D$73=BC_SINH!D188)*(DSCKXA!$E$3:$E$73=BC_SINH!E188), 0)),"")</f>
        <v/>
      </c>
      <c r="J188" s="97" t="str">
        <f>IFERROR(VLOOKUP(B188,'Đất sản xuất'!$B$9:$C$216,2,0),"")</f>
        <v/>
      </c>
      <c r="K188" s="97" t="str">
        <f>IFERROR(VLOOKUP(B188,'Sản xuất cấp huyên'!$B$9:$C$177,2,0),"")</f>
        <v/>
      </c>
      <c r="L188" s="4" t="str">
        <f>IFERROR(VLOOKUP(B188,'4069'!$B$9:$C$177,2,0),"")</f>
        <v/>
      </c>
      <c r="M188" s="4" t="str">
        <f t="array" ref="M188">IFERROR(INDEX(KODUDK!$C$8:$C$79, MATCH(1, (KODUDK!$D$8:$D$79=BC_SINH!D188)*(KODUDK!$E$8:$E$79=BC_SINH!E188), 0)),"")</f>
        <v/>
      </c>
      <c r="N188" s="4" t="str">
        <f t="array" ref="N188">IFERROR(INDEX(KODUDK!$H$8:$H$79, MATCH(1, (KODUDK!$D$8:$D$79=BC_SINH!D188)*(KODUDK!$E$8:$E$79=BC_SINH!E188), 0)),"")</f>
        <v/>
      </c>
      <c r="O188" s="4" t="str">
        <f t="array" ref="O188">IFERROR(INDEX('KO DU ĐK NQ10'!$C$8:$C$48, MATCH(1, ('KO DU ĐK NQ10'!$D$8:$D$48=BC_SINH!D188)*('KO DU ĐK NQ10'!$E$8:$E$48=BC_SINH!E188), 0)),"")</f>
        <v/>
      </c>
      <c r="P188" s="4" t="str">
        <f t="array" ref="P188">IFERROR(INDEX('KO DU ĐK NQ10'!$H$8:$H$48, MATCH(1, ('KO DU ĐK NQ10'!$D$8:$D$48=BC_SINH!D188)*('KO DU ĐK NQ10'!$E$8:$E$48=BC_SINH!E188), 0)),"")</f>
        <v/>
      </c>
      <c r="Q188" s="4" t="str">
        <f t="array" ref="Q188">IFERROR(INDEX('KO DU ĐK 4069'!$C$8:$C$38, MATCH(1, ('KO DU ĐK 4069'!$D$8:$D$38=BC_SINH!D188)*('KO DU ĐK 4069'!$E$8:$E$38=BC_SINH!E188), 0)),"")</f>
        <v/>
      </c>
      <c r="R188" s="4" t="str">
        <f t="array" ref="R188">IFERROR(INDEX('KO DU ĐK 4069'!$H$8:$H$38, MATCH(1, ('KO DU ĐK 4069'!$D$8:$D$38=BC_SINH!D188)*('KO DU ĐK 4069'!$E$8:$E$38=BC_SINH!E188), 0)),"")</f>
        <v/>
      </c>
      <c r="S188" s="4" t="str">
        <f t="array" ref="S188">IFERROR(INDEX(KeKhaiDangKy!$H$2:$H$4889, MATCH(1, (KeKhaiDangKy!$A$2:$A$4889=BC_SINH!D188)*(KeKhaiDangKy!$B$2:$B$4889=BC_SINH!E188), 0)),"")</f>
        <v>MôR</v>
      </c>
    </row>
    <row r="189" spans="1:19" ht="14.45" customHeight="1" x14ac:dyDescent="0.25">
      <c r="A189" s="4">
        <f>IF(B189&lt;&gt;"", SUBTOTAL(3, $B$2:B189), "")</f>
        <v>188</v>
      </c>
      <c r="B189" s="4" t="s">
        <v>114</v>
      </c>
      <c r="C189" s="4" t="str">
        <f t="shared" si="2"/>
        <v>Kỳ Tăng</v>
      </c>
      <c r="D189" s="4">
        <v>32</v>
      </c>
      <c r="E189" s="4">
        <v>207</v>
      </c>
      <c r="F189" s="4">
        <v>7778</v>
      </c>
      <c r="G189" s="4" t="s">
        <v>11</v>
      </c>
      <c r="H189" s="4" t="str">
        <f t="array" ref="H189">IFERROR(INDEX(DSCKXA!$B$3:$B$73, MATCH(1, (DSCKXA!$D$3:$D$73=BC_SINH!D189)*(DSCKXA!$E$3:$E$73=BC_SINH!E189), 0)),"")</f>
        <v/>
      </c>
      <c r="I189" s="99" t="str">
        <f t="array" ref="I189">IFERROR(INDEX(DSCKXA!$C$3:$C$73, MATCH(1, (DSCKXA!$D$3:$D$73=BC_SINH!D189)*(DSCKXA!$E$3:$E$73=BC_SINH!E189), 0)),"")</f>
        <v/>
      </c>
      <c r="J189" s="97" t="str">
        <f>IFERROR(VLOOKUP(B189,'Đất sản xuất'!$B$9:$C$216,2,0),"")</f>
        <v/>
      </c>
      <c r="K189" s="97" t="str">
        <f>IFERROR(VLOOKUP(B189,'Sản xuất cấp huyên'!$B$9:$C$177,2,0),"")</f>
        <v/>
      </c>
      <c r="L189" s="4" t="str">
        <f>IFERROR(VLOOKUP(B189,'4069'!$B$9:$C$177,2,0),"")</f>
        <v/>
      </c>
      <c r="M189" s="4" t="str">
        <f t="array" ref="M189">IFERROR(INDEX(KODUDK!$C$8:$C$79, MATCH(1, (KODUDK!$D$8:$D$79=BC_SINH!D189)*(KODUDK!$E$8:$E$79=BC_SINH!E189), 0)),"")</f>
        <v/>
      </c>
      <c r="N189" s="4" t="str">
        <f t="array" ref="N189">IFERROR(INDEX(KODUDK!$H$8:$H$79, MATCH(1, (KODUDK!$D$8:$D$79=BC_SINH!D189)*(KODUDK!$E$8:$E$79=BC_SINH!E189), 0)),"")</f>
        <v/>
      </c>
      <c r="O189" s="4" t="str">
        <f t="array" ref="O189">IFERROR(INDEX('KO DU ĐK NQ10'!$C$8:$C$48, MATCH(1, ('KO DU ĐK NQ10'!$D$8:$D$48=BC_SINH!D189)*('KO DU ĐK NQ10'!$E$8:$E$48=BC_SINH!E189), 0)),"")</f>
        <v/>
      </c>
      <c r="P189" s="4" t="str">
        <f t="array" ref="P189">IFERROR(INDEX('KO DU ĐK NQ10'!$H$8:$H$48, MATCH(1, ('KO DU ĐK NQ10'!$D$8:$D$48=BC_SINH!D189)*('KO DU ĐK NQ10'!$E$8:$E$48=BC_SINH!E189), 0)),"")</f>
        <v/>
      </c>
      <c r="Q189" s="4" t="str">
        <f t="array" ref="Q189">IFERROR(INDEX('KO DU ĐK 4069'!$C$8:$C$38, MATCH(1, ('KO DU ĐK 4069'!$D$8:$D$38=BC_SINH!D189)*('KO DU ĐK 4069'!$E$8:$E$38=BC_SINH!E189), 0)),"")</f>
        <v/>
      </c>
      <c r="R189" s="4" t="str">
        <f t="array" ref="R189">IFERROR(INDEX('KO DU ĐK 4069'!$H$8:$H$38, MATCH(1, ('KO DU ĐK 4069'!$D$8:$D$38=BC_SINH!D189)*('KO DU ĐK 4069'!$E$8:$E$38=BC_SINH!E189), 0)),"")</f>
        <v/>
      </c>
      <c r="S189" s="4" t="str">
        <f t="array" ref="S189">IFERROR(INDEX(KeKhaiDangKy!$H$2:$H$4889, MATCH(1, (KeKhaiDangKy!$A$2:$A$4889=BC_SINH!D189)*(KeKhaiDangKy!$B$2:$B$4889=BC_SINH!E189), 0)),"")</f>
        <v>Kỳ Tăng</v>
      </c>
    </row>
    <row r="190" spans="1:19" ht="14.45" customHeight="1" x14ac:dyDescent="0.25">
      <c r="A190" s="4">
        <f>IF(B190&lt;&gt;"", SUBTOTAL(3, $B$2:B190), "")</f>
        <v>189</v>
      </c>
      <c r="B190" s="4" t="s">
        <v>114</v>
      </c>
      <c r="C190" s="4" t="str">
        <f t="shared" si="2"/>
        <v/>
      </c>
      <c r="D190" s="4">
        <v>21</v>
      </c>
      <c r="E190" s="4">
        <v>213</v>
      </c>
      <c r="F190" s="4">
        <v>11400</v>
      </c>
      <c r="G190" s="4" t="s">
        <v>11</v>
      </c>
      <c r="H190" s="4" t="str">
        <f t="array" ref="H190">IFERROR(INDEX(DSCKXA!$B$3:$B$73, MATCH(1, (DSCKXA!$D$3:$D$73=BC_SINH!D190)*(DSCKXA!$E$3:$E$73=BC_SINH!E190), 0)),"")</f>
        <v/>
      </c>
      <c r="I190" s="99" t="str">
        <f t="array" ref="I190">IFERROR(INDEX(DSCKXA!$C$3:$C$73, MATCH(1, (DSCKXA!$D$3:$D$73=BC_SINH!D190)*(DSCKXA!$E$3:$E$73=BC_SINH!E190), 0)),"")</f>
        <v/>
      </c>
      <c r="J190" s="97" t="str">
        <f>IFERROR(VLOOKUP(B190,'Đất sản xuất'!$B$9:$C$216,2,0),"")</f>
        <v/>
      </c>
      <c r="K190" s="97" t="str">
        <f>IFERROR(VLOOKUP(B190,'Sản xuất cấp huyên'!$B$9:$C$177,2,0),"")</f>
        <v/>
      </c>
      <c r="L190" s="4" t="str">
        <f>IFERROR(VLOOKUP(B190,'4069'!$B$9:$C$177,2,0),"")</f>
        <v/>
      </c>
      <c r="M190" s="4" t="str">
        <f t="array" ref="M190">IFERROR(INDEX(KODUDK!$C$8:$C$79, MATCH(1, (KODUDK!$D$8:$D$79=BC_SINH!D190)*(KODUDK!$E$8:$E$79=BC_SINH!E190), 0)),"")</f>
        <v/>
      </c>
      <c r="N190" s="4" t="str">
        <f t="array" ref="N190">IFERROR(INDEX(KODUDK!$H$8:$H$79, MATCH(1, (KODUDK!$D$8:$D$79=BC_SINH!D190)*(KODUDK!$E$8:$E$79=BC_SINH!E190), 0)),"")</f>
        <v/>
      </c>
      <c r="O190" s="4" t="str">
        <f t="array" ref="O190">IFERROR(INDEX('KO DU ĐK NQ10'!$C$8:$C$48, MATCH(1, ('KO DU ĐK NQ10'!$D$8:$D$48=BC_SINH!D190)*('KO DU ĐK NQ10'!$E$8:$E$48=BC_SINH!E190), 0)),"")</f>
        <v/>
      </c>
      <c r="P190" s="4" t="str">
        <f t="array" ref="P190">IFERROR(INDEX('KO DU ĐK NQ10'!$H$8:$H$48, MATCH(1, ('KO DU ĐK NQ10'!$D$8:$D$48=BC_SINH!D190)*('KO DU ĐK NQ10'!$E$8:$E$48=BC_SINH!E190), 0)),"")</f>
        <v/>
      </c>
      <c r="Q190" s="4" t="str">
        <f t="array" ref="Q190">IFERROR(INDEX('KO DU ĐK 4069'!$C$8:$C$38, MATCH(1, ('KO DU ĐK 4069'!$D$8:$D$38=BC_SINH!D190)*('KO DU ĐK 4069'!$E$8:$E$38=BC_SINH!E190), 0)),"")</f>
        <v/>
      </c>
      <c r="R190" s="4" t="str">
        <f t="array" ref="R190">IFERROR(INDEX('KO DU ĐK 4069'!$H$8:$H$38, MATCH(1, ('KO DU ĐK 4069'!$D$8:$D$38=BC_SINH!D190)*('KO DU ĐK 4069'!$E$8:$E$38=BC_SINH!E190), 0)),"")</f>
        <v/>
      </c>
      <c r="S190" s="4" t="str">
        <f t="array" ref="S190">IFERROR(INDEX(KeKhaiDangKy!$H$2:$H$4889, MATCH(1, (KeKhaiDangKy!$A$2:$A$4889=BC_SINH!D190)*(KeKhaiDangKy!$B$2:$B$4889=BC_SINH!E190), 0)),"")</f>
        <v/>
      </c>
    </row>
    <row r="191" spans="1:19" ht="14.45" customHeight="1" x14ac:dyDescent="0.25">
      <c r="A191" s="4">
        <f>IF(B191&lt;&gt;"", SUBTOTAL(3, $B$2:B191), "")</f>
        <v>190</v>
      </c>
      <c r="B191" s="4" t="s">
        <v>115</v>
      </c>
      <c r="C191" s="4" t="str">
        <f t="shared" si="2"/>
        <v>A Máy</v>
      </c>
      <c r="D191" s="4">
        <v>21</v>
      </c>
      <c r="E191" s="4">
        <v>215</v>
      </c>
      <c r="F191" s="4">
        <v>15445</v>
      </c>
      <c r="G191" s="4" t="s">
        <v>11</v>
      </c>
      <c r="H191" s="4" t="str">
        <f t="array" ref="H191">IFERROR(INDEX(DSCKXA!$B$3:$B$73, MATCH(1, (DSCKXA!$D$3:$D$73=BC_SINH!D191)*(DSCKXA!$E$3:$E$73=BC_SINH!E191), 0)),"")</f>
        <v>Hồ Văn Quan</v>
      </c>
      <c r="I191" s="99" t="str">
        <f t="array" ref="I191">IFERROR(INDEX(DSCKXA!$C$3:$C$73, MATCH(1, (DSCKXA!$D$3:$D$73=BC_SINH!D191)*(DSCKXA!$E$3:$E$73=BC_SINH!E191), 0)),"")</f>
        <v>Thôn A Máy</v>
      </c>
      <c r="J191" s="97" t="str">
        <f>IFERROR(VLOOKUP(B191,'Đất sản xuất'!$B$9:$C$216,2,0),"")</f>
        <v>A Máy</v>
      </c>
      <c r="K191" s="97" t="str">
        <f>IFERROR(VLOOKUP(B191,'Sản xuất cấp huyên'!$B$9:$C$177,2,0),"")</f>
        <v/>
      </c>
      <c r="L191" s="4" t="str">
        <f>IFERROR(VLOOKUP(B191,'4069'!$B$9:$C$177,2,0),"")</f>
        <v/>
      </c>
      <c r="M191" s="4" t="str">
        <f t="array" ref="M191">IFERROR(INDEX(KODUDK!$C$8:$C$79, MATCH(1, (KODUDK!$D$8:$D$79=BC_SINH!D191)*(KODUDK!$E$8:$E$79=BC_SINH!E191), 0)),"")</f>
        <v>Thôn A Máy</v>
      </c>
      <c r="N191" s="4" t="str">
        <f t="array" ref="N191">IFERROR(INDEX(KODUDK!$H$8:$H$79, MATCH(1, (KODUDK!$D$8:$D$79=BC_SINH!D191)*(KODUDK!$E$8:$E$79=BC_SINH!E191), 0)),"")</f>
        <v>Có 02 thửa đất nên loại 01 thửa</v>
      </c>
      <c r="O191" s="4" t="str">
        <f t="array" ref="O191">IFERROR(INDEX('KO DU ĐK NQ10'!$C$8:$C$48, MATCH(1, ('KO DU ĐK NQ10'!$D$8:$D$48=BC_SINH!D191)*('KO DU ĐK NQ10'!$E$8:$E$48=BC_SINH!E191), 0)),"")</f>
        <v>Thôn A Máy</v>
      </c>
      <c r="P191" s="4" t="str">
        <f t="array" ref="P191">IFERROR(INDEX('KO DU ĐK NQ10'!$H$8:$H$48, MATCH(1, ('KO DU ĐK NQ10'!$D$8:$D$48=BC_SINH!D191)*('KO DU ĐK NQ10'!$E$8:$E$48=BC_SINH!E191), 0)),"")</f>
        <v>Có 02 thửa đất nên loại 01 thửa</v>
      </c>
      <c r="Q191" s="4" t="str">
        <f t="array" ref="Q191">IFERROR(INDEX('KO DU ĐK 4069'!$C$8:$C$38, MATCH(1, ('KO DU ĐK 4069'!$D$8:$D$38=BC_SINH!D191)*('KO DU ĐK 4069'!$E$8:$E$38=BC_SINH!E191), 0)),"")</f>
        <v/>
      </c>
      <c r="R191" s="4" t="str">
        <f t="array" ref="R191">IFERROR(INDEX('KO DU ĐK 4069'!$H$8:$H$38, MATCH(1, ('KO DU ĐK 4069'!$D$8:$D$38=BC_SINH!D191)*('KO DU ĐK 4069'!$E$8:$E$38=BC_SINH!E191), 0)),"")</f>
        <v/>
      </c>
      <c r="S191" s="4" t="str">
        <f t="array" ref="S191">IFERROR(INDEX(KeKhaiDangKy!$H$2:$H$4889, MATCH(1, (KeKhaiDangKy!$A$2:$A$4889=BC_SINH!D191)*(KeKhaiDangKy!$B$2:$B$4889=BC_SINH!E191), 0)),"")</f>
        <v/>
      </c>
    </row>
    <row r="192" spans="1:19" ht="14.45" customHeight="1" x14ac:dyDescent="0.25">
      <c r="A192" s="4">
        <f>IF(B192&lt;&gt;"", SUBTOTAL(3, $B$2:B192), "")</f>
        <v>191</v>
      </c>
      <c r="B192" s="4" t="s">
        <v>115</v>
      </c>
      <c r="C192" s="4" t="str">
        <f t="shared" si="2"/>
        <v>A Máy</v>
      </c>
      <c r="D192" s="4">
        <v>21</v>
      </c>
      <c r="E192" s="4">
        <v>216</v>
      </c>
      <c r="F192" s="4">
        <v>16737</v>
      </c>
      <c r="G192" s="4" t="s">
        <v>11</v>
      </c>
      <c r="H192" s="4" t="str">
        <f t="array" ref="H192">IFERROR(INDEX(DSCKXA!$B$3:$B$73, MATCH(1, (DSCKXA!$D$3:$D$73=BC_SINH!D192)*(DSCKXA!$E$3:$E$73=BC_SINH!E192), 0)),"")</f>
        <v/>
      </c>
      <c r="I192" s="99" t="str">
        <f t="array" ref="I192">IFERROR(INDEX(DSCKXA!$C$3:$C$73, MATCH(1, (DSCKXA!$D$3:$D$73=BC_SINH!D192)*(DSCKXA!$E$3:$E$73=BC_SINH!E192), 0)),"")</f>
        <v/>
      </c>
      <c r="J192" s="97" t="str">
        <f>IFERROR(VLOOKUP(B192,'Đất sản xuất'!$B$9:$C$216,2,0),"")</f>
        <v>A Máy</v>
      </c>
      <c r="K192" s="97" t="str">
        <f>IFERROR(VLOOKUP(B192,'Sản xuất cấp huyên'!$B$9:$C$177,2,0),"")</f>
        <v/>
      </c>
      <c r="L192" s="4" t="str">
        <f>IFERROR(VLOOKUP(B192,'4069'!$B$9:$C$177,2,0),"")</f>
        <v/>
      </c>
      <c r="M192" s="4" t="str">
        <f t="array" ref="M192">IFERROR(INDEX(KODUDK!$C$8:$C$79, MATCH(1, (KODUDK!$D$8:$D$79=BC_SINH!D192)*(KODUDK!$E$8:$E$79=BC_SINH!E192), 0)),"")</f>
        <v/>
      </c>
      <c r="N192" s="4" t="str">
        <f t="array" ref="N192">IFERROR(INDEX(KODUDK!$H$8:$H$79, MATCH(1, (KODUDK!$D$8:$D$79=BC_SINH!D192)*(KODUDK!$E$8:$E$79=BC_SINH!E192), 0)),"")</f>
        <v/>
      </c>
      <c r="O192" s="4" t="str">
        <f t="array" ref="O192">IFERROR(INDEX('KO DU ĐK NQ10'!$C$8:$C$48, MATCH(1, ('KO DU ĐK NQ10'!$D$8:$D$48=BC_SINH!D192)*('KO DU ĐK NQ10'!$E$8:$E$48=BC_SINH!E192), 0)),"")</f>
        <v/>
      </c>
      <c r="P192" s="4" t="str">
        <f t="array" ref="P192">IFERROR(INDEX('KO DU ĐK NQ10'!$H$8:$H$48, MATCH(1, ('KO DU ĐK NQ10'!$D$8:$D$48=BC_SINH!D192)*('KO DU ĐK NQ10'!$E$8:$E$48=BC_SINH!E192), 0)),"")</f>
        <v/>
      </c>
      <c r="Q192" s="4" t="str">
        <f t="array" ref="Q192">IFERROR(INDEX('KO DU ĐK 4069'!$C$8:$C$38, MATCH(1, ('KO DU ĐK 4069'!$D$8:$D$38=BC_SINH!D192)*('KO DU ĐK 4069'!$E$8:$E$38=BC_SINH!E192), 0)),"")</f>
        <v/>
      </c>
      <c r="R192" s="4" t="str">
        <f t="array" ref="R192">IFERROR(INDEX('KO DU ĐK 4069'!$H$8:$H$38, MATCH(1, ('KO DU ĐK 4069'!$D$8:$D$38=BC_SINH!D192)*('KO DU ĐK 4069'!$E$8:$E$38=BC_SINH!E192), 0)),"")</f>
        <v/>
      </c>
      <c r="S192" s="4" t="str">
        <f t="array" ref="S192">IFERROR(INDEX(KeKhaiDangKy!$H$2:$H$4889, MATCH(1, (KeKhaiDangKy!$A$2:$A$4889=BC_SINH!D192)*(KeKhaiDangKy!$B$2:$B$4889=BC_SINH!E192), 0)),"")</f>
        <v/>
      </c>
    </row>
    <row r="193" spans="1:19" ht="14.45" customHeight="1" x14ac:dyDescent="0.25">
      <c r="A193" s="4">
        <f>IF(B193&lt;&gt;"", SUBTOTAL(3, $B$2:B193), "")</f>
        <v>192</v>
      </c>
      <c r="B193" s="4" t="s">
        <v>596</v>
      </c>
      <c r="C193" s="4" t="str">
        <f t="shared" si="2"/>
        <v>Tăng cô Hang</v>
      </c>
      <c r="D193" s="4">
        <v>1</v>
      </c>
      <c r="E193" s="4">
        <v>5</v>
      </c>
      <c r="F193" s="4">
        <v>4218</v>
      </c>
      <c r="G193" s="4" t="s">
        <v>11</v>
      </c>
      <c r="H193" s="4" t="str">
        <f t="array" ref="H193">IFERROR(INDEX(DSCKXA!$B$3:$B$73, MATCH(1, (DSCKXA!$D$3:$D$73=BC_SINH!D193)*(DSCKXA!$E$3:$E$73=BC_SINH!E193), 0)),"")</f>
        <v>Hồ Văn Uynh</v>
      </c>
      <c r="I193" s="99" t="str">
        <f t="array" ref="I193">IFERROR(INDEX(DSCKXA!$C$3:$C$73, MATCH(1, (DSCKXA!$D$3:$D$73=BC_SINH!D193)*(DSCKXA!$E$3:$E$73=BC_SINH!E193), 0)),"")</f>
        <v xml:space="preserve">Thôn Tăng Cô Hang </v>
      </c>
      <c r="J193" s="97" t="str">
        <f>IFERROR(VLOOKUP(B193,'Đất sản xuất'!$B$9:$C$216,2,0),"")</f>
        <v>Tăng cô Hang</v>
      </c>
      <c r="K193" s="97" t="str">
        <f>IFERROR(VLOOKUP(B193,'Sản xuất cấp huyên'!$B$9:$C$177,2,0),"")</f>
        <v/>
      </c>
      <c r="L193" s="4" t="str">
        <f>IFERROR(VLOOKUP(B193,'4069'!$B$9:$C$177,2,0),"")</f>
        <v/>
      </c>
      <c r="M193" s="4" t="str">
        <f t="array" ref="M193">IFERROR(INDEX(KODUDK!$C$8:$C$79, MATCH(1, (KODUDK!$D$8:$D$79=BC_SINH!D193)*(KODUDK!$E$8:$E$79=BC_SINH!E193), 0)),"")</f>
        <v/>
      </c>
      <c r="N193" s="4" t="str">
        <f t="array" ref="N193">IFERROR(INDEX(KODUDK!$H$8:$H$79, MATCH(1, (KODUDK!$D$8:$D$79=BC_SINH!D193)*(KODUDK!$E$8:$E$79=BC_SINH!E193), 0)),"")</f>
        <v/>
      </c>
      <c r="O193" s="4" t="str">
        <f t="array" ref="O193">IFERROR(INDEX('KO DU ĐK NQ10'!$C$8:$C$48, MATCH(1, ('KO DU ĐK NQ10'!$D$8:$D$48=BC_SINH!D193)*('KO DU ĐK NQ10'!$E$8:$E$48=BC_SINH!E193), 0)),"")</f>
        <v/>
      </c>
      <c r="P193" s="4" t="str">
        <f t="array" ref="P193">IFERROR(INDEX('KO DU ĐK NQ10'!$H$8:$H$48, MATCH(1, ('KO DU ĐK NQ10'!$D$8:$D$48=BC_SINH!D193)*('KO DU ĐK NQ10'!$E$8:$E$48=BC_SINH!E193), 0)),"")</f>
        <v/>
      </c>
      <c r="Q193" s="4" t="str">
        <f t="array" ref="Q193">IFERROR(INDEX('KO DU ĐK 4069'!$C$8:$C$38, MATCH(1, ('KO DU ĐK 4069'!$D$8:$D$38=BC_SINH!D193)*('KO DU ĐK 4069'!$E$8:$E$38=BC_SINH!E193), 0)),"")</f>
        <v/>
      </c>
      <c r="R193" s="4" t="str">
        <f t="array" ref="R193">IFERROR(INDEX('KO DU ĐK 4069'!$H$8:$H$38, MATCH(1, ('KO DU ĐK 4069'!$D$8:$D$38=BC_SINH!D193)*('KO DU ĐK 4069'!$E$8:$E$38=BC_SINH!E193), 0)),"")</f>
        <v/>
      </c>
      <c r="S193" s="4" t="str">
        <f t="array" ref="S193">IFERROR(INDEX(KeKhaiDangKy!$H$2:$H$4889, MATCH(1, (KeKhaiDangKy!$A$2:$A$4889=BC_SINH!D193)*(KeKhaiDangKy!$B$2:$B$4889=BC_SINH!E193), 0)),"")</f>
        <v>Kỳ Nơi</v>
      </c>
    </row>
    <row r="194" spans="1:19" ht="14.45" customHeight="1" x14ac:dyDescent="0.25">
      <c r="A194" s="4">
        <f>IF(B194&lt;&gt;"", SUBTOTAL(3, $B$2:B194), "")</f>
        <v>193</v>
      </c>
      <c r="B194" s="4" t="s">
        <v>116</v>
      </c>
      <c r="C194" s="4" t="str">
        <f t="shared" ref="C194:C242" si="3">IF(J194&lt;&gt;"", J194, IF(L194&lt;&gt;"", L194, IF(M194&lt;&gt;"", M194, IF(N194&lt;&gt;"", N194, IF(O194&lt;&gt;"", O194, IF(P194&lt;&gt;"", P194, IF(Q194&lt;&gt;"", Q194, IF(R194&lt;&gt;"", R194, S194))))))))</f>
        <v/>
      </c>
      <c r="D194" s="4">
        <v>33</v>
      </c>
      <c r="E194" s="4">
        <v>20</v>
      </c>
      <c r="F194" s="4">
        <v>12388</v>
      </c>
      <c r="G194" s="4" t="s">
        <v>11</v>
      </c>
      <c r="H194" s="4" t="str">
        <f t="array" ref="H194">IFERROR(INDEX(DSCKXA!$B$3:$B$73, MATCH(1, (DSCKXA!$D$3:$D$73=BC_SINH!D194)*(DSCKXA!$E$3:$E$73=BC_SINH!E194), 0)),"")</f>
        <v/>
      </c>
      <c r="I194" s="99" t="str">
        <f t="array" ref="I194">IFERROR(INDEX(DSCKXA!$C$3:$C$73, MATCH(1, (DSCKXA!$D$3:$D$73=BC_SINH!D194)*(DSCKXA!$E$3:$E$73=BC_SINH!E194), 0)),"")</f>
        <v/>
      </c>
      <c r="J194" s="97" t="str">
        <f>IFERROR(VLOOKUP(B194,'Đất sản xuất'!$B$9:$C$216,2,0),"")</f>
        <v/>
      </c>
      <c r="K194" s="97" t="str">
        <f>IFERROR(VLOOKUP(B194,'Sản xuất cấp huyên'!$B$9:$C$177,2,0),"")</f>
        <v/>
      </c>
      <c r="L194" s="4" t="str">
        <f>IFERROR(VLOOKUP(B194,'4069'!$B$9:$C$177,2,0),"")</f>
        <v/>
      </c>
      <c r="M194" s="4" t="str">
        <f t="array" ref="M194">IFERROR(INDEX(KODUDK!$C$8:$C$79, MATCH(1, (KODUDK!$D$8:$D$79=BC_SINH!D194)*(KODUDK!$E$8:$E$79=BC_SINH!E194), 0)),"")</f>
        <v/>
      </c>
      <c r="N194" s="4" t="str">
        <f t="array" ref="N194">IFERROR(INDEX(KODUDK!$H$8:$H$79, MATCH(1, (KODUDK!$D$8:$D$79=BC_SINH!D194)*(KODUDK!$E$8:$E$79=BC_SINH!E194), 0)),"")</f>
        <v/>
      </c>
      <c r="O194" s="4" t="str">
        <f t="array" ref="O194">IFERROR(INDEX('KO DU ĐK NQ10'!$C$8:$C$48, MATCH(1, ('KO DU ĐK NQ10'!$D$8:$D$48=BC_SINH!D194)*('KO DU ĐK NQ10'!$E$8:$E$48=BC_SINH!E194), 0)),"")</f>
        <v/>
      </c>
      <c r="P194" s="4" t="str">
        <f t="array" ref="P194">IFERROR(INDEX('KO DU ĐK NQ10'!$H$8:$H$48, MATCH(1, ('KO DU ĐK NQ10'!$D$8:$D$48=BC_SINH!D194)*('KO DU ĐK NQ10'!$E$8:$E$48=BC_SINH!E194), 0)),"")</f>
        <v/>
      </c>
      <c r="Q194" s="4" t="str">
        <f t="array" ref="Q194">IFERROR(INDEX('KO DU ĐK 4069'!$C$8:$C$38, MATCH(1, ('KO DU ĐK 4069'!$D$8:$D$38=BC_SINH!D194)*('KO DU ĐK 4069'!$E$8:$E$38=BC_SINH!E194), 0)),"")</f>
        <v/>
      </c>
      <c r="R194" s="4" t="str">
        <f t="array" ref="R194">IFERROR(INDEX('KO DU ĐK 4069'!$H$8:$H$38, MATCH(1, ('KO DU ĐK 4069'!$D$8:$D$38=BC_SINH!D194)*('KO DU ĐK 4069'!$E$8:$E$38=BC_SINH!E194), 0)),"")</f>
        <v/>
      </c>
      <c r="S194" s="4" t="str">
        <f t="array" ref="S194">IFERROR(INDEX(KeKhaiDangKy!$H$2:$H$4889, MATCH(1, (KeKhaiDangKy!$A$2:$A$4889=BC_SINH!D194)*(KeKhaiDangKy!$B$2:$B$4889=BC_SINH!E194), 0)),"")</f>
        <v/>
      </c>
    </row>
    <row r="195" spans="1:19" ht="14.45" customHeight="1" x14ac:dyDescent="0.25">
      <c r="A195" s="4">
        <f>IF(B195&lt;&gt;"", SUBTOTAL(3, $B$2:B195), "")</f>
        <v>194</v>
      </c>
      <c r="B195" s="4" t="s">
        <v>117</v>
      </c>
      <c r="C195" s="4" t="str">
        <f t="shared" si="3"/>
        <v/>
      </c>
      <c r="D195" s="4">
        <v>1</v>
      </c>
      <c r="E195" s="4">
        <v>173</v>
      </c>
      <c r="F195" s="4">
        <v>3359</v>
      </c>
      <c r="G195" s="4" t="s">
        <v>11</v>
      </c>
      <c r="H195" s="4" t="str">
        <f t="array" ref="H195">IFERROR(INDEX(DSCKXA!$B$3:$B$73, MATCH(1, (DSCKXA!$D$3:$D$73=BC_SINH!D195)*(DSCKXA!$E$3:$E$73=BC_SINH!E195), 0)),"")</f>
        <v/>
      </c>
      <c r="I195" s="99" t="str">
        <f t="array" ref="I195">IFERROR(INDEX(DSCKXA!$C$3:$C$73, MATCH(1, (DSCKXA!$D$3:$D$73=BC_SINH!D195)*(DSCKXA!$E$3:$E$73=BC_SINH!E195), 0)),"")</f>
        <v/>
      </c>
      <c r="J195" s="97" t="str">
        <f>IFERROR(VLOOKUP(B195,'Đất sản xuất'!$B$9:$C$216,2,0),"")</f>
        <v/>
      </c>
      <c r="K195" s="97" t="str">
        <f>IFERROR(VLOOKUP(B195,'Sản xuất cấp huyên'!$B$9:$C$177,2,0),"")</f>
        <v/>
      </c>
      <c r="L195" s="4" t="str">
        <f>IFERROR(VLOOKUP(B195,'4069'!$B$9:$C$177,2,0),"")</f>
        <v/>
      </c>
      <c r="M195" s="4" t="str">
        <f t="array" ref="M195">IFERROR(INDEX(KODUDK!$C$8:$C$79, MATCH(1, (KODUDK!$D$8:$D$79=BC_SINH!D195)*(KODUDK!$E$8:$E$79=BC_SINH!E195), 0)),"")</f>
        <v/>
      </c>
      <c r="N195" s="4" t="str">
        <f t="array" ref="N195">IFERROR(INDEX(KODUDK!$H$8:$H$79, MATCH(1, (KODUDK!$D$8:$D$79=BC_SINH!D195)*(KODUDK!$E$8:$E$79=BC_SINH!E195), 0)),"")</f>
        <v/>
      </c>
      <c r="O195" s="4" t="str">
        <f t="array" ref="O195">IFERROR(INDEX('KO DU ĐK NQ10'!$C$8:$C$48, MATCH(1, ('KO DU ĐK NQ10'!$D$8:$D$48=BC_SINH!D195)*('KO DU ĐK NQ10'!$E$8:$E$48=BC_SINH!E195), 0)),"")</f>
        <v/>
      </c>
      <c r="P195" s="4" t="str">
        <f t="array" ref="P195">IFERROR(INDEX('KO DU ĐK NQ10'!$H$8:$H$48, MATCH(1, ('KO DU ĐK NQ10'!$D$8:$D$48=BC_SINH!D195)*('KO DU ĐK NQ10'!$E$8:$E$48=BC_SINH!E195), 0)),"")</f>
        <v/>
      </c>
      <c r="Q195" s="4" t="str">
        <f t="array" ref="Q195">IFERROR(INDEX('KO DU ĐK 4069'!$C$8:$C$38, MATCH(1, ('KO DU ĐK 4069'!$D$8:$D$38=BC_SINH!D195)*('KO DU ĐK 4069'!$E$8:$E$38=BC_SINH!E195), 0)),"")</f>
        <v/>
      </c>
      <c r="R195" s="4" t="str">
        <f t="array" ref="R195">IFERROR(INDEX('KO DU ĐK 4069'!$H$8:$H$38, MATCH(1, ('KO DU ĐK 4069'!$D$8:$D$38=BC_SINH!D195)*('KO DU ĐK 4069'!$E$8:$E$38=BC_SINH!E195), 0)),"")</f>
        <v/>
      </c>
      <c r="S195" s="4" t="str">
        <f t="array" ref="S195">IFERROR(INDEX(KeKhaiDangKy!$H$2:$H$4889, MATCH(1, (KeKhaiDangKy!$A$2:$A$4889=BC_SINH!D195)*(KeKhaiDangKy!$B$2:$B$4889=BC_SINH!E195), 0)),"")</f>
        <v/>
      </c>
    </row>
    <row r="196" spans="1:19" ht="14.45" customHeight="1" x14ac:dyDescent="0.25">
      <c r="A196" s="4">
        <f>IF(B196&lt;&gt;"", SUBTOTAL(3, $B$2:B196), "")</f>
        <v>195</v>
      </c>
      <c r="B196" s="4" t="s">
        <v>118</v>
      </c>
      <c r="C196" s="4" t="str">
        <f t="shared" si="3"/>
        <v xml:space="preserve"> A Quan</v>
      </c>
      <c r="D196" s="4">
        <v>21</v>
      </c>
      <c r="E196" s="4">
        <v>219</v>
      </c>
      <c r="F196" s="4">
        <v>5502</v>
      </c>
      <c r="G196" s="4" t="s">
        <v>11</v>
      </c>
      <c r="H196" s="4" t="str">
        <f t="array" ref="H196">IFERROR(INDEX(DSCKXA!$B$3:$B$73, MATCH(1, (DSCKXA!$D$3:$D$73=BC_SINH!D196)*(DSCKXA!$E$3:$E$73=BC_SINH!E196), 0)),"")</f>
        <v>Hồ Văn Thái</v>
      </c>
      <c r="I196" s="99" t="str">
        <f t="array" ref="I196">IFERROR(INDEX(DSCKXA!$C$3:$C$73, MATCH(1, (DSCKXA!$D$3:$D$73=BC_SINH!D196)*(DSCKXA!$E$3:$E$73=BC_SINH!E196), 0)),"")</f>
        <v>Thôn A Quan</v>
      </c>
      <c r="J196" s="97" t="str">
        <f>IFERROR(VLOOKUP(B196,'Đất sản xuất'!$B$9:$C$216,2,0),"")</f>
        <v xml:space="preserve"> A Quan</v>
      </c>
      <c r="K196" s="97" t="str">
        <f>IFERROR(VLOOKUP(B196,'Sản xuất cấp huyên'!$B$9:$C$177,2,0),"")</f>
        <v/>
      </c>
      <c r="L196" s="4" t="str">
        <f>IFERROR(VLOOKUP(B196,'4069'!$B$9:$C$177,2,0),"")</f>
        <v/>
      </c>
      <c r="M196" s="4" t="str">
        <f t="array" ref="M196">IFERROR(INDEX(KODUDK!$C$8:$C$79, MATCH(1, (KODUDK!$D$8:$D$79=BC_SINH!D196)*(KODUDK!$E$8:$E$79=BC_SINH!E196), 0)),"")</f>
        <v/>
      </c>
      <c r="N196" s="4" t="str">
        <f t="array" ref="N196">IFERROR(INDEX(KODUDK!$H$8:$H$79, MATCH(1, (KODUDK!$D$8:$D$79=BC_SINH!D196)*(KODUDK!$E$8:$E$79=BC_SINH!E196), 0)),"")</f>
        <v/>
      </c>
      <c r="O196" s="4" t="str">
        <f t="array" ref="O196">IFERROR(INDEX('KO DU ĐK NQ10'!$C$8:$C$48, MATCH(1, ('KO DU ĐK NQ10'!$D$8:$D$48=BC_SINH!D196)*('KO DU ĐK NQ10'!$E$8:$E$48=BC_SINH!E196), 0)),"")</f>
        <v/>
      </c>
      <c r="P196" s="4" t="str">
        <f t="array" ref="P196">IFERROR(INDEX('KO DU ĐK NQ10'!$H$8:$H$48, MATCH(1, ('KO DU ĐK NQ10'!$D$8:$D$48=BC_SINH!D196)*('KO DU ĐK NQ10'!$E$8:$E$48=BC_SINH!E196), 0)),"")</f>
        <v/>
      </c>
      <c r="Q196" s="4" t="str">
        <f t="array" ref="Q196">IFERROR(INDEX('KO DU ĐK 4069'!$C$8:$C$38, MATCH(1, ('KO DU ĐK 4069'!$D$8:$D$38=BC_SINH!D196)*('KO DU ĐK 4069'!$E$8:$E$38=BC_SINH!E196), 0)),"")</f>
        <v/>
      </c>
      <c r="R196" s="4" t="str">
        <f t="array" ref="R196">IFERROR(INDEX('KO DU ĐK 4069'!$H$8:$H$38, MATCH(1, ('KO DU ĐK 4069'!$D$8:$D$38=BC_SINH!D196)*('KO DU ĐK 4069'!$E$8:$E$38=BC_SINH!E196), 0)),"")</f>
        <v/>
      </c>
      <c r="S196" s="4" t="str">
        <f t="array" ref="S196">IFERROR(INDEX(KeKhaiDangKy!$H$2:$H$4889, MATCH(1, (KeKhaiDangKy!$A$2:$A$4889=BC_SINH!D196)*(KeKhaiDangKy!$B$2:$B$4889=BC_SINH!E196), 0)),"")</f>
        <v>A Quan</v>
      </c>
    </row>
    <row r="197" spans="1:19" ht="14.45" customHeight="1" x14ac:dyDescent="0.25">
      <c r="A197" s="4">
        <f>IF(B197&lt;&gt;"", SUBTOTAL(3, $B$2:B197), "")</f>
        <v>196</v>
      </c>
      <c r="B197" s="4" t="s">
        <v>118</v>
      </c>
      <c r="C197" s="4" t="str">
        <f t="shared" si="3"/>
        <v xml:space="preserve"> A Quan</v>
      </c>
      <c r="D197" s="4">
        <v>21</v>
      </c>
      <c r="E197" s="4">
        <v>76</v>
      </c>
      <c r="F197" s="4">
        <v>7672</v>
      </c>
      <c r="G197" s="4" t="s">
        <v>11</v>
      </c>
      <c r="H197" s="4" t="str">
        <f t="array" ref="H197">IFERROR(INDEX(DSCKXA!$B$3:$B$73, MATCH(1, (DSCKXA!$D$3:$D$73=BC_SINH!D197)*(DSCKXA!$E$3:$E$73=BC_SINH!E197), 0)),"")</f>
        <v/>
      </c>
      <c r="I197" s="99" t="str">
        <f t="array" ref="I197">IFERROR(INDEX(DSCKXA!$C$3:$C$73, MATCH(1, (DSCKXA!$D$3:$D$73=BC_SINH!D197)*(DSCKXA!$E$3:$E$73=BC_SINH!E197), 0)),"")</f>
        <v/>
      </c>
      <c r="J197" s="97" t="str">
        <f>IFERROR(VLOOKUP(B197,'Đất sản xuất'!$B$9:$C$216,2,0),"")</f>
        <v xml:space="preserve"> A Quan</v>
      </c>
      <c r="K197" s="97" t="str">
        <f>IFERROR(VLOOKUP(B197,'Sản xuất cấp huyên'!$B$9:$C$177,2,0),"")</f>
        <v/>
      </c>
      <c r="L197" s="4" t="str">
        <f>IFERROR(VLOOKUP(B197,'4069'!$B$9:$C$177,2,0),"")</f>
        <v/>
      </c>
      <c r="M197" s="4" t="str">
        <f t="array" ref="M197">IFERROR(INDEX(KODUDK!$C$8:$C$79, MATCH(1, (KODUDK!$D$8:$D$79=BC_SINH!D197)*(KODUDK!$E$8:$E$79=BC_SINH!E197), 0)),"")</f>
        <v/>
      </c>
      <c r="N197" s="4" t="str">
        <f t="array" ref="N197">IFERROR(INDEX(KODUDK!$H$8:$H$79, MATCH(1, (KODUDK!$D$8:$D$79=BC_SINH!D197)*(KODUDK!$E$8:$E$79=BC_SINH!E197), 0)),"")</f>
        <v/>
      </c>
      <c r="O197" s="4" t="str">
        <f t="array" ref="O197">IFERROR(INDEX('KO DU ĐK NQ10'!$C$8:$C$48, MATCH(1, ('KO DU ĐK NQ10'!$D$8:$D$48=BC_SINH!D197)*('KO DU ĐK NQ10'!$E$8:$E$48=BC_SINH!E197), 0)),"")</f>
        <v/>
      </c>
      <c r="P197" s="4" t="str">
        <f t="array" ref="P197">IFERROR(INDEX('KO DU ĐK NQ10'!$H$8:$H$48, MATCH(1, ('KO DU ĐK NQ10'!$D$8:$D$48=BC_SINH!D197)*('KO DU ĐK NQ10'!$E$8:$E$48=BC_SINH!E197), 0)),"")</f>
        <v/>
      </c>
      <c r="Q197" s="4" t="str">
        <f t="array" ref="Q197">IFERROR(INDEX('KO DU ĐK 4069'!$C$8:$C$38, MATCH(1, ('KO DU ĐK 4069'!$D$8:$D$38=BC_SINH!D197)*('KO DU ĐK 4069'!$E$8:$E$38=BC_SINH!E197), 0)),"")</f>
        <v/>
      </c>
      <c r="R197" s="4" t="str">
        <f t="array" ref="R197">IFERROR(INDEX('KO DU ĐK 4069'!$H$8:$H$38, MATCH(1, ('KO DU ĐK 4069'!$D$8:$D$38=BC_SINH!D197)*('KO DU ĐK 4069'!$E$8:$E$38=BC_SINH!E197), 0)),"")</f>
        <v/>
      </c>
      <c r="S197" s="4" t="str">
        <f t="array" ref="S197">IFERROR(INDEX(KeKhaiDangKy!$H$2:$H$4889, MATCH(1, (KeKhaiDangKy!$A$2:$A$4889=BC_SINH!D197)*(KeKhaiDangKy!$B$2:$B$4889=BC_SINH!E197), 0)),"")</f>
        <v>A Rông</v>
      </c>
    </row>
    <row r="198" spans="1:19" ht="14.45" customHeight="1" x14ac:dyDescent="0.25">
      <c r="A198" s="4">
        <f>IF(B198&lt;&gt;"", SUBTOTAL(3, $B$2:B198), "")</f>
        <v>197</v>
      </c>
      <c r="B198" s="4" t="s">
        <v>119</v>
      </c>
      <c r="C198" s="4" t="str">
        <f t="shared" si="3"/>
        <v xml:space="preserve"> A Máy</v>
      </c>
      <c r="D198" s="4">
        <v>21</v>
      </c>
      <c r="E198" s="4">
        <v>220</v>
      </c>
      <c r="F198" s="4">
        <v>11197</v>
      </c>
      <c r="G198" s="4" t="s">
        <v>11</v>
      </c>
      <c r="H198" s="4" t="str">
        <f t="array" ref="H198">IFERROR(INDEX(DSCKXA!$B$3:$B$73, MATCH(1, (DSCKXA!$D$3:$D$73=BC_SINH!D198)*(DSCKXA!$E$3:$E$73=BC_SINH!E198), 0)),"")</f>
        <v/>
      </c>
      <c r="I198" s="99" t="str">
        <f t="array" ref="I198">IFERROR(INDEX(DSCKXA!$C$3:$C$73, MATCH(1, (DSCKXA!$D$3:$D$73=BC_SINH!D198)*(DSCKXA!$E$3:$E$73=BC_SINH!E198), 0)),"")</f>
        <v/>
      </c>
      <c r="J198" s="97" t="str">
        <f>IFERROR(VLOOKUP(B198,'Đất sản xuất'!$B$9:$C$216,2,0),"")</f>
        <v xml:space="preserve"> A Máy</v>
      </c>
      <c r="K198" s="97" t="str">
        <f>IFERROR(VLOOKUP(B198,'Sản xuất cấp huyên'!$B$9:$C$177,2,0),"")</f>
        <v>A Xóc Lìa</v>
      </c>
      <c r="L198" s="4" t="str">
        <f>IFERROR(VLOOKUP(B198,'4069'!$B$9:$C$177,2,0),"")</f>
        <v>A Xóc Lìa</v>
      </c>
      <c r="M198" s="4" t="str">
        <f t="array" ref="M198">IFERROR(INDEX(KODUDK!$C$8:$C$79, MATCH(1, (KODUDK!$D$8:$D$79=BC_SINH!D198)*(KODUDK!$E$8:$E$79=BC_SINH!E198), 0)),"")</f>
        <v>Thôn A Máy</v>
      </c>
      <c r="N198" s="4" t="str">
        <f t="array" ref="N198">IFERROR(INDEX(KODUDK!$H$8:$H$79, MATCH(1, (KODUDK!$D$8:$D$79=BC_SINH!D198)*(KODUDK!$E$8:$E$79=BC_SINH!E198), 0)),"")</f>
        <v>Có 03 thửa đất nên loại 02 thửa</v>
      </c>
      <c r="O198" s="4" t="str">
        <f t="array" ref="O198">IFERROR(INDEX('KO DU ĐK NQ10'!$C$8:$C$48, MATCH(1, ('KO DU ĐK NQ10'!$D$8:$D$48=BC_SINH!D198)*('KO DU ĐK NQ10'!$E$8:$E$48=BC_SINH!E198), 0)),"")</f>
        <v>Thôn A Máy</v>
      </c>
      <c r="P198" s="4" t="str">
        <f t="array" ref="P198">IFERROR(INDEX('KO DU ĐK NQ10'!$H$8:$H$48, MATCH(1, ('KO DU ĐK NQ10'!$D$8:$D$48=BC_SINH!D198)*('KO DU ĐK NQ10'!$E$8:$E$48=BC_SINH!E198), 0)),"")</f>
        <v>Có 03 thửa đất nên loại 02 thửa</v>
      </c>
      <c r="Q198" s="4" t="str">
        <f t="array" ref="Q198">IFERROR(INDEX('KO DU ĐK 4069'!$C$8:$C$38, MATCH(1, ('KO DU ĐK 4069'!$D$8:$D$38=BC_SINH!D198)*('KO DU ĐK 4069'!$E$8:$E$38=BC_SINH!E198), 0)),"")</f>
        <v/>
      </c>
      <c r="R198" s="4" t="str">
        <f t="array" ref="R198">IFERROR(INDEX('KO DU ĐK 4069'!$H$8:$H$38, MATCH(1, ('KO DU ĐK 4069'!$D$8:$D$38=BC_SINH!D198)*('KO DU ĐK 4069'!$E$8:$E$38=BC_SINH!E198), 0)),"")</f>
        <v/>
      </c>
      <c r="S198" s="4" t="str">
        <f t="array" ref="S198">IFERROR(INDEX(KeKhaiDangKy!$H$2:$H$4889, MATCH(1, (KeKhaiDangKy!$A$2:$A$4889=BC_SINH!D198)*(KeKhaiDangKy!$B$2:$B$4889=BC_SINH!E198), 0)),"")</f>
        <v/>
      </c>
    </row>
    <row r="199" spans="1:19" ht="14.45" customHeight="1" x14ac:dyDescent="0.25">
      <c r="A199" s="4">
        <f>IF(B199&lt;&gt;"", SUBTOTAL(3, $B$2:B199), "")</f>
        <v>198</v>
      </c>
      <c r="B199" s="4" t="s">
        <v>119</v>
      </c>
      <c r="C199" s="4" t="str">
        <f t="shared" si="3"/>
        <v xml:space="preserve"> A Máy</v>
      </c>
      <c r="D199" s="4">
        <v>21</v>
      </c>
      <c r="E199" s="4">
        <v>221</v>
      </c>
      <c r="F199" s="4">
        <v>4587</v>
      </c>
      <c r="G199" s="4" t="s">
        <v>11</v>
      </c>
      <c r="H199" s="4" t="str">
        <f t="array" ref="H199">IFERROR(INDEX(DSCKXA!$B$3:$B$73, MATCH(1, (DSCKXA!$D$3:$D$73=BC_SINH!D199)*(DSCKXA!$E$3:$E$73=BC_SINH!E199), 0)),"")</f>
        <v/>
      </c>
      <c r="I199" s="99" t="str">
        <f t="array" ref="I199">IFERROR(INDEX(DSCKXA!$C$3:$C$73, MATCH(1, (DSCKXA!$D$3:$D$73=BC_SINH!D199)*(DSCKXA!$E$3:$E$73=BC_SINH!E199), 0)),"")</f>
        <v/>
      </c>
      <c r="J199" s="97" t="str">
        <f>IFERROR(VLOOKUP(B199,'Đất sản xuất'!$B$9:$C$216,2,0),"")</f>
        <v xml:space="preserve"> A Máy</v>
      </c>
      <c r="K199" s="97" t="str">
        <f>IFERROR(VLOOKUP(B199,'Sản xuất cấp huyên'!$B$9:$C$177,2,0),"")</f>
        <v>A Xóc Lìa</v>
      </c>
      <c r="L199" s="4" t="str">
        <f>IFERROR(VLOOKUP(B199,'4069'!$B$9:$C$177,2,0),"")</f>
        <v>A Xóc Lìa</v>
      </c>
      <c r="M199" s="4" t="str">
        <f t="array" ref="M199">IFERROR(INDEX(KODUDK!$C$8:$C$79, MATCH(1, (KODUDK!$D$8:$D$79=BC_SINH!D199)*(KODUDK!$E$8:$E$79=BC_SINH!E199), 0)),"")</f>
        <v>Thôn A Máy</v>
      </c>
      <c r="N199" s="4" t="str">
        <f t="array" ref="N199">IFERROR(INDEX(KODUDK!$H$8:$H$79, MATCH(1, (KODUDK!$D$8:$D$79=BC_SINH!D199)*(KODUDK!$E$8:$E$79=BC_SINH!E199), 0)),"")</f>
        <v>Có 03 thửa đất nên loại 02 thửa</v>
      </c>
      <c r="O199" s="4" t="str">
        <f t="array" ref="O199">IFERROR(INDEX('KO DU ĐK NQ10'!$C$8:$C$48, MATCH(1, ('KO DU ĐK NQ10'!$D$8:$D$48=BC_SINH!D199)*('KO DU ĐK NQ10'!$E$8:$E$48=BC_SINH!E199), 0)),"")</f>
        <v>Thôn A Máy</v>
      </c>
      <c r="P199" s="4" t="str">
        <f t="array" ref="P199">IFERROR(INDEX('KO DU ĐK NQ10'!$H$8:$H$48, MATCH(1, ('KO DU ĐK NQ10'!$D$8:$D$48=BC_SINH!D199)*('KO DU ĐK NQ10'!$E$8:$E$48=BC_SINH!E199), 0)),"")</f>
        <v>Có 03 thửa đất nên loại 02 thửa</v>
      </c>
      <c r="Q199" s="4" t="str">
        <f t="array" ref="Q199">IFERROR(INDEX('KO DU ĐK 4069'!$C$8:$C$38, MATCH(1, ('KO DU ĐK 4069'!$D$8:$D$38=BC_SINH!D199)*('KO DU ĐK 4069'!$E$8:$E$38=BC_SINH!E199), 0)),"")</f>
        <v/>
      </c>
      <c r="R199" s="4" t="str">
        <f t="array" ref="R199">IFERROR(INDEX('KO DU ĐK 4069'!$H$8:$H$38, MATCH(1, ('KO DU ĐK 4069'!$D$8:$D$38=BC_SINH!D199)*('KO DU ĐK 4069'!$E$8:$E$38=BC_SINH!E199), 0)),"")</f>
        <v/>
      </c>
      <c r="S199" s="4" t="str">
        <f t="array" ref="S199">IFERROR(INDEX(KeKhaiDangKy!$H$2:$H$4889, MATCH(1, (KeKhaiDangKy!$A$2:$A$4889=BC_SINH!D199)*(KeKhaiDangKy!$B$2:$B$4889=BC_SINH!E199), 0)),"")</f>
        <v/>
      </c>
    </row>
    <row r="200" spans="1:19" ht="14.45" customHeight="1" x14ac:dyDescent="0.25">
      <c r="A200" s="4">
        <f>IF(B200&lt;&gt;"", SUBTOTAL(3, $B$2:B200), "")</f>
        <v>199</v>
      </c>
      <c r="B200" s="4" t="s">
        <v>119</v>
      </c>
      <c r="C200" s="4" t="str">
        <f t="shared" si="3"/>
        <v xml:space="preserve"> A Máy</v>
      </c>
      <c r="D200" s="4">
        <v>21</v>
      </c>
      <c r="E200" s="4">
        <v>222</v>
      </c>
      <c r="F200" s="4">
        <v>15748</v>
      </c>
      <c r="G200" s="4" t="s">
        <v>11</v>
      </c>
      <c r="H200" s="4" t="str">
        <f t="array" ref="H200">IFERROR(INDEX(DSCKXA!$B$3:$B$73, MATCH(1, (DSCKXA!$D$3:$D$73=BC_SINH!D200)*(DSCKXA!$E$3:$E$73=BC_SINH!E200), 0)),"")</f>
        <v>Hồ Văn Thăng</v>
      </c>
      <c r="I200" s="99" t="str">
        <f t="array" ref="I200">IFERROR(INDEX(DSCKXA!$C$3:$C$73, MATCH(1, (DSCKXA!$D$3:$D$73=BC_SINH!D200)*(DSCKXA!$E$3:$E$73=BC_SINH!E200), 0)),"")</f>
        <v>Thôn A Máy</v>
      </c>
      <c r="J200" s="97" t="str">
        <f>IFERROR(VLOOKUP(B200,'Đất sản xuất'!$B$9:$C$216,2,0),"")</f>
        <v xml:space="preserve"> A Máy</v>
      </c>
      <c r="K200" s="97" t="str">
        <f>IFERROR(VLOOKUP(B200,'Sản xuất cấp huyên'!$B$9:$C$177,2,0),"")</f>
        <v>A Xóc Lìa</v>
      </c>
      <c r="L200" s="4" t="str">
        <f>IFERROR(VLOOKUP(B200,'4069'!$B$9:$C$177,2,0),"")</f>
        <v>A Xóc Lìa</v>
      </c>
      <c r="M200" s="4" t="str">
        <f t="array" ref="M200">IFERROR(INDEX(KODUDK!$C$8:$C$79, MATCH(1, (KODUDK!$D$8:$D$79=BC_SINH!D200)*(KODUDK!$E$8:$E$79=BC_SINH!E200), 0)),"")</f>
        <v/>
      </c>
      <c r="N200" s="4" t="str">
        <f t="array" ref="N200">IFERROR(INDEX(KODUDK!$H$8:$H$79, MATCH(1, (KODUDK!$D$8:$D$79=BC_SINH!D200)*(KODUDK!$E$8:$E$79=BC_SINH!E200), 0)),"")</f>
        <v/>
      </c>
      <c r="O200" s="4" t="str">
        <f t="array" ref="O200">IFERROR(INDEX('KO DU ĐK NQ10'!$C$8:$C$48, MATCH(1, ('KO DU ĐK NQ10'!$D$8:$D$48=BC_SINH!D200)*('KO DU ĐK NQ10'!$E$8:$E$48=BC_SINH!E200), 0)),"")</f>
        <v/>
      </c>
      <c r="P200" s="4" t="str">
        <f t="array" ref="P200">IFERROR(INDEX('KO DU ĐK NQ10'!$H$8:$H$48, MATCH(1, ('KO DU ĐK NQ10'!$D$8:$D$48=BC_SINH!D200)*('KO DU ĐK NQ10'!$E$8:$E$48=BC_SINH!E200), 0)),"")</f>
        <v/>
      </c>
      <c r="Q200" s="4" t="str">
        <f t="array" ref="Q200">IFERROR(INDEX('KO DU ĐK 4069'!$C$8:$C$38, MATCH(1, ('KO DU ĐK 4069'!$D$8:$D$38=BC_SINH!D200)*('KO DU ĐK 4069'!$E$8:$E$38=BC_SINH!E200), 0)),"")</f>
        <v/>
      </c>
      <c r="R200" s="4" t="str">
        <f t="array" ref="R200">IFERROR(INDEX('KO DU ĐK 4069'!$H$8:$H$38, MATCH(1, ('KO DU ĐK 4069'!$D$8:$D$38=BC_SINH!D200)*('KO DU ĐK 4069'!$E$8:$E$38=BC_SINH!E200), 0)),"")</f>
        <v/>
      </c>
      <c r="S200" s="4" t="str">
        <f t="array" ref="S200">IFERROR(INDEX(KeKhaiDangKy!$H$2:$H$4889, MATCH(1, (KeKhaiDangKy!$A$2:$A$4889=BC_SINH!D200)*(KeKhaiDangKy!$B$2:$B$4889=BC_SINH!E200), 0)),"")</f>
        <v/>
      </c>
    </row>
    <row r="201" spans="1:19" ht="14.45" customHeight="1" x14ac:dyDescent="0.25">
      <c r="A201" s="4">
        <f>IF(B201&lt;&gt;"", SUBTOTAL(3, $B$2:B201), "")</f>
        <v>200</v>
      </c>
      <c r="B201" s="4" t="s">
        <v>120</v>
      </c>
      <c r="C201" s="4" t="str">
        <f t="shared" si="3"/>
        <v>A Máy</v>
      </c>
      <c r="D201" s="4">
        <v>21</v>
      </c>
      <c r="E201" s="4">
        <v>223</v>
      </c>
      <c r="F201" s="4">
        <v>4096</v>
      </c>
      <c r="G201" s="4" t="s">
        <v>11</v>
      </c>
      <c r="H201" s="4" t="str">
        <f t="array" ref="H201">IFERROR(INDEX(DSCKXA!$B$3:$B$73, MATCH(1, (DSCKXA!$D$3:$D$73=BC_SINH!D201)*(DSCKXA!$E$3:$E$73=BC_SINH!E201), 0)),"")</f>
        <v/>
      </c>
      <c r="I201" s="99" t="str">
        <f t="array" ref="I201">IFERROR(INDEX(DSCKXA!$C$3:$C$73, MATCH(1, (DSCKXA!$D$3:$D$73=BC_SINH!D201)*(DSCKXA!$E$3:$E$73=BC_SINH!E201), 0)),"")</f>
        <v/>
      </c>
      <c r="J201" s="97" t="str">
        <f>IFERROR(VLOOKUP(B201,'Đất sản xuất'!$B$9:$C$216,2,0),"")</f>
        <v/>
      </c>
      <c r="K201" s="97" t="str">
        <f>IFERROR(VLOOKUP(B201,'Sản xuất cấp huyên'!$B$9:$C$177,2,0),"")</f>
        <v>A Máy</v>
      </c>
      <c r="L201" s="4" t="str">
        <f>IFERROR(VLOOKUP(B201,'4069'!$B$9:$C$177,2,0),"")</f>
        <v>A Máy</v>
      </c>
      <c r="M201" s="4" t="str">
        <f t="array" ref="M201">IFERROR(INDEX(KODUDK!$C$8:$C$79, MATCH(1, (KODUDK!$D$8:$D$79=BC_SINH!D201)*(KODUDK!$E$8:$E$79=BC_SINH!E201), 0)),"")</f>
        <v>Thôn A Máy</v>
      </c>
      <c r="N201" s="4" t="str">
        <f t="array" ref="N201">IFERROR(INDEX(KODUDK!$H$8:$H$79, MATCH(1, (KODUDK!$D$8:$D$79=BC_SINH!D201)*(KODUDK!$E$8:$E$79=BC_SINH!E201), 0)),"")</f>
        <v>Có 02 thửa đất nên loại 01 thửa</v>
      </c>
      <c r="O201" s="4" t="str">
        <f t="array" ref="O201">IFERROR(INDEX('KO DU ĐK NQ10'!$C$8:$C$48, MATCH(1, ('KO DU ĐK NQ10'!$D$8:$D$48=BC_SINH!D201)*('KO DU ĐK NQ10'!$E$8:$E$48=BC_SINH!E201), 0)),"")</f>
        <v/>
      </c>
      <c r="P201" s="4" t="str">
        <f t="array" ref="P201">IFERROR(INDEX('KO DU ĐK NQ10'!$H$8:$H$48, MATCH(1, ('KO DU ĐK NQ10'!$D$8:$D$48=BC_SINH!D201)*('KO DU ĐK NQ10'!$E$8:$E$48=BC_SINH!E201), 0)),"")</f>
        <v/>
      </c>
      <c r="Q201" s="4" t="str">
        <f t="array" ref="Q201">IFERROR(INDEX('KO DU ĐK 4069'!$C$8:$C$38, MATCH(1, ('KO DU ĐK 4069'!$D$8:$D$38=BC_SINH!D201)*('KO DU ĐK 4069'!$E$8:$E$38=BC_SINH!E201), 0)),"")</f>
        <v>Thôn A Máy</v>
      </c>
      <c r="R201" s="4" t="str">
        <f t="array" ref="R201">IFERROR(INDEX('KO DU ĐK 4069'!$H$8:$H$38, MATCH(1, ('KO DU ĐK 4069'!$D$8:$D$38=BC_SINH!D201)*('KO DU ĐK 4069'!$E$8:$E$38=BC_SINH!E201), 0)),"")</f>
        <v>Có 02 thửa đất nên loại 01 thửa</v>
      </c>
      <c r="S201" s="4" t="str">
        <f t="array" ref="S201">IFERROR(INDEX(KeKhaiDangKy!$H$2:$H$4889, MATCH(1, (KeKhaiDangKy!$A$2:$A$4889=BC_SINH!D201)*(KeKhaiDangKy!$B$2:$B$4889=BC_SINH!E201), 0)),"")</f>
        <v/>
      </c>
    </row>
    <row r="202" spans="1:19" ht="14.45" customHeight="1" x14ac:dyDescent="0.25">
      <c r="A202" s="4">
        <f>IF(B202&lt;&gt;"", SUBTOTAL(3, $B$2:B202), "")</f>
        <v>201</v>
      </c>
      <c r="B202" s="4" t="s">
        <v>120</v>
      </c>
      <c r="C202" s="4" t="str">
        <f t="shared" si="3"/>
        <v>A Máy</v>
      </c>
      <c r="D202" s="4">
        <v>21</v>
      </c>
      <c r="E202" s="4">
        <v>224</v>
      </c>
      <c r="F202" s="4">
        <v>9294</v>
      </c>
      <c r="G202" s="4" t="s">
        <v>11</v>
      </c>
      <c r="H202" s="4" t="str">
        <f t="array" ref="H202">IFERROR(INDEX(DSCKXA!$B$3:$B$73, MATCH(1, (DSCKXA!$D$3:$D$73=BC_SINH!D202)*(DSCKXA!$E$3:$E$73=BC_SINH!E202), 0)),"")</f>
        <v/>
      </c>
      <c r="I202" s="99" t="str">
        <f t="array" ref="I202">IFERROR(INDEX(DSCKXA!$C$3:$C$73, MATCH(1, (DSCKXA!$D$3:$D$73=BC_SINH!D202)*(DSCKXA!$E$3:$E$73=BC_SINH!E202), 0)),"")</f>
        <v/>
      </c>
      <c r="J202" s="97" t="str">
        <f>IFERROR(VLOOKUP(B202,'Đất sản xuất'!$B$9:$C$216,2,0),"")</f>
        <v/>
      </c>
      <c r="K202" s="97" t="str">
        <f>IFERROR(VLOOKUP(B202,'Sản xuất cấp huyên'!$B$9:$C$177,2,0),"")</f>
        <v>A Máy</v>
      </c>
      <c r="L202" s="4" t="str">
        <f>IFERROR(VLOOKUP(B202,'4069'!$B$9:$C$177,2,0),"")</f>
        <v>A Máy</v>
      </c>
      <c r="M202" s="4" t="str">
        <f t="array" ref="M202">IFERROR(INDEX(KODUDK!$C$8:$C$79, MATCH(1, (KODUDK!$D$8:$D$79=BC_SINH!D202)*(KODUDK!$E$8:$E$79=BC_SINH!E202), 0)),"")</f>
        <v/>
      </c>
      <c r="N202" s="4" t="str">
        <f t="array" ref="N202">IFERROR(INDEX(KODUDK!$H$8:$H$79, MATCH(1, (KODUDK!$D$8:$D$79=BC_SINH!D202)*(KODUDK!$E$8:$E$79=BC_SINH!E202), 0)),"")</f>
        <v/>
      </c>
      <c r="O202" s="4" t="str">
        <f t="array" ref="O202">IFERROR(INDEX('KO DU ĐK NQ10'!$C$8:$C$48, MATCH(1, ('KO DU ĐK NQ10'!$D$8:$D$48=BC_SINH!D202)*('KO DU ĐK NQ10'!$E$8:$E$48=BC_SINH!E202), 0)),"")</f>
        <v/>
      </c>
      <c r="P202" s="4" t="str">
        <f t="array" ref="P202">IFERROR(INDEX('KO DU ĐK NQ10'!$H$8:$H$48, MATCH(1, ('KO DU ĐK NQ10'!$D$8:$D$48=BC_SINH!D202)*('KO DU ĐK NQ10'!$E$8:$E$48=BC_SINH!E202), 0)),"")</f>
        <v/>
      </c>
      <c r="Q202" s="4" t="str">
        <f t="array" ref="Q202">IFERROR(INDEX('KO DU ĐK 4069'!$C$8:$C$38, MATCH(1, ('KO DU ĐK 4069'!$D$8:$D$38=BC_SINH!D202)*('KO DU ĐK 4069'!$E$8:$E$38=BC_SINH!E202), 0)),"")</f>
        <v/>
      </c>
      <c r="R202" s="4" t="str">
        <f t="array" ref="R202">IFERROR(INDEX('KO DU ĐK 4069'!$H$8:$H$38, MATCH(1, ('KO DU ĐK 4069'!$D$8:$D$38=BC_SINH!D202)*('KO DU ĐK 4069'!$E$8:$E$38=BC_SINH!E202), 0)),"")</f>
        <v/>
      </c>
      <c r="S202" s="4" t="str">
        <f t="array" ref="S202">IFERROR(INDEX(KeKhaiDangKy!$H$2:$H$4889, MATCH(1, (KeKhaiDangKy!$A$2:$A$4889=BC_SINH!D202)*(KeKhaiDangKy!$B$2:$B$4889=BC_SINH!E202), 0)),"")</f>
        <v/>
      </c>
    </row>
    <row r="203" spans="1:19" ht="14.45" customHeight="1" x14ac:dyDescent="0.25">
      <c r="A203" s="4">
        <f>IF(B203&lt;&gt;"", SUBTOTAL(3, $B$2:B203), "")</f>
        <v>202</v>
      </c>
      <c r="B203" s="4" t="s">
        <v>121</v>
      </c>
      <c r="C203" s="4" t="str">
        <f t="shared" si="3"/>
        <v xml:space="preserve"> A Máy</v>
      </c>
      <c r="D203" s="4">
        <v>32</v>
      </c>
      <c r="E203" s="4">
        <v>119</v>
      </c>
      <c r="F203" s="4">
        <v>6114</v>
      </c>
      <c r="G203" s="4" t="s">
        <v>11</v>
      </c>
      <c r="H203" s="4" t="str">
        <f t="array" ref="H203">IFERROR(INDEX(DSCKXA!$B$3:$B$73, MATCH(1, (DSCKXA!$D$3:$D$73=BC_SINH!D203)*(DSCKXA!$E$3:$E$73=BC_SINH!E203), 0)),"")</f>
        <v/>
      </c>
      <c r="I203" s="99" t="str">
        <f t="array" ref="I203">IFERROR(INDEX(DSCKXA!$C$3:$C$73, MATCH(1, (DSCKXA!$D$3:$D$73=BC_SINH!D203)*(DSCKXA!$E$3:$E$73=BC_SINH!E203), 0)),"")</f>
        <v/>
      </c>
      <c r="J203" s="97" t="str">
        <f>IFERROR(VLOOKUP(B203,'Đất sản xuất'!$B$9:$C$216,2,0),"")</f>
        <v xml:space="preserve"> A Máy</v>
      </c>
      <c r="K203" s="97" t="str">
        <f>IFERROR(VLOOKUP(B203,'Sản xuất cấp huyên'!$B$9:$C$177,2,0),"")</f>
        <v/>
      </c>
      <c r="L203" s="4" t="str">
        <f>IFERROR(VLOOKUP(B203,'4069'!$B$9:$C$177,2,0),"")</f>
        <v/>
      </c>
      <c r="M203" s="4" t="str">
        <f t="array" ref="M203">IFERROR(INDEX(KODUDK!$C$8:$C$79, MATCH(1, (KODUDK!$D$8:$D$79=BC_SINH!D203)*(KODUDK!$E$8:$E$79=BC_SINH!E203), 0)),"")</f>
        <v>Thôn A Máy</v>
      </c>
      <c r="N203" s="4" t="str">
        <f t="array" ref="N203">IFERROR(INDEX(KODUDK!$H$8:$H$79, MATCH(1, (KODUDK!$D$8:$D$79=BC_SINH!D203)*(KODUDK!$E$8:$E$79=BC_SINH!E203), 0)),"")</f>
        <v>Có 02 thửa đất nên loại 01 thửa</v>
      </c>
      <c r="O203" s="4" t="str">
        <f t="array" ref="O203">IFERROR(INDEX('KO DU ĐK NQ10'!$C$8:$C$48, MATCH(1, ('KO DU ĐK NQ10'!$D$8:$D$48=BC_SINH!D203)*('KO DU ĐK NQ10'!$E$8:$E$48=BC_SINH!E203), 0)),"")</f>
        <v>Thôn A Máy</v>
      </c>
      <c r="P203" s="4" t="str">
        <f t="array" ref="P203">IFERROR(INDEX('KO DU ĐK NQ10'!$H$8:$H$48, MATCH(1, ('KO DU ĐK NQ10'!$D$8:$D$48=BC_SINH!D203)*('KO DU ĐK NQ10'!$E$8:$E$48=BC_SINH!E203), 0)),"")</f>
        <v>Có 02 thửa đất nên loại 01 thửa</v>
      </c>
      <c r="Q203" s="4" t="str">
        <f t="array" ref="Q203">IFERROR(INDEX('KO DU ĐK 4069'!$C$8:$C$38, MATCH(1, ('KO DU ĐK 4069'!$D$8:$D$38=BC_SINH!D203)*('KO DU ĐK 4069'!$E$8:$E$38=BC_SINH!E203), 0)),"")</f>
        <v/>
      </c>
      <c r="R203" s="4" t="str">
        <f t="array" ref="R203">IFERROR(INDEX('KO DU ĐK 4069'!$H$8:$H$38, MATCH(1, ('KO DU ĐK 4069'!$D$8:$D$38=BC_SINH!D203)*('KO DU ĐK 4069'!$E$8:$E$38=BC_SINH!E203), 0)),"")</f>
        <v/>
      </c>
      <c r="S203" s="4" t="str">
        <f t="array" ref="S203">IFERROR(INDEX(KeKhaiDangKy!$H$2:$H$4889, MATCH(1, (KeKhaiDangKy!$A$2:$A$4889=BC_SINH!D203)*(KeKhaiDangKy!$B$2:$B$4889=BC_SINH!E203), 0)),"")</f>
        <v/>
      </c>
    </row>
    <row r="204" spans="1:19" ht="14.45" customHeight="1" x14ac:dyDescent="0.25">
      <c r="A204" s="4">
        <f>IF(B204&lt;&gt;"", SUBTOTAL(3, $B$2:B204), "")</f>
        <v>203</v>
      </c>
      <c r="B204" s="4" t="s">
        <v>121</v>
      </c>
      <c r="C204" s="4" t="str">
        <f t="shared" si="3"/>
        <v xml:space="preserve"> A Máy</v>
      </c>
      <c r="D204" s="4">
        <v>21</v>
      </c>
      <c r="E204" s="4">
        <v>225</v>
      </c>
      <c r="F204" s="4">
        <v>8882</v>
      </c>
      <c r="G204" s="4" t="s">
        <v>11</v>
      </c>
      <c r="H204" s="4" t="str">
        <f t="array" ref="H204">IFERROR(INDEX(DSCKXA!$B$3:$B$73, MATCH(1, (DSCKXA!$D$3:$D$73=BC_SINH!D204)*(DSCKXA!$E$3:$E$73=BC_SINH!E204), 0)),"")</f>
        <v>Hồ Văn Thi</v>
      </c>
      <c r="I204" s="99" t="str">
        <f t="array" ref="I204">IFERROR(INDEX(DSCKXA!$C$3:$C$73, MATCH(1, (DSCKXA!$D$3:$D$73=BC_SINH!D204)*(DSCKXA!$E$3:$E$73=BC_SINH!E204), 0)),"")</f>
        <v>Thôn A Máy</v>
      </c>
      <c r="J204" s="97" t="str">
        <f>IFERROR(VLOOKUP(B204,'Đất sản xuất'!$B$9:$C$216,2,0),"")</f>
        <v xml:space="preserve"> A Máy</v>
      </c>
      <c r="K204" s="97" t="str">
        <f>IFERROR(VLOOKUP(B204,'Sản xuất cấp huyên'!$B$9:$C$177,2,0),"")</f>
        <v/>
      </c>
      <c r="L204" s="4" t="str">
        <f>IFERROR(VLOOKUP(B204,'4069'!$B$9:$C$177,2,0),"")</f>
        <v/>
      </c>
      <c r="M204" s="4" t="str">
        <f t="array" ref="M204">IFERROR(INDEX(KODUDK!$C$8:$C$79, MATCH(1, (KODUDK!$D$8:$D$79=BC_SINH!D204)*(KODUDK!$E$8:$E$79=BC_SINH!E204), 0)),"")</f>
        <v/>
      </c>
      <c r="N204" s="4" t="str">
        <f t="array" ref="N204">IFERROR(INDEX(KODUDK!$H$8:$H$79, MATCH(1, (KODUDK!$D$8:$D$79=BC_SINH!D204)*(KODUDK!$E$8:$E$79=BC_SINH!E204), 0)),"")</f>
        <v/>
      </c>
      <c r="O204" s="4" t="str">
        <f t="array" ref="O204">IFERROR(INDEX('KO DU ĐK NQ10'!$C$8:$C$48, MATCH(1, ('KO DU ĐK NQ10'!$D$8:$D$48=BC_SINH!D204)*('KO DU ĐK NQ10'!$E$8:$E$48=BC_SINH!E204), 0)),"")</f>
        <v/>
      </c>
      <c r="P204" s="4" t="str">
        <f t="array" ref="P204">IFERROR(INDEX('KO DU ĐK NQ10'!$H$8:$H$48, MATCH(1, ('KO DU ĐK NQ10'!$D$8:$D$48=BC_SINH!D204)*('KO DU ĐK NQ10'!$E$8:$E$48=BC_SINH!E204), 0)),"")</f>
        <v/>
      </c>
      <c r="Q204" s="4" t="str">
        <f t="array" ref="Q204">IFERROR(INDEX('KO DU ĐK 4069'!$C$8:$C$38, MATCH(1, ('KO DU ĐK 4069'!$D$8:$D$38=BC_SINH!D204)*('KO DU ĐK 4069'!$E$8:$E$38=BC_SINH!E204), 0)),"")</f>
        <v/>
      </c>
      <c r="R204" s="4" t="str">
        <f t="array" ref="R204">IFERROR(INDEX('KO DU ĐK 4069'!$H$8:$H$38, MATCH(1, ('KO DU ĐK 4069'!$D$8:$D$38=BC_SINH!D204)*('KO DU ĐK 4069'!$E$8:$E$38=BC_SINH!E204), 0)),"")</f>
        <v/>
      </c>
      <c r="S204" s="4" t="str">
        <f t="array" ref="S204">IFERROR(INDEX(KeKhaiDangKy!$H$2:$H$4889, MATCH(1, (KeKhaiDangKy!$A$2:$A$4889=BC_SINH!D204)*(KeKhaiDangKy!$B$2:$B$4889=BC_SINH!E204), 0)),"")</f>
        <v/>
      </c>
    </row>
    <row r="205" spans="1:19" ht="14.45" customHeight="1" x14ac:dyDescent="0.25">
      <c r="A205" s="4">
        <f>IF(B205&lt;&gt;"", SUBTOTAL(3, $B$2:B205), "")</f>
        <v>204</v>
      </c>
      <c r="B205" s="4" t="s">
        <v>121</v>
      </c>
      <c r="C205" s="4" t="str">
        <f t="shared" si="3"/>
        <v xml:space="preserve"> A Máy</v>
      </c>
      <c r="D205" s="4">
        <v>33</v>
      </c>
      <c r="E205" s="4">
        <v>6</v>
      </c>
      <c r="F205" s="4">
        <v>5752</v>
      </c>
      <c r="G205" s="4" t="s">
        <v>11</v>
      </c>
      <c r="H205" s="4" t="str">
        <f t="array" ref="H205">IFERROR(INDEX(DSCKXA!$B$3:$B$73, MATCH(1, (DSCKXA!$D$3:$D$73=BC_SINH!D205)*(DSCKXA!$E$3:$E$73=BC_SINH!E205), 0)),"")</f>
        <v/>
      </c>
      <c r="I205" s="99" t="str">
        <f t="array" ref="I205">IFERROR(INDEX(DSCKXA!$C$3:$C$73, MATCH(1, (DSCKXA!$D$3:$D$73=BC_SINH!D205)*(DSCKXA!$E$3:$E$73=BC_SINH!E205), 0)),"")</f>
        <v/>
      </c>
      <c r="J205" s="97" t="str">
        <f>IFERROR(VLOOKUP(B205,'Đất sản xuất'!$B$9:$C$216,2,0),"")</f>
        <v xml:space="preserve"> A Máy</v>
      </c>
      <c r="K205" s="97" t="str">
        <f>IFERROR(VLOOKUP(B205,'Sản xuất cấp huyên'!$B$9:$C$177,2,0),"")</f>
        <v/>
      </c>
      <c r="L205" s="4" t="str">
        <f>IFERROR(VLOOKUP(B205,'4069'!$B$9:$C$177,2,0),"")</f>
        <v/>
      </c>
      <c r="M205" s="4" t="str">
        <f t="array" ref="M205">IFERROR(INDEX(KODUDK!$C$8:$C$79, MATCH(1, (KODUDK!$D$8:$D$79=BC_SINH!D205)*(KODUDK!$E$8:$E$79=BC_SINH!E205), 0)),"")</f>
        <v/>
      </c>
      <c r="N205" s="4" t="str">
        <f t="array" ref="N205">IFERROR(INDEX(KODUDK!$H$8:$H$79, MATCH(1, (KODUDK!$D$8:$D$79=BC_SINH!D205)*(KODUDK!$E$8:$E$79=BC_SINH!E205), 0)),"")</f>
        <v/>
      </c>
      <c r="O205" s="4" t="str">
        <f t="array" ref="O205">IFERROR(INDEX('KO DU ĐK NQ10'!$C$8:$C$48, MATCH(1, ('KO DU ĐK NQ10'!$D$8:$D$48=BC_SINH!D205)*('KO DU ĐK NQ10'!$E$8:$E$48=BC_SINH!E205), 0)),"")</f>
        <v/>
      </c>
      <c r="P205" s="4" t="str">
        <f t="array" ref="P205">IFERROR(INDEX('KO DU ĐK NQ10'!$H$8:$H$48, MATCH(1, ('KO DU ĐK NQ10'!$D$8:$D$48=BC_SINH!D205)*('KO DU ĐK NQ10'!$E$8:$E$48=BC_SINH!E205), 0)),"")</f>
        <v/>
      </c>
      <c r="Q205" s="4" t="str">
        <f t="array" ref="Q205">IFERROR(INDEX('KO DU ĐK 4069'!$C$8:$C$38, MATCH(1, ('KO DU ĐK 4069'!$D$8:$D$38=BC_SINH!D205)*('KO DU ĐK 4069'!$E$8:$E$38=BC_SINH!E205), 0)),"")</f>
        <v/>
      </c>
      <c r="R205" s="4" t="str">
        <f t="array" ref="R205">IFERROR(INDEX('KO DU ĐK 4069'!$H$8:$H$38, MATCH(1, ('KO DU ĐK 4069'!$D$8:$D$38=BC_SINH!D205)*('KO DU ĐK 4069'!$E$8:$E$38=BC_SINH!E205), 0)),"")</f>
        <v/>
      </c>
      <c r="S205" s="4" t="str">
        <f t="array" ref="S205">IFERROR(INDEX(KeKhaiDangKy!$H$2:$H$4889, MATCH(1, (KeKhaiDangKy!$A$2:$A$4889=BC_SINH!D205)*(KeKhaiDangKy!$B$2:$B$4889=BC_SINH!E205), 0)),"")</f>
        <v/>
      </c>
    </row>
    <row r="206" spans="1:19" ht="14.45" customHeight="1" x14ac:dyDescent="0.25">
      <c r="A206" s="4">
        <f>IF(B206&lt;&gt;"", SUBTOTAL(3, $B$2:B206), "")</f>
        <v>205</v>
      </c>
      <c r="B206" s="4" t="s">
        <v>122</v>
      </c>
      <c r="C206" s="4" t="str">
        <f t="shared" si="3"/>
        <v xml:space="preserve"> Kỳ Tăng</v>
      </c>
      <c r="D206" s="4">
        <v>21</v>
      </c>
      <c r="E206" s="4">
        <v>226</v>
      </c>
      <c r="F206" s="4">
        <v>6911</v>
      </c>
      <c r="G206" s="4" t="s">
        <v>11</v>
      </c>
      <c r="H206" s="4" t="str">
        <f t="array" ref="H206">IFERROR(INDEX(DSCKXA!$B$3:$B$73, MATCH(1, (DSCKXA!$D$3:$D$73=BC_SINH!D206)*(DSCKXA!$E$3:$E$73=BC_SINH!E206), 0)),"")</f>
        <v/>
      </c>
      <c r="I206" s="99" t="str">
        <f t="array" ref="I206">IFERROR(INDEX(DSCKXA!$C$3:$C$73, MATCH(1, (DSCKXA!$D$3:$D$73=BC_SINH!D206)*(DSCKXA!$E$3:$E$73=BC_SINH!E206), 0)),"")</f>
        <v/>
      </c>
      <c r="J206" s="97" t="str">
        <f>IFERROR(VLOOKUP(B206,'Đất sản xuất'!$B$9:$C$216,2,0),"")</f>
        <v xml:space="preserve"> Kỳ Tăng</v>
      </c>
      <c r="K206" s="97" t="str">
        <f>IFERROR(VLOOKUP(B206,'Sản xuất cấp huyên'!$B$9:$C$177,2,0),"")</f>
        <v>Kỳ Nơi</v>
      </c>
      <c r="L206" s="4" t="str">
        <f>IFERROR(VLOOKUP(B206,'4069'!$B$9:$C$177,2,0),"")</f>
        <v>Kỳ Nơi</v>
      </c>
      <c r="M206" s="4" t="str">
        <f t="array" ref="M206">IFERROR(INDEX(KODUDK!$C$8:$C$79, MATCH(1, (KODUDK!$D$8:$D$79=BC_SINH!D206)*(KODUDK!$E$8:$E$79=BC_SINH!E206), 0)),"")</f>
        <v/>
      </c>
      <c r="N206" s="4" t="str">
        <f t="array" ref="N206">IFERROR(INDEX(KODUDK!$H$8:$H$79, MATCH(1, (KODUDK!$D$8:$D$79=BC_SINH!D206)*(KODUDK!$E$8:$E$79=BC_SINH!E206), 0)),"")</f>
        <v/>
      </c>
      <c r="O206" s="4" t="str">
        <f t="array" ref="O206">IFERROR(INDEX('KO DU ĐK NQ10'!$C$8:$C$48, MATCH(1, ('KO DU ĐK NQ10'!$D$8:$D$48=BC_SINH!D206)*('KO DU ĐK NQ10'!$E$8:$E$48=BC_SINH!E206), 0)),"")</f>
        <v/>
      </c>
      <c r="P206" s="4" t="str">
        <f t="array" ref="P206">IFERROR(INDEX('KO DU ĐK NQ10'!$H$8:$H$48, MATCH(1, ('KO DU ĐK NQ10'!$D$8:$D$48=BC_SINH!D206)*('KO DU ĐK NQ10'!$E$8:$E$48=BC_SINH!E206), 0)),"")</f>
        <v/>
      </c>
      <c r="Q206" s="4" t="str">
        <f t="array" ref="Q206">IFERROR(INDEX('KO DU ĐK 4069'!$C$8:$C$38, MATCH(1, ('KO DU ĐK 4069'!$D$8:$D$38=BC_SINH!D206)*('KO DU ĐK 4069'!$E$8:$E$38=BC_SINH!E206), 0)),"")</f>
        <v/>
      </c>
      <c r="R206" s="4" t="str">
        <f t="array" ref="R206">IFERROR(INDEX('KO DU ĐK 4069'!$H$8:$H$38, MATCH(1, ('KO DU ĐK 4069'!$D$8:$D$38=BC_SINH!D206)*('KO DU ĐK 4069'!$E$8:$E$38=BC_SINH!E206), 0)),"")</f>
        <v/>
      </c>
      <c r="S206" s="4" t="str">
        <f t="array" ref="S206">IFERROR(INDEX(KeKhaiDangKy!$H$2:$H$4889, MATCH(1, (KeKhaiDangKy!$A$2:$A$4889=BC_SINH!D206)*(KeKhaiDangKy!$B$2:$B$4889=BC_SINH!E206), 0)),"")</f>
        <v/>
      </c>
    </row>
    <row r="207" spans="1:19" ht="14.45" customHeight="1" x14ac:dyDescent="0.25">
      <c r="A207" s="4">
        <f>IF(B207&lt;&gt;"", SUBTOTAL(3, $B$2:B207), "")</f>
        <v>206</v>
      </c>
      <c r="B207" s="4" t="s">
        <v>122</v>
      </c>
      <c r="C207" s="4" t="str">
        <f t="shared" si="3"/>
        <v xml:space="preserve"> Kỳ Tăng</v>
      </c>
      <c r="D207" s="4">
        <v>21</v>
      </c>
      <c r="E207" s="4">
        <v>227</v>
      </c>
      <c r="F207" s="4">
        <v>8079</v>
      </c>
      <c r="G207" s="4" t="s">
        <v>11</v>
      </c>
      <c r="H207" s="4" t="str">
        <f t="array" ref="H207">IFERROR(INDEX(DSCKXA!$B$3:$B$73, MATCH(1, (DSCKXA!$D$3:$D$73=BC_SINH!D207)*(DSCKXA!$E$3:$E$73=BC_SINH!E207), 0)),"")</f>
        <v/>
      </c>
      <c r="I207" s="99" t="str">
        <f t="array" ref="I207">IFERROR(INDEX(DSCKXA!$C$3:$C$73, MATCH(1, (DSCKXA!$D$3:$D$73=BC_SINH!D207)*(DSCKXA!$E$3:$E$73=BC_SINH!E207), 0)),"")</f>
        <v/>
      </c>
      <c r="J207" s="97" t="str">
        <f>IFERROR(VLOOKUP(B207,'Đất sản xuất'!$B$9:$C$216,2,0),"")</f>
        <v xml:space="preserve"> Kỳ Tăng</v>
      </c>
      <c r="K207" s="97" t="str">
        <f>IFERROR(VLOOKUP(B207,'Sản xuất cấp huyên'!$B$9:$C$177,2,0),"")</f>
        <v>Kỳ Nơi</v>
      </c>
      <c r="L207" s="4" t="str">
        <f>IFERROR(VLOOKUP(B207,'4069'!$B$9:$C$177,2,0),"")</f>
        <v>Kỳ Nơi</v>
      </c>
      <c r="M207" s="4" t="str">
        <f t="array" ref="M207">IFERROR(INDEX(KODUDK!$C$8:$C$79, MATCH(1, (KODUDK!$D$8:$D$79=BC_SINH!D207)*(KODUDK!$E$8:$E$79=BC_SINH!E207), 0)),"")</f>
        <v>Kỳ Tăng</v>
      </c>
      <c r="N207" s="4" t="str">
        <f t="array" ref="N207">IFERROR(INDEX(KODUDK!$H$8:$H$79, MATCH(1, (KODUDK!$D$8:$D$79=BC_SINH!D207)*(KODUDK!$E$8:$E$79=BC_SINH!E207), 0)),"")</f>
        <v>Có 02 thửa đất nên loại 01 thửa</v>
      </c>
      <c r="O207" s="4" t="str">
        <f t="array" ref="O207">IFERROR(INDEX('KO DU ĐK NQ10'!$C$8:$C$48, MATCH(1, ('KO DU ĐK NQ10'!$D$8:$D$48=BC_SINH!D207)*('KO DU ĐK NQ10'!$E$8:$E$48=BC_SINH!E207), 0)),"")</f>
        <v>Kỳ Tăng</v>
      </c>
      <c r="P207" s="4" t="str">
        <f t="array" ref="P207">IFERROR(INDEX('KO DU ĐK NQ10'!$H$8:$H$48, MATCH(1, ('KO DU ĐK NQ10'!$D$8:$D$48=BC_SINH!D207)*('KO DU ĐK NQ10'!$E$8:$E$48=BC_SINH!E207), 0)),"")</f>
        <v>Có 02 thửa đất nên loại 01 thửa</v>
      </c>
      <c r="Q207" s="4" t="str">
        <f t="array" ref="Q207">IFERROR(INDEX('KO DU ĐK 4069'!$C$8:$C$38, MATCH(1, ('KO DU ĐK 4069'!$D$8:$D$38=BC_SINH!D207)*('KO DU ĐK 4069'!$E$8:$E$38=BC_SINH!E207), 0)),"")</f>
        <v/>
      </c>
      <c r="R207" s="4" t="str">
        <f t="array" ref="R207">IFERROR(INDEX('KO DU ĐK 4069'!$H$8:$H$38, MATCH(1, ('KO DU ĐK 4069'!$D$8:$D$38=BC_SINH!D207)*('KO DU ĐK 4069'!$E$8:$E$38=BC_SINH!E207), 0)),"")</f>
        <v/>
      </c>
      <c r="S207" s="4" t="str">
        <f t="array" ref="S207">IFERROR(INDEX(KeKhaiDangKy!$H$2:$H$4889, MATCH(1, (KeKhaiDangKy!$A$2:$A$4889=BC_SINH!D207)*(KeKhaiDangKy!$B$2:$B$4889=BC_SINH!E207), 0)),"")</f>
        <v/>
      </c>
    </row>
    <row r="208" spans="1:19" ht="14.45" customHeight="1" x14ac:dyDescent="0.25">
      <c r="A208" s="4">
        <f>IF(B208&lt;&gt;"", SUBTOTAL(3, $B$2:B208), "")</f>
        <v>207</v>
      </c>
      <c r="B208" s="4" t="s">
        <v>122</v>
      </c>
      <c r="C208" s="4" t="str">
        <f t="shared" si="3"/>
        <v xml:space="preserve"> Kỳ Tăng</v>
      </c>
      <c r="D208" s="4">
        <v>21</v>
      </c>
      <c r="E208" s="4">
        <v>228</v>
      </c>
      <c r="F208" s="4">
        <v>10604</v>
      </c>
      <c r="G208" s="4" t="s">
        <v>11</v>
      </c>
      <c r="H208" s="4" t="str">
        <f t="array" ref="H208">IFERROR(INDEX(DSCKXA!$B$3:$B$73, MATCH(1, (DSCKXA!$D$3:$D$73=BC_SINH!D208)*(DSCKXA!$E$3:$E$73=BC_SINH!E208), 0)),"")</f>
        <v>Hồ Văn Thiên</v>
      </c>
      <c r="I208" s="99" t="str">
        <f t="array" ref="I208">IFERROR(INDEX(DSCKXA!$C$3:$C$73, MATCH(1, (DSCKXA!$D$3:$D$73=BC_SINH!D208)*(DSCKXA!$E$3:$E$73=BC_SINH!E208), 0)),"")</f>
        <v>Thôn Kỳ Tăng</v>
      </c>
      <c r="J208" s="97" t="str">
        <f>IFERROR(VLOOKUP(B208,'Đất sản xuất'!$B$9:$C$216,2,0),"")</f>
        <v xml:space="preserve"> Kỳ Tăng</v>
      </c>
      <c r="K208" s="97" t="str">
        <f>IFERROR(VLOOKUP(B208,'Sản xuất cấp huyên'!$B$9:$C$177,2,0),"")</f>
        <v>Kỳ Nơi</v>
      </c>
      <c r="L208" s="4" t="str">
        <f>IFERROR(VLOOKUP(B208,'4069'!$B$9:$C$177,2,0),"")</f>
        <v>Kỳ Nơi</v>
      </c>
      <c r="M208" s="4" t="str">
        <f t="array" ref="M208">IFERROR(INDEX(KODUDK!$C$8:$C$79, MATCH(1, (KODUDK!$D$8:$D$79=BC_SINH!D208)*(KODUDK!$E$8:$E$79=BC_SINH!E208), 0)),"")</f>
        <v/>
      </c>
      <c r="N208" s="4" t="str">
        <f t="array" ref="N208">IFERROR(INDEX(KODUDK!$H$8:$H$79, MATCH(1, (KODUDK!$D$8:$D$79=BC_SINH!D208)*(KODUDK!$E$8:$E$79=BC_SINH!E208), 0)),"")</f>
        <v/>
      </c>
      <c r="O208" s="4" t="str">
        <f t="array" ref="O208">IFERROR(INDEX('KO DU ĐK NQ10'!$C$8:$C$48, MATCH(1, ('KO DU ĐK NQ10'!$D$8:$D$48=BC_SINH!D208)*('KO DU ĐK NQ10'!$E$8:$E$48=BC_SINH!E208), 0)),"")</f>
        <v/>
      </c>
      <c r="P208" s="4" t="str">
        <f t="array" ref="P208">IFERROR(INDEX('KO DU ĐK NQ10'!$H$8:$H$48, MATCH(1, ('KO DU ĐK NQ10'!$D$8:$D$48=BC_SINH!D208)*('KO DU ĐK NQ10'!$E$8:$E$48=BC_SINH!E208), 0)),"")</f>
        <v/>
      </c>
      <c r="Q208" s="4" t="str">
        <f t="array" ref="Q208">IFERROR(INDEX('KO DU ĐK 4069'!$C$8:$C$38, MATCH(1, ('KO DU ĐK 4069'!$D$8:$D$38=BC_SINH!D208)*('KO DU ĐK 4069'!$E$8:$E$38=BC_SINH!E208), 0)),"")</f>
        <v/>
      </c>
      <c r="R208" s="4" t="str">
        <f t="array" ref="R208">IFERROR(INDEX('KO DU ĐK 4069'!$H$8:$H$38, MATCH(1, ('KO DU ĐK 4069'!$D$8:$D$38=BC_SINH!D208)*('KO DU ĐK 4069'!$E$8:$E$38=BC_SINH!E208), 0)),"")</f>
        <v/>
      </c>
      <c r="S208" s="4" t="str">
        <f t="array" ref="S208">IFERROR(INDEX(KeKhaiDangKy!$H$2:$H$4889, MATCH(1, (KeKhaiDangKy!$A$2:$A$4889=BC_SINH!D208)*(KeKhaiDangKy!$B$2:$B$4889=BC_SINH!E208), 0)),"")</f>
        <v/>
      </c>
    </row>
    <row r="209" spans="1:19" ht="14.45" customHeight="1" x14ac:dyDescent="0.25">
      <c r="A209" s="4">
        <f>IF(B209&lt;&gt;"", SUBTOTAL(3, $B$2:B209), "")</f>
        <v>208</v>
      </c>
      <c r="B209" s="4" t="s">
        <v>122</v>
      </c>
      <c r="C209" s="4" t="str">
        <f t="shared" si="3"/>
        <v xml:space="preserve"> Kỳ Tăng</v>
      </c>
      <c r="D209" s="4">
        <v>3</v>
      </c>
      <c r="E209" s="4">
        <v>234</v>
      </c>
      <c r="F209" s="4">
        <v>2028</v>
      </c>
      <c r="G209" s="4" t="s">
        <v>11</v>
      </c>
      <c r="H209" s="4" t="str">
        <f t="array" ref="H209">IFERROR(INDEX(DSCKXA!$B$3:$B$73, MATCH(1, (DSCKXA!$D$3:$D$73=BC_SINH!D209)*(DSCKXA!$E$3:$E$73=BC_SINH!E209), 0)),"")</f>
        <v/>
      </c>
      <c r="I209" s="99" t="str">
        <f t="array" ref="I209">IFERROR(INDEX(DSCKXA!$C$3:$C$73, MATCH(1, (DSCKXA!$D$3:$D$73=BC_SINH!D209)*(DSCKXA!$E$3:$E$73=BC_SINH!E209), 0)),"")</f>
        <v/>
      </c>
      <c r="J209" s="97" t="str">
        <f>IFERROR(VLOOKUP(B209,'Đất sản xuất'!$B$9:$C$216,2,0),"")</f>
        <v xml:space="preserve"> Kỳ Tăng</v>
      </c>
      <c r="K209" s="97" t="str">
        <f>IFERROR(VLOOKUP(B209,'Sản xuất cấp huyên'!$B$9:$C$177,2,0),"")</f>
        <v>Kỳ Nơi</v>
      </c>
      <c r="L209" s="4" t="str">
        <f>IFERROR(VLOOKUP(B209,'4069'!$B$9:$C$177,2,0),"")</f>
        <v>Kỳ Nơi</v>
      </c>
      <c r="M209" s="4" t="str">
        <f t="array" ref="M209">IFERROR(INDEX(KODUDK!$C$8:$C$79, MATCH(1, (KODUDK!$D$8:$D$79=BC_SINH!D209)*(KODUDK!$E$8:$E$79=BC_SINH!E209), 0)),"")</f>
        <v/>
      </c>
      <c r="N209" s="4" t="str">
        <f t="array" ref="N209">IFERROR(INDEX(KODUDK!$H$8:$H$79, MATCH(1, (KODUDK!$D$8:$D$79=BC_SINH!D209)*(KODUDK!$E$8:$E$79=BC_SINH!E209), 0)),"")</f>
        <v/>
      </c>
      <c r="O209" s="4" t="str">
        <f t="array" ref="O209">IFERROR(INDEX('KO DU ĐK NQ10'!$C$8:$C$48, MATCH(1, ('KO DU ĐK NQ10'!$D$8:$D$48=BC_SINH!D209)*('KO DU ĐK NQ10'!$E$8:$E$48=BC_SINH!E209), 0)),"")</f>
        <v/>
      </c>
      <c r="P209" s="4" t="str">
        <f t="array" ref="P209">IFERROR(INDEX('KO DU ĐK NQ10'!$H$8:$H$48, MATCH(1, ('KO DU ĐK NQ10'!$D$8:$D$48=BC_SINH!D209)*('KO DU ĐK NQ10'!$E$8:$E$48=BC_SINH!E209), 0)),"")</f>
        <v/>
      </c>
      <c r="Q209" s="4" t="str">
        <f t="array" ref="Q209">IFERROR(INDEX('KO DU ĐK 4069'!$C$8:$C$38, MATCH(1, ('KO DU ĐK 4069'!$D$8:$D$38=BC_SINH!D209)*('KO DU ĐK 4069'!$E$8:$E$38=BC_SINH!E209), 0)),"")</f>
        <v/>
      </c>
      <c r="R209" s="4" t="str">
        <f t="array" ref="R209">IFERROR(INDEX('KO DU ĐK 4069'!$H$8:$H$38, MATCH(1, ('KO DU ĐK 4069'!$D$8:$D$38=BC_SINH!D209)*('KO DU ĐK 4069'!$E$8:$E$38=BC_SINH!E209), 0)),"")</f>
        <v/>
      </c>
      <c r="S209" s="4" t="str">
        <f t="array" ref="S209">IFERROR(INDEX(KeKhaiDangKy!$H$2:$H$4889, MATCH(1, (KeKhaiDangKy!$A$2:$A$4889=BC_SINH!D209)*(KeKhaiDangKy!$B$2:$B$4889=BC_SINH!E209), 0)),"")</f>
        <v>Kỳ Nơi</v>
      </c>
    </row>
    <row r="210" spans="1:19" ht="14.45" customHeight="1" x14ac:dyDescent="0.25">
      <c r="A210" s="4">
        <f>IF(B210&lt;&gt;"", SUBTOTAL(3, $B$2:B210), "")</f>
        <v>209</v>
      </c>
      <c r="B210" s="4" t="s">
        <v>123</v>
      </c>
      <c r="C210" s="4" t="str">
        <f t="shared" si="3"/>
        <v>Kỳ Tăng</v>
      </c>
      <c r="D210" s="4">
        <v>21</v>
      </c>
      <c r="E210" s="4">
        <v>229</v>
      </c>
      <c r="F210" s="4">
        <v>5084</v>
      </c>
      <c r="G210" s="4" t="s">
        <v>11</v>
      </c>
      <c r="H210" s="4" t="str">
        <f t="array" ref="H210">IFERROR(INDEX(DSCKXA!$B$3:$B$73, MATCH(1, (DSCKXA!$D$3:$D$73=BC_SINH!D210)*(DSCKXA!$E$3:$E$73=BC_SINH!E210), 0)),"")</f>
        <v/>
      </c>
      <c r="I210" s="99" t="str">
        <f t="array" ref="I210">IFERROR(INDEX(DSCKXA!$C$3:$C$73, MATCH(1, (DSCKXA!$D$3:$D$73=BC_SINH!D210)*(DSCKXA!$E$3:$E$73=BC_SINH!E210), 0)),"")</f>
        <v/>
      </c>
      <c r="J210" s="97" t="str">
        <f>IFERROR(VLOOKUP(B210,'Đất sản xuất'!$B$9:$C$216,2,0),"")</f>
        <v/>
      </c>
      <c r="K210" s="97" t="str">
        <f>IFERROR(VLOOKUP(B210,'Sản xuất cấp huyên'!$B$9:$C$177,2,0),"")</f>
        <v>Kỳ Tăng</v>
      </c>
      <c r="L210" s="4" t="str">
        <f>IFERROR(VLOOKUP(B210,'4069'!$B$9:$C$177,2,0),"")</f>
        <v>Kỳ Tăng</v>
      </c>
      <c r="M210" s="4" t="str">
        <f t="array" ref="M210">IFERROR(INDEX(KODUDK!$C$8:$C$79, MATCH(1, (KODUDK!$D$8:$D$79=BC_SINH!D210)*(KODUDK!$E$8:$E$79=BC_SINH!E210), 0)),"")</f>
        <v/>
      </c>
      <c r="N210" s="4" t="str">
        <f t="array" ref="N210">IFERROR(INDEX(KODUDK!$H$8:$H$79, MATCH(1, (KODUDK!$D$8:$D$79=BC_SINH!D210)*(KODUDK!$E$8:$E$79=BC_SINH!E210), 0)),"")</f>
        <v/>
      </c>
      <c r="O210" s="4" t="str">
        <f t="array" ref="O210">IFERROR(INDEX('KO DU ĐK NQ10'!$C$8:$C$48, MATCH(1, ('KO DU ĐK NQ10'!$D$8:$D$48=BC_SINH!D210)*('KO DU ĐK NQ10'!$E$8:$E$48=BC_SINH!E210), 0)),"")</f>
        <v/>
      </c>
      <c r="P210" s="4" t="str">
        <f t="array" ref="P210">IFERROR(INDEX('KO DU ĐK NQ10'!$H$8:$H$48, MATCH(1, ('KO DU ĐK NQ10'!$D$8:$D$48=BC_SINH!D210)*('KO DU ĐK NQ10'!$E$8:$E$48=BC_SINH!E210), 0)),"")</f>
        <v/>
      </c>
      <c r="Q210" s="4" t="str">
        <f t="array" ref="Q210">IFERROR(INDEX('KO DU ĐK 4069'!$C$8:$C$38, MATCH(1, ('KO DU ĐK 4069'!$D$8:$D$38=BC_SINH!D210)*('KO DU ĐK 4069'!$E$8:$E$38=BC_SINH!E210), 0)),"")</f>
        <v/>
      </c>
      <c r="R210" s="4" t="str">
        <f t="array" ref="R210">IFERROR(INDEX('KO DU ĐK 4069'!$H$8:$H$38, MATCH(1, ('KO DU ĐK 4069'!$D$8:$D$38=BC_SINH!D210)*('KO DU ĐK 4069'!$E$8:$E$38=BC_SINH!E210), 0)),"")</f>
        <v/>
      </c>
      <c r="S210" s="4" t="str">
        <f t="array" ref="S210">IFERROR(INDEX(KeKhaiDangKy!$H$2:$H$4889, MATCH(1, (KeKhaiDangKy!$A$2:$A$4889=BC_SINH!D210)*(KeKhaiDangKy!$B$2:$B$4889=BC_SINH!E210), 0)),"")</f>
        <v/>
      </c>
    </row>
    <row r="211" spans="1:19" ht="14.45" customHeight="1" x14ac:dyDescent="0.25">
      <c r="A211" s="4">
        <f>IF(B211&lt;&gt;"", SUBTOTAL(3, $B$2:B211), "")</f>
        <v>210</v>
      </c>
      <c r="B211" s="4" t="s">
        <v>124</v>
      </c>
      <c r="C211" s="4" t="str">
        <f t="shared" si="3"/>
        <v>A Sói Hang</v>
      </c>
      <c r="D211" s="4">
        <v>8</v>
      </c>
      <c r="E211" s="4">
        <v>221</v>
      </c>
      <c r="F211" s="4">
        <v>2972</v>
      </c>
      <c r="G211" s="4" t="s">
        <v>11</v>
      </c>
      <c r="H211" s="4" t="str">
        <f t="array" ref="H211">IFERROR(INDEX(DSCKXA!$B$3:$B$73, MATCH(1, (DSCKXA!$D$3:$D$73=BC_SINH!D211)*(DSCKXA!$E$3:$E$73=BC_SINH!E211), 0)),"")</f>
        <v/>
      </c>
      <c r="I211" s="99" t="str">
        <f t="array" ref="I211">IFERROR(INDEX(DSCKXA!$C$3:$C$73, MATCH(1, (DSCKXA!$D$3:$D$73=BC_SINH!D211)*(DSCKXA!$E$3:$E$73=BC_SINH!E211), 0)),"")</f>
        <v/>
      </c>
      <c r="J211" s="97" t="str">
        <f>IFERROR(VLOOKUP(B211,'Đất sản xuất'!$B$9:$C$216,2,0),"")</f>
        <v/>
      </c>
      <c r="K211" s="97" t="str">
        <f>IFERROR(VLOOKUP(B211,'Sản xuất cấp huyên'!$B$9:$C$177,2,0),"")</f>
        <v/>
      </c>
      <c r="L211" s="4" t="str">
        <f>IFERROR(VLOOKUP(B211,'4069'!$B$9:$C$177,2,0),"")</f>
        <v/>
      </c>
      <c r="M211" s="4" t="str">
        <f t="array" ref="M211">IFERROR(INDEX(KODUDK!$C$8:$C$79, MATCH(1, (KODUDK!$D$8:$D$79=BC_SINH!D211)*(KODUDK!$E$8:$E$79=BC_SINH!E211), 0)),"")</f>
        <v/>
      </c>
      <c r="N211" s="4" t="str">
        <f t="array" ref="N211">IFERROR(INDEX(KODUDK!$H$8:$H$79, MATCH(1, (KODUDK!$D$8:$D$79=BC_SINH!D211)*(KODUDK!$E$8:$E$79=BC_SINH!E211), 0)),"")</f>
        <v/>
      </c>
      <c r="O211" s="4" t="str">
        <f t="array" ref="O211">IFERROR(INDEX('KO DU ĐK NQ10'!$C$8:$C$48, MATCH(1, ('KO DU ĐK NQ10'!$D$8:$D$48=BC_SINH!D211)*('KO DU ĐK NQ10'!$E$8:$E$48=BC_SINH!E211), 0)),"")</f>
        <v/>
      </c>
      <c r="P211" s="4" t="str">
        <f t="array" ref="P211">IFERROR(INDEX('KO DU ĐK NQ10'!$H$8:$H$48, MATCH(1, ('KO DU ĐK NQ10'!$D$8:$D$48=BC_SINH!D211)*('KO DU ĐK NQ10'!$E$8:$E$48=BC_SINH!E211), 0)),"")</f>
        <v/>
      </c>
      <c r="Q211" s="4" t="str">
        <f t="array" ref="Q211">IFERROR(INDEX('KO DU ĐK 4069'!$C$8:$C$38, MATCH(1, ('KO DU ĐK 4069'!$D$8:$D$38=BC_SINH!D211)*('KO DU ĐK 4069'!$E$8:$E$38=BC_SINH!E211), 0)),"")</f>
        <v/>
      </c>
      <c r="R211" s="4" t="str">
        <f t="array" ref="R211">IFERROR(INDEX('KO DU ĐK 4069'!$H$8:$H$38, MATCH(1, ('KO DU ĐK 4069'!$D$8:$D$38=BC_SINH!D211)*('KO DU ĐK 4069'!$E$8:$E$38=BC_SINH!E211), 0)),"")</f>
        <v/>
      </c>
      <c r="S211" s="4" t="str">
        <f t="array" ref="S211">IFERROR(INDEX(KeKhaiDangKy!$H$2:$H$4889, MATCH(1, (KeKhaiDangKy!$A$2:$A$4889=BC_SINH!D211)*(KeKhaiDangKy!$B$2:$B$4889=BC_SINH!E211), 0)),"")</f>
        <v>A Sói Hang</v>
      </c>
    </row>
    <row r="212" spans="1:19" ht="14.45" customHeight="1" x14ac:dyDescent="0.25">
      <c r="A212" s="4">
        <f>IF(B212&lt;&gt;"", SUBTOTAL(3, $B$2:B212), "")</f>
        <v>211</v>
      </c>
      <c r="B212" s="4" t="s">
        <v>125</v>
      </c>
      <c r="C212" s="4" t="str">
        <f t="shared" si="3"/>
        <v>A Rông</v>
      </c>
      <c r="D212" s="4">
        <v>21</v>
      </c>
      <c r="E212" s="4">
        <v>230</v>
      </c>
      <c r="F212" s="4">
        <v>16129</v>
      </c>
      <c r="G212" s="4" t="s">
        <v>11</v>
      </c>
      <c r="H212" s="4" t="str">
        <f t="array" ref="H212">IFERROR(INDEX(DSCKXA!$B$3:$B$73, MATCH(1, (DSCKXA!$D$3:$D$73=BC_SINH!D212)*(DSCKXA!$E$3:$E$73=BC_SINH!E212), 0)),"")</f>
        <v/>
      </c>
      <c r="I212" s="99" t="str">
        <f t="array" ref="I212">IFERROR(INDEX(DSCKXA!$C$3:$C$73, MATCH(1, (DSCKXA!$D$3:$D$73=BC_SINH!D212)*(DSCKXA!$E$3:$E$73=BC_SINH!E212), 0)),"")</f>
        <v/>
      </c>
      <c r="J212" s="97" t="str">
        <f>IFERROR(VLOOKUP(B212,'Đất sản xuất'!$B$9:$C$216,2,0),"")</f>
        <v/>
      </c>
      <c r="K212" s="97" t="str">
        <f>IFERROR(VLOOKUP(B212,'Sản xuất cấp huyên'!$B$9:$C$177,2,0),"")</f>
        <v/>
      </c>
      <c r="L212" s="4" t="str">
        <f>IFERROR(VLOOKUP(B212,'4069'!$B$9:$C$177,2,0),"")</f>
        <v/>
      </c>
      <c r="M212" s="4" t="str">
        <f t="array" ref="M212">IFERROR(INDEX(KODUDK!$C$8:$C$79, MATCH(1, (KODUDK!$D$8:$D$79=BC_SINH!D212)*(KODUDK!$E$8:$E$79=BC_SINH!E212), 0)),"")</f>
        <v/>
      </c>
      <c r="N212" s="4" t="str">
        <f t="array" ref="N212">IFERROR(INDEX(KODUDK!$H$8:$H$79, MATCH(1, (KODUDK!$D$8:$D$79=BC_SINH!D212)*(KODUDK!$E$8:$E$79=BC_SINH!E212), 0)),"")</f>
        <v/>
      </c>
      <c r="O212" s="4" t="str">
        <f t="array" ref="O212">IFERROR(INDEX('KO DU ĐK NQ10'!$C$8:$C$48, MATCH(1, ('KO DU ĐK NQ10'!$D$8:$D$48=BC_SINH!D212)*('KO DU ĐK NQ10'!$E$8:$E$48=BC_SINH!E212), 0)),"")</f>
        <v/>
      </c>
      <c r="P212" s="4" t="str">
        <f t="array" ref="P212">IFERROR(INDEX('KO DU ĐK NQ10'!$H$8:$H$48, MATCH(1, ('KO DU ĐK NQ10'!$D$8:$D$48=BC_SINH!D212)*('KO DU ĐK NQ10'!$E$8:$E$48=BC_SINH!E212), 0)),"")</f>
        <v/>
      </c>
      <c r="Q212" s="4" t="str">
        <f t="array" ref="Q212">IFERROR(INDEX('KO DU ĐK 4069'!$C$8:$C$38, MATCH(1, ('KO DU ĐK 4069'!$D$8:$D$38=BC_SINH!D212)*('KO DU ĐK 4069'!$E$8:$E$38=BC_SINH!E212), 0)),"")</f>
        <v/>
      </c>
      <c r="R212" s="4" t="str">
        <f t="array" ref="R212">IFERROR(INDEX('KO DU ĐK 4069'!$H$8:$H$38, MATCH(1, ('KO DU ĐK 4069'!$D$8:$D$38=BC_SINH!D212)*('KO DU ĐK 4069'!$E$8:$E$38=BC_SINH!E212), 0)),"")</f>
        <v/>
      </c>
      <c r="S212" s="4" t="str">
        <f t="array" ref="S212">IFERROR(INDEX(KeKhaiDangKy!$H$2:$H$4889, MATCH(1, (KeKhaiDangKy!$A$2:$A$4889=BC_SINH!D212)*(KeKhaiDangKy!$B$2:$B$4889=BC_SINH!E212), 0)),"")</f>
        <v>A Rông</v>
      </c>
    </row>
    <row r="213" spans="1:19" ht="14.45" customHeight="1" x14ac:dyDescent="0.25">
      <c r="A213" s="4">
        <f>IF(B213&lt;&gt;"", SUBTOTAL(3, $B$2:B213), "")</f>
        <v>212</v>
      </c>
      <c r="B213" s="4" t="s">
        <v>126</v>
      </c>
      <c r="C213" s="4" t="str">
        <f t="shared" si="3"/>
        <v>A Rông</v>
      </c>
      <c r="D213" s="4">
        <v>21</v>
      </c>
      <c r="E213" s="4">
        <v>231</v>
      </c>
      <c r="F213" s="4">
        <v>13586</v>
      </c>
      <c r="G213" s="4" t="s">
        <v>11</v>
      </c>
      <c r="H213" s="4" t="str">
        <f t="array" ref="H213">IFERROR(INDEX(DSCKXA!$B$3:$B$73, MATCH(1, (DSCKXA!$D$3:$D$73=BC_SINH!D213)*(DSCKXA!$E$3:$E$73=BC_SINH!E213), 0)),"")</f>
        <v/>
      </c>
      <c r="I213" s="99" t="str">
        <f t="array" ref="I213">IFERROR(INDEX(DSCKXA!$C$3:$C$73, MATCH(1, (DSCKXA!$D$3:$D$73=BC_SINH!D213)*(DSCKXA!$E$3:$E$73=BC_SINH!E213), 0)),"")</f>
        <v/>
      </c>
      <c r="J213" s="97" t="str">
        <f>IFERROR(VLOOKUP(B213,'Đất sản xuất'!$B$9:$C$216,2,0),"")</f>
        <v/>
      </c>
      <c r="K213" s="97" t="str">
        <f>IFERROR(VLOOKUP(B213,'Sản xuất cấp huyên'!$B$9:$C$177,2,0),"")</f>
        <v/>
      </c>
      <c r="L213" s="4" t="str">
        <f>IFERROR(VLOOKUP(B213,'4069'!$B$9:$C$177,2,0),"")</f>
        <v/>
      </c>
      <c r="M213" s="4" t="str">
        <f t="array" ref="M213">IFERROR(INDEX(KODUDK!$C$8:$C$79, MATCH(1, (KODUDK!$D$8:$D$79=BC_SINH!D213)*(KODUDK!$E$8:$E$79=BC_SINH!E213), 0)),"")</f>
        <v/>
      </c>
      <c r="N213" s="4" t="str">
        <f t="array" ref="N213">IFERROR(INDEX(KODUDK!$H$8:$H$79, MATCH(1, (KODUDK!$D$8:$D$79=BC_SINH!D213)*(KODUDK!$E$8:$E$79=BC_SINH!E213), 0)),"")</f>
        <v/>
      </c>
      <c r="O213" s="4" t="str">
        <f t="array" ref="O213">IFERROR(INDEX('KO DU ĐK NQ10'!$C$8:$C$48, MATCH(1, ('KO DU ĐK NQ10'!$D$8:$D$48=BC_SINH!D213)*('KO DU ĐK NQ10'!$E$8:$E$48=BC_SINH!E213), 0)),"")</f>
        <v/>
      </c>
      <c r="P213" s="4" t="str">
        <f t="array" ref="P213">IFERROR(INDEX('KO DU ĐK NQ10'!$H$8:$H$48, MATCH(1, ('KO DU ĐK NQ10'!$D$8:$D$48=BC_SINH!D213)*('KO DU ĐK NQ10'!$E$8:$E$48=BC_SINH!E213), 0)),"")</f>
        <v/>
      </c>
      <c r="Q213" s="4" t="str">
        <f t="array" ref="Q213">IFERROR(INDEX('KO DU ĐK 4069'!$C$8:$C$38, MATCH(1, ('KO DU ĐK 4069'!$D$8:$D$38=BC_SINH!D213)*('KO DU ĐK 4069'!$E$8:$E$38=BC_SINH!E213), 0)),"")</f>
        <v/>
      </c>
      <c r="R213" s="4" t="str">
        <f t="array" ref="R213">IFERROR(INDEX('KO DU ĐK 4069'!$H$8:$H$38, MATCH(1, ('KO DU ĐK 4069'!$D$8:$D$38=BC_SINH!D213)*('KO DU ĐK 4069'!$E$8:$E$38=BC_SINH!E213), 0)),"")</f>
        <v/>
      </c>
      <c r="S213" s="4" t="str">
        <f t="array" ref="S213">IFERROR(INDEX(KeKhaiDangKy!$H$2:$H$4889, MATCH(1, (KeKhaiDangKy!$A$2:$A$4889=BC_SINH!D213)*(KeKhaiDangKy!$B$2:$B$4889=BC_SINH!E213), 0)),"")</f>
        <v>A Rông</v>
      </c>
    </row>
    <row r="214" spans="1:19" ht="14.45" customHeight="1" x14ac:dyDescent="0.25">
      <c r="A214" s="4">
        <f>IF(B214&lt;&gt;"", SUBTOTAL(3, $B$2:B214), "")</f>
        <v>213</v>
      </c>
      <c r="B214" s="4" t="s">
        <v>126</v>
      </c>
      <c r="C214" s="4" t="str">
        <f t="shared" si="3"/>
        <v/>
      </c>
      <c r="D214" s="4">
        <v>33</v>
      </c>
      <c r="E214" s="4">
        <v>37</v>
      </c>
      <c r="F214" s="4">
        <v>14098</v>
      </c>
      <c r="G214" s="4" t="s">
        <v>11</v>
      </c>
      <c r="H214" s="4" t="str">
        <f t="array" ref="H214">IFERROR(INDEX(DSCKXA!$B$3:$B$73, MATCH(1, (DSCKXA!$D$3:$D$73=BC_SINH!D214)*(DSCKXA!$E$3:$E$73=BC_SINH!E214), 0)),"")</f>
        <v/>
      </c>
      <c r="I214" s="99" t="str">
        <f t="array" ref="I214">IFERROR(INDEX(DSCKXA!$C$3:$C$73, MATCH(1, (DSCKXA!$D$3:$D$73=BC_SINH!D214)*(DSCKXA!$E$3:$E$73=BC_SINH!E214), 0)),"")</f>
        <v/>
      </c>
      <c r="J214" s="97" t="str">
        <f>IFERROR(VLOOKUP(B214,'Đất sản xuất'!$B$9:$C$216,2,0),"")</f>
        <v/>
      </c>
      <c r="K214" s="97" t="str">
        <f>IFERROR(VLOOKUP(B214,'Sản xuất cấp huyên'!$B$9:$C$177,2,0),"")</f>
        <v/>
      </c>
      <c r="L214" s="4" t="str">
        <f>IFERROR(VLOOKUP(B214,'4069'!$B$9:$C$177,2,0),"")</f>
        <v/>
      </c>
      <c r="M214" s="4" t="str">
        <f t="array" ref="M214">IFERROR(INDEX(KODUDK!$C$8:$C$79, MATCH(1, (KODUDK!$D$8:$D$79=BC_SINH!D214)*(KODUDK!$E$8:$E$79=BC_SINH!E214), 0)),"")</f>
        <v/>
      </c>
      <c r="N214" s="4" t="str">
        <f t="array" ref="N214">IFERROR(INDEX(KODUDK!$H$8:$H$79, MATCH(1, (KODUDK!$D$8:$D$79=BC_SINH!D214)*(KODUDK!$E$8:$E$79=BC_SINH!E214), 0)),"")</f>
        <v/>
      </c>
      <c r="O214" s="4" t="str">
        <f t="array" ref="O214">IFERROR(INDEX('KO DU ĐK NQ10'!$C$8:$C$48, MATCH(1, ('KO DU ĐK NQ10'!$D$8:$D$48=BC_SINH!D214)*('KO DU ĐK NQ10'!$E$8:$E$48=BC_SINH!E214), 0)),"")</f>
        <v/>
      </c>
      <c r="P214" s="4" t="str">
        <f t="array" ref="P214">IFERROR(INDEX('KO DU ĐK NQ10'!$H$8:$H$48, MATCH(1, ('KO DU ĐK NQ10'!$D$8:$D$48=BC_SINH!D214)*('KO DU ĐK NQ10'!$E$8:$E$48=BC_SINH!E214), 0)),"")</f>
        <v/>
      </c>
      <c r="Q214" s="4" t="str">
        <f t="array" ref="Q214">IFERROR(INDEX('KO DU ĐK 4069'!$C$8:$C$38, MATCH(1, ('KO DU ĐK 4069'!$D$8:$D$38=BC_SINH!D214)*('KO DU ĐK 4069'!$E$8:$E$38=BC_SINH!E214), 0)),"")</f>
        <v/>
      </c>
      <c r="R214" s="4" t="str">
        <f t="array" ref="R214">IFERROR(INDEX('KO DU ĐK 4069'!$H$8:$H$38, MATCH(1, ('KO DU ĐK 4069'!$D$8:$D$38=BC_SINH!D214)*('KO DU ĐK 4069'!$E$8:$E$38=BC_SINH!E214), 0)),"")</f>
        <v/>
      </c>
      <c r="S214" s="4" t="str">
        <f t="array" ref="S214">IFERROR(INDEX(KeKhaiDangKy!$H$2:$H$4889, MATCH(1, (KeKhaiDangKy!$A$2:$A$4889=BC_SINH!D214)*(KeKhaiDangKy!$B$2:$B$4889=BC_SINH!E214), 0)),"")</f>
        <v/>
      </c>
    </row>
    <row r="215" spans="1:19" ht="14.45" customHeight="1" x14ac:dyDescent="0.25">
      <c r="A215" s="4">
        <f>IF(B215&lt;&gt;"", SUBTOTAL(3, $B$2:B215), "")</f>
        <v>214</v>
      </c>
      <c r="B215" s="4" t="s">
        <v>127</v>
      </c>
      <c r="C215" s="4" t="str">
        <f t="shared" si="3"/>
        <v>A Rông</v>
      </c>
      <c r="D215" s="4">
        <v>21</v>
      </c>
      <c r="E215" s="4">
        <v>232</v>
      </c>
      <c r="F215" s="4">
        <v>19463</v>
      </c>
      <c r="G215" s="4" t="s">
        <v>11</v>
      </c>
      <c r="H215" s="4" t="str">
        <f t="array" ref="H215">IFERROR(INDEX(DSCKXA!$B$3:$B$73, MATCH(1, (DSCKXA!$D$3:$D$73=BC_SINH!D215)*(DSCKXA!$E$3:$E$73=BC_SINH!E215), 0)),"")</f>
        <v/>
      </c>
      <c r="I215" s="99" t="str">
        <f t="array" ref="I215">IFERROR(INDEX(DSCKXA!$C$3:$C$73, MATCH(1, (DSCKXA!$D$3:$D$73=BC_SINH!D215)*(DSCKXA!$E$3:$E$73=BC_SINH!E215), 0)),"")</f>
        <v/>
      </c>
      <c r="J215" s="97" t="str">
        <f>IFERROR(VLOOKUP(B215,'Đất sản xuất'!$B$9:$C$216,2,0),"")</f>
        <v/>
      </c>
      <c r="K215" s="97" t="str">
        <f>IFERROR(VLOOKUP(B215,'Sản xuất cấp huyên'!$B$9:$C$177,2,0),"")</f>
        <v/>
      </c>
      <c r="L215" s="4" t="str">
        <f>IFERROR(VLOOKUP(B215,'4069'!$B$9:$C$177,2,0),"")</f>
        <v/>
      </c>
      <c r="M215" s="4" t="str">
        <f t="array" ref="M215">IFERROR(INDEX(KODUDK!$C$8:$C$79, MATCH(1, (KODUDK!$D$8:$D$79=BC_SINH!D215)*(KODUDK!$E$8:$E$79=BC_SINH!E215), 0)),"")</f>
        <v/>
      </c>
      <c r="N215" s="4" t="str">
        <f t="array" ref="N215">IFERROR(INDEX(KODUDK!$H$8:$H$79, MATCH(1, (KODUDK!$D$8:$D$79=BC_SINH!D215)*(KODUDK!$E$8:$E$79=BC_SINH!E215), 0)),"")</f>
        <v/>
      </c>
      <c r="O215" s="4" t="str">
        <f t="array" ref="O215">IFERROR(INDEX('KO DU ĐK NQ10'!$C$8:$C$48, MATCH(1, ('KO DU ĐK NQ10'!$D$8:$D$48=BC_SINH!D215)*('KO DU ĐK NQ10'!$E$8:$E$48=BC_SINH!E215), 0)),"")</f>
        <v/>
      </c>
      <c r="P215" s="4" t="str">
        <f t="array" ref="P215">IFERROR(INDEX('KO DU ĐK NQ10'!$H$8:$H$48, MATCH(1, ('KO DU ĐK NQ10'!$D$8:$D$48=BC_SINH!D215)*('KO DU ĐK NQ10'!$E$8:$E$48=BC_SINH!E215), 0)),"")</f>
        <v/>
      </c>
      <c r="Q215" s="4" t="str">
        <f t="array" ref="Q215">IFERROR(INDEX('KO DU ĐK 4069'!$C$8:$C$38, MATCH(1, ('KO DU ĐK 4069'!$D$8:$D$38=BC_SINH!D215)*('KO DU ĐK 4069'!$E$8:$E$38=BC_SINH!E215), 0)),"")</f>
        <v/>
      </c>
      <c r="R215" s="4" t="str">
        <f t="array" ref="R215">IFERROR(INDEX('KO DU ĐK 4069'!$H$8:$H$38, MATCH(1, ('KO DU ĐK 4069'!$D$8:$D$38=BC_SINH!D215)*('KO DU ĐK 4069'!$E$8:$E$38=BC_SINH!E215), 0)),"")</f>
        <v/>
      </c>
      <c r="S215" s="4" t="str">
        <f t="array" ref="S215">IFERROR(INDEX(KeKhaiDangKy!$H$2:$H$4889, MATCH(1, (KeKhaiDangKy!$A$2:$A$4889=BC_SINH!D215)*(KeKhaiDangKy!$B$2:$B$4889=BC_SINH!E215), 0)),"")</f>
        <v>A Rông</v>
      </c>
    </row>
    <row r="216" spans="1:19" ht="14.45" customHeight="1" x14ac:dyDescent="0.25">
      <c r="A216" s="4">
        <f>IF(B216&lt;&gt;"", SUBTOTAL(3, $B$2:B216), "")</f>
        <v>215</v>
      </c>
      <c r="B216" s="4" t="s">
        <v>128</v>
      </c>
      <c r="C216" s="4" t="str">
        <f t="shared" si="3"/>
        <v>Kỳ Nơi</v>
      </c>
      <c r="D216" s="4">
        <v>9</v>
      </c>
      <c r="E216" s="4">
        <v>10</v>
      </c>
      <c r="F216" s="4">
        <v>3850</v>
      </c>
      <c r="G216" s="4" t="s">
        <v>11</v>
      </c>
      <c r="H216" s="4" t="str">
        <f t="array" ref="H216">IFERROR(INDEX(DSCKXA!$B$3:$B$73, MATCH(1, (DSCKXA!$D$3:$D$73=BC_SINH!D216)*(DSCKXA!$E$3:$E$73=BC_SINH!E216), 0)),"")</f>
        <v/>
      </c>
      <c r="I216" s="99" t="str">
        <f t="array" ref="I216">IFERROR(INDEX(DSCKXA!$C$3:$C$73, MATCH(1, (DSCKXA!$D$3:$D$73=BC_SINH!D216)*(DSCKXA!$E$3:$E$73=BC_SINH!E216), 0)),"")</f>
        <v/>
      </c>
      <c r="J216" s="97" t="str">
        <f>IFERROR(VLOOKUP(B216,'Đất sản xuất'!$B$9:$C$216,2,0),"")</f>
        <v/>
      </c>
      <c r="K216" s="97" t="str">
        <f>IFERROR(VLOOKUP(B216,'Sản xuất cấp huyên'!$B$9:$C$177,2,0),"")</f>
        <v/>
      </c>
      <c r="L216" s="4" t="str">
        <f>IFERROR(VLOOKUP(B216,'4069'!$B$9:$C$177,2,0),"")</f>
        <v/>
      </c>
      <c r="M216" s="4" t="str">
        <f t="array" ref="M216">IFERROR(INDEX(KODUDK!$C$8:$C$79, MATCH(1, (KODUDK!$D$8:$D$79=BC_SINH!D216)*(KODUDK!$E$8:$E$79=BC_SINH!E216), 0)),"")</f>
        <v/>
      </c>
      <c r="N216" s="4" t="str">
        <f t="array" ref="N216">IFERROR(INDEX(KODUDK!$H$8:$H$79, MATCH(1, (KODUDK!$D$8:$D$79=BC_SINH!D216)*(KODUDK!$E$8:$E$79=BC_SINH!E216), 0)),"")</f>
        <v/>
      </c>
      <c r="O216" s="4" t="str">
        <f t="array" ref="O216">IFERROR(INDEX('KO DU ĐK NQ10'!$C$8:$C$48, MATCH(1, ('KO DU ĐK NQ10'!$D$8:$D$48=BC_SINH!D216)*('KO DU ĐK NQ10'!$E$8:$E$48=BC_SINH!E216), 0)),"")</f>
        <v/>
      </c>
      <c r="P216" s="4" t="str">
        <f t="array" ref="P216">IFERROR(INDEX('KO DU ĐK NQ10'!$H$8:$H$48, MATCH(1, ('KO DU ĐK NQ10'!$D$8:$D$48=BC_SINH!D216)*('KO DU ĐK NQ10'!$E$8:$E$48=BC_SINH!E216), 0)),"")</f>
        <v/>
      </c>
      <c r="Q216" s="4" t="str">
        <f t="array" ref="Q216">IFERROR(INDEX('KO DU ĐK 4069'!$C$8:$C$38, MATCH(1, ('KO DU ĐK 4069'!$D$8:$D$38=BC_SINH!D216)*('KO DU ĐK 4069'!$E$8:$E$38=BC_SINH!E216), 0)),"")</f>
        <v/>
      </c>
      <c r="R216" s="4" t="str">
        <f t="array" ref="R216">IFERROR(INDEX('KO DU ĐK 4069'!$H$8:$H$38, MATCH(1, ('KO DU ĐK 4069'!$D$8:$D$38=BC_SINH!D216)*('KO DU ĐK 4069'!$E$8:$E$38=BC_SINH!E216), 0)),"")</f>
        <v/>
      </c>
      <c r="S216" s="4" t="str">
        <f t="array" ref="S216">IFERROR(INDEX(KeKhaiDangKy!$H$2:$H$4889, MATCH(1, (KeKhaiDangKy!$A$2:$A$4889=BC_SINH!D216)*(KeKhaiDangKy!$B$2:$B$4889=BC_SINH!E216), 0)),"")</f>
        <v>Kỳ Nơi</v>
      </c>
    </row>
    <row r="217" spans="1:19" ht="14.45" customHeight="1" x14ac:dyDescent="0.25">
      <c r="A217" s="4">
        <f>IF(B217&lt;&gt;"", SUBTOTAL(3, $B$2:B217), "")</f>
        <v>216</v>
      </c>
      <c r="B217" s="4" t="s">
        <v>129</v>
      </c>
      <c r="C217" s="4" t="str">
        <f t="shared" si="3"/>
        <v>A Xói Hang</v>
      </c>
      <c r="D217" s="4">
        <v>18</v>
      </c>
      <c r="E217" s="4">
        <v>224</v>
      </c>
      <c r="F217" s="4">
        <v>5076</v>
      </c>
      <c r="G217" s="4" t="s">
        <v>11</v>
      </c>
      <c r="H217" s="4" t="str">
        <f t="array" ref="H217">IFERROR(INDEX(DSCKXA!$B$3:$B$73, MATCH(1, (DSCKXA!$D$3:$D$73=BC_SINH!D217)*(DSCKXA!$E$3:$E$73=BC_SINH!E217), 0)),"")</f>
        <v>Hồ Văn Thức</v>
      </c>
      <c r="I217" s="99" t="str">
        <f t="array" ref="I217">IFERROR(INDEX(DSCKXA!$C$3:$C$73, MATCH(1, (DSCKXA!$D$3:$D$73=BC_SINH!D217)*(DSCKXA!$E$3:$E$73=BC_SINH!E217), 0)),"")</f>
        <v>Thôn A Xói Hang</v>
      </c>
      <c r="J217" s="97" t="str">
        <f>IFERROR(VLOOKUP(B217,'Đất sản xuất'!$B$9:$C$216,2,0),"")</f>
        <v>A Xói Hang</v>
      </c>
      <c r="K217" s="97" t="str">
        <f>IFERROR(VLOOKUP(B217,'Sản xuất cấp huyên'!$B$9:$C$177,2,0),"")</f>
        <v/>
      </c>
      <c r="L217" s="4" t="str">
        <f>IFERROR(VLOOKUP(B217,'4069'!$B$9:$C$177,2,0),"")</f>
        <v/>
      </c>
      <c r="M217" s="4" t="str">
        <f t="array" ref="M217">IFERROR(INDEX(KODUDK!$C$8:$C$79, MATCH(1, (KODUDK!$D$8:$D$79=BC_SINH!D217)*(KODUDK!$E$8:$E$79=BC_SINH!E217), 0)),"")</f>
        <v/>
      </c>
      <c r="N217" s="4" t="str">
        <f t="array" ref="N217">IFERROR(INDEX(KODUDK!$H$8:$H$79, MATCH(1, (KODUDK!$D$8:$D$79=BC_SINH!D217)*(KODUDK!$E$8:$E$79=BC_SINH!E217), 0)),"")</f>
        <v/>
      </c>
      <c r="O217" s="4" t="str">
        <f t="array" ref="O217">IFERROR(INDEX('KO DU ĐK NQ10'!$C$8:$C$48, MATCH(1, ('KO DU ĐK NQ10'!$D$8:$D$48=BC_SINH!D217)*('KO DU ĐK NQ10'!$E$8:$E$48=BC_SINH!E217), 0)),"")</f>
        <v/>
      </c>
      <c r="P217" s="4" t="str">
        <f t="array" ref="P217">IFERROR(INDEX('KO DU ĐK NQ10'!$H$8:$H$48, MATCH(1, ('KO DU ĐK NQ10'!$D$8:$D$48=BC_SINH!D217)*('KO DU ĐK NQ10'!$E$8:$E$48=BC_SINH!E217), 0)),"")</f>
        <v/>
      </c>
      <c r="Q217" s="4" t="str">
        <f t="array" ref="Q217">IFERROR(INDEX('KO DU ĐK 4069'!$C$8:$C$38, MATCH(1, ('KO DU ĐK 4069'!$D$8:$D$38=BC_SINH!D217)*('KO DU ĐK 4069'!$E$8:$E$38=BC_SINH!E217), 0)),"")</f>
        <v/>
      </c>
      <c r="R217" s="4" t="str">
        <f t="array" ref="R217">IFERROR(INDEX('KO DU ĐK 4069'!$H$8:$H$38, MATCH(1, ('KO DU ĐK 4069'!$D$8:$D$38=BC_SINH!D217)*('KO DU ĐK 4069'!$E$8:$E$38=BC_SINH!E217), 0)),"")</f>
        <v/>
      </c>
      <c r="S217" s="4" t="str">
        <f t="array" ref="S217">IFERROR(INDEX(KeKhaiDangKy!$H$2:$H$4889, MATCH(1, (KeKhaiDangKy!$A$2:$A$4889=BC_SINH!D217)*(KeKhaiDangKy!$B$2:$B$4889=BC_SINH!E217), 0)),"")</f>
        <v>A Xói Hang</v>
      </c>
    </row>
    <row r="218" spans="1:19" ht="14.45" customHeight="1" x14ac:dyDescent="0.25">
      <c r="A218" s="4">
        <f>IF(B218&lt;&gt;"", SUBTOTAL(3, $B$2:B218), "")</f>
        <v>217</v>
      </c>
      <c r="B218" s="4" t="s">
        <v>130</v>
      </c>
      <c r="C218" s="4" t="str">
        <f t="shared" si="3"/>
        <v>A Máy</v>
      </c>
      <c r="D218" s="4">
        <v>21</v>
      </c>
      <c r="E218" s="4">
        <v>233</v>
      </c>
      <c r="F218" s="4">
        <v>19045</v>
      </c>
      <c r="G218" s="4" t="s">
        <v>11</v>
      </c>
      <c r="H218" s="4" t="str">
        <f t="array" ref="H218">IFERROR(INDEX(DSCKXA!$B$3:$B$73, MATCH(1, (DSCKXA!$D$3:$D$73=BC_SINH!D218)*(DSCKXA!$E$3:$E$73=BC_SINH!E218), 0)),"")</f>
        <v/>
      </c>
      <c r="I218" s="99" t="str">
        <f t="array" ref="I218">IFERROR(INDEX(DSCKXA!$C$3:$C$73, MATCH(1, (DSCKXA!$D$3:$D$73=BC_SINH!D218)*(DSCKXA!$E$3:$E$73=BC_SINH!E218), 0)),"")</f>
        <v/>
      </c>
      <c r="J218" s="97" t="str">
        <f>IFERROR(VLOOKUP(B218,'Đất sản xuất'!$B$9:$C$216,2,0),"")</f>
        <v/>
      </c>
      <c r="K218" s="97" t="str">
        <f>IFERROR(VLOOKUP(B218,'Sản xuất cấp huyên'!$B$9:$C$177,2,0),"")</f>
        <v>A Máy</v>
      </c>
      <c r="L218" s="4" t="str">
        <f>IFERROR(VLOOKUP(B218,'4069'!$B$9:$C$177,2,0),"")</f>
        <v>A Máy</v>
      </c>
      <c r="M218" s="4" t="str">
        <f t="array" ref="M218">IFERROR(INDEX(KODUDK!$C$8:$C$79, MATCH(1, (KODUDK!$D$8:$D$79=BC_SINH!D218)*(KODUDK!$E$8:$E$79=BC_SINH!E218), 0)),"")</f>
        <v/>
      </c>
      <c r="N218" s="4" t="str">
        <f t="array" ref="N218">IFERROR(INDEX(KODUDK!$H$8:$H$79, MATCH(1, (KODUDK!$D$8:$D$79=BC_SINH!D218)*(KODUDK!$E$8:$E$79=BC_SINH!E218), 0)),"")</f>
        <v/>
      </c>
      <c r="O218" s="4" t="str">
        <f t="array" ref="O218">IFERROR(INDEX('KO DU ĐK NQ10'!$C$8:$C$48, MATCH(1, ('KO DU ĐK NQ10'!$D$8:$D$48=BC_SINH!D218)*('KO DU ĐK NQ10'!$E$8:$E$48=BC_SINH!E218), 0)),"")</f>
        <v/>
      </c>
      <c r="P218" s="4" t="str">
        <f t="array" ref="P218">IFERROR(INDEX('KO DU ĐK NQ10'!$H$8:$H$48, MATCH(1, ('KO DU ĐK NQ10'!$D$8:$D$48=BC_SINH!D218)*('KO DU ĐK NQ10'!$E$8:$E$48=BC_SINH!E218), 0)),"")</f>
        <v/>
      </c>
      <c r="Q218" s="4" t="str">
        <f t="array" ref="Q218">IFERROR(INDEX('KO DU ĐK 4069'!$C$8:$C$38, MATCH(1, ('KO DU ĐK 4069'!$D$8:$D$38=BC_SINH!D218)*('KO DU ĐK 4069'!$E$8:$E$38=BC_SINH!E218), 0)),"")</f>
        <v/>
      </c>
      <c r="R218" s="4" t="str">
        <f t="array" ref="R218">IFERROR(INDEX('KO DU ĐK 4069'!$H$8:$H$38, MATCH(1, ('KO DU ĐK 4069'!$D$8:$D$38=BC_SINH!D218)*('KO DU ĐK 4069'!$E$8:$E$38=BC_SINH!E218), 0)),"")</f>
        <v/>
      </c>
      <c r="S218" s="4" t="str">
        <f t="array" ref="S218">IFERROR(INDEX(KeKhaiDangKy!$H$2:$H$4889, MATCH(1, (KeKhaiDangKy!$A$2:$A$4889=BC_SINH!D218)*(KeKhaiDangKy!$B$2:$B$4889=BC_SINH!E218), 0)),"")</f>
        <v/>
      </c>
    </row>
    <row r="219" spans="1:19" ht="14.45" customHeight="1" x14ac:dyDescent="0.25">
      <c r="A219" s="4">
        <f>IF(B219&lt;&gt;"", SUBTOTAL(3, $B$2:B219), "")</f>
        <v>218</v>
      </c>
      <c r="B219" s="4" t="s">
        <v>131</v>
      </c>
      <c r="C219" s="4" t="str">
        <f t="shared" si="3"/>
        <v>Kỳ Tăng</v>
      </c>
      <c r="D219" s="4">
        <v>7</v>
      </c>
      <c r="E219" s="4">
        <v>8</v>
      </c>
      <c r="F219" s="4">
        <v>5865</v>
      </c>
      <c r="G219" s="4" t="s">
        <v>11</v>
      </c>
      <c r="H219" s="4" t="str">
        <f t="array" ref="H219">IFERROR(INDEX(DSCKXA!$B$3:$B$73, MATCH(1, (DSCKXA!$D$3:$D$73=BC_SINH!D219)*(DSCKXA!$E$3:$E$73=BC_SINH!E219), 0)),"")</f>
        <v/>
      </c>
      <c r="I219" s="99" t="str">
        <f t="array" ref="I219">IFERROR(INDEX(DSCKXA!$C$3:$C$73, MATCH(1, (DSCKXA!$D$3:$D$73=BC_SINH!D219)*(DSCKXA!$E$3:$E$73=BC_SINH!E219), 0)),"")</f>
        <v/>
      </c>
      <c r="J219" s="97" t="str">
        <f>IFERROR(VLOOKUP(B219,'Đất sản xuất'!$B$9:$C$216,2,0),"")</f>
        <v/>
      </c>
      <c r="K219" s="97" t="str">
        <f>IFERROR(VLOOKUP(B219,'Sản xuất cấp huyên'!$B$9:$C$177,2,0),"")</f>
        <v/>
      </c>
      <c r="L219" s="4" t="str">
        <f>IFERROR(VLOOKUP(B219,'4069'!$B$9:$C$177,2,0),"")</f>
        <v/>
      </c>
      <c r="M219" s="4" t="str">
        <f t="array" ref="M219">IFERROR(INDEX(KODUDK!$C$8:$C$79, MATCH(1, (KODUDK!$D$8:$D$79=BC_SINH!D219)*(KODUDK!$E$8:$E$79=BC_SINH!E219), 0)),"")</f>
        <v/>
      </c>
      <c r="N219" s="4" t="str">
        <f t="array" ref="N219">IFERROR(INDEX(KODUDK!$H$8:$H$79, MATCH(1, (KODUDK!$D$8:$D$79=BC_SINH!D219)*(KODUDK!$E$8:$E$79=BC_SINH!E219), 0)),"")</f>
        <v/>
      </c>
      <c r="O219" s="4" t="str">
        <f t="array" ref="O219">IFERROR(INDEX('KO DU ĐK NQ10'!$C$8:$C$48, MATCH(1, ('KO DU ĐK NQ10'!$D$8:$D$48=BC_SINH!D219)*('KO DU ĐK NQ10'!$E$8:$E$48=BC_SINH!E219), 0)),"")</f>
        <v/>
      </c>
      <c r="P219" s="4" t="str">
        <f t="array" ref="P219">IFERROR(INDEX('KO DU ĐK NQ10'!$H$8:$H$48, MATCH(1, ('KO DU ĐK NQ10'!$D$8:$D$48=BC_SINH!D219)*('KO DU ĐK NQ10'!$E$8:$E$48=BC_SINH!E219), 0)),"")</f>
        <v/>
      </c>
      <c r="Q219" s="4" t="str">
        <f t="array" ref="Q219">IFERROR(INDEX('KO DU ĐK 4069'!$C$8:$C$38, MATCH(1, ('KO DU ĐK 4069'!$D$8:$D$38=BC_SINH!D219)*('KO DU ĐK 4069'!$E$8:$E$38=BC_SINH!E219), 0)),"")</f>
        <v/>
      </c>
      <c r="R219" s="4" t="str">
        <f t="array" ref="R219">IFERROR(INDEX('KO DU ĐK 4069'!$H$8:$H$38, MATCH(1, ('KO DU ĐK 4069'!$D$8:$D$38=BC_SINH!D219)*('KO DU ĐK 4069'!$E$8:$E$38=BC_SINH!E219), 0)),"")</f>
        <v/>
      </c>
      <c r="S219" s="4" t="str">
        <f t="array" ref="S219">IFERROR(INDEX(KeKhaiDangKy!$H$2:$H$4889, MATCH(1, (KeKhaiDangKy!$A$2:$A$4889=BC_SINH!D219)*(KeKhaiDangKy!$B$2:$B$4889=BC_SINH!E219), 0)),"")</f>
        <v>Kỳ Tăng</v>
      </c>
    </row>
    <row r="220" spans="1:19" ht="14.45" customHeight="1" x14ac:dyDescent="0.25">
      <c r="A220" s="4">
        <f>IF(B220&lt;&gt;"", SUBTOTAL(3, $B$2:B220), "")</f>
        <v>219</v>
      </c>
      <c r="B220" s="4" t="s">
        <v>132</v>
      </c>
      <c r="C220" s="4" t="str">
        <f t="shared" si="3"/>
        <v/>
      </c>
      <c r="D220" s="4">
        <v>21</v>
      </c>
      <c r="E220" s="4">
        <v>234</v>
      </c>
      <c r="F220" s="4">
        <v>21135</v>
      </c>
      <c r="G220" s="4" t="s">
        <v>11</v>
      </c>
      <c r="H220" s="4" t="str">
        <f t="array" ref="H220">IFERROR(INDEX(DSCKXA!$B$3:$B$73, MATCH(1, (DSCKXA!$D$3:$D$73=BC_SINH!D220)*(DSCKXA!$E$3:$E$73=BC_SINH!E220), 0)),"")</f>
        <v/>
      </c>
      <c r="I220" s="99" t="str">
        <f t="array" ref="I220">IFERROR(INDEX(DSCKXA!$C$3:$C$73, MATCH(1, (DSCKXA!$D$3:$D$73=BC_SINH!D220)*(DSCKXA!$E$3:$E$73=BC_SINH!E220), 0)),"")</f>
        <v/>
      </c>
      <c r="J220" s="97" t="str">
        <f>IFERROR(VLOOKUP(B220,'Đất sản xuất'!$B$9:$C$216,2,0),"")</f>
        <v/>
      </c>
      <c r="K220" s="97" t="str">
        <f>IFERROR(VLOOKUP(B220,'Sản xuất cấp huyên'!$B$9:$C$177,2,0),"")</f>
        <v/>
      </c>
      <c r="L220" s="4" t="str">
        <f>IFERROR(VLOOKUP(B220,'4069'!$B$9:$C$177,2,0),"")</f>
        <v/>
      </c>
      <c r="M220" s="4" t="str">
        <f t="array" ref="M220">IFERROR(INDEX(KODUDK!$C$8:$C$79, MATCH(1, (KODUDK!$D$8:$D$79=BC_SINH!D220)*(KODUDK!$E$8:$E$79=BC_SINH!E220), 0)),"")</f>
        <v/>
      </c>
      <c r="N220" s="4" t="str">
        <f t="array" ref="N220">IFERROR(INDEX(KODUDK!$H$8:$H$79, MATCH(1, (KODUDK!$D$8:$D$79=BC_SINH!D220)*(KODUDK!$E$8:$E$79=BC_SINH!E220), 0)),"")</f>
        <v/>
      </c>
      <c r="O220" s="4" t="str">
        <f t="array" ref="O220">IFERROR(INDEX('KO DU ĐK NQ10'!$C$8:$C$48, MATCH(1, ('KO DU ĐK NQ10'!$D$8:$D$48=BC_SINH!D220)*('KO DU ĐK NQ10'!$E$8:$E$48=BC_SINH!E220), 0)),"")</f>
        <v/>
      </c>
      <c r="P220" s="4" t="str">
        <f t="array" ref="P220">IFERROR(INDEX('KO DU ĐK NQ10'!$H$8:$H$48, MATCH(1, ('KO DU ĐK NQ10'!$D$8:$D$48=BC_SINH!D220)*('KO DU ĐK NQ10'!$E$8:$E$48=BC_SINH!E220), 0)),"")</f>
        <v/>
      </c>
      <c r="Q220" s="4" t="str">
        <f t="array" ref="Q220">IFERROR(INDEX('KO DU ĐK 4069'!$C$8:$C$38, MATCH(1, ('KO DU ĐK 4069'!$D$8:$D$38=BC_SINH!D220)*('KO DU ĐK 4069'!$E$8:$E$38=BC_SINH!E220), 0)),"")</f>
        <v/>
      </c>
      <c r="R220" s="4" t="str">
        <f t="array" ref="R220">IFERROR(INDEX('KO DU ĐK 4069'!$H$8:$H$38, MATCH(1, ('KO DU ĐK 4069'!$D$8:$D$38=BC_SINH!D220)*('KO DU ĐK 4069'!$E$8:$E$38=BC_SINH!E220), 0)),"")</f>
        <v/>
      </c>
      <c r="S220" s="4" t="str">
        <f t="array" ref="S220">IFERROR(INDEX(KeKhaiDangKy!$H$2:$H$4889, MATCH(1, (KeKhaiDangKy!$A$2:$A$4889=BC_SINH!D220)*(KeKhaiDangKy!$B$2:$B$4889=BC_SINH!E220), 0)),"")</f>
        <v/>
      </c>
    </row>
    <row r="221" spans="1:19" ht="14.45" customHeight="1" x14ac:dyDescent="0.25">
      <c r="A221" s="4">
        <f>IF(B221&lt;&gt;"", SUBTOTAL(3, $B$2:B221), "")</f>
        <v>220</v>
      </c>
      <c r="B221" s="4" t="s">
        <v>133</v>
      </c>
      <c r="C221" s="4" t="str">
        <f t="shared" si="3"/>
        <v xml:space="preserve"> A Xói Hang</v>
      </c>
      <c r="D221" s="4">
        <v>3</v>
      </c>
      <c r="E221" s="4">
        <v>265</v>
      </c>
      <c r="F221" s="4">
        <v>6068</v>
      </c>
      <c r="G221" s="4" t="s">
        <v>11</v>
      </c>
      <c r="H221" s="4" t="str">
        <f t="array" ref="H221">IFERROR(INDEX(DSCKXA!$B$3:$B$73, MATCH(1, (DSCKXA!$D$3:$D$73=BC_SINH!D221)*(DSCKXA!$E$3:$E$73=BC_SINH!E221), 0)),"")</f>
        <v>Hồ Văn Vầng</v>
      </c>
      <c r="I221" s="99" t="str">
        <f t="array" ref="I221">IFERROR(INDEX(DSCKXA!$C$3:$C$73, MATCH(1, (DSCKXA!$D$3:$D$73=BC_SINH!D221)*(DSCKXA!$E$3:$E$73=BC_SINH!E221), 0)),"")</f>
        <v>Thôn A Xói Hang</v>
      </c>
      <c r="J221" s="97" t="str">
        <f>IFERROR(VLOOKUP(B221,'Đất sản xuất'!$B$9:$C$216,2,0),"")</f>
        <v xml:space="preserve"> A Xói Hang</v>
      </c>
      <c r="K221" s="97" t="str">
        <f>IFERROR(VLOOKUP(B221,'Sản xuất cấp huyên'!$B$9:$C$177,2,0),"")</f>
        <v/>
      </c>
      <c r="L221" s="4" t="str">
        <f>IFERROR(VLOOKUP(B221,'4069'!$B$9:$C$177,2,0),"")</f>
        <v/>
      </c>
      <c r="M221" s="4" t="str">
        <f t="array" ref="M221">IFERROR(INDEX(KODUDK!$C$8:$C$79, MATCH(1, (KODUDK!$D$8:$D$79=BC_SINH!D221)*(KODUDK!$E$8:$E$79=BC_SINH!E221), 0)),"")</f>
        <v/>
      </c>
      <c r="N221" s="4" t="str">
        <f t="array" ref="N221">IFERROR(INDEX(KODUDK!$H$8:$H$79, MATCH(1, (KODUDK!$D$8:$D$79=BC_SINH!D221)*(KODUDK!$E$8:$E$79=BC_SINH!E221), 0)),"")</f>
        <v/>
      </c>
      <c r="O221" s="4" t="str">
        <f t="array" ref="O221">IFERROR(INDEX('KO DU ĐK NQ10'!$C$8:$C$48, MATCH(1, ('KO DU ĐK NQ10'!$D$8:$D$48=BC_SINH!D221)*('KO DU ĐK NQ10'!$E$8:$E$48=BC_SINH!E221), 0)),"")</f>
        <v/>
      </c>
      <c r="P221" s="4" t="str">
        <f t="array" ref="P221">IFERROR(INDEX('KO DU ĐK NQ10'!$H$8:$H$48, MATCH(1, ('KO DU ĐK NQ10'!$D$8:$D$48=BC_SINH!D221)*('KO DU ĐK NQ10'!$E$8:$E$48=BC_SINH!E221), 0)),"")</f>
        <v/>
      </c>
      <c r="Q221" s="4" t="str">
        <f t="array" ref="Q221">IFERROR(INDEX('KO DU ĐK 4069'!$C$8:$C$38, MATCH(1, ('KO DU ĐK 4069'!$D$8:$D$38=BC_SINH!D221)*('KO DU ĐK 4069'!$E$8:$E$38=BC_SINH!E221), 0)),"")</f>
        <v/>
      </c>
      <c r="R221" s="4" t="str">
        <f t="array" ref="R221">IFERROR(INDEX('KO DU ĐK 4069'!$H$8:$H$38, MATCH(1, ('KO DU ĐK 4069'!$D$8:$D$38=BC_SINH!D221)*('KO DU ĐK 4069'!$E$8:$E$38=BC_SINH!E221), 0)),"")</f>
        <v/>
      </c>
      <c r="S221" s="4" t="str">
        <f t="array" ref="S221">IFERROR(INDEX(KeKhaiDangKy!$H$2:$H$4889, MATCH(1, (KeKhaiDangKy!$A$2:$A$4889=BC_SINH!D221)*(KeKhaiDangKy!$B$2:$B$4889=BC_SINH!E221), 0)),"")</f>
        <v>Kỳ Nơi</v>
      </c>
    </row>
    <row r="222" spans="1:19" ht="14.45" customHeight="1" x14ac:dyDescent="0.25">
      <c r="A222" s="4">
        <f>IF(B222&lt;&gt;"", SUBTOTAL(3, $B$2:B222), "")</f>
        <v>221</v>
      </c>
      <c r="B222" s="4" t="s">
        <v>134</v>
      </c>
      <c r="C222" s="4" t="str">
        <f t="shared" si="3"/>
        <v/>
      </c>
      <c r="D222" s="4">
        <v>21</v>
      </c>
      <c r="E222" s="4">
        <v>235</v>
      </c>
      <c r="F222" s="4">
        <v>2839</v>
      </c>
      <c r="G222" s="4" t="s">
        <v>11</v>
      </c>
      <c r="H222" s="4" t="str">
        <f t="array" ref="H222">IFERROR(INDEX(DSCKXA!$B$3:$B$73, MATCH(1, (DSCKXA!$D$3:$D$73=BC_SINH!D222)*(DSCKXA!$E$3:$E$73=BC_SINH!E222), 0)),"")</f>
        <v/>
      </c>
      <c r="I222" s="99" t="str">
        <f t="array" ref="I222">IFERROR(INDEX(DSCKXA!$C$3:$C$73, MATCH(1, (DSCKXA!$D$3:$D$73=BC_SINH!D222)*(DSCKXA!$E$3:$E$73=BC_SINH!E222), 0)),"")</f>
        <v/>
      </c>
      <c r="J222" s="97" t="str">
        <f>IFERROR(VLOOKUP(B222,'Đất sản xuất'!$B$9:$C$216,2,0),"")</f>
        <v/>
      </c>
      <c r="K222" s="97" t="str">
        <f>IFERROR(VLOOKUP(B222,'Sản xuất cấp huyên'!$B$9:$C$177,2,0),"")</f>
        <v/>
      </c>
      <c r="L222" s="4" t="str">
        <f>IFERROR(VLOOKUP(B222,'4069'!$B$9:$C$177,2,0),"")</f>
        <v/>
      </c>
      <c r="M222" s="4" t="str">
        <f t="array" ref="M222">IFERROR(INDEX(KODUDK!$C$8:$C$79, MATCH(1, (KODUDK!$D$8:$D$79=BC_SINH!D222)*(KODUDK!$E$8:$E$79=BC_SINH!E222), 0)),"")</f>
        <v/>
      </c>
      <c r="N222" s="4" t="str">
        <f t="array" ref="N222">IFERROR(INDEX(KODUDK!$H$8:$H$79, MATCH(1, (KODUDK!$D$8:$D$79=BC_SINH!D222)*(KODUDK!$E$8:$E$79=BC_SINH!E222), 0)),"")</f>
        <v/>
      </c>
      <c r="O222" s="4" t="str">
        <f t="array" ref="O222">IFERROR(INDEX('KO DU ĐK NQ10'!$C$8:$C$48, MATCH(1, ('KO DU ĐK NQ10'!$D$8:$D$48=BC_SINH!D222)*('KO DU ĐK NQ10'!$E$8:$E$48=BC_SINH!E222), 0)),"")</f>
        <v/>
      </c>
      <c r="P222" s="4" t="str">
        <f t="array" ref="P222">IFERROR(INDEX('KO DU ĐK NQ10'!$H$8:$H$48, MATCH(1, ('KO DU ĐK NQ10'!$D$8:$D$48=BC_SINH!D222)*('KO DU ĐK NQ10'!$E$8:$E$48=BC_SINH!E222), 0)),"")</f>
        <v/>
      </c>
      <c r="Q222" s="4" t="str">
        <f t="array" ref="Q222">IFERROR(INDEX('KO DU ĐK 4069'!$C$8:$C$38, MATCH(1, ('KO DU ĐK 4069'!$D$8:$D$38=BC_SINH!D222)*('KO DU ĐK 4069'!$E$8:$E$38=BC_SINH!E222), 0)),"")</f>
        <v/>
      </c>
      <c r="R222" s="4" t="str">
        <f t="array" ref="R222">IFERROR(INDEX('KO DU ĐK 4069'!$H$8:$H$38, MATCH(1, ('KO DU ĐK 4069'!$D$8:$D$38=BC_SINH!D222)*('KO DU ĐK 4069'!$E$8:$E$38=BC_SINH!E222), 0)),"")</f>
        <v/>
      </c>
      <c r="S222" s="4" t="str">
        <f t="array" ref="S222">IFERROR(INDEX(KeKhaiDangKy!$H$2:$H$4889, MATCH(1, (KeKhaiDangKy!$A$2:$A$4889=BC_SINH!D222)*(KeKhaiDangKy!$B$2:$B$4889=BC_SINH!E222), 0)),"")</f>
        <v/>
      </c>
    </row>
    <row r="223" spans="1:19" ht="14.45" customHeight="1" x14ac:dyDescent="0.25">
      <c r="A223" s="4">
        <f>IF(B223&lt;&gt;"", SUBTOTAL(3, $B$2:B223), "")</f>
        <v>222</v>
      </c>
      <c r="B223" s="4" t="s">
        <v>135</v>
      </c>
      <c r="C223" s="4" t="str">
        <f t="shared" si="3"/>
        <v xml:space="preserve"> A Quan</v>
      </c>
      <c r="D223" s="4">
        <v>21</v>
      </c>
      <c r="E223" s="4">
        <v>236</v>
      </c>
      <c r="F223" s="4">
        <v>8046</v>
      </c>
      <c r="G223" s="4" t="s">
        <v>11</v>
      </c>
      <c r="H223" s="4" t="str">
        <f t="array" ref="H223">IFERROR(INDEX(DSCKXA!$B$3:$B$73, MATCH(1, (DSCKXA!$D$3:$D$73=BC_SINH!D223)*(DSCKXA!$E$3:$E$73=BC_SINH!E223), 0)),"")</f>
        <v/>
      </c>
      <c r="I223" s="99" t="str">
        <f t="array" ref="I223">IFERROR(INDEX(DSCKXA!$C$3:$C$73, MATCH(1, (DSCKXA!$D$3:$D$73=BC_SINH!D223)*(DSCKXA!$E$3:$E$73=BC_SINH!E223), 0)),"")</f>
        <v/>
      </c>
      <c r="J223" s="97" t="str">
        <f>IFERROR(VLOOKUP(B223,'Đất sản xuất'!$B$9:$C$216,2,0),"")</f>
        <v xml:space="preserve"> A Quan</v>
      </c>
      <c r="K223" s="97" t="str">
        <f>IFERROR(VLOOKUP(B223,'Sản xuất cấp huyên'!$B$9:$C$177,2,0),"")</f>
        <v/>
      </c>
      <c r="L223" s="4" t="str">
        <f>IFERROR(VLOOKUP(B223,'4069'!$B$9:$C$177,2,0),"")</f>
        <v/>
      </c>
      <c r="M223" s="4" t="str">
        <f t="array" ref="M223">IFERROR(INDEX(KODUDK!$C$8:$C$79, MATCH(1, (KODUDK!$D$8:$D$79=BC_SINH!D223)*(KODUDK!$E$8:$E$79=BC_SINH!E223), 0)),"")</f>
        <v>A Quan</v>
      </c>
      <c r="N223" s="4" t="str">
        <f t="array" ref="N223">IFERROR(INDEX(KODUDK!$H$8:$H$79, MATCH(1, (KODUDK!$D$8:$D$79=BC_SINH!D223)*(KODUDK!$E$8:$E$79=BC_SINH!E223), 0)),"")</f>
        <v>Có 02 thửa đất nên loại 01 thửa</v>
      </c>
      <c r="O223" s="4" t="str">
        <f t="array" ref="O223">IFERROR(INDEX('KO DU ĐK NQ10'!$C$8:$C$48, MATCH(1, ('KO DU ĐK NQ10'!$D$8:$D$48=BC_SINH!D223)*('KO DU ĐK NQ10'!$E$8:$E$48=BC_SINH!E223), 0)),"")</f>
        <v>A Quan</v>
      </c>
      <c r="P223" s="4" t="str">
        <f t="array" ref="P223">IFERROR(INDEX('KO DU ĐK NQ10'!$H$8:$H$48, MATCH(1, ('KO DU ĐK NQ10'!$D$8:$D$48=BC_SINH!D223)*('KO DU ĐK NQ10'!$E$8:$E$48=BC_SINH!E223), 0)),"")</f>
        <v>Có 02 thửa đất nên loại 01 thửa</v>
      </c>
      <c r="Q223" s="4" t="str">
        <f t="array" ref="Q223">IFERROR(INDEX('KO DU ĐK 4069'!$C$8:$C$38, MATCH(1, ('KO DU ĐK 4069'!$D$8:$D$38=BC_SINH!D223)*('KO DU ĐK 4069'!$E$8:$E$38=BC_SINH!E223), 0)),"")</f>
        <v/>
      </c>
      <c r="R223" s="4" t="str">
        <f t="array" ref="R223">IFERROR(INDEX('KO DU ĐK 4069'!$H$8:$H$38, MATCH(1, ('KO DU ĐK 4069'!$D$8:$D$38=BC_SINH!D223)*('KO DU ĐK 4069'!$E$8:$E$38=BC_SINH!E223), 0)),"")</f>
        <v/>
      </c>
      <c r="S223" s="4" t="str">
        <f t="array" ref="S223">IFERROR(INDEX(KeKhaiDangKy!$H$2:$H$4889, MATCH(1, (KeKhaiDangKy!$A$2:$A$4889=BC_SINH!D223)*(KeKhaiDangKy!$B$2:$B$4889=BC_SINH!E223), 0)),"")</f>
        <v>A Quan</v>
      </c>
    </row>
    <row r="224" spans="1:19" ht="14.45" customHeight="1" x14ac:dyDescent="0.25">
      <c r="A224" s="4">
        <f>IF(B224&lt;&gt;"", SUBTOTAL(3, $B$2:B224), "")</f>
        <v>223</v>
      </c>
      <c r="B224" s="4" t="s">
        <v>135</v>
      </c>
      <c r="C224" s="4" t="str">
        <f t="shared" si="3"/>
        <v xml:space="preserve"> A Quan</v>
      </c>
      <c r="D224" s="4">
        <v>21</v>
      </c>
      <c r="E224" s="4">
        <v>237</v>
      </c>
      <c r="F224" s="4">
        <v>10258</v>
      </c>
      <c r="G224" s="4" t="s">
        <v>11</v>
      </c>
      <c r="H224" s="4" t="str">
        <f t="array" ref="H224">IFERROR(INDEX(DSCKXA!$B$3:$B$73, MATCH(1, (DSCKXA!$D$3:$D$73=BC_SINH!D224)*(DSCKXA!$E$3:$E$73=BC_SINH!E224), 0)),"")</f>
        <v>Hồ Văn Vêr</v>
      </c>
      <c r="I224" s="99" t="str">
        <f t="array" ref="I224">IFERROR(INDEX(DSCKXA!$C$3:$C$73, MATCH(1, (DSCKXA!$D$3:$D$73=BC_SINH!D224)*(DSCKXA!$E$3:$E$73=BC_SINH!E224), 0)),"")</f>
        <v>Thôn A Quan</v>
      </c>
      <c r="J224" s="97" t="str">
        <f>IFERROR(VLOOKUP(B224,'Đất sản xuất'!$B$9:$C$216,2,0),"")</f>
        <v xml:space="preserve"> A Quan</v>
      </c>
      <c r="K224" s="97" t="str">
        <f>IFERROR(VLOOKUP(B224,'Sản xuất cấp huyên'!$B$9:$C$177,2,0),"")</f>
        <v/>
      </c>
      <c r="L224" s="4" t="str">
        <f>IFERROR(VLOOKUP(B224,'4069'!$B$9:$C$177,2,0),"")</f>
        <v/>
      </c>
      <c r="M224" s="4" t="str">
        <f t="array" ref="M224">IFERROR(INDEX(KODUDK!$C$8:$C$79, MATCH(1, (KODUDK!$D$8:$D$79=BC_SINH!D224)*(KODUDK!$E$8:$E$79=BC_SINH!E224), 0)),"")</f>
        <v/>
      </c>
      <c r="N224" s="4" t="str">
        <f t="array" ref="N224">IFERROR(INDEX(KODUDK!$H$8:$H$79, MATCH(1, (KODUDK!$D$8:$D$79=BC_SINH!D224)*(KODUDK!$E$8:$E$79=BC_SINH!E224), 0)),"")</f>
        <v/>
      </c>
      <c r="O224" s="4" t="str">
        <f t="array" ref="O224">IFERROR(INDEX('KO DU ĐK NQ10'!$C$8:$C$48, MATCH(1, ('KO DU ĐK NQ10'!$D$8:$D$48=BC_SINH!D224)*('KO DU ĐK NQ10'!$E$8:$E$48=BC_SINH!E224), 0)),"")</f>
        <v/>
      </c>
      <c r="P224" s="4" t="str">
        <f t="array" ref="P224">IFERROR(INDEX('KO DU ĐK NQ10'!$H$8:$H$48, MATCH(1, ('KO DU ĐK NQ10'!$D$8:$D$48=BC_SINH!D224)*('KO DU ĐK NQ10'!$E$8:$E$48=BC_SINH!E224), 0)),"")</f>
        <v/>
      </c>
      <c r="Q224" s="4" t="str">
        <f t="array" ref="Q224">IFERROR(INDEX('KO DU ĐK 4069'!$C$8:$C$38, MATCH(1, ('KO DU ĐK 4069'!$D$8:$D$38=BC_SINH!D224)*('KO DU ĐK 4069'!$E$8:$E$38=BC_SINH!E224), 0)),"")</f>
        <v/>
      </c>
      <c r="R224" s="4" t="str">
        <f t="array" ref="R224">IFERROR(INDEX('KO DU ĐK 4069'!$H$8:$H$38, MATCH(1, ('KO DU ĐK 4069'!$D$8:$D$38=BC_SINH!D224)*('KO DU ĐK 4069'!$E$8:$E$38=BC_SINH!E224), 0)),"")</f>
        <v/>
      </c>
      <c r="S224" s="4" t="str">
        <f t="array" ref="S224">IFERROR(INDEX(KeKhaiDangKy!$H$2:$H$4889, MATCH(1, (KeKhaiDangKy!$A$2:$A$4889=BC_SINH!D224)*(KeKhaiDangKy!$B$2:$B$4889=BC_SINH!E224), 0)),"")</f>
        <v>Kỳ Tăng</v>
      </c>
    </row>
    <row r="225" spans="1:19" ht="14.45" customHeight="1" x14ac:dyDescent="0.25">
      <c r="A225" s="4">
        <f>IF(B225&lt;&gt;"", SUBTOTAL(3, $B$2:B225), "")</f>
        <v>224</v>
      </c>
      <c r="B225" s="4" t="s">
        <v>136</v>
      </c>
      <c r="C225" s="4" t="str">
        <f t="shared" si="3"/>
        <v>Kỳ Tăng</v>
      </c>
      <c r="D225" s="4">
        <v>38</v>
      </c>
      <c r="E225" s="4">
        <v>109</v>
      </c>
      <c r="F225" s="4">
        <v>1026</v>
      </c>
      <c r="G225" s="4" t="s">
        <v>11</v>
      </c>
      <c r="H225" s="4" t="str">
        <f t="array" ref="H225">IFERROR(INDEX(DSCKXA!$B$3:$B$73, MATCH(1, (DSCKXA!$D$3:$D$73=BC_SINH!D225)*(DSCKXA!$E$3:$E$73=BC_SINH!E225), 0)),"")</f>
        <v/>
      </c>
      <c r="I225" s="99" t="str">
        <f t="array" ref="I225">IFERROR(INDEX(DSCKXA!$C$3:$C$73, MATCH(1, (DSCKXA!$D$3:$D$73=BC_SINH!D225)*(DSCKXA!$E$3:$E$73=BC_SINH!E225), 0)),"")</f>
        <v/>
      </c>
      <c r="J225" s="97" t="str">
        <f>IFERROR(VLOOKUP(B225,'Đất sản xuất'!$B$9:$C$216,2,0),"")</f>
        <v/>
      </c>
      <c r="K225" s="97" t="str">
        <f>IFERROR(VLOOKUP(B225,'Sản xuất cấp huyên'!$B$9:$C$177,2,0),"")</f>
        <v/>
      </c>
      <c r="L225" s="4" t="str">
        <f>IFERROR(VLOOKUP(B225,'4069'!$B$9:$C$177,2,0),"")</f>
        <v/>
      </c>
      <c r="M225" s="4" t="str">
        <f t="array" ref="M225">IFERROR(INDEX(KODUDK!$C$8:$C$79, MATCH(1, (KODUDK!$D$8:$D$79=BC_SINH!D225)*(KODUDK!$E$8:$E$79=BC_SINH!E225), 0)),"")</f>
        <v/>
      </c>
      <c r="N225" s="4" t="str">
        <f t="array" ref="N225">IFERROR(INDEX(KODUDK!$H$8:$H$79, MATCH(1, (KODUDK!$D$8:$D$79=BC_SINH!D225)*(KODUDK!$E$8:$E$79=BC_SINH!E225), 0)),"")</f>
        <v/>
      </c>
      <c r="O225" s="4" t="str">
        <f t="array" ref="O225">IFERROR(INDEX('KO DU ĐK NQ10'!$C$8:$C$48, MATCH(1, ('KO DU ĐK NQ10'!$D$8:$D$48=BC_SINH!D225)*('KO DU ĐK NQ10'!$E$8:$E$48=BC_SINH!E225), 0)),"")</f>
        <v/>
      </c>
      <c r="P225" s="4" t="str">
        <f t="array" ref="P225">IFERROR(INDEX('KO DU ĐK NQ10'!$H$8:$H$48, MATCH(1, ('KO DU ĐK NQ10'!$D$8:$D$48=BC_SINH!D225)*('KO DU ĐK NQ10'!$E$8:$E$48=BC_SINH!E225), 0)),"")</f>
        <v/>
      </c>
      <c r="Q225" s="4" t="str">
        <f t="array" ref="Q225">IFERROR(INDEX('KO DU ĐK 4069'!$C$8:$C$38, MATCH(1, ('KO DU ĐK 4069'!$D$8:$D$38=BC_SINH!D225)*('KO DU ĐK 4069'!$E$8:$E$38=BC_SINH!E225), 0)),"")</f>
        <v/>
      </c>
      <c r="R225" s="4" t="str">
        <f t="array" ref="R225">IFERROR(INDEX('KO DU ĐK 4069'!$H$8:$H$38, MATCH(1, ('KO DU ĐK 4069'!$D$8:$D$38=BC_SINH!D225)*('KO DU ĐK 4069'!$E$8:$E$38=BC_SINH!E225), 0)),"")</f>
        <v/>
      </c>
      <c r="S225" s="4" t="str">
        <f t="array" ref="S225">IFERROR(INDEX(KeKhaiDangKy!$H$2:$H$4889, MATCH(1, (KeKhaiDangKy!$A$2:$A$4889=BC_SINH!D225)*(KeKhaiDangKy!$B$2:$B$4889=BC_SINH!E225), 0)),"")</f>
        <v>Kỳ Tăng</v>
      </c>
    </row>
    <row r="226" spans="1:19" ht="14.45" customHeight="1" x14ac:dyDescent="0.25">
      <c r="A226" s="4">
        <f>IF(B226&lt;&gt;"", SUBTOTAL(3, $B$2:B226), "")</f>
        <v>225</v>
      </c>
      <c r="B226" s="4" t="s">
        <v>136</v>
      </c>
      <c r="C226" s="4" t="str">
        <f t="shared" si="3"/>
        <v/>
      </c>
      <c r="D226" s="4">
        <v>36</v>
      </c>
      <c r="E226" s="4">
        <v>74</v>
      </c>
      <c r="F226" s="4">
        <v>3261</v>
      </c>
      <c r="G226" s="4" t="s">
        <v>11</v>
      </c>
      <c r="H226" s="4" t="str">
        <f t="array" ref="H226">IFERROR(INDEX(DSCKXA!$B$3:$B$73, MATCH(1, (DSCKXA!$D$3:$D$73=BC_SINH!D226)*(DSCKXA!$E$3:$E$73=BC_SINH!E226), 0)),"")</f>
        <v/>
      </c>
      <c r="I226" s="99" t="str">
        <f t="array" ref="I226">IFERROR(INDEX(DSCKXA!$C$3:$C$73, MATCH(1, (DSCKXA!$D$3:$D$73=BC_SINH!D226)*(DSCKXA!$E$3:$E$73=BC_SINH!E226), 0)),"")</f>
        <v/>
      </c>
      <c r="J226" s="97" t="str">
        <f>IFERROR(VLOOKUP(B226,'Đất sản xuất'!$B$9:$C$216,2,0),"")</f>
        <v/>
      </c>
      <c r="K226" s="97" t="str">
        <f>IFERROR(VLOOKUP(B226,'Sản xuất cấp huyên'!$B$9:$C$177,2,0),"")</f>
        <v/>
      </c>
      <c r="L226" s="4" t="str">
        <f>IFERROR(VLOOKUP(B226,'4069'!$B$9:$C$177,2,0),"")</f>
        <v/>
      </c>
      <c r="M226" s="4" t="str">
        <f t="array" ref="M226">IFERROR(INDEX(KODUDK!$C$8:$C$79, MATCH(1, (KODUDK!$D$8:$D$79=BC_SINH!D226)*(KODUDK!$E$8:$E$79=BC_SINH!E226), 0)),"")</f>
        <v/>
      </c>
      <c r="N226" s="4" t="str">
        <f t="array" ref="N226">IFERROR(INDEX(KODUDK!$H$8:$H$79, MATCH(1, (KODUDK!$D$8:$D$79=BC_SINH!D226)*(KODUDK!$E$8:$E$79=BC_SINH!E226), 0)),"")</f>
        <v/>
      </c>
      <c r="O226" s="4" t="str">
        <f t="array" ref="O226">IFERROR(INDEX('KO DU ĐK NQ10'!$C$8:$C$48, MATCH(1, ('KO DU ĐK NQ10'!$D$8:$D$48=BC_SINH!D226)*('KO DU ĐK NQ10'!$E$8:$E$48=BC_SINH!E226), 0)),"")</f>
        <v/>
      </c>
      <c r="P226" s="4" t="str">
        <f t="array" ref="P226">IFERROR(INDEX('KO DU ĐK NQ10'!$H$8:$H$48, MATCH(1, ('KO DU ĐK NQ10'!$D$8:$D$48=BC_SINH!D226)*('KO DU ĐK NQ10'!$E$8:$E$48=BC_SINH!E226), 0)),"")</f>
        <v/>
      </c>
      <c r="Q226" s="4" t="str">
        <f t="array" ref="Q226">IFERROR(INDEX('KO DU ĐK 4069'!$C$8:$C$38, MATCH(1, ('KO DU ĐK 4069'!$D$8:$D$38=BC_SINH!D226)*('KO DU ĐK 4069'!$E$8:$E$38=BC_SINH!E226), 0)),"")</f>
        <v/>
      </c>
      <c r="R226" s="4" t="str">
        <f t="array" ref="R226">IFERROR(INDEX('KO DU ĐK 4069'!$H$8:$H$38, MATCH(1, ('KO DU ĐK 4069'!$D$8:$D$38=BC_SINH!D226)*('KO DU ĐK 4069'!$E$8:$E$38=BC_SINH!E226), 0)),"")</f>
        <v/>
      </c>
      <c r="S226" s="4" t="str">
        <f t="array" ref="S226">IFERROR(INDEX(KeKhaiDangKy!$H$2:$H$4889, MATCH(1, (KeKhaiDangKy!$A$2:$A$4889=BC_SINH!D226)*(KeKhaiDangKy!$B$2:$B$4889=BC_SINH!E226), 0)),"")</f>
        <v/>
      </c>
    </row>
    <row r="227" spans="1:19" ht="14.45" customHeight="1" x14ac:dyDescent="0.25">
      <c r="A227" s="4">
        <f>IF(B227&lt;&gt;"", SUBTOTAL(3, $B$2:B227), "")</f>
        <v>226</v>
      </c>
      <c r="B227" s="4" t="s">
        <v>137</v>
      </c>
      <c r="C227" s="4" t="str">
        <f t="shared" si="3"/>
        <v/>
      </c>
      <c r="D227" s="4">
        <v>21</v>
      </c>
      <c r="E227" s="4">
        <v>238</v>
      </c>
      <c r="F227" s="4">
        <v>7637</v>
      </c>
      <c r="G227" s="4" t="s">
        <v>11</v>
      </c>
      <c r="H227" s="4" t="str">
        <f t="array" ref="H227">IFERROR(INDEX(DSCKXA!$B$3:$B$73, MATCH(1, (DSCKXA!$D$3:$D$73=BC_SINH!D227)*(DSCKXA!$E$3:$E$73=BC_SINH!E227), 0)),"")</f>
        <v/>
      </c>
      <c r="I227" s="99" t="str">
        <f t="array" ref="I227">IFERROR(INDEX(DSCKXA!$C$3:$C$73, MATCH(1, (DSCKXA!$D$3:$D$73=BC_SINH!D227)*(DSCKXA!$E$3:$E$73=BC_SINH!E227), 0)),"")</f>
        <v/>
      </c>
      <c r="J227" s="97" t="str">
        <f>IFERROR(VLOOKUP(B227,'Đất sản xuất'!$B$9:$C$216,2,0),"")</f>
        <v/>
      </c>
      <c r="K227" s="97" t="str">
        <f>IFERROR(VLOOKUP(B227,'Sản xuất cấp huyên'!$B$9:$C$177,2,0),"")</f>
        <v/>
      </c>
      <c r="L227" s="4" t="str">
        <f>IFERROR(VLOOKUP(B227,'4069'!$B$9:$C$177,2,0),"")</f>
        <v/>
      </c>
      <c r="M227" s="4" t="str">
        <f t="array" ref="M227">IFERROR(INDEX(KODUDK!$C$8:$C$79, MATCH(1, (KODUDK!$D$8:$D$79=BC_SINH!D227)*(KODUDK!$E$8:$E$79=BC_SINH!E227), 0)),"")</f>
        <v/>
      </c>
      <c r="N227" s="4" t="str">
        <f t="array" ref="N227">IFERROR(INDEX(KODUDK!$H$8:$H$79, MATCH(1, (KODUDK!$D$8:$D$79=BC_SINH!D227)*(KODUDK!$E$8:$E$79=BC_SINH!E227), 0)),"")</f>
        <v/>
      </c>
      <c r="O227" s="4" t="str">
        <f t="array" ref="O227">IFERROR(INDEX('KO DU ĐK NQ10'!$C$8:$C$48, MATCH(1, ('KO DU ĐK NQ10'!$D$8:$D$48=BC_SINH!D227)*('KO DU ĐK NQ10'!$E$8:$E$48=BC_SINH!E227), 0)),"")</f>
        <v/>
      </c>
      <c r="P227" s="4" t="str">
        <f t="array" ref="P227">IFERROR(INDEX('KO DU ĐK NQ10'!$H$8:$H$48, MATCH(1, ('KO DU ĐK NQ10'!$D$8:$D$48=BC_SINH!D227)*('KO DU ĐK NQ10'!$E$8:$E$48=BC_SINH!E227), 0)),"")</f>
        <v/>
      </c>
      <c r="Q227" s="4" t="str">
        <f t="array" ref="Q227">IFERROR(INDEX('KO DU ĐK 4069'!$C$8:$C$38, MATCH(1, ('KO DU ĐK 4069'!$D$8:$D$38=BC_SINH!D227)*('KO DU ĐK 4069'!$E$8:$E$38=BC_SINH!E227), 0)),"")</f>
        <v/>
      </c>
      <c r="R227" s="4" t="str">
        <f t="array" ref="R227">IFERROR(INDEX('KO DU ĐK 4069'!$H$8:$H$38, MATCH(1, ('KO DU ĐK 4069'!$D$8:$D$38=BC_SINH!D227)*('KO DU ĐK 4069'!$E$8:$E$38=BC_SINH!E227), 0)),"")</f>
        <v/>
      </c>
      <c r="S227" s="4" t="str">
        <f t="array" ref="S227">IFERROR(INDEX(KeKhaiDangKy!$H$2:$H$4889, MATCH(1, (KeKhaiDangKy!$A$2:$A$4889=BC_SINH!D227)*(KeKhaiDangKy!$B$2:$B$4889=BC_SINH!E227), 0)),"")</f>
        <v/>
      </c>
    </row>
    <row r="228" spans="1:19" ht="14.45" customHeight="1" x14ac:dyDescent="0.25">
      <c r="A228" s="4">
        <f>IF(B228&lt;&gt;"", SUBTOTAL(3, $B$2:B228), "")</f>
        <v>227</v>
      </c>
      <c r="B228" s="4" t="s">
        <v>138</v>
      </c>
      <c r="C228" s="4" t="str">
        <f t="shared" si="3"/>
        <v xml:space="preserve"> A Quan</v>
      </c>
      <c r="D228" s="4">
        <v>21</v>
      </c>
      <c r="E228" s="4">
        <v>239</v>
      </c>
      <c r="F228" s="4">
        <v>7251</v>
      </c>
      <c r="G228" s="4" t="s">
        <v>11</v>
      </c>
      <c r="H228" s="4" t="str">
        <f t="array" ref="H228">IFERROR(INDEX(DSCKXA!$B$3:$B$73, MATCH(1, (DSCKXA!$D$3:$D$73=BC_SINH!D228)*(DSCKXA!$E$3:$E$73=BC_SINH!E228), 0)),"")</f>
        <v>Hồ Văn Vinh</v>
      </c>
      <c r="I228" s="99" t="str">
        <f t="array" ref="I228">IFERROR(INDEX(DSCKXA!$C$3:$C$73, MATCH(1, (DSCKXA!$D$3:$D$73=BC_SINH!D228)*(DSCKXA!$E$3:$E$73=BC_SINH!E228), 0)),"")</f>
        <v>Thôn A Quan</v>
      </c>
      <c r="J228" s="97" t="str">
        <f>IFERROR(VLOOKUP(B228,'Đất sản xuất'!$B$9:$C$216,2,0),"")</f>
        <v xml:space="preserve"> A Quan</v>
      </c>
      <c r="K228" s="97" t="str">
        <f>IFERROR(VLOOKUP(B228,'Sản xuất cấp huyên'!$B$9:$C$177,2,0),"")</f>
        <v>Kỳ Nơi</v>
      </c>
      <c r="L228" s="4" t="str">
        <f>IFERROR(VLOOKUP(B228,'4069'!$B$9:$C$177,2,0),"")</f>
        <v>Kỳ Nơi</v>
      </c>
      <c r="M228" s="4" t="str">
        <f t="array" ref="M228">IFERROR(INDEX(KODUDK!$C$8:$C$79, MATCH(1, (KODUDK!$D$8:$D$79=BC_SINH!D228)*(KODUDK!$E$8:$E$79=BC_SINH!E228), 0)),"")</f>
        <v/>
      </c>
      <c r="N228" s="4" t="str">
        <f t="array" ref="N228">IFERROR(INDEX(KODUDK!$H$8:$H$79, MATCH(1, (KODUDK!$D$8:$D$79=BC_SINH!D228)*(KODUDK!$E$8:$E$79=BC_SINH!E228), 0)),"")</f>
        <v/>
      </c>
      <c r="O228" s="4" t="str">
        <f t="array" ref="O228">IFERROR(INDEX('KO DU ĐK NQ10'!$C$8:$C$48, MATCH(1, ('KO DU ĐK NQ10'!$D$8:$D$48=BC_SINH!D228)*('KO DU ĐK NQ10'!$E$8:$E$48=BC_SINH!E228), 0)),"")</f>
        <v/>
      </c>
      <c r="P228" s="4" t="str">
        <f t="array" ref="P228">IFERROR(INDEX('KO DU ĐK NQ10'!$H$8:$H$48, MATCH(1, ('KO DU ĐK NQ10'!$D$8:$D$48=BC_SINH!D228)*('KO DU ĐK NQ10'!$E$8:$E$48=BC_SINH!E228), 0)),"")</f>
        <v/>
      </c>
      <c r="Q228" s="4" t="str">
        <f t="array" ref="Q228">IFERROR(INDEX('KO DU ĐK 4069'!$C$8:$C$38, MATCH(1, ('KO DU ĐK 4069'!$D$8:$D$38=BC_SINH!D228)*('KO DU ĐK 4069'!$E$8:$E$38=BC_SINH!E228), 0)),"")</f>
        <v/>
      </c>
      <c r="R228" s="4" t="str">
        <f t="array" ref="R228">IFERROR(INDEX('KO DU ĐK 4069'!$H$8:$H$38, MATCH(1, ('KO DU ĐK 4069'!$D$8:$D$38=BC_SINH!D228)*('KO DU ĐK 4069'!$E$8:$E$38=BC_SINH!E228), 0)),"")</f>
        <v/>
      </c>
      <c r="S228" s="4" t="str">
        <f t="array" ref="S228">IFERROR(INDEX(KeKhaiDangKy!$H$2:$H$4889, MATCH(1, (KeKhaiDangKy!$A$2:$A$4889=BC_SINH!D228)*(KeKhaiDangKy!$B$2:$B$4889=BC_SINH!E228), 0)),"")</f>
        <v>Kỳ Tăng</v>
      </c>
    </row>
    <row r="229" spans="1:19" ht="14.45" customHeight="1" x14ac:dyDescent="0.25">
      <c r="A229" s="4">
        <f>IF(B229&lt;&gt;"", SUBTOTAL(3, $B$2:B229), "")</f>
        <v>228</v>
      </c>
      <c r="B229" s="4" t="s">
        <v>139</v>
      </c>
      <c r="C229" s="4" t="str">
        <f t="shared" si="3"/>
        <v>Kỳ Tăng</v>
      </c>
      <c r="D229" s="4">
        <v>21</v>
      </c>
      <c r="E229" s="4">
        <v>240</v>
      </c>
      <c r="F229" s="4">
        <v>10971</v>
      </c>
      <c r="G229" s="4" t="s">
        <v>11</v>
      </c>
      <c r="H229" s="4" t="str">
        <f t="array" ref="H229">IFERROR(INDEX(DSCKXA!$B$3:$B$73, MATCH(1, (DSCKXA!$D$3:$D$73=BC_SINH!D229)*(DSCKXA!$E$3:$E$73=BC_SINH!E229), 0)),"")</f>
        <v/>
      </c>
      <c r="I229" s="99" t="str">
        <f t="array" ref="I229">IFERROR(INDEX(DSCKXA!$C$3:$C$73, MATCH(1, (DSCKXA!$D$3:$D$73=BC_SINH!D229)*(DSCKXA!$E$3:$E$73=BC_SINH!E229), 0)),"")</f>
        <v/>
      </c>
      <c r="J229" s="97" t="str">
        <f>IFERROR(VLOOKUP(B229,'Đất sản xuất'!$B$9:$C$216,2,0),"")</f>
        <v>Kỳ Tăng</v>
      </c>
      <c r="K229" s="97" t="str">
        <f>IFERROR(VLOOKUP(B229,'Sản xuất cấp huyên'!$B$9:$C$177,2,0),"")</f>
        <v/>
      </c>
      <c r="L229" s="4" t="str">
        <f>IFERROR(VLOOKUP(B229,'4069'!$B$9:$C$177,2,0),"")</f>
        <v/>
      </c>
      <c r="M229" s="4" t="str">
        <f t="array" ref="M229">IFERROR(INDEX(KODUDK!$C$8:$C$79, MATCH(1, (KODUDK!$D$8:$D$79=BC_SINH!D229)*(KODUDK!$E$8:$E$79=BC_SINH!E229), 0)),"")</f>
        <v/>
      </c>
      <c r="N229" s="4" t="str">
        <f t="array" ref="N229">IFERROR(INDEX(KODUDK!$H$8:$H$79, MATCH(1, (KODUDK!$D$8:$D$79=BC_SINH!D229)*(KODUDK!$E$8:$E$79=BC_SINH!E229), 0)),"")</f>
        <v/>
      </c>
      <c r="O229" s="4" t="str">
        <f t="array" ref="O229">IFERROR(INDEX('KO DU ĐK NQ10'!$C$8:$C$48, MATCH(1, ('KO DU ĐK NQ10'!$D$8:$D$48=BC_SINH!D229)*('KO DU ĐK NQ10'!$E$8:$E$48=BC_SINH!E229), 0)),"")</f>
        <v/>
      </c>
      <c r="P229" s="4" t="str">
        <f t="array" ref="P229">IFERROR(INDEX('KO DU ĐK NQ10'!$H$8:$H$48, MATCH(1, ('KO DU ĐK NQ10'!$D$8:$D$48=BC_SINH!D229)*('KO DU ĐK NQ10'!$E$8:$E$48=BC_SINH!E229), 0)),"")</f>
        <v/>
      </c>
      <c r="Q229" s="4" t="str">
        <f t="array" ref="Q229">IFERROR(INDEX('KO DU ĐK 4069'!$C$8:$C$38, MATCH(1, ('KO DU ĐK 4069'!$D$8:$D$38=BC_SINH!D229)*('KO DU ĐK 4069'!$E$8:$E$38=BC_SINH!E229), 0)),"")</f>
        <v/>
      </c>
      <c r="R229" s="4" t="str">
        <f t="array" ref="R229">IFERROR(INDEX('KO DU ĐK 4069'!$H$8:$H$38, MATCH(1, ('KO DU ĐK 4069'!$D$8:$D$38=BC_SINH!D229)*('KO DU ĐK 4069'!$E$8:$E$38=BC_SINH!E229), 0)),"")</f>
        <v/>
      </c>
      <c r="S229" s="4" t="str">
        <f t="array" ref="S229">IFERROR(INDEX(KeKhaiDangKy!$H$2:$H$4889, MATCH(1, (KeKhaiDangKy!$A$2:$A$4889=BC_SINH!D229)*(KeKhaiDangKy!$B$2:$B$4889=BC_SINH!E229), 0)),"")</f>
        <v/>
      </c>
    </row>
    <row r="230" spans="1:19" ht="14.45" customHeight="1" x14ac:dyDescent="0.25">
      <c r="A230" s="4">
        <f>IF(B230&lt;&gt;"", SUBTOTAL(3, $B$2:B230), "")</f>
        <v>229</v>
      </c>
      <c r="B230" s="4" t="s">
        <v>139</v>
      </c>
      <c r="C230" s="4" t="str">
        <f t="shared" si="3"/>
        <v>Kỳ Tăng</v>
      </c>
      <c r="D230" s="4">
        <v>21</v>
      </c>
      <c r="E230" s="4">
        <v>241</v>
      </c>
      <c r="F230" s="4">
        <v>6942</v>
      </c>
      <c r="G230" s="4" t="s">
        <v>11</v>
      </c>
      <c r="H230" s="4" t="str">
        <f t="array" ref="H230">IFERROR(INDEX(DSCKXA!$B$3:$B$73, MATCH(1, (DSCKXA!$D$3:$D$73=BC_SINH!D230)*(DSCKXA!$E$3:$E$73=BC_SINH!E230), 0)),"")</f>
        <v>Hồ Văn Vói</v>
      </c>
      <c r="I230" s="99" t="str">
        <f t="array" ref="I230">IFERROR(INDEX(DSCKXA!$C$3:$C$73, MATCH(1, (DSCKXA!$D$3:$D$73=BC_SINH!D230)*(DSCKXA!$E$3:$E$73=BC_SINH!E230), 0)),"")</f>
        <v>Thôn Kỳ Tăng</v>
      </c>
      <c r="J230" s="97" t="str">
        <f>IFERROR(VLOOKUP(B230,'Đất sản xuất'!$B$9:$C$216,2,0),"")</f>
        <v>Kỳ Tăng</v>
      </c>
      <c r="K230" s="97" t="str">
        <f>IFERROR(VLOOKUP(B230,'Sản xuất cấp huyên'!$B$9:$C$177,2,0),"")</f>
        <v/>
      </c>
      <c r="L230" s="4" t="str">
        <f>IFERROR(VLOOKUP(B230,'4069'!$B$9:$C$177,2,0),"")</f>
        <v/>
      </c>
      <c r="M230" s="4" t="str">
        <f t="array" ref="M230">IFERROR(INDEX(KODUDK!$C$8:$C$79, MATCH(1, (KODUDK!$D$8:$D$79=BC_SINH!D230)*(KODUDK!$E$8:$E$79=BC_SINH!E230), 0)),"")</f>
        <v/>
      </c>
      <c r="N230" s="4" t="str">
        <f t="array" ref="N230">IFERROR(INDEX(KODUDK!$H$8:$H$79, MATCH(1, (KODUDK!$D$8:$D$79=BC_SINH!D230)*(KODUDK!$E$8:$E$79=BC_SINH!E230), 0)),"")</f>
        <v/>
      </c>
      <c r="O230" s="4" t="str">
        <f t="array" ref="O230">IFERROR(INDEX('KO DU ĐK NQ10'!$C$8:$C$48, MATCH(1, ('KO DU ĐK NQ10'!$D$8:$D$48=BC_SINH!D230)*('KO DU ĐK NQ10'!$E$8:$E$48=BC_SINH!E230), 0)),"")</f>
        <v/>
      </c>
      <c r="P230" s="4" t="str">
        <f t="array" ref="P230">IFERROR(INDEX('KO DU ĐK NQ10'!$H$8:$H$48, MATCH(1, ('KO DU ĐK NQ10'!$D$8:$D$48=BC_SINH!D230)*('KO DU ĐK NQ10'!$E$8:$E$48=BC_SINH!E230), 0)),"")</f>
        <v/>
      </c>
      <c r="Q230" s="4" t="str">
        <f t="array" ref="Q230">IFERROR(INDEX('KO DU ĐK 4069'!$C$8:$C$38, MATCH(1, ('KO DU ĐK 4069'!$D$8:$D$38=BC_SINH!D230)*('KO DU ĐK 4069'!$E$8:$E$38=BC_SINH!E230), 0)),"")</f>
        <v/>
      </c>
      <c r="R230" s="4" t="str">
        <f t="array" ref="R230">IFERROR(INDEX('KO DU ĐK 4069'!$H$8:$H$38, MATCH(1, ('KO DU ĐK 4069'!$D$8:$D$38=BC_SINH!D230)*('KO DU ĐK 4069'!$E$8:$E$38=BC_SINH!E230), 0)),"")</f>
        <v/>
      </c>
      <c r="S230" s="4" t="str">
        <f t="array" ref="S230">IFERROR(INDEX(KeKhaiDangKy!$H$2:$H$4889, MATCH(1, (KeKhaiDangKy!$A$2:$A$4889=BC_SINH!D230)*(KeKhaiDangKy!$B$2:$B$4889=BC_SINH!E230), 0)),"")</f>
        <v/>
      </c>
    </row>
    <row r="231" spans="1:19" ht="14.45" customHeight="1" x14ac:dyDescent="0.25">
      <c r="A231" s="4">
        <f>IF(B231&lt;&gt;"", SUBTOTAL(3, $B$2:B231), "")</f>
        <v>230</v>
      </c>
      <c r="B231" s="4" t="s">
        <v>140</v>
      </c>
      <c r="C231" s="4" t="str">
        <f t="shared" si="3"/>
        <v>A Xói Hang</v>
      </c>
      <c r="D231" s="4">
        <v>8</v>
      </c>
      <c r="E231" s="4">
        <v>190</v>
      </c>
      <c r="F231" s="4">
        <v>7991</v>
      </c>
      <c r="G231" s="4" t="s">
        <v>11</v>
      </c>
      <c r="H231" s="4" t="str">
        <f t="array" ref="H231">IFERROR(INDEX(DSCKXA!$B$3:$B$73, MATCH(1, (DSCKXA!$D$3:$D$73=BC_SINH!D231)*(DSCKXA!$E$3:$E$73=BC_SINH!E231), 0)),"")</f>
        <v>Hồ Văn Vồng</v>
      </c>
      <c r="I231" s="99" t="str">
        <f t="array" ref="I231">IFERROR(INDEX(DSCKXA!$C$3:$C$73, MATCH(1, (DSCKXA!$D$3:$D$73=BC_SINH!D231)*(DSCKXA!$E$3:$E$73=BC_SINH!E231), 0)),"")</f>
        <v>Thôn A Xói Hang</v>
      </c>
      <c r="J231" s="97" t="str">
        <f>IFERROR(VLOOKUP(B231,'Đất sản xuất'!$B$9:$C$216,2,0),"")</f>
        <v>A Xói Hang</v>
      </c>
      <c r="K231" s="97" t="str">
        <f>IFERROR(VLOOKUP(B231,'Sản xuất cấp huyên'!$B$9:$C$177,2,0),"")</f>
        <v/>
      </c>
      <c r="L231" s="4" t="str">
        <f>IFERROR(VLOOKUP(B231,'4069'!$B$9:$C$177,2,0),"")</f>
        <v/>
      </c>
      <c r="M231" s="4" t="str">
        <f t="array" ref="M231">IFERROR(INDEX(KODUDK!$C$8:$C$79, MATCH(1, (KODUDK!$D$8:$D$79=BC_SINH!D231)*(KODUDK!$E$8:$E$79=BC_SINH!E231), 0)),"")</f>
        <v/>
      </c>
      <c r="N231" s="4" t="str">
        <f t="array" ref="N231">IFERROR(INDEX(KODUDK!$H$8:$H$79, MATCH(1, (KODUDK!$D$8:$D$79=BC_SINH!D231)*(KODUDK!$E$8:$E$79=BC_SINH!E231), 0)),"")</f>
        <v/>
      </c>
      <c r="O231" s="4" t="str">
        <f t="array" ref="O231">IFERROR(INDEX('KO DU ĐK NQ10'!$C$8:$C$48, MATCH(1, ('KO DU ĐK NQ10'!$D$8:$D$48=BC_SINH!D231)*('KO DU ĐK NQ10'!$E$8:$E$48=BC_SINH!E231), 0)),"")</f>
        <v/>
      </c>
      <c r="P231" s="4" t="str">
        <f t="array" ref="P231">IFERROR(INDEX('KO DU ĐK NQ10'!$H$8:$H$48, MATCH(1, ('KO DU ĐK NQ10'!$D$8:$D$48=BC_SINH!D231)*('KO DU ĐK NQ10'!$E$8:$E$48=BC_SINH!E231), 0)),"")</f>
        <v/>
      </c>
      <c r="Q231" s="4" t="str">
        <f t="array" ref="Q231">IFERROR(INDEX('KO DU ĐK 4069'!$C$8:$C$38, MATCH(1, ('KO DU ĐK 4069'!$D$8:$D$38=BC_SINH!D231)*('KO DU ĐK 4069'!$E$8:$E$38=BC_SINH!E231), 0)),"")</f>
        <v/>
      </c>
      <c r="R231" s="4" t="str">
        <f t="array" ref="R231">IFERROR(INDEX('KO DU ĐK 4069'!$H$8:$H$38, MATCH(1, ('KO DU ĐK 4069'!$D$8:$D$38=BC_SINH!D231)*('KO DU ĐK 4069'!$E$8:$E$38=BC_SINH!E231), 0)),"")</f>
        <v/>
      </c>
      <c r="S231" s="4" t="str">
        <f t="array" ref="S231">IFERROR(INDEX(KeKhaiDangKy!$H$2:$H$4889, MATCH(1, (KeKhaiDangKy!$A$2:$A$4889=BC_SINH!D231)*(KeKhaiDangKy!$B$2:$B$4889=BC_SINH!E231), 0)),"")</f>
        <v/>
      </c>
    </row>
    <row r="232" spans="1:19" ht="14.45" customHeight="1" x14ac:dyDescent="0.25">
      <c r="A232" s="4">
        <f>IF(B232&lt;&gt;"", SUBTOTAL(3, $B$2:B232), "")</f>
        <v>231</v>
      </c>
      <c r="B232" s="4" t="s">
        <v>141</v>
      </c>
      <c r="C232" s="4" t="str">
        <f t="shared" si="3"/>
        <v>Tăng Cô Hang</v>
      </c>
      <c r="D232" s="4">
        <v>21</v>
      </c>
      <c r="E232" s="4">
        <v>242</v>
      </c>
      <c r="F232" s="4">
        <v>4876</v>
      </c>
      <c r="G232" s="4" t="s">
        <v>11</v>
      </c>
      <c r="H232" s="4" t="str">
        <f t="array" ref="H232">IFERROR(INDEX(DSCKXA!$B$3:$B$73, MATCH(1, (DSCKXA!$D$3:$D$73=BC_SINH!D232)*(DSCKXA!$E$3:$E$73=BC_SINH!E232), 0)),"")</f>
        <v/>
      </c>
      <c r="I232" s="99" t="str">
        <f t="array" ref="I232">IFERROR(INDEX(DSCKXA!$C$3:$C$73, MATCH(1, (DSCKXA!$D$3:$D$73=BC_SINH!D232)*(DSCKXA!$E$3:$E$73=BC_SINH!E232), 0)),"")</f>
        <v/>
      </c>
      <c r="J232" s="97" t="str">
        <f>IFERROR(VLOOKUP(B232,'Đất sản xuất'!$B$9:$C$216,2,0),"")</f>
        <v/>
      </c>
      <c r="K232" s="97" t="str">
        <f>IFERROR(VLOOKUP(B232,'Sản xuất cấp huyên'!$B$9:$C$177,2,0),"")</f>
        <v>Tăng Cô Hang</v>
      </c>
      <c r="L232" s="4" t="str">
        <f>IFERROR(VLOOKUP(B232,'4069'!$B$9:$C$177,2,0),"")</f>
        <v>Tăng Cô Hang</v>
      </c>
      <c r="M232" s="4" t="str">
        <f t="array" ref="M232">IFERROR(INDEX(KODUDK!$C$8:$C$79, MATCH(1, (KODUDK!$D$8:$D$79=BC_SINH!D232)*(KODUDK!$E$8:$E$79=BC_SINH!E232), 0)),"")</f>
        <v/>
      </c>
      <c r="N232" s="4" t="str">
        <f t="array" ref="N232">IFERROR(INDEX(KODUDK!$H$8:$H$79, MATCH(1, (KODUDK!$D$8:$D$79=BC_SINH!D232)*(KODUDK!$E$8:$E$79=BC_SINH!E232), 0)),"")</f>
        <v/>
      </c>
      <c r="O232" s="4" t="str">
        <f t="array" ref="O232">IFERROR(INDEX('KO DU ĐK NQ10'!$C$8:$C$48, MATCH(1, ('KO DU ĐK NQ10'!$D$8:$D$48=BC_SINH!D232)*('KO DU ĐK NQ10'!$E$8:$E$48=BC_SINH!E232), 0)),"")</f>
        <v/>
      </c>
      <c r="P232" s="4" t="str">
        <f t="array" ref="P232">IFERROR(INDEX('KO DU ĐK NQ10'!$H$8:$H$48, MATCH(1, ('KO DU ĐK NQ10'!$D$8:$D$48=BC_SINH!D232)*('KO DU ĐK NQ10'!$E$8:$E$48=BC_SINH!E232), 0)),"")</f>
        <v/>
      </c>
      <c r="Q232" s="4" t="str">
        <f t="array" ref="Q232">IFERROR(INDEX('KO DU ĐK 4069'!$C$8:$C$38, MATCH(1, ('KO DU ĐK 4069'!$D$8:$D$38=BC_SINH!D232)*('KO DU ĐK 4069'!$E$8:$E$38=BC_SINH!E232), 0)),"")</f>
        <v/>
      </c>
      <c r="R232" s="4" t="str">
        <f t="array" ref="R232">IFERROR(INDEX('KO DU ĐK 4069'!$H$8:$H$38, MATCH(1, ('KO DU ĐK 4069'!$D$8:$D$38=BC_SINH!D232)*('KO DU ĐK 4069'!$E$8:$E$38=BC_SINH!E232), 0)),"")</f>
        <v/>
      </c>
      <c r="S232" s="4" t="str">
        <f t="array" ref="S232">IFERROR(INDEX(KeKhaiDangKy!$H$2:$H$4889, MATCH(1, (KeKhaiDangKy!$A$2:$A$4889=BC_SINH!D232)*(KeKhaiDangKy!$B$2:$B$4889=BC_SINH!E232), 0)),"")</f>
        <v/>
      </c>
    </row>
    <row r="233" spans="1:19" ht="14.45" customHeight="1" x14ac:dyDescent="0.25">
      <c r="A233" s="4">
        <f>IF(B233&lt;&gt;"", SUBTOTAL(3, $B$2:B233), "")</f>
        <v>232</v>
      </c>
      <c r="B233" s="4" t="s">
        <v>142</v>
      </c>
      <c r="C233" s="4" t="str">
        <f t="shared" si="3"/>
        <v>Kỳ Nơi</v>
      </c>
      <c r="D233" s="4">
        <v>21</v>
      </c>
      <c r="E233" s="4">
        <v>243</v>
      </c>
      <c r="F233" s="4">
        <v>9126</v>
      </c>
      <c r="G233" s="4" t="s">
        <v>11</v>
      </c>
      <c r="H233" s="4" t="str">
        <f t="array" ref="H233">IFERROR(INDEX(DSCKXA!$B$3:$B$73, MATCH(1, (DSCKXA!$D$3:$D$73=BC_SINH!D233)*(DSCKXA!$E$3:$E$73=BC_SINH!E233), 0)),"")</f>
        <v/>
      </c>
      <c r="I233" s="99" t="str">
        <f t="array" ref="I233">IFERROR(INDEX(DSCKXA!$C$3:$C$73, MATCH(1, (DSCKXA!$D$3:$D$73=BC_SINH!D233)*(DSCKXA!$E$3:$E$73=BC_SINH!E233), 0)),"")</f>
        <v/>
      </c>
      <c r="J233" s="97" t="str">
        <f>IFERROR(VLOOKUP(B233,'Đất sản xuất'!$B$9:$C$216,2,0),"")</f>
        <v>Kỳ Nơi</v>
      </c>
      <c r="K233" s="97" t="str">
        <f>IFERROR(VLOOKUP(B233,'Sản xuất cấp huyên'!$B$9:$C$177,2,0),"")</f>
        <v/>
      </c>
      <c r="L233" s="4" t="str">
        <f>IFERROR(VLOOKUP(B233,'4069'!$B$9:$C$177,2,0),"")</f>
        <v/>
      </c>
      <c r="M233" s="4" t="str">
        <f t="array" ref="M233">IFERROR(INDEX(KODUDK!$C$8:$C$79, MATCH(1, (KODUDK!$D$8:$D$79=BC_SINH!D233)*(KODUDK!$E$8:$E$79=BC_SINH!E233), 0)),"")</f>
        <v/>
      </c>
      <c r="N233" s="4" t="str">
        <f t="array" ref="N233">IFERROR(INDEX(KODUDK!$H$8:$H$79, MATCH(1, (KODUDK!$D$8:$D$79=BC_SINH!D233)*(KODUDK!$E$8:$E$79=BC_SINH!E233), 0)),"")</f>
        <v/>
      </c>
      <c r="O233" s="4" t="str">
        <f t="array" ref="O233">IFERROR(INDEX('KO DU ĐK NQ10'!$C$8:$C$48, MATCH(1, ('KO DU ĐK NQ10'!$D$8:$D$48=BC_SINH!D233)*('KO DU ĐK NQ10'!$E$8:$E$48=BC_SINH!E233), 0)),"")</f>
        <v/>
      </c>
      <c r="P233" s="4" t="str">
        <f t="array" ref="P233">IFERROR(INDEX('KO DU ĐK NQ10'!$H$8:$H$48, MATCH(1, ('KO DU ĐK NQ10'!$D$8:$D$48=BC_SINH!D233)*('KO DU ĐK NQ10'!$E$8:$E$48=BC_SINH!E233), 0)),"")</f>
        <v/>
      </c>
      <c r="Q233" s="4" t="str">
        <f t="array" ref="Q233">IFERROR(INDEX('KO DU ĐK 4069'!$C$8:$C$38, MATCH(1, ('KO DU ĐK 4069'!$D$8:$D$38=BC_SINH!D233)*('KO DU ĐK 4069'!$E$8:$E$38=BC_SINH!E233), 0)),"")</f>
        <v/>
      </c>
      <c r="R233" s="4" t="str">
        <f t="array" ref="R233">IFERROR(INDEX('KO DU ĐK 4069'!$H$8:$H$38, MATCH(1, ('KO DU ĐK 4069'!$D$8:$D$38=BC_SINH!D233)*('KO DU ĐK 4069'!$E$8:$E$38=BC_SINH!E233), 0)),"")</f>
        <v/>
      </c>
      <c r="S233" s="4" t="str">
        <f t="array" ref="S233">IFERROR(INDEX(KeKhaiDangKy!$H$2:$H$4889, MATCH(1, (KeKhaiDangKy!$A$2:$A$4889=BC_SINH!D233)*(KeKhaiDangKy!$B$2:$B$4889=BC_SINH!E233), 0)),"")</f>
        <v/>
      </c>
    </row>
    <row r="234" spans="1:19" ht="14.45" customHeight="1" x14ac:dyDescent="0.25">
      <c r="A234" s="4">
        <f>IF(B234&lt;&gt;"", SUBTOTAL(3, $B$2:B234), "")</f>
        <v>233</v>
      </c>
      <c r="B234" s="4" t="s">
        <v>143</v>
      </c>
      <c r="C234" s="4" t="str">
        <f t="shared" si="3"/>
        <v xml:space="preserve"> A Rông</v>
      </c>
      <c r="D234" s="4">
        <v>21</v>
      </c>
      <c r="E234" s="4">
        <v>244</v>
      </c>
      <c r="F234" s="4">
        <v>16683</v>
      </c>
      <c r="G234" s="4" t="s">
        <v>11</v>
      </c>
      <c r="H234" s="4" t="str">
        <f t="array" ref="H234">IFERROR(INDEX(DSCKXA!$B$3:$B$73, MATCH(1, (DSCKXA!$D$3:$D$73=BC_SINH!D234)*(DSCKXA!$E$3:$E$73=BC_SINH!E234), 0)),"")</f>
        <v>Hồ Văn Xinh</v>
      </c>
      <c r="I234" s="99" t="str">
        <f t="array" ref="I234">IFERROR(INDEX(DSCKXA!$C$3:$C$73, MATCH(1, (DSCKXA!$D$3:$D$73=BC_SINH!D234)*(DSCKXA!$E$3:$E$73=BC_SINH!E234), 0)),"")</f>
        <v>Thôn A Rông</v>
      </c>
      <c r="J234" s="97" t="str">
        <f>IFERROR(VLOOKUP(B234,'Đất sản xuất'!$B$9:$C$216,2,0),"")</f>
        <v xml:space="preserve"> A Rông</v>
      </c>
      <c r="K234" s="97" t="str">
        <f>IFERROR(VLOOKUP(B234,'Sản xuất cấp huyên'!$B$9:$C$177,2,0),"")</f>
        <v/>
      </c>
      <c r="L234" s="4" t="str">
        <f>IFERROR(VLOOKUP(B234,'4069'!$B$9:$C$177,2,0),"")</f>
        <v/>
      </c>
      <c r="M234" s="4" t="str">
        <f t="array" ref="M234">IFERROR(INDEX(KODUDK!$C$8:$C$79, MATCH(1, (KODUDK!$D$8:$D$79=BC_SINH!D234)*(KODUDK!$E$8:$E$79=BC_SINH!E234), 0)),"")</f>
        <v/>
      </c>
      <c r="N234" s="4" t="str">
        <f t="array" ref="N234">IFERROR(INDEX(KODUDK!$H$8:$H$79, MATCH(1, (KODUDK!$D$8:$D$79=BC_SINH!D234)*(KODUDK!$E$8:$E$79=BC_SINH!E234), 0)),"")</f>
        <v/>
      </c>
      <c r="O234" s="4" t="str">
        <f t="array" ref="O234">IFERROR(INDEX('KO DU ĐK NQ10'!$C$8:$C$48, MATCH(1, ('KO DU ĐK NQ10'!$D$8:$D$48=BC_SINH!D234)*('KO DU ĐK NQ10'!$E$8:$E$48=BC_SINH!E234), 0)),"")</f>
        <v/>
      </c>
      <c r="P234" s="4" t="str">
        <f t="array" ref="P234">IFERROR(INDEX('KO DU ĐK NQ10'!$H$8:$H$48, MATCH(1, ('KO DU ĐK NQ10'!$D$8:$D$48=BC_SINH!D234)*('KO DU ĐK NQ10'!$E$8:$E$48=BC_SINH!E234), 0)),"")</f>
        <v/>
      </c>
      <c r="Q234" s="4" t="str">
        <f t="array" ref="Q234">IFERROR(INDEX('KO DU ĐK 4069'!$C$8:$C$38, MATCH(1, ('KO DU ĐK 4069'!$D$8:$D$38=BC_SINH!D234)*('KO DU ĐK 4069'!$E$8:$E$38=BC_SINH!E234), 0)),"")</f>
        <v/>
      </c>
      <c r="R234" s="4" t="str">
        <f t="array" ref="R234">IFERROR(INDEX('KO DU ĐK 4069'!$H$8:$H$38, MATCH(1, ('KO DU ĐK 4069'!$D$8:$D$38=BC_SINH!D234)*('KO DU ĐK 4069'!$E$8:$E$38=BC_SINH!E234), 0)),"")</f>
        <v/>
      </c>
      <c r="S234" s="4" t="str">
        <f t="array" ref="S234">IFERROR(INDEX(KeKhaiDangKy!$H$2:$H$4889, MATCH(1, (KeKhaiDangKy!$A$2:$A$4889=BC_SINH!D234)*(KeKhaiDangKy!$B$2:$B$4889=BC_SINH!E234), 0)),"")</f>
        <v>A Rông</v>
      </c>
    </row>
    <row r="235" spans="1:19" ht="14.45" customHeight="1" x14ac:dyDescent="0.25">
      <c r="A235" s="4">
        <f>IF(B235&lt;&gt;"", SUBTOTAL(3, $B$2:B235), "")</f>
        <v>234</v>
      </c>
      <c r="B235" s="4" t="s">
        <v>640</v>
      </c>
      <c r="C235" s="4" t="str">
        <f t="shared" si="3"/>
        <v>A Sói Hang</v>
      </c>
      <c r="D235" s="4">
        <v>8</v>
      </c>
      <c r="E235" s="4">
        <v>203</v>
      </c>
      <c r="F235" s="4">
        <v>2670</v>
      </c>
      <c r="G235" s="4" t="s">
        <v>11</v>
      </c>
      <c r="H235" s="4" t="str">
        <f t="array" ref="H235">IFERROR(INDEX(DSCKXA!$B$3:$B$73, MATCH(1, (DSCKXA!$D$3:$D$73=BC_SINH!D235)*(DSCKXA!$E$3:$E$73=BC_SINH!E235), 0)),"")</f>
        <v>Hồ Thị Dên</v>
      </c>
      <c r="I235" s="99" t="str">
        <f t="array" ref="I235">IFERROR(INDEX(DSCKXA!$C$3:$C$73, MATCH(1, (DSCKXA!$D$3:$D$73=BC_SINH!D235)*(DSCKXA!$E$3:$E$73=BC_SINH!E235), 0)),"")</f>
        <v>Thôn A Xói Hang</v>
      </c>
      <c r="J235" s="97" t="str">
        <f>IFERROR(VLOOKUP(B235,'Đất sản xuất'!$B$9:$C$216,2,0),"")</f>
        <v/>
      </c>
      <c r="K235" s="97" t="str">
        <f>IFERROR(VLOOKUP(B235,'Sản xuất cấp huyên'!$B$9:$C$177,2,0),"")</f>
        <v/>
      </c>
      <c r="L235" s="4" t="str">
        <f>IFERROR(VLOOKUP(B235,'4069'!$B$9:$C$177,2,0),"")</f>
        <v/>
      </c>
      <c r="M235" s="4" t="str">
        <f t="array" ref="M235">IFERROR(INDEX(KODUDK!$C$8:$C$79, MATCH(1, (KODUDK!$D$8:$D$79=BC_SINH!D235)*(KODUDK!$E$8:$E$79=BC_SINH!E235), 0)),"")</f>
        <v/>
      </c>
      <c r="N235" s="4" t="str">
        <f t="array" ref="N235">IFERROR(INDEX(KODUDK!$H$8:$H$79, MATCH(1, (KODUDK!$D$8:$D$79=BC_SINH!D235)*(KODUDK!$E$8:$E$79=BC_SINH!E235), 0)),"")</f>
        <v/>
      </c>
      <c r="O235" s="4" t="str">
        <f t="array" ref="O235">IFERROR(INDEX('KO DU ĐK NQ10'!$C$8:$C$48, MATCH(1, ('KO DU ĐK NQ10'!$D$8:$D$48=BC_SINH!D235)*('KO DU ĐK NQ10'!$E$8:$E$48=BC_SINH!E235), 0)),"")</f>
        <v/>
      </c>
      <c r="P235" s="4" t="str">
        <f t="array" ref="P235">IFERROR(INDEX('KO DU ĐK NQ10'!$H$8:$H$48, MATCH(1, ('KO DU ĐK NQ10'!$D$8:$D$48=BC_SINH!D235)*('KO DU ĐK NQ10'!$E$8:$E$48=BC_SINH!E235), 0)),"")</f>
        <v/>
      </c>
      <c r="Q235" s="4" t="str">
        <f t="array" ref="Q235">IFERROR(INDEX('KO DU ĐK 4069'!$C$8:$C$38, MATCH(1, ('KO DU ĐK 4069'!$D$8:$D$38=BC_SINH!D235)*('KO DU ĐK 4069'!$E$8:$E$38=BC_SINH!E235), 0)),"")</f>
        <v/>
      </c>
      <c r="R235" s="4" t="str">
        <f t="array" ref="R235">IFERROR(INDEX('KO DU ĐK 4069'!$H$8:$H$38, MATCH(1, ('KO DU ĐK 4069'!$D$8:$D$38=BC_SINH!D235)*('KO DU ĐK 4069'!$E$8:$E$38=BC_SINH!E235), 0)),"")</f>
        <v/>
      </c>
      <c r="S235" s="4" t="str">
        <f t="array" ref="S235">IFERROR(INDEX(KeKhaiDangKy!$H$2:$H$4889, MATCH(1, (KeKhaiDangKy!$A$2:$A$4889=BC_SINH!D235)*(KeKhaiDangKy!$B$2:$B$4889=BC_SINH!E235), 0)),"")</f>
        <v>A Sói Hang</v>
      </c>
    </row>
    <row r="236" spans="1:19" ht="14.45" customHeight="1" x14ac:dyDescent="0.25">
      <c r="A236" s="4">
        <f>IF(B236&lt;&gt;"", SUBTOTAL(3, $B$2:B236), "")</f>
        <v>235</v>
      </c>
      <c r="B236" s="4" t="s">
        <v>144</v>
      </c>
      <c r="C236" s="4" t="str">
        <f t="shared" si="3"/>
        <v/>
      </c>
      <c r="D236" s="4">
        <v>21</v>
      </c>
      <c r="E236" s="4">
        <v>245</v>
      </c>
      <c r="F236" s="4">
        <v>9681</v>
      </c>
      <c r="G236" s="4" t="s">
        <v>11</v>
      </c>
      <c r="H236" s="4" t="str">
        <f t="array" ref="H236">IFERROR(INDEX(DSCKXA!$B$3:$B$73, MATCH(1, (DSCKXA!$D$3:$D$73=BC_SINH!D236)*(DSCKXA!$E$3:$E$73=BC_SINH!E236), 0)),"")</f>
        <v/>
      </c>
      <c r="I236" s="99" t="str">
        <f t="array" ref="I236">IFERROR(INDEX(DSCKXA!$C$3:$C$73, MATCH(1, (DSCKXA!$D$3:$D$73=BC_SINH!D236)*(DSCKXA!$E$3:$E$73=BC_SINH!E236), 0)),"")</f>
        <v/>
      </c>
      <c r="J236" s="97" t="str">
        <f>IFERROR(VLOOKUP(B236,'Đất sản xuất'!$B$9:$C$216,2,0),"")</f>
        <v/>
      </c>
      <c r="K236" s="97" t="str">
        <f>IFERROR(VLOOKUP(B236,'Sản xuất cấp huyên'!$B$9:$C$177,2,0),"")</f>
        <v/>
      </c>
      <c r="L236" s="4" t="str">
        <f>IFERROR(VLOOKUP(B236,'4069'!$B$9:$C$177,2,0),"")</f>
        <v/>
      </c>
      <c r="M236" s="4" t="str">
        <f t="array" ref="M236">IFERROR(INDEX(KODUDK!$C$8:$C$79, MATCH(1, (KODUDK!$D$8:$D$79=BC_SINH!D236)*(KODUDK!$E$8:$E$79=BC_SINH!E236), 0)),"")</f>
        <v/>
      </c>
      <c r="N236" s="4" t="str">
        <f t="array" ref="N236">IFERROR(INDEX(KODUDK!$H$8:$H$79, MATCH(1, (KODUDK!$D$8:$D$79=BC_SINH!D236)*(KODUDK!$E$8:$E$79=BC_SINH!E236), 0)),"")</f>
        <v/>
      </c>
      <c r="O236" s="4" t="str">
        <f t="array" ref="O236">IFERROR(INDEX('KO DU ĐK NQ10'!$C$8:$C$48, MATCH(1, ('KO DU ĐK NQ10'!$D$8:$D$48=BC_SINH!D236)*('KO DU ĐK NQ10'!$E$8:$E$48=BC_SINH!E236), 0)),"")</f>
        <v/>
      </c>
      <c r="P236" s="4" t="str">
        <f t="array" ref="P236">IFERROR(INDEX('KO DU ĐK NQ10'!$H$8:$H$48, MATCH(1, ('KO DU ĐK NQ10'!$D$8:$D$48=BC_SINH!D236)*('KO DU ĐK NQ10'!$E$8:$E$48=BC_SINH!E236), 0)),"")</f>
        <v/>
      </c>
      <c r="Q236" s="4" t="str">
        <f t="array" ref="Q236">IFERROR(INDEX('KO DU ĐK 4069'!$C$8:$C$38, MATCH(1, ('KO DU ĐK 4069'!$D$8:$D$38=BC_SINH!D236)*('KO DU ĐK 4069'!$E$8:$E$38=BC_SINH!E236), 0)),"")</f>
        <v/>
      </c>
      <c r="R236" s="4" t="str">
        <f t="array" ref="R236">IFERROR(INDEX('KO DU ĐK 4069'!$H$8:$H$38, MATCH(1, ('KO DU ĐK 4069'!$D$8:$D$38=BC_SINH!D236)*('KO DU ĐK 4069'!$E$8:$E$38=BC_SINH!E236), 0)),"")</f>
        <v/>
      </c>
      <c r="S236" s="4" t="str">
        <f t="array" ref="S236">IFERROR(INDEX(KeKhaiDangKy!$H$2:$H$4889, MATCH(1, (KeKhaiDangKy!$A$2:$A$4889=BC_SINH!D236)*(KeKhaiDangKy!$B$2:$B$4889=BC_SINH!E236), 0)),"")</f>
        <v/>
      </c>
    </row>
    <row r="237" spans="1:19" ht="14.45" customHeight="1" x14ac:dyDescent="0.25">
      <c r="A237" s="4">
        <f>IF(B237&lt;&gt;"", SUBTOTAL(3, $B$2:B237), "")</f>
        <v>236</v>
      </c>
      <c r="B237" s="4" t="s">
        <v>144</v>
      </c>
      <c r="C237" s="4" t="str">
        <f t="shared" si="3"/>
        <v>Thôn A Máy</v>
      </c>
      <c r="D237" s="4">
        <v>21</v>
      </c>
      <c r="E237" s="4">
        <v>246</v>
      </c>
      <c r="F237" s="4">
        <v>39426</v>
      </c>
      <c r="G237" s="4" t="s">
        <v>11</v>
      </c>
      <c r="H237" s="4" t="str">
        <f t="array" ref="H237">IFERROR(INDEX(DSCKXA!$B$3:$B$73, MATCH(1, (DSCKXA!$D$3:$D$73=BC_SINH!D237)*(DSCKXA!$E$3:$E$73=BC_SINH!E237), 0)),"")</f>
        <v/>
      </c>
      <c r="I237" s="99" t="str">
        <f t="array" ref="I237">IFERROR(INDEX(DSCKXA!$C$3:$C$73, MATCH(1, (DSCKXA!$D$3:$D$73=BC_SINH!D237)*(DSCKXA!$E$3:$E$73=BC_SINH!E237), 0)),"")</f>
        <v/>
      </c>
      <c r="J237" s="97" t="str">
        <f>IFERROR(VLOOKUP(B237,'Đất sản xuất'!$B$9:$C$216,2,0),"")</f>
        <v/>
      </c>
      <c r="K237" s="97" t="str">
        <f>IFERROR(VLOOKUP(B237,'Sản xuất cấp huyên'!$B$9:$C$177,2,0),"")</f>
        <v/>
      </c>
      <c r="L237" s="4" t="str">
        <f>IFERROR(VLOOKUP(B237,'4069'!$B$9:$C$177,2,0),"")</f>
        <v/>
      </c>
      <c r="M237" s="4" t="str">
        <f t="array" ref="M237">IFERROR(INDEX(KODUDK!$C$8:$C$79, MATCH(1, (KODUDK!$D$8:$D$79=BC_SINH!D237)*(KODUDK!$E$8:$E$79=BC_SINH!E237), 0)),"")</f>
        <v>Thôn A Máy</v>
      </c>
      <c r="N237" s="4" t="str">
        <f t="array" ref="N237">IFERROR(INDEX(KODUDK!$H$8:$H$79, MATCH(1, (KODUDK!$D$8:$D$79=BC_SINH!D237)*(KODUDK!$E$8:$E$79=BC_SINH!E237), 0)),"")</f>
        <v>Có 03 thửa đất nên loại 02 thửa</v>
      </c>
      <c r="O237" s="4" t="str">
        <f t="array" ref="O237">IFERROR(INDEX('KO DU ĐK NQ10'!$C$8:$C$48, MATCH(1, ('KO DU ĐK NQ10'!$D$8:$D$48=BC_SINH!D237)*('KO DU ĐK NQ10'!$E$8:$E$48=BC_SINH!E237), 0)),"")</f>
        <v/>
      </c>
      <c r="P237" s="4" t="str">
        <f t="array" ref="P237">IFERROR(INDEX('KO DU ĐK NQ10'!$H$8:$H$48, MATCH(1, ('KO DU ĐK NQ10'!$D$8:$D$48=BC_SINH!D237)*('KO DU ĐK NQ10'!$E$8:$E$48=BC_SINH!E237), 0)),"")</f>
        <v/>
      </c>
      <c r="Q237" s="4" t="str">
        <f t="array" ref="Q237">IFERROR(INDEX('KO DU ĐK 4069'!$C$8:$C$38, MATCH(1, ('KO DU ĐK 4069'!$D$8:$D$38=BC_SINH!D237)*('KO DU ĐK 4069'!$E$8:$E$38=BC_SINH!E237), 0)),"")</f>
        <v>Thôn A Máy</v>
      </c>
      <c r="R237" s="4" t="str">
        <f t="array" ref="R237">IFERROR(INDEX('KO DU ĐK 4069'!$H$8:$H$38, MATCH(1, ('KO DU ĐK 4069'!$D$8:$D$38=BC_SINH!D237)*('KO DU ĐK 4069'!$E$8:$E$38=BC_SINH!E237), 0)),"")</f>
        <v>Có 03 thửa đất nên loại 02 thửa</v>
      </c>
      <c r="S237" s="4" t="str">
        <f t="array" ref="S237">IFERROR(INDEX(KeKhaiDangKy!$H$2:$H$4889, MATCH(1, (KeKhaiDangKy!$A$2:$A$4889=BC_SINH!D237)*(KeKhaiDangKy!$B$2:$B$4889=BC_SINH!E237), 0)),"")</f>
        <v/>
      </c>
    </row>
    <row r="238" spans="1:19" ht="14.45" customHeight="1" x14ac:dyDescent="0.25">
      <c r="A238" s="4">
        <f>IF(B238&lt;&gt;"", SUBTOTAL(3, $B$2:B238), "")</f>
        <v>237</v>
      </c>
      <c r="B238" s="4" t="s">
        <v>144</v>
      </c>
      <c r="C238" s="4" t="str">
        <f t="shared" si="3"/>
        <v>Thôn A Máy</v>
      </c>
      <c r="D238" s="4">
        <v>21</v>
      </c>
      <c r="E238" s="4">
        <v>247</v>
      </c>
      <c r="F238" s="4">
        <v>20344</v>
      </c>
      <c r="G238" s="4" t="s">
        <v>11</v>
      </c>
      <c r="H238" s="4" t="str">
        <f t="array" ref="H238">IFERROR(INDEX(DSCKXA!$B$3:$B$73, MATCH(1, (DSCKXA!$D$3:$D$73=BC_SINH!D238)*(DSCKXA!$E$3:$E$73=BC_SINH!E238), 0)),"")</f>
        <v/>
      </c>
      <c r="I238" s="99" t="str">
        <f t="array" ref="I238">IFERROR(INDEX(DSCKXA!$C$3:$C$73, MATCH(1, (DSCKXA!$D$3:$D$73=BC_SINH!D238)*(DSCKXA!$E$3:$E$73=BC_SINH!E238), 0)),"")</f>
        <v/>
      </c>
      <c r="J238" s="97" t="str">
        <f>IFERROR(VLOOKUP(B238,'Đất sản xuất'!$B$9:$C$216,2,0),"")</f>
        <v/>
      </c>
      <c r="K238" s="97" t="str">
        <f>IFERROR(VLOOKUP(B238,'Sản xuất cấp huyên'!$B$9:$C$177,2,0),"")</f>
        <v/>
      </c>
      <c r="L238" s="4" t="str">
        <f>IFERROR(VLOOKUP(B238,'4069'!$B$9:$C$177,2,0),"")</f>
        <v/>
      </c>
      <c r="M238" s="4" t="str">
        <f t="array" ref="M238">IFERROR(INDEX(KODUDK!$C$8:$C$79, MATCH(1, (KODUDK!$D$8:$D$79=BC_SINH!D238)*(KODUDK!$E$8:$E$79=BC_SINH!E238), 0)),"")</f>
        <v>Thôn A Máy</v>
      </c>
      <c r="N238" s="4" t="str">
        <f t="array" ref="N238">IFERROR(INDEX(KODUDK!$H$8:$H$79, MATCH(1, (KODUDK!$D$8:$D$79=BC_SINH!D238)*(KODUDK!$E$8:$E$79=BC_SINH!E238), 0)),"")</f>
        <v>Có 03 thửa đất nên loại 02 thửa</v>
      </c>
      <c r="O238" s="4" t="str">
        <f t="array" ref="O238">IFERROR(INDEX('KO DU ĐK NQ10'!$C$8:$C$48, MATCH(1, ('KO DU ĐK NQ10'!$D$8:$D$48=BC_SINH!D238)*('KO DU ĐK NQ10'!$E$8:$E$48=BC_SINH!E238), 0)),"")</f>
        <v/>
      </c>
      <c r="P238" s="4" t="str">
        <f t="array" ref="P238">IFERROR(INDEX('KO DU ĐK NQ10'!$H$8:$H$48, MATCH(1, ('KO DU ĐK NQ10'!$D$8:$D$48=BC_SINH!D238)*('KO DU ĐK NQ10'!$E$8:$E$48=BC_SINH!E238), 0)),"")</f>
        <v/>
      </c>
      <c r="Q238" s="4" t="str">
        <f t="array" ref="Q238">IFERROR(INDEX('KO DU ĐK 4069'!$C$8:$C$38, MATCH(1, ('KO DU ĐK 4069'!$D$8:$D$38=BC_SINH!D238)*('KO DU ĐK 4069'!$E$8:$E$38=BC_SINH!E238), 0)),"")</f>
        <v>Thôn A Máy</v>
      </c>
      <c r="R238" s="4" t="str">
        <f t="array" ref="R238">IFERROR(INDEX('KO DU ĐK 4069'!$H$8:$H$38, MATCH(1, ('KO DU ĐK 4069'!$D$8:$D$38=BC_SINH!D238)*('KO DU ĐK 4069'!$E$8:$E$38=BC_SINH!E238), 0)),"")</f>
        <v>Có 03 thửa đất nên loại 02 thửa</v>
      </c>
      <c r="S238" s="4" t="str">
        <f t="array" ref="S238">IFERROR(INDEX(KeKhaiDangKy!$H$2:$H$4889, MATCH(1, (KeKhaiDangKy!$A$2:$A$4889=BC_SINH!D238)*(KeKhaiDangKy!$B$2:$B$4889=BC_SINH!E238), 0)),"")</f>
        <v/>
      </c>
    </row>
    <row r="239" spans="1:19" ht="14.45" customHeight="1" x14ac:dyDescent="0.25">
      <c r="A239" s="4">
        <f>IF(B239&lt;&gt;"", SUBTOTAL(3, $B$2:B239), "")</f>
        <v>238</v>
      </c>
      <c r="B239" s="4" t="s">
        <v>145</v>
      </c>
      <c r="C239" s="4" t="str">
        <f t="shared" si="3"/>
        <v>A Rông</v>
      </c>
      <c r="D239" s="4">
        <v>21</v>
      </c>
      <c r="E239" s="4">
        <v>248</v>
      </c>
      <c r="F239" s="4">
        <v>13435</v>
      </c>
      <c r="G239" s="4" t="s">
        <v>11</v>
      </c>
      <c r="H239" s="4" t="str">
        <f t="array" ref="H239">IFERROR(INDEX(DSCKXA!$B$3:$B$73, MATCH(1, (DSCKXA!$D$3:$D$73=BC_SINH!D239)*(DSCKXA!$E$3:$E$73=BC_SINH!E239), 0)),"")</f>
        <v/>
      </c>
      <c r="I239" s="99" t="str">
        <f t="array" ref="I239">IFERROR(INDEX(DSCKXA!$C$3:$C$73, MATCH(1, (DSCKXA!$D$3:$D$73=BC_SINH!D239)*(DSCKXA!$E$3:$E$73=BC_SINH!E239), 0)),"")</f>
        <v/>
      </c>
      <c r="J239" s="97" t="str">
        <f>IFERROR(VLOOKUP(B239,'Đất sản xuất'!$B$9:$C$216,2,0),"")</f>
        <v/>
      </c>
      <c r="K239" s="97" t="str">
        <f>IFERROR(VLOOKUP(B239,'Sản xuất cấp huyên'!$B$9:$C$177,2,0),"")</f>
        <v/>
      </c>
      <c r="L239" s="4" t="str">
        <f>IFERROR(VLOOKUP(B239,'4069'!$B$9:$C$177,2,0),"")</f>
        <v/>
      </c>
      <c r="M239" s="4" t="str">
        <f t="array" ref="M239">IFERROR(INDEX(KODUDK!$C$8:$C$79, MATCH(1, (KODUDK!$D$8:$D$79=BC_SINH!D239)*(KODUDK!$E$8:$E$79=BC_SINH!E239), 0)),"")</f>
        <v/>
      </c>
      <c r="N239" s="4" t="str">
        <f t="array" ref="N239">IFERROR(INDEX(KODUDK!$H$8:$H$79, MATCH(1, (KODUDK!$D$8:$D$79=BC_SINH!D239)*(KODUDK!$E$8:$E$79=BC_SINH!E239), 0)),"")</f>
        <v/>
      </c>
      <c r="O239" s="4" t="str">
        <f t="array" ref="O239">IFERROR(INDEX('KO DU ĐK NQ10'!$C$8:$C$48, MATCH(1, ('KO DU ĐK NQ10'!$D$8:$D$48=BC_SINH!D239)*('KO DU ĐK NQ10'!$E$8:$E$48=BC_SINH!E239), 0)),"")</f>
        <v/>
      </c>
      <c r="P239" s="4" t="str">
        <f t="array" ref="P239">IFERROR(INDEX('KO DU ĐK NQ10'!$H$8:$H$48, MATCH(1, ('KO DU ĐK NQ10'!$D$8:$D$48=BC_SINH!D239)*('KO DU ĐK NQ10'!$E$8:$E$48=BC_SINH!E239), 0)),"")</f>
        <v/>
      </c>
      <c r="Q239" s="4" t="str">
        <f t="array" ref="Q239">IFERROR(INDEX('KO DU ĐK 4069'!$C$8:$C$38, MATCH(1, ('KO DU ĐK 4069'!$D$8:$D$38=BC_SINH!D239)*('KO DU ĐK 4069'!$E$8:$E$38=BC_SINH!E239), 0)),"")</f>
        <v/>
      </c>
      <c r="R239" s="4" t="str">
        <f t="array" ref="R239">IFERROR(INDEX('KO DU ĐK 4069'!$H$8:$H$38, MATCH(1, ('KO DU ĐK 4069'!$D$8:$D$38=BC_SINH!D239)*('KO DU ĐK 4069'!$E$8:$E$38=BC_SINH!E239), 0)),"")</f>
        <v/>
      </c>
      <c r="S239" s="4" t="str">
        <f t="array" ref="S239">IFERROR(INDEX(KeKhaiDangKy!$H$2:$H$4889, MATCH(1, (KeKhaiDangKy!$A$2:$A$4889=BC_SINH!D239)*(KeKhaiDangKy!$B$2:$B$4889=BC_SINH!E239), 0)),"")</f>
        <v>A Rông</v>
      </c>
    </row>
    <row r="240" spans="1:19" ht="14.45" customHeight="1" x14ac:dyDescent="0.25">
      <c r="A240" s="4">
        <f>IF(B240&lt;&gt;"", SUBTOTAL(3, $B$2:B240), "")</f>
        <v>239</v>
      </c>
      <c r="B240" s="4" t="s">
        <v>146</v>
      </c>
      <c r="C240" s="4" t="str">
        <f t="shared" si="3"/>
        <v xml:space="preserve"> Kỳ Tăng</v>
      </c>
      <c r="D240" s="4">
        <v>28</v>
      </c>
      <c r="E240" s="4">
        <v>149</v>
      </c>
      <c r="F240" s="4">
        <v>7824</v>
      </c>
      <c r="G240" s="4" t="s">
        <v>11</v>
      </c>
      <c r="H240" s="4" t="str">
        <f t="array" ref="H240">IFERROR(INDEX(DSCKXA!$B$3:$B$73, MATCH(1, (DSCKXA!$D$3:$D$73=BC_SINH!D240)*(DSCKXA!$E$3:$E$73=BC_SINH!E240), 0)),"")</f>
        <v/>
      </c>
      <c r="I240" s="99" t="str">
        <f t="array" ref="I240">IFERROR(INDEX(DSCKXA!$C$3:$C$73, MATCH(1, (DSCKXA!$D$3:$D$73=BC_SINH!D240)*(DSCKXA!$E$3:$E$73=BC_SINH!E240), 0)),"")</f>
        <v/>
      </c>
      <c r="J240" s="97" t="str">
        <f>IFERROR(VLOOKUP(B240,'Đất sản xuất'!$B$9:$C$216,2,0),"")</f>
        <v xml:space="preserve"> Kỳ Tăng</v>
      </c>
      <c r="K240" s="97" t="str">
        <f>IFERROR(VLOOKUP(B240,'Sản xuất cấp huyên'!$B$9:$C$177,2,0),"")</f>
        <v/>
      </c>
      <c r="L240" s="4" t="str">
        <f>IFERROR(VLOOKUP(B240,'4069'!$B$9:$C$177,2,0),"")</f>
        <v/>
      </c>
      <c r="M240" s="4" t="str">
        <f t="array" ref="M240">IFERROR(INDEX(KODUDK!$C$8:$C$79, MATCH(1, (KODUDK!$D$8:$D$79=BC_SINH!D240)*(KODUDK!$E$8:$E$79=BC_SINH!E240), 0)),"")</f>
        <v/>
      </c>
      <c r="N240" s="4" t="str">
        <f t="array" ref="N240">IFERROR(INDEX(KODUDK!$H$8:$H$79, MATCH(1, (KODUDK!$D$8:$D$79=BC_SINH!D240)*(KODUDK!$E$8:$E$79=BC_SINH!E240), 0)),"")</f>
        <v/>
      </c>
      <c r="O240" s="4" t="str">
        <f t="array" ref="O240">IFERROR(INDEX('KO DU ĐK NQ10'!$C$8:$C$48, MATCH(1, ('KO DU ĐK NQ10'!$D$8:$D$48=BC_SINH!D240)*('KO DU ĐK NQ10'!$E$8:$E$48=BC_SINH!E240), 0)),"")</f>
        <v/>
      </c>
      <c r="P240" s="4" t="str">
        <f t="array" ref="P240">IFERROR(INDEX('KO DU ĐK NQ10'!$H$8:$H$48, MATCH(1, ('KO DU ĐK NQ10'!$D$8:$D$48=BC_SINH!D240)*('KO DU ĐK NQ10'!$E$8:$E$48=BC_SINH!E240), 0)),"")</f>
        <v/>
      </c>
      <c r="Q240" s="4" t="str">
        <f t="array" ref="Q240">IFERROR(INDEX('KO DU ĐK 4069'!$C$8:$C$38, MATCH(1, ('KO DU ĐK 4069'!$D$8:$D$38=BC_SINH!D240)*('KO DU ĐK 4069'!$E$8:$E$38=BC_SINH!E240), 0)),"")</f>
        <v/>
      </c>
      <c r="R240" s="4" t="str">
        <f t="array" ref="R240">IFERROR(INDEX('KO DU ĐK 4069'!$H$8:$H$38, MATCH(1, ('KO DU ĐK 4069'!$D$8:$D$38=BC_SINH!D240)*('KO DU ĐK 4069'!$E$8:$E$38=BC_SINH!E240), 0)),"")</f>
        <v/>
      </c>
      <c r="S240" s="4" t="str">
        <f t="array" ref="S240">IFERROR(INDEX(KeKhaiDangKy!$H$2:$H$4889, MATCH(1, (KeKhaiDangKy!$A$2:$A$4889=BC_SINH!D240)*(KeKhaiDangKy!$B$2:$B$4889=BC_SINH!E240), 0)),"")</f>
        <v>Kỳ Tăng</v>
      </c>
    </row>
    <row r="241" spans="1:19" ht="14.45" customHeight="1" x14ac:dyDescent="0.25">
      <c r="A241" s="4">
        <f>IF(B241&lt;&gt;"", SUBTOTAL(3, $B$2:B241), "")</f>
        <v>240</v>
      </c>
      <c r="B241" s="4" t="s">
        <v>147</v>
      </c>
      <c r="C241" s="4" t="str">
        <f t="shared" si="3"/>
        <v xml:space="preserve"> A Máy</v>
      </c>
      <c r="D241" s="4">
        <v>21</v>
      </c>
      <c r="E241" s="4">
        <v>250</v>
      </c>
      <c r="F241" s="4">
        <v>48535</v>
      </c>
      <c r="G241" s="4" t="s">
        <v>11</v>
      </c>
      <c r="H241" s="4" t="str">
        <f t="array" ref="H241">IFERROR(INDEX(DSCKXA!$B$3:$B$73, MATCH(1, (DSCKXA!$D$3:$D$73=BC_SINH!D241)*(DSCKXA!$E$3:$E$73=BC_SINH!E241), 0)),"")</f>
        <v>Hồ Xuân Thiệp</v>
      </c>
      <c r="I241" s="99" t="str">
        <f t="array" ref="I241">IFERROR(INDEX(DSCKXA!$C$3:$C$73, MATCH(1, (DSCKXA!$D$3:$D$73=BC_SINH!D241)*(DSCKXA!$E$3:$E$73=BC_SINH!E241), 0)),"")</f>
        <v>Thôn A Máy</v>
      </c>
      <c r="J241" s="97" t="str">
        <f>IFERROR(VLOOKUP(B241,'Đất sản xuất'!$B$9:$C$216,2,0),"")</f>
        <v xml:space="preserve"> A Máy</v>
      </c>
      <c r="K241" s="97" t="str">
        <f>IFERROR(VLOOKUP(B241,'Sản xuất cấp huyên'!$B$9:$C$177,2,0),"")</f>
        <v/>
      </c>
      <c r="L241" s="4" t="str">
        <f>IFERROR(VLOOKUP(B241,'4069'!$B$9:$C$177,2,0),"")</f>
        <v/>
      </c>
      <c r="M241" s="4" t="str">
        <f t="array" ref="M241">IFERROR(INDEX(KODUDK!$C$8:$C$79, MATCH(1, (KODUDK!$D$8:$D$79=BC_SINH!D241)*(KODUDK!$E$8:$E$79=BC_SINH!E241), 0)),"")</f>
        <v/>
      </c>
      <c r="N241" s="4" t="str">
        <f t="array" ref="N241">IFERROR(INDEX(KODUDK!$H$8:$H$79, MATCH(1, (KODUDK!$D$8:$D$79=BC_SINH!D241)*(KODUDK!$E$8:$E$79=BC_SINH!E241), 0)),"")</f>
        <v/>
      </c>
      <c r="O241" s="4" t="str">
        <f t="array" ref="O241">IFERROR(INDEX('KO DU ĐK NQ10'!$C$8:$C$48, MATCH(1, ('KO DU ĐK NQ10'!$D$8:$D$48=BC_SINH!D241)*('KO DU ĐK NQ10'!$E$8:$E$48=BC_SINH!E241), 0)),"")</f>
        <v/>
      </c>
      <c r="P241" s="4" t="str">
        <f t="array" ref="P241">IFERROR(INDEX('KO DU ĐK NQ10'!$H$8:$H$48, MATCH(1, ('KO DU ĐK NQ10'!$D$8:$D$48=BC_SINH!D241)*('KO DU ĐK NQ10'!$E$8:$E$48=BC_SINH!E241), 0)),"")</f>
        <v/>
      </c>
      <c r="Q241" s="4" t="str">
        <f t="array" ref="Q241">IFERROR(INDEX('KO DU ĐK 4069'!$C$8:$C$38, MATCH(1, ('KO DU ĐK 4069'!$D$8:$D$38=BC_SINH!D241)*('KO DU ĐK 4069'!$E$8:$E$38=BC_SINH!E241), 0)),"")</f>
        <v/>
      </c>
      <c r="R241" s="4" t="str">
        <f t="array" ref="R241">IFERROR(INDEX('KO DU ĐK 4069'!$H$8:$H$38, MATCH(1, ('KO DU ĐK 4069'!$D$8:$D$38=BC_SINH!D241)*('KO DU ĐK 4069'!$E$8:$E$38=BC_SINH!E241), 0)),"")</f>
        <v/>
      </c>
      <c r="S241" s="4" t="str">
        <f t="array" ref="S241">IFERROR(INDEX(KeKhaiDangKy!$H$2:$H$4889, MATCH(1, (KeKhaiDangKy!$A$2:$A$4889=BC_SINH!D241)*(KeKhaiDangKy!$B$2:$B$4889=BC_SINH!E241), 0)),"")</f>
        <v/>
      </c>
    </row>
    <row r="242" spans="1:19" ht="14.45" customHeight="1" x14ac:dyDescent="0.25">
      <c r="A242" s="4">
        <f>IF(B242&lt;&gt;"", SUBTOTAL(3, $B$2:B242), "")</f>
        <v>241</v>
      </c>
      <c r="B242" s="4" t="s">
        <v>148</v>
      </c>
      <c r="C242" s="4" t="str">
        <f t="shared" si="3"/>
        <v xml:space="preserve"> A Môr</v>
      </c>
      <c r="D242" s="4">
        <v>21</v>
      </c>
      <c r="E242" s="4">
        <v>251</v>
      </c>
      <c r="F242" s="4">
        <v>6469</v>
      </c>
      <c r="G242" s="4" t="s">
        <v>11</v>
      </c>
      <c r="H242" s="4" t="str">
        <f t="array" ref="H242">IFERROR(INDEX(DSCKXA!$B$3:$B$73, MATCH(1, (DSCKXA!$D$3:$D$73=BC_SINH!D242)*(DSCKXA!$E$3:$E$73=BC_SINH!E242), 0)),"")</f>
        <v/>
      </c>
      <c r="I242" s="99" t="str">
        <f t="array" ref="I242">IFERROR(INDEX(DSCKXA!$C$3:$C$73, MATCH(1, (DSCKXA!$D$3:$D$73=BC_SINH!D242)*(DSCKXA!$E$3:$E$73=BC_SINH!E242), 0)),"")</f>
        <v/>
      </c>
      <c r="J242" s="97" t="str">
        <f>IFERROR(VLOOKUP(B242,'Đất sản xuất'!$B$9:$C$216,2,0),"")</f>
        <v xml:space="preserve"> A Môr</v>
      </c>
      <c r="K242" s="97" t="str">
        <f>IFERROR(VLOOKUP(B242,'Sản xuất cấp huyên'!$B$9:$C$177,2,0),"")</f>
        <v/>
      </c>
      <c r="L242" s="4" t="str">
        <f>IFERROR(VLOOKUP(B242,'4069'!$B$9:$C$177,2,0),"")</f>
        <v/>
      </c>
      <c r="M242" s="4" t="str">
        <f t="array" ref="M242">IFERROR(INDEX(KODUDK!$C$8:$C$79, MATCH(1, (KODUDK!$D$8:$D$79=BC_SINH!D242)*(KODUDK!$E$8:$E$79=BC_SINH!E242), 0)),"")</f>
        <v/>
      </c>
      <c r="N242" s="4" t="str">
        <f t="array" ref="N242">IFERROR(INDEX(KODUDK!$H$8:$H$79, MATCH(1, (KODUDK!$D$8:$D$79=BC_SINH!D242)*(KODUDK!$E$8:$E$79=BC_SINH!E242), 0)),"")</f>
        <v/>
      </c>
      <c r="O242" s="4" t="str">
        <f t="array" ref="O242">IFERROR(INDEX('KO DU ĐK NQ10'!$C$8:$C$48, MATCH(1, ('KO DU ĐK NQ10'!$D$8:$D$48=BC_SINH!D242)*('KO DU ĐK NQ10'!$E$8:$E$48=BC_SINH!E242), 0)),"")</f>
        <v/>
      </c>
      <c r="P242" s="4" t="str">
        <f t="array" ref="P242">IFERROR(INDEX('KO DU ĐK NQ10'!$H$8:$H$48, MATCH(1, ('KO DU ĐK NQ10'!$D$8:$D$48=BC_SINH!D242)*('KO DU ĐK NQ10'!$E$8:$E$48=BC_SINH!E242), 0)),"")</f>
        <v/>
      </c>
      <c r="Q242" s="4" t="str">
        <f t="array" ref="Q242">IFERROR(INDEX('KO DU ĐK 4069'!$C$8:$C$38, MATCH(1, ('KO DU ĐK 4069'!$D$8:$D$38=BC_SINH!D242)*('KO DU ĐK 4069'!$E$8:$E$38=BC_SINH!E242), 0)),"")</f>
        <v/>
      </c>
      <c r="R242" s="4" t="str">
        <f t="array" ref="R242">IFERROR(INDEX('KO DU ĐK 4069'!$H$8:$H$38, MATCH(1, ('KO DU ĐK 4069'!$D$8:$D$38=BC_SINH!D242)*('KO DU ĐK 4069'!$E$8:$E$38=BC_SINH!E242), 0)),"")</f>
        <v/>
      </c>
      <c r="S242" s="4" t="str">
        <f t="array" ref="S242">IFERROR(INDEX(KeKhaiDangKy!$H$2:$H$4889, MATCH(1, (KeKhaiDangKy!$A$2:$A$4889=BC_SINH!D242)*(KeKhaiDangKy!$B$2:$B$4889=BC_SINH!E242), 0)),"")</f>
        <v/>
      </c>
    </row>
    <row r="243" spans="1:19" ht="14.45" customHeight="1" x14ac:dyDescent="0.25"/>
    <row r="244" spans="1:19" ht="14.45" customHeight="1" x14ac:dyDescent="0.25"/>
    <row r="245" spans="1:19" ht="14.45" customHeight="1" x14ac:dyDescent="0.25"/>
    <row r="246" spans="1:19" ht="14.45" customHeight="1" x14ac:dyDescent="0.25"/>
    <row r="247" spans="1:19" ht="14.45" customHeight="1" x14ac:dyDescent="0.25"/>
    <row r="248" spans="1:19" ht="14.45" customHeight="1" x14ac:dyDescent="0.25"/>
    <row r="249" spans="1:19" ht="14.45" customHeight="1" x14ac:dyDescent="0.25"/>
    <row r="250" spans="1:19" ht="14.45" customHeight="1" x14ac:dyDescent="0.25"/>
    <row r="251" spans="1:19" ht="14.45" customHeight="1" x14ac:dyDescent="0.25"/>
    <row r="252" spans="1:19" ht="14.45" customHeight="1" x14ac:dyDescent="0.25"/>
    <row r="253" spans="1:19" ht="14.45" customHeight="1" x14ac:dyDescent="0.25"/>
  </sheetData>
  <pageMargins left="0.7" right="0.7" top="0.75" bottom="0.75" header="0.3" footer="0.3"/>
  <pageSetup paperSize="9" scale="45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13"/>
  <sheetViews>
    <sheetView topLeftCell="A72" workbookViewId="0">
      <selection activeCell="G86" sqref="G86"/>
    </sheetView>
  </sheetViews>
  <sheetFormatPr defaultRowHeight="15.75" x14ac:dyDescent="0.25"/>
  <cols>
    <col min="1" max="1" width="4.85546875" style="105" bestFit="1" customWidth="1"/>
    <col min="2" max="2" width="17.28515625" style="105" bestFit="1" customWidth="1"/>
    <col min="3" max="3" width="16.42578125" style="105" bestFit="1" customWidth="1"/>
    <col min="4" max="4" width="6" style="105" bestFit="1" customWidth="1"/>
    <col min="5" max="5" width="8.42578125" style="105" bestFit="1" customWidth="1"/>
    <col min="6" max="6" width="9.5703125" style="105" bestFit="1" customWidth="1"/>
    <col min="7" max="7" width="13.28515625" style="105" bestFit="1" customWidth="1"/>
    <col min="8" max="16384" width="9.140625" style="105"/>
  </cols>
  <sheetData>
    <row r="1" spans="1:7" s="106" customFormat="1" x14ac:dyDescent="0.25">
      <c r="A1" s="106" t="s">
        <v>149</v>
      </c>
      <c r="B1" s="106" t="s">
        <v>623</v>
      </c>
      <c r="C1" s="106" t="s">
        <v>562</v>
      </c>
      <c r="D1" s="106" t="s">
        <v>0</v>
      </c>
      <c r="E1" s="106" t="s">
        <v>1</v>
      </c>
      <c r="F1" s="106" t="s">
        <v>3</v>
      </c>
      <c r="G1" s="106" t="s">
        <v>616</v>
      </c>
    </row>
    <row r="2" spans="1:7" x14ac:dyDescent="0.25">
      <c r="A2" s="105">
        <f>IF(B2&lt;&gt;"", SUBTOTAL(3, $B$2:B2), "")</f>
        <v>1</v>
      </c>
      <c r="B2" s="105" t="s">
        <v>17</v>
      </c>
      <c r="C2" s="105" t="s">
        <v>163</v>
      </c>
      <c r="D2" s="105">
        <v>22</v>
      </c>
      <c r="E2" s="105">
        <v>22</v>
      </c>
      <c r="F2" s="105">
        <v>5636</v>
      </c>
      <c r="G2" s="105" t="s">
        <v>11</v>
      </c>
    </row>
    <row r="3" spans="1:7" x14ac:dyDescent="0.25">
      <c r="A3" s="105">
        <f>IF(B3&lt;&gt;"", SUBTOTAL(3, $B$2:B3), "")</f>
        <v>2</v>
      </c>
      <c r="B3" s="105" t="s">
        <v>18</v>
      </c>
      <c r="C3" s="105" t="s">
        <v>163</v>
      </c>
      <c r="D3" s="105">
        <v>21</v>
      </c>
      <c r="E3" s="105">
        <v>61</v>
      </c>
      <c r="F3" s="105">
        <v>14713</v>
      </c>
      <c r="G3" s="105" t="s">
        <v>11</v>
      </c>
    </row>
    <row r="4" spans="1:7" x14ac:dyDescent="0.25">
      <c r="A4" s="105">
        <f>IF(B4&lt;&gt;"", SUBTOTAL(3, $B$2:B4), "")</f>
        <v>3</v>
      </c>
      <c r="B4" s="105" t="s">
        <v>18</v>
      </c>
      <c r="C4" s="105" t="s">
        <v>163</v>
      </c>
      <c r="D4" s="105">
        <v>21</v>
      </c>
      <c r="E4" s="105">
        <v>62</v>
      </c>
      <c r="F4" s="105">
        <v>12240</v>
      </c>
      <c r="G4" s="105" t="s">
        <v>11</v>
      </c>
    </row>
    <row r="5" spans="1:7" x14ac:dyDescent="0.25">
      <c r="A5" s="105">
        <f>IF(B5&lt;&gt;"", SUBTOTAL(3, $B$2:B5), "")</f>
        <v>4</v>
      </c>
      <c r="B5" s="105" t="s">
        <v>22</v>
      </c>
      <c r="C5" s="105" t="s">
        <v>163</v>
      </c>
      <c r="D5" s="105">
        <v>21</v>
      </c>
      <c r="E5" s="105">
        <v>68</v>
      </c>
      <c r="F5" s="105">
        <v>15126</v>
      </c>
      <c r="G5" s="105" t="s">
        <v>11</v>
      </c>
    </row>
    <row r="6" spans="1:7" x14ac:dyDescent="0.25">
      <c r="A6" s="105">
        <f>IF(B6&lt;&gt;"", SUBTOTAL(3, $B$2:B6), "")</f>
        <v>5</v>
      </c>
      <c r="B6" s="105" t="s">
        <v>30</v>
      </c>
      <c r="C6" s="105" t="s">
        <v>163</v>
      </c>
      <c r="D6" s="105">
        <v>21</v>
      </c>
      <c r="E6" s="105">
        <v>83</v>
      </c>
      <c r="F6" s="105">
        <v>5917</v>
      </c>
      <c r="G6" s="105" t="s">
        <v>11</v>
      </c>
    </row>
    <row r="7" spans="1:7" x14ac:dyDescent="0.25">
      <c r="A7" s="105">
        <f>IF(B7&lt;&gt;"", SUBTOTAL(3, $B$2:B7), "")</f>
        <v>6</v>
      </c>
      <c r="B7" s="105" t="s">
        <v>30</v>
      </c>
      <c r="C7" s="105" t="s">
        <v>163</v>
      </c>
      <c r="D7" s="105">
        <v>21</v>
      </c>
      <c r="E7" s="105">
        <v>84</v>
      </c>
      <c r="F7" s="105">
        <v>3911</v>
      </c>
      <c r="G7" s="105" t="s">
        <v>11</v>
      </c>
    </row>
    <row r="8" spans="1:7" x14ac:dyDescent="0.25">
      <c r="A8" s="105">
        <f>IF(B8&lt;&gt;"", SUBTOTAL(3, $B$2:B8), "")</f>
        <v>7</v>
      </c>
      <c r="B8" s="105" t="s">
        <v>30</v>
      </c>
      <c r="C8" s="105" t="s">
        <v>163</v>
      </c>
      <c r="D8" s="105">
        <v>21</v>
      </c>
      <c r="E8" s="105">
        <v>85</v>
      </c>
      <c r="F8" s="105">
        <v>17141</v>
      </c>
      <c r="G8" s="105" t="s">
        <v>11</v>
      </c>
    </row>
    <row r="9" spans="1:7" x14ac:dyDescent="0.25">
      <c r="A9" s="105">
        <f>IF(B9&lt;&gt;"", SUBTOTAL(3, $B$2:B9), "")</f>
        <v>8</v>
      </c>
      <c r="B9" s="105" t="s">
        <v>32</v>
      </c>
      <c r="C9" s="105" t="s">
        <v>163</v>
      </c>
      <c r="D9" s="105">
        <v>21</v>
      </c>
      <c r="E9" s="105">
        <v>86</v>
      </c>
      <c r="F9" s="105">
        <v>8170</v>
      </c>
      <c r="G9" s="105" t="s">
        <v>11</v>
      </c>
    </row>
    <row r="10" spans="1:7" x14ac:dyDescent="0.25">
      <c r="A10" s="105">
        <f>IF(B10&lt;&gt;"", SUBTOTAL(3, $B$2:B10), "")</f>
        <v>9</v>
      </c>
      <c r="B10" s="105" t="s">
        <v>32</v>
      </c>
      <c r="C10" s="105" t="s">
        <v>163</v>
      </c>
      <c r="D10" s="105">
        <v>21</v>
      </c>
      <c r="E10" s="105">
        <v>87</v>
      </c>
      <c r="F10" s="105">
        <v>9745</v>
      </c>
      <c r="G10" s="105" t="s">
        <v>11</v>
      </c>
    </row>
    <row r="11" spans="1:7" x14ac:dyDescent="0.25">
      <c r="A11" s="105">
        <f>IF(B11&lt;&gt;"", SUBTOTAL(3, $B$2:B11), "")</f>
        <v>10</v>
      </c>
      <c r="B11" s="105" t="s">
        <v>61</v>
      </c>
      <c r="C11" s="105" t="s">
        <v>163</v>
      </c>
      <c r="D11" s="105">
        <v>21</v>
      </c>
      <c r="E11" s="105">
        <v>125</v>
      </c>
      <c r="F11" s="105">
        <v>9149</v>
      </c>
      <c r="G11" s="105" t="s">
        <v>11</v>
      </c>
    </row>
    <row r="12" spans="1:7" x14ac:dyDescent="0.25">
      <c r="A12" s="105">
        <f>IF(B12&lt;&gt;"", SUBTOTAL(3, $B$2:B12), "")</f>
        <v>11</v>
      </c>
      <c r="B12" s="105" t="s">
        <v>61</v>
      </c>
      <c r="C12" s="105" t="s">
        <v>163</v>
      </c>
      <c r="D12" s="105">
        <v>21</v>
      </c>
      <c r="E12" s="105">
        <v>126</v>
      </c>
      <c r="F12" s="105">
        <v>9151</v>
      </c>
      <c r="G12" s="105" t="s">
        <v>11</v>
      </c>
    </row>
    <row r="13" spans="1:7" x14ac:dyDescent="0.25">
      <c r="A13" s="105">
        <f>IF(B13&lt;&gt;"", SUBTOTAL(3, $B$2:B13), "")</f>
        <v>12</v>
      </c>
      <c r="B13" s="105" t="s">
        <v>61</v>
      </c>
      <c r="C13" s="105" t="s">
        <v>163</v>
      </c>
      <c r="D13" s="105">
        <v>21</v>
      </c>
      <c r="E13" s="105">
        <v>127</v>
      </c>
      <c r="F13" s="105">
        <v>5024</v>
      </c>
      <c r="G13" s="105" t="s">
        <v>11</v>
      </c>
    </row>
    <row r="14" spans="1:7" x14ac:dyDescent="0.25">
      <c r="A14" s="105">
        <f>IF(B14&lt;&gt;"", SUBTOTAL(3, $B$2:B14), "")</f>
        <v>13</v>
      </c>
      <c r="B14" s="105" t="s">
        <v>66</v>
      </c>
      <c r="C14" s="105" t="s">
        <v>163</v>
      </c>
      <c r="D14" s="105">
        <v>21</v>
      </c>
      <c r="E14" s="105">
        <v>133</v>
      </c>
      <c r="F14" s="105">
        <v>26490</v>
      </c>
      <c r="G14" s="105" t="s">
        <v>11</v>
      </c>
    </row>
    <row r="15" spans="1:7" x14ac:dyDescent="0.25">
      <c r="A15" s="105">
        <f>IF(B15&lt;&gt;"", SUBTOTAL(3, $B$2:B15), "")</f>
        <v>14</v>
      </c>
      <c r="B15" s="105" t="s">
        <v>66</v>
      </c>
      <c r="C15" s="105" t="s">
        <v>163</v>
      </c>
      <c r="D15" s="105">
        <v>21</v>
      </c>
      <c r="E15" s="105">
        <v>134</v>
      </c>
      <c r="F15" s="105">
        <v>6891</v>
      </c>
      <c r="G15" s="105" t="s">
        <v>11</v>
      </c>
    </row>
    <row r="16" spans="1:7" x14ac:dyDescent="0.25">
      <c r="A16" s="105">
        <f>IF(B16&lt;&gt;"", SUBTOTAL(3, $B$2:B16), "")</f>
        <v>15</v>
      </c>
      <c r="B16" s="105" t="s">
        <v>66</v>
      </c>
      <c r="C16" s="105" t="s">
        <v>163</v>
      </c>
      <c r="D16" s="105">
        <v>21</v>
      </c>
      <c r="E16" s="105">
        <v>135</v>
      </c>
      <c r="F16" s="105">
        <v>36590</v>
      </c>
      <c r="G16" s="105" t="s">
        <v>11</v>
      </c>
    </row>
    <row r="17" spans="1:7" x14ac:dyDescent="0.25">
      <c r="A17" s="105">
        <f>IF(B17&lt;&gt;"", SUBTOTAL(3, $B$2:B17), "")</f>
        <v>16</v>
      </c>
      <c r="B17" s="105" t="s">
        <v>74</v>
      </c>
      <c r="C17" s="105" t="s">
        <v>163</v>
      </c>
      <c r="D17" s="105">
        <v>21</v>
      </c>
      <c r="E17" s="105">
        <v>145</v>
      </c>
      <c r="F17" s="105">
        <v>2824</v>
      </c>
      <c r="G17" s="105" t="s">
        <v>11</v>
      </c>
    </row>
    <row r="18" spans="1:7" x14ac:dyDescent="0.25">
      <c r="A18" s="105">
        <f>IF(B18&lt;&gt;"", SUBTOTAL(3, $B$2:B18), "")</f>
        <v>17</v>
      </c>
      <c r="B18" s="105" t="s">
        <v>79</v>
      </c>
      <c r="C18" s="105" t="s">
        <v>163</v>
      </c>
      <c r="D18" s="105">
        <v>21</v>
      </c>
      <c r="E18" s="105">
        <v>150</v>
      </c>
      <c r="F18" s="105">
        <v>7258</v>
      </c>
      <c r="G18" s="105" t="s">
        <v>11</v>
      </c>
    </row>
    <row r="19" spans="1:7" x14ac:dyDescent="0.25">
      <c r="A19" s="105">
        <f>IF(B19&lt;&gt;"", SUBTOTAL(3, $B$2:B19), "")</f>
        <v>18</v>
      </c>
      <c r="B19" s="105" t="s">
        <v>79</v>
      </c>
      <c r="C19" s="105" t="s">
        <v>163</v>
      </c>
      <c r="D19" s="105">
        <v>21</v>
      </c>
      <c r="E19" s="105">
        <v>151</v>
      </c>
      <c r="F19" s="105">
        <v>11823</v>
      </c>
      <c r="G19" s="105" t="s">
        <v>11</v>
      </c>
    </row>
    <row r="20" spans="1:7" x14ac:dyDescent="0.25">
      <c r="A20" s="105">
        <f>IF(B20&lt;&gt;"", SUBTOTAL(3, $B$2:B20), "")</f>
        <v>19</v>
      </c>
      <c r="B20" s="105" t="s">
        <v>79</v>
      </c>
      <c r="C20" s="105" t="s">
        <v>163</v>
      </c>
      <c r="D20" s="105">
        <v>21</v>
      </c>
      <c r="E20" s="105">
        <v>152</v>
      </c>
      <c r="F20" s="105">
        <v>4680</v>
      </c>
      <c r="G20" s="105" t="s">
        <v>11</v>
      </c>
    </row>
    <row r="21" spans="1:7" x14ac:dyDescent="0.25">
      <c r="A21" s="105">
        <f>IF(B21&lt;&gt;"", SUBTOTAL(3, $B$2:B21), "")</f>
        <v>20</v>
      </c>
      <c r="B21" s="105" t="s">
        <v>82</v>
      </c>
      <c r="C21" s="105" t="s">
        <v>163</v>
      </c>
      <c r="D21" s="105">
        <v>21</v>
      </c>
      <c r="E21" s="105">
        <v>157</v>
      </c>
      <c r="F21" s="105">
        <v>5223</v>
      </c>
      <c r="G21" s="105" t="s">
        <v>11</v>
      </c>
    </row>
    <row r="22" spans="1:7" x14ac:dyDescent="0.25">
      <c r="A22" s="105">
        <f>IF(B22&lt;&gt;"", SUBTOTAL(3, $B$2:B22), "")</f>
        <v>21</v>
      </c>
      <c r="B22" s="105" t="s">
        <v>82</v>
      </c>
      <c r="C22" s="105" t="s">
        <v>163</v>
      </c>
      <c r="D22" s="105">
        <v>21</v>
      </c>
      <c r="E22" s="105">
        <v>159</v>
      </c>
      <c r="F22" s="105">
        <v>3403</v>
      </c>
      <c r="G22" s="105" t="s">
        <v>11</v>
      </c>
    </row>
    <row r="23" spans="1:7" x14ac:dyDescent="0.25">
      <c r="A23" s="105">
        <f>IF(B23&lt;&gt;"", SUBTOTAL(3, $B$2:B23), "")</f>
        <v>22</v>
      </c>
      <c r="B23" s="105" t="s">
        <v>83</v>
      </c>
      <c r="C23" s="105" t="s">
        <v>163</v>
      </c>
      <c r="D23" s="105">
        <v>21</v>
      </c>
      <c r="E23" s="105">
        <v>160</v>
      </c>
      <c r="F23" s="105">
        <v>6134</v>
      </c>
      <c r="G23" s="105" t="s">
        <v>11</v>
      </c>
    </row>
    <row r="24" spans="1:7" x14ac:dyDescent="0.25">
      <c r="A24" s="105">
        <f>IF(B24&lt;&gt;"", SUBTOTAL(3, $B$2:B24), "")</f>
        <v>23</v>
      </c>
      <c r="B24" s="105" t="s">
        <v>83</v>
      </c>
      <c r="C24" s="105" t="s">
        <v>163</v>
      </c>
      <c r="D24" s="105">
        <v>21</v>
      </c>
      <c r="E24" s="105">
        <v>161</v>
      </c>
      <c r="F24" s="105">
        <v>12699</v>
      </c>
      <c r="G24" s="105" t="s">
        <v>11</v>
      </c>
    </row>
    <row r="25" spans="1:7" x14ac:dyDescent="0.25">
      <c r="A25" s="105">
        <f>IF(B25&lt;&gt;"", SUBTOTAL(3, $B$2:B25), "")</f>
        <v>24</v>
      </c>
      <c r="B25" s="105" t="s">
        <v>83</v>
      </c>
      <c r="C25" s="105" t="s">
        <v>163</v>
      </c>
      <c r="D25" s="105">
        <v>21</v>
      </c>
      <c r="E25" s="105">
        <v>162</v>
      </c>
      <c r="F25" s="105">
        <v>16603</v>
      </c>
      <c r="G25" s="105" t="s">
        <v>11</v>
      </c>
    </row>
    <row r="26" spans="1:7" x14ac:dyDescent="0.25">
      <c r="A26" s="105">
        <f>IF(B26&lt;&gt;"", SUBTOTAL(3, $B$2:B26), "")</f>
        <v>25</v>
      </c>
      <c r="B26" s="105" t="s">
        <v>91</v>
      </c>
      <c r="C26" s="105" t="s">
        <v>163</v>
      </c>
      <c r="D26" s="105">
        <v>21</v>
      </c>
      <c r="E26" s="105">
        <v>182</v>
      </c>
      <c r="F26" s="105">
        <v>5395</v>
      </c>
      <c r="G26" s="105" t="s">
        <v>11</v>
      </c>
    </row>
    <row r="27" spans="1:7" x14ac:dyDescent="0.25">
      <c r="A27" s="105">
        <f>IF(B27&lt;&gt;"", SUBTOTAL(3, $B$2:B27), "")</f>
        <v>26</v>
      </c>
      <c r="B27" s="105" t="s">
        <v>91</v>
      </c>
      <c r="C27" s="105" t="s">
        <v>163</v>
      </c>
      <c r="D27" s="105">
        <v>21</v>
      </c>
      <c r="E27" s="105">
        <v>183</v>
      </c>
      <c r="F27" s="105">
        <v>7194</v>
      </c>
      <c r="G27" s="105" t="s">
        <v>11</v>
      </c>
    </row>
    <row r="28" spans="1:7" x14ac:dyDescent="0.25">
      <c r="A28" s="105">
        <f>IF(B28&lt;&gt;"", SUBTOTAL(3, $B$2:B28), "")</f>
        <v>27</v>
      </c>
      <c r="B28" s="105" t="s">
        <v>103</v>
      </c>
      <c r="C28" s="105" t="s">
        <v>163</v>
      </c>
      <c r="D28" s="105">
        <v>21</v>
      </c>
      <c r="E28" s="105">
        <v>197</v>
      </c>
      <c r="F28" s="105">
        <v>13396</v>
      </c>
      <c r="G28" s="105" t="s">
        <v>11</v>
      </c>
    </row>
    <row r="29" spans="1:7" x14ac:dyDescent="0.25">
      <c r="A29" s="105">
        <f>IF(B29&lt;&gt;"", SUBTOTAL(3, $B$2:B29), "")</f>
        <v>28</v>
      </c>
      <c r="B29" s="105" t="s">
        <v>103</v>
      </c>
      <c r="C29" s="105" t="s">
        <v>163</v>
      </c>
      <c r="D29" s="105">
        <v>21</v>
      </c>
      <c r="E29" s="105">
        <v>198</v>
      </c>
      <c r="F29" s="105">
        <v>4280</v>
      </c>
      <c r="G29" s="105" t="s">
        <v>11</v>
      </c>
    </row>
    <row r="30" spans="1:7" x14ac:dyDescent="0.25">
      <c r="A30" s="105">
        <f>IF(B30&lt;&gt;"", SUBTOTAL(3, $B$2:B30), "")</f>
        <v>29</v>
      </c>
      <c r="B30" s="105" t="s">
        <v>120</v>
      </c>
      <c r="C30" s="105" t="s">
        <v>163</v>
      </c>
      <c r="D30" s="105">
        <v>21</v>
      </c>
      <c r="E30" s="105">
        <v>223</v>
      </c>
      <c r="F30" s="105">
        <v>4096</v>
      </c>
      <c r="G30" s="105" t="s">
        <v>11</v>
      </c>
    </row>
    <row r="31" spans="1:7" x14ac:dyDescent="0.25">
      <c r="A31" s="105">
        <f>IF(B31&lt;&gt;"", SUBTOTAL(3, $B$2:B31), "")</f>
        <v>30</v>
      </c>
      <c r="B31" s="105" t="s">
        <v>120</v>
      </c>
      <c r="C31" s="105" t="s">
        <v>163</v>
      </c>
      <c r="D31" s="105">
        <v>21</v>
      </c>
      <c r="E31" s="105">
        <v>224</v>
      </c>
      <c r="F31" s="105">
        <v>9294</v>
      </c>
      <c r="G31" s="105" t="s">
        <v>11</v>
      </c>
    </row>
    <row r="32" spans="1:7" x14ac:dyDescent="0.25">
      <c r="A32" s="105">
        <f>IF(B32&lt;&gt;"", SUBTOTAL(3, $B$2:B32), "")</f>
        <v>31</v>
      </c>
      <c r="B32" s="105" t="s">
        <v>130</v>
      </c>
      <c r="C32" s="105" t="s">
        <v>163</v>
      </c>
      <c r="D32" s="105">
        <v>21</v>
      </c>
      <c r="E32" s="105">
        <v>233</v>
      </c>
      <c r="F32" s="105">
        <v>19045</v>
      </c>
      <c r="G32" s="105" t="s">
        <v>11</v>
      </c>
    </row>
    <row r="33" spans="1:7" x14ac:dyDescent="0.25">
      <c r="A33" s="105">
        <f>IF(B33&lt;&gt;"", SUBTOTAL(3, $B$2:B33), "")</f>
        <v>32</v>
      </c>
      <c r="B33" s="105" t="s">
        <v>23</v>
      </c>
      <c r="C33" s="105" t="s">
        <v>171</v>
      </c>
      <c r="D33" s="105">
        <v>21</v>
      </c>
      <c r="E33" s="105">
        <v>68</v>
      </c>
      <c r="F33" s="105">
        <v>3699</v>
      </c>
      <c r="G33" s="105" t="s">
        <v>11</v>
      </c>
    </row>
    <row r="34" spans="1:7" x14ac:dyDescent="0.25">
      <c r="A34" s="105">
        <f>IF(B34&lt;&gt;"", SUBTOTAL(3, $B$2:B34), "")</f>
        <v>33</v>
      </c>
      <c r="B34" s="105" t="s">
        <v>65</v>
      </c>
      <c r="C34" s="105" t="s">
        <v>171</v>
      </c>
      <c r="D34" s="105">
        <v>21</v>
      </c>
      <c r="E34" s="105">
        <v>132</v>
      </c>
      <c r="F34" s="105">
        <v>11540</v>
      </c>
      <c r="G34" s="105" t="s">
        <v>11</v>
      </c>
    </row>
    <row r="35" spans="1:7" x14ac:dyDescent="0.25">
      <c r="A35" s="105">
        <f>IF(B35&lt;&gt;"", SUBTOTAL(3, $B$2:B35), "")</f>
        <v>34</v>
      </c>
      <c r="B35" s="105" t="s">
        <v>65</v>
      </c>
      <c r="C35" s="105" t="s">
        <v>171</v>
      </c>
      <c r="D35" s="105">
        <v>21</v>
      </c>
      <c r="E35" s="105">
        <v>70</v>
      </c>
      <c r="F35" s="105">
        <v>8887</v>
      </c>
      <c r="G35" s="105" t="s">
        <v>11</v>
      </c>
    </row>
    <row r="36" spans="1:7" x14ac:dyDescent="0.25">
      <c r="A36" s="105">
        <f>IF(B36&lt;&gt;"", SUBTOTAL(3, $B$2:B36), "")</f>
        <v>35</v>
      </c>
      <c r="B36" s="105" t="s">
        <v>65</v>
      </c>
      <c r="C36" s="105" t="s">
        <v>171</v>
      </c>
      <c r="D36" s="105">
        <v>21</v>
      </c>
      <c r="E36" s="105">
        <v>71</v>
      </c>
      <c r="F36" s="105">
        <v>13915</v>
      </c>
      <c r="G36" s="105" t="s">
        <v>11</v>
      </c>
    </row>
    <row r="37" spans="1:7" x14ac:dyDescent="0.25">
      <c r="A37" s="105">
        <f>IF(B37&lt;&gt;"", SUBTOTAL(3, $B$2:B37), "")</f>
        <v>36</v>
      </c>
      <c r="B37" s="105" t="s">
        <v>65</v>
      </c>
      <c r="C37" s="105" t="s">
        <v>171</v>
      </c>
      <c r="D37" s="105">
        <v>21</v>
      </c>
      <c r="E37" s="105">
        <v>72</v>
      </c>
      <c r="F37" s="105">
        <v>11043</v>
      </c>
      <c r="G37" s="105" t="s">
        <v>11</v>
      </c>
    </row>
    <row r="38" spans="1:7" x14ac:dyDescent="0.25">
      <c r="A38" s="105">
        <f>IF(B38&lt;&gt;"", SUBTOTAL(3, $B$2:B38), "")</f>
        <v>37</v>
      </c>
      <c r="B38" s="105" t="s">
        <v>96</v>
      </c>
      <c r="C38" s="105" t="s">
        <v>307</v>
      </c>
      <c r="D38" s="105">
        <v>21</v>
      </c>
      <c r="E38" s="105">
        <v>191</v>
      </c>
      <c r="F38" s="105">
        <v>18950</v>
      </c>
      <c r="G38" s="105" t="s">
        <v>11</v>
      </c>
    </row>
    <row r="39" spans="1:7" x14ac:dyDescent="0.25">
      <c r="A39" s="105">
        <f>IF(B39&lt;&gt;"", SUBTOTAL(3, $B$2:B39), "")</f>
        <v>38</v>
      </c>
      <c r="B39" s="105" t="s">
        <v>64</v>
      </c>
      <c r="C39" s="105" t="s">
        <v>216</v>
      </c>
      <c r="D39" s="105">
        <v>33</v>
      </c>
      <c r="E39" s="105">
        <v>5</v>
      </c>
      <c r="F39" s="105">
        <v>9588</v>
      </c>
      <c r="G39" s="105" t="s">
        <v>11</v>
      </c>
    </row>
    <row r="40" spans="1:7" x14ac:dyDescent="0.25">
      <c r="A40" s="105">
        <f>IF(B40&lt;&gt;"", SUBTOTAL(3, $B$2:B40), "")</f>
        <v>39</v>
      </c>
      <c r="B40" s="105" t="s">
        <v>44</v>
      </c>
      <c r="C40" s="105" t="s">
        <v>195</v>
      </c>
      <c r="D40" s="105">
        <v>14</v>
      </c>
      <c r="E40" s="105">
        <v>27</v>
      </c>
      <c r="F40" s="105">
        <v>11025</v>
      </c>
      <c r="G40" s="105" t="s">
        <v>11</v>
      </c>
    </row>
    <row r="41" spans="1:7" x14ac:dyDescent="0.25">
      <c r="A41" s="105">
        <f>IF(B41&lt;&gt;"", SUBTOTAL(3, $B$2:B41), "")</f>
        <v>40</v>
      </c>
      <c r="B41" s="105" t="s">
        <v>97</v>
      </c>
      <c r="C41" s="105" t="s">
        <v>173</v>
      </c>
      <c r="D41" s="105">
        <v>8</v>
      </c>
      <c r="E41" s="105">
        <v>210</v>
      </c>
      <c r="F41" s="105">
        <v>4483</v>
      </c>
      <c r="G41" s="105" t="s">
        <v>11</v>
      </c>
    </row>
    <row r="42" spans="1:7" x14ac:dyDescent="0.25">
      <c r="A42" s="105">
        <f>IF(B42&lt;&gt;"", SUBTOTAL(3, $B$2:B42), "")</f>
        <v>41</v>
      </c>
      <c r="B42" s="105" t="s">
        <v>19</v>
      </c>
      <c r="C42" s="105" t="s">
        <v>164</v>
      </c>
      <c r="D42" s="105">
        <v>1</v>
      </c>
      <c r="E42" s="105">
        <v>167</v>
      </c>
      <c r="F42" s="105">
        <v>3672</v>
      </c>
      <c r="G42" s="105" t="s">
        <v>11</v>
      </c>
    </row>
    <row r="43" spans="1:7" x14ac:dyDescent="0.25">
      <c r="A43" s="105">
        <f>IF(B43&lt;&gt;"", SUBTOTAL(3, $B$2:B43), "")</f>
        <v>42</v>
      </c>
      <c r="B43" s="105" t="s">
        <v>37</v>
      </c>
      <c r="C43" s="105" t="s">
        <v>164</v>
      </c>
      <c r="D43" s="105">
        <v>1</v>
      </c>
      <c r="E43" s="105">
        <v>6</v>
      </c>
      <c r="F43" s="105">
        <v>6517</v>
      </c>
      <c r="G43" s="105" t="s">
        <v>11</v>
      </c>
    </row>
    <row r="44" spans="1:7" x14ac:dyDescent="0.25">
      <c r="A44" s="105">
        <f>IF(B44&lt;&gt;"", SUBTOTAL(3, $B$2:B44), "")</f>
        <v>43</v>
      </c>
      <c r="B44" s="105" t="s">
        <v>24</v>
      </c>
      <c r="C44" s="105" t="s">
        <v>407</v>
      </c>
      <c r="D44" s="105">
        <v>21</v>
      </c>
      <c r="E44" s="105">
        <v>70</v>
      </c>
      <c r="F44" s="105">
        <v>12571</v>
      </c>
      <c r="G44" s="105" t="s">
        <v>11</v>
      </c>
    </row>
    <row r="45" spans="1:7" x14ac:dyDescent="0.25">
      <c r="A45" s="105">
        <f>IF(B45&lt;&gt;"", SUBTOTAL(3, $B$2:B45), "")</f>
        <v>44</v>
      </c>
      <c r="B45" s="105" t="s">
        <v>24</v>
      </c>
      <c r="C45" s="105" t="s">
        <v>407</v>
      </c>
      <c r="D45" s="105">
        <v>21</v>
      </c>
      <c r="E45" s="105">
        <v>71</v>
      </c>
      <c r="F45" s="105">
        <v>7637</v>
      </c>
      <c r="G45" s="105" t="s">
        <v>11</v>
      </c>
    </row>
    <row r="46" spans="1:7" x14ac:dyDescent="0.25">
      <c r="A46" s="105">
        <f>IF(B46&lt;&gt;"", SUBTOTAL(3, $B$2:B46), "")</f>
        <v>45</v>
      </c>
      <c r="B46" s="105" t="s">
        <v>633</v>
      </c>
      <c r="C46" s="105" t="s">
        <v>407</v>
      </c>
      <c r="D46" s="105">
        <v>21</v>
      </c>
      <c r="E46" s="105">
        <v>72</v>
      </c>
      <c r="F46" s="105">
        <v>17247</v>
      </c>
      <c r="G46" s="105" t="s">
        <v>11</v>
      </c>
    </row>
    <row r="47" spans="1:7" x14ac:dyDescent="0.25">
      <c r="A47" s="105">
        <f>IF(B47&lt;&gt;"", SUBTOTAL(3, $B$2:B47), "")</f>
        <v>46</v>
      </c>
      <c r="B47" s="105" t="s">
        <v>47</v>
      </c>
      <c r="C47" s="105" t="s">
        <v>407</v>
      </c>
      <c r="D47" s="105">
        <v>21</v>
      </c>
      <c r="E47" s="105">
        <v>102</v>
      </c>
      <c r="F47" s="105">
        <v>6352</v>
      </c>
      <c r="G47" s="105" t="s">
        <v>11</v>
      </c>
    </row>
    <row r="48" spans="1:7" x14ac:dyDescent="0.25">
      <c r="A48" s="105">
        <f>IF(B48&lt;&gt;"", SUBTOTAL(3, $B$2:B48), "")</f>
        <v>47</v>
      </c>
      <c r="B48" s="105" t="s">
        <v>55</v>
      </c>
      <c r="C48" s="105" t="s">
        <v>407</v>
      </c>
      <c r="D48" s="105">
        <v>21</v>
      </c>
      <c r="E48" s="105">
        <v>114</v>
      </c>
      <c r="F48" s="105">
        <v>11270</v>
      </c>
      <c r="G48" s="105" t="s">
        <v>11</v>
      </c>
    </row>
    <row r="49" spans="1:7" x14ac:dyDescent="0.25">
      <c r="A49" s="105">
        <f>IF(B49&lt;&gt;"", SUBTOTAL(3, $B$2:B49), "")</f>
        <v>48</v>
      </c>
      <c r="B49" s="105" t="s">
        <v>55</v>
      </c>
      <c r="C49" s="105" t="s">
        <v>407</v>
      </c>
      <c r="D49" s="105">
        <v>21</v>
      </c>
      <c r="E49" s="105">
        <v>115</v>
      </c>
      <c r="F49" s="105">
        <v>26358</v>
      </c>
      <c r="G49" s="105" t="s">
        <v>11</v>
      </c>
    </row>
    <row r="50" spans="1:7" x14ac:dyDescent="0.25">
      <c r="A50" s="105">
        <f>IF(B50&lt;&gt;"", SUBTOTAL(3, $B$2:B50), "")</f>
        <v>49</v>
      </c>
      <c r="B50" s="105" t="s">
        <v>604</v>
      </c>
      <c r="C50" s="105" t="s">
        <v>407</v>
      </c>
      <c r="D50" s="105">
        <v>33</v>
      </c>
      <c r="E50" s="105">
        <v>12</v>
      </c>
      <c r="F50" s="105">
        <v>9487</v>
      </c>
      <c r="G50" s="105" t="s">
        <v>11</v>
      </c>
    </row>
    <row r="51" spans="1:7" x14ac:dyDescent="0.25">
      <c r="A51" s="105">
        <f>IF(B51&lt;&gt;"", SUBTOTAL(3, $B$2:B51), "")</f>
        <v>50</v>
      </c>
      <c r="B51" s="105" t="s">
        <v>604</v>
      </c>
      <c r="C51" s="105" t="s">
        <v>407</v>
      </c>
      <c r="D51" s="105">
        <v>21</v>
      </c>
      <c r="E51" s="105">
        <v>121</v>
      </c>
      <c r="F51" s="105">
        <v>11402</v>
      </c>
      <c r="G51" s="105" t="s">
        <v>11</v>
      </c>
    </row>
    <row r="52" spans="1:7" x14ac:dyDescent="0.25">
      <c r="A52" s="105">
        <f>IF(B52&lt;&gt;"", SUBTOTAL(3, $B$2:B52), "")</f>
        <v>51</v>
      </c>
      <c r="B52" s="105" t="s">
        <v>60</v>
      </c>
      <c r="C52" s="105" t="s">
        <v>407</v>
      </c>
      <c r="D52" s="105">
        <v>21</v>
      </c>
      <c r="E52" s="105">
        <v>123</v>
      </c>
      <c r="F52" s="105">
        <v>1705</v>
      </c>
      <c r="G52" s="105" t="s">
        <v>11</v>
      </c>
    </row>
    <row r="53" spans="1:7" x14ac:dyDescent="0.25">
      <c r="A53" s="105">
        <f>IF(B53&lt;&gt;"", SUBTOTAL(3, $B$2:B53), "")</f>
        <v>52</v>
      </c>
      <c r="B53" s="105" t="s">
        <v>60</v>
      </c>
      <c r="C53" s="105" t="s">
        <v>407</v>
      </c>
      <c r="D53" s="105">
        <v>21</v>
      </c>
      <c r="E53" s="105">
        <v>124</v>
      </c>
      <c r="F53" s="105">
        <v>8766</v>
      </c>
      <c r="G53" s="105" t="s">
        <v>11</v>
      </c>
    </row>
    <row r="54" spans="1:7" x14ac:dyDescent="0.25">
      <c r="A54" s="105">
        <f>IF(B54&lt;&gt;"", SUBTOTAL(3, $B$2:B54), "")</f>
        <v>53</v>
      </c>
      <c r="B54" s="105" t="s">
        <v>87</v>
      </c>
      <c r="C54" s="105" t="s">
        <v>407</v>
      </c>
      <c r="D54" s="105">
        <v>21</v>
      </c>
      <c r="E54" s="105">
        <v>170</v>
      </c>
      <c r="F54" s="105">
        <v>7810</v>
      </c>
      <c r="G54" s="105" t="s">
        <v>11</v>
      </c>
    </row>
    <row r="55" spans="1:7" x14ac:dyDescent="0.25">
      <c r="A55" s="105">
        <f>IF(B55&lt;&gt;"", SUBTOTAL(3, $B$2:B55), "")</f>
        <v>54</v>
      </c>
      <c r="B55" s="105" t="s">
        <v>123</v>
      </c>
      <c r="C55" s="105" t="s">
        <v>407</v>
      </c>
      <c r="D55" s="105">
        <v>21</v>
      </c>
      <c r="E55" s="105">
        <v>229</v>
      </c>
      <c r="F55" s="105">
        <v>5084</v>
      </c>
      <c r="G55" s="105" t="s">
        <v>11</v>
      </c>
    </row>
    <row r="56" spans="1:7" x14ac:dyDescent="0.25">
      <c r="A56" s="105">
        <f>IF(B56&lt;&gt;"", SUBTOTAL(3, $B$2:B56), "")</f>
        <v>55</v>
      </c>
      <c r="B56" s="105" t="s">
        <v>141</v>
      </c>
      <c r="C56" s="105" t="s">
        <v>340</v>
      </c>
      <c r="D56" s="105">
        <v>21</v>
      </c>
      <c r="E56" s="105">
        <v>242</v>
      </c>
      <c r="F56" s="105">
        <v>4876</v>
      </c>
      <c r="G56" s="105" t="s">
        <v>11</v>
      </c>
    </row>
    <row r="57" spans="1:7" x14ac:dyDescent="0.25">
      <c r="A57" s="105">
        <f>IF(B57&lt;&gt;"", SUBTOTAL(3, $B$2:B57), "")</f>
        <v>56</v>
      </c>
      <c r="B57" s="105" t="s">
        <v>20</v>
      </c>
      <c r="C57" s="105" t="s">
        <v>608</v>
      </c>
      <c r="D57" s="105">
        <v>21</v>
      </c>
      <c r="E57" s="105">
        <v>63</v>
      </c>
      <c r="F57" s="105">
        <v>7913</v>
      </c>
      <c r="G57" s="105" t="s">
        <v>11</v>
      </c>
    </row>
    <row r="58" spans="1:7" x14ac:dyDescent="0.25">
      <c r="A58" s="105">
        <f>IF(B58&lt;&gt;"", SUBTOTAL(3, $B$2:B58), "")</f>
        <v>57</v>
      </c>
      <c r="B58" s="105" t="s">
        <v>20</v>
      </c>
      <c r="C58" s="105" t="s">
        <v>608</v>
      </c>
      <c r="D58" s="105">
        <v>21</v>
      </c>
      <c r="E58" s="105">
        <v>64</v>
      </c>
      <c r="F58" s="105">
        <v>5219</v>
      </c>
      <c r="G58" s="105" t="s">
        <v>11</v>
      </c>
    </row>
    <row r="59" spans="1:7" x14ac:dyDescent="0.25">
      <c r="A59" s="105">
        <f>IF(B59&lt;&gt;"", SUBTOTAL(3, $B$2:B59), "")</f>
        <v>58</v>
      </c>
      <c r="B59" s="105" t="s">
        <v>28</v>
      </c>
      <c r="C59" s="105" t="s">
        <v>608</v>
      </c>
      <c r="D59" s="105">
        <v>21</v>
      </c>
      <c r="E59" s="105">
        <v>79</v>
      </c>
      <c r="F59" s="105">
        <v>9667</v>
      </c>
      <c r="G59" s="105" t="s">
        <v>11</v>
      </c>
    </row>
    <row r="60" spans="1:7" x14ac:dyDescent="0.25">
      <c r="A60" s="105">
        <f>IF(B60&lt;&gt;"", SUBTOTAL(3, $B$2:B60), "")</f>
        <v>59</v>
      </c>
      <c r="B60" s="105" t="s">
        <v>28</v>
      </c>
      <c r="C60" s="105" t="s">
        <v>608</v>
      </c>
      <c r="D60" s="105">
        <v>21</v>
      </c>
      <c r="E60" s="105">
        <v>80</v>
      </c>
      <c r="F60" s="105">
        <v>13907</v>
      </c>
      <c r="G60" s="105" t="s">
        <v>11</v>
      </c>
    </row>
    <row r="61" spans="1:7" x14ac:dyDescent="0.25">
      <c r="A61" s="105">
        <f>IF(B61&lt;&gt;"", SUBTOTAL(3, $B$2:B61), "")</f>
        <v>60</v>
      </c>
      <c r="B61" s="105" t="s">
        <v>80</v>
      </c>
      <c r="C61" s="105" t="s">
        <v>608</v>
      </c>
      <c r="D61" s="105">
        <v>21</v>
      </c>
      <c r="E61" s="105">
        <v>153</v>
      </c>
      <c r="F61" s="105">
        <v>7804</v>
      </c>
      <c r="G61" s="105" t="s">
        <v>11</v>
      </c>
    </row>
    <row r="62" spans="1:7" x14ac:dyDescent="0.25">
      <c r="A62" s="105">
        <f>IF(B62&lt;&gt;"", SUBTOTAL(3, $B$2:B62), "")</f>
        <v>61</v>
      </c>
      <c r="B62" s="105" t="s">
        <v>110</v>
      </c>
      <c r="C62" s="105" t="s">
        <v>608</v>
      </c>
      <c r="D62" s="105">
        <v>22</v>
      </c>
      <c r="E62" s="105">
        <v>14</v>
      </c>
      <c r="F62" s="105">
        <v>7934</v>
      </c>
      <c r="G62" s="105" t="s">
        <v>11</v>
      </c>
    </row>
    <row r="63" spans="1:7" x14ac:dyDescent="0.25">
      <c r="A63" s="105">
        <f>IF(B63&lt;&gt;"", SUBTOTAL(3, $B$2:B63), "")</f>
        <v>62</v>
      </c>
      <c r="B63" s="105" t="s">
        <v>110</v>
      </c>
      <c r="C63" s="105" t="s">
        <v>608</v>
      </c>
      <c r="D63" s="105">
        <v>21</v>
      </c>
      <c r="E63" s="105">
        <v>208</v>
      </c>
      <c r="F63" s="105">
        <v>27215</v>
      </c>
      <c r="G63" s="105" t="s">
        <v>11</v>
      </c>
    </row>
    <row r="64" spans="1:7" x14ac:dyDescent="0.25">
      <c r="A64" s="105">
        <f>IF(B64&lt;&gt;"", SUBTOTAL(3, $B$2:B64), "")</f>
        <v>63</v>
      </c>
      <c r="B64" s="105" t="s">
        <v>121</v>
      </c>
      <c r="C64" s="105" t="s">
        <v>608</v>
      </c>
      <c r="D64" s="105">
        <v>32</v>
      </c>
      <c r="E64" s="105">
        <v>119</v>
      </c>
      <c r="F64" s="105">
        <v>6114</v>
      </c>
      <c r="G64" s="105" t="s">
        <v>11</v>
      </c>
    </row>
    <row r="65" spans="1:7" x14ac:dyDescent="0.25">
      <c r="A65" s="105">
        <f>IF(B65&lt;&gt;"", SUBTOTAL(3, $B$2:B65), "")</f>
        <v>64</v>
      </c>
      <c r="B65" s="105" t="s">
        <v>121</v>
      </c>
      <c r="C65" s="105" t="s">
        <v>608</v>
      </c>
      <c r="D65" s="105">
        <v>33</v>
      </c>
      <c r="E65" s="105">
        <v>6</v>
      </c>
      <c r="F65" s="105">
        <v>5752</v>
      </c>
      <c r="G65" s="105" t="s">
        <v>11</v>
      </c>
    </row>
    <row r="66" spans="1:7" x14ac:dyDescent="0.25">
      <c r="A66" s="105">
        <f>IF(B66&lt;&gt;"", SUBTOTAL(3, $B$2:B66), "")</f>
        <v>65</v>
      </c>
      <c r="B66" s="105" t="s">
        <v>119</v>
      </c>
      <c r="C66" s="105" t="s">
        <v>608</v>
      </c>
      <c r="D66" s="105">
        <v>21</v>
      </c>
      <c r="E66" s="105">
        <v>220</v>
      </c>
      <c r="F66" s="105">
        <v>11197</v>
      </c>
      <c r="G66" s="105" t="s">
        <v>11</v>
      </c>
    </row>
    <row r="67" spans="1:7" x14ac:dyDescent="0.25">
      <c r="A67" s="105">
        <f>IF(B67&lt;&gt;"", SUBTOTAL(3, $B$2:B67), "")</f>
        <v>66</v>
      </c>
      <c r="B67" s="105" t="s">
        <v>119</v>
      </c>
      <c r="C67" s="105" t="s">
        <v>608</v>
      </c>
      <c r="D67" s="105">
        <v>21</v>
      </c>
      <c r="E67" s="105">
        <v>221</v>
      </c>
      <c r="F67" s="105">
        <v>4587</v>
      </c>
      <c r="G67" s="105" t="s">
        <v>11</v>
      </c>
    </row>
    <row r="68" spans="1:7" x14ac:dyDescent="0.25">
      <c r="A68" s="105">
        <f>IF(B68&lt;&gt;"", SUBTOTAL(3, $B$2:B68), "")</f>
        <v>67</v>
      </c>
      <c r="B68" s="105" t="s">
        <v>76</v>
      </c>
      <c r="C68" s="105" t="s">
        <v>608</v>
      </c>
      <c r="D68" s="105">
        <v>21</v>
      </c>
      <c r="E68" s="105">
        <v>146</v>
      </c>
      <c r="F68" s="105">
        <v>7264</v>
      </c>
      <c r="G68" s="105" t="s">
        <v>11</v>
      </c>
    </row>
    <row r="69" spans="1:7" x14ac:dyDescent="0.25">
      <c r="A69" s="105">
        <f>IF(B69&lt;&gt;"", SUBTOTAL(3, $B$2:B69), "")</f>
        <v>68</v>
      </c>
      <c r="B69" s="105" t="s">
        <v>76</v>
      </c>
      <c r="C69" s="105" t="s">
        <v>608</v>
      </c>
      <c r="D69" s="105">
        <v>21</v>
      </c>
      <c r="E69" s="105">
        <v>147</v>
      </c>
      <c r="F69" s="105">
        <v>4738</v>
      </c>
      <c r="G69" s="105" t="s">
        <v>11</v>
      </c>
    </row>
    <row r="70" spans="1:7" x14ac:dyDescent="0.25">
      <c r="A70" s="105">
        <f>IF(B70&lt;&gt;"", SUBTOTAL(3, $B$2:B70), "")</f>
        <v>69</v>
      </c>
      <c r="B70" s="105" t="s">
        <v>148</v>
      </c>
      <c r="C70" s="105" t="s">
        <v>306</v>
      </c>
      <c r="D70" s="105">
        <v>21</v>
      </c>
      <c r="E70" s="105">
        <v>251</v>
      </c>
      <c r="F70" s="105">
        <v>6469</v>
      </c>
      <c r="G70" s="105" t="s">
        <v>11</v>
      </c>
    </row>
    <row r="71" spans="1:7" x14ac:dyDescent="0.25">
      <c r="A71" s="105">
        <f>IF(B71&lt;&gt;"", SUBTOTAL(3, $B$2:B71), "")</f>
        <v>70</v>
      </c>
      <c r="B71" s="105" t="s">
        <v>29</v>
      </c>
      <c r="C71" s="105" t="s">
        <v>603</v>
      </c>
      <c r="D71" s="105">
        <v>21</v>
      </c>
      <c r="E71" s="105">
        <v>82</v>
      </c>
      <c r="F71" s="105">
        <v>14524</v>
      </c>
      <c r="G71" s="105" t="s">
        <v>11</v>
      </c>
    </row>
    <row r="72" spans="1:7" x14ac:dyDescent="0.25">
      <c r="A72" s="105">
        <f>IF(B72&lt;&gt;"", SUBTOTAL(3, $B$2:B72), "")</f>
        <v>71</v>
      </c>
      <c r="B72" s="105" t="s">
        <v>49</v>
      </c>
      <c r="C72" s="105" t="s">
        <v>603</v>
      </c>
      <c r="D72" s="105">
        <v>21</v>
      </c>
      <c r="E72" s="105">
        <v>105</v>
      </c>
      <c r="F72" s="105">
        <v>2993</v>
      </c>
      <c r="G72" s="105" t="s">
        <v>11</v>
      </c>
    </row>
    <row r="73" spans="1:7" x14ac:dyDescent="0.25">
      <c r="A73" s="105">
        <f>IF(B73&lt;&gt;"", SUBTOTAL(3, $B$2:B73), "")</f>
        <v>72</v>
      </c>
      <c r="B73" s="105" t="s">
        <v>49</v>
      </c>
      <c r="C73" s="105" t="s">
        <v>603</v>
      </c>
      <c r="D73" s="105">
        <v>21</v>
      </c>
      <c r="E73" s="105">
        <v>69</v>
      </c>
      <c r="F73" s="105">
        <v>5865</v>
      </c>
      <c r="G73" s="105" t="s">
        <v>11</v>
      </c>
    </row>
    <row r="74" spans="1:7" x14ac:dyDescent="0.25">
      <c r="A74" s="105">
        <f>IF(B74&lt;&gt;"", SUBTOTAL(3, $B$2:B74), "")</f>
        <v>73</v>
      </c>
      <c r="B74" s="105" t="s">
        <v>58</v>
      </c>
      <c r="C74" s="105" t="s">
        <v>603</v>
      </c>
      <c r="D74" s="105">
        <v>32</v>
      </c>
      <c r="E74" s="105">
        <v>52</v>
      </c>
      <c r="F74" s="105">
        <v>11176</v>
      </c>
      <c r="G74" s="105" t="s">
        <v>11</v>
      </c>
    </row>
    <row r="75" spans="1:7" x14ac:dyDescent="0.25">
      <c r="A75" s="105">
        <f>IF(B75&lt;&gt;"", SUBTOTAL(3, $B$2:B75), "")</f>
        <v>74</v>
      </c>
      <c r="B75" s="105" t="s">
        <v>73</v>
      </c>
      <c r="C75" s="105" t="s">
        <v>603</v>
      </c>
      <c r="D75" s="105">
        <v>21</v>
      </c>
      <c r="E75" s="105">
        <v>143</v>
      </c>
      <c r="F75" s="105">
        <v>10614</v>
      </c>
      <c r="G75" s="105" t="s">
        <v>11</v>
      </c>
    </row>
    <row r="76" spans="1:7" x14ac:dyDescent="0.25">
      <c r="A76" s="105">
        <f>IF(B76&lt;&gt;"", SUBTOTAL(3, $B$2:B76), "")</f>
        <v>75</v>
      </c>
      <c r="B76" s="105" t="s">
        <v>92</v>
      </c>
      <c r="C76" s="105" t="s">
        <v>603</v>
      </c>
      <c r="D76" s="105">
        <v>21</v>
      </c>
      <c r="E76" s="105">
        <v>74</v>
      </c>
      <c r="F76" s="105">
        <v>4352</v>
      </c>
      <c r="G76" s="105" t="s">
        <v>11</v>
      </c>
    </row>
    <row r="77" spans="1:7" x14ac:dyDescent="0.25">
      <c r="A77" s="105">
        <f>IF(B77&lt;&gt;"", SUBTOTAL(3, $B$2:B77), "")</f>
        <v>76</v>
      </c>
      <c r="B77" s="105" t="s">
        <v>118</v>
      </c>
      <c r="C77" s="105" t="s">
        <v>603</v>
      </c>
      <c r="D77" s="105">
        <v>21</v>
      </c>
      <c r="E77" s="105">
        <v>76</v>
      </c>
      <c r="F77" s="105">
        <v>7672</v>
      </c>
      <c r="G77" s="105" t="s">
        <v>11</v>
      </c>
    </row>
    <row r="78" spans="1:7" x14ac:dyDescent="0.25">
      <c r="A78" s="105">
        <f>IF(B78&lt;&gt;"", SUBTOTAL(3, $B$2:B78), "")</f>
        <v>77</v>
      </c>
      <c r="B78" s="105" t="s">
        <v>135</v>
      </c>
      <c r="C78" s="105" t="s">
        <v>603</v>
      </c>
      <c r="D78" s="105">
        <v>21</v>
      </c>
      <c r="E78" s="105">
        <v>236</v>
      </c>
      <c r="F78" s="105">
        <v>8046</v>
      </c>
      <c r="G78" s="105" t="s">
        <v>11</v>
      </c>
    </row>
    <row r="79" spans="1:7" x14ac:dyDescent="0.25">
      <c r="A79" s="105">
        <f>IF(B79&lt;&gt;"", SUBTOTAL(3, $B$2:B79), "")</f>
        <v>78</v>
      </c>
      <c r="B79" s="105" t="s">
        <v>57</v>
      </c>
      <c r="C79" s="105" t="s">
        <v>607</v>
      </c>
      <c r="D79" s="105">
        <v>21</v>
      </c>
      <c r="E79" s="105">
        <v>230</v>
      </c>
      <c r="F79" s="105">
        <v>7015</v>
      </c>
      <c r="G79" s="105" t="s">
        <v>11</v>
      </c>
    </row>
    <row r="80" spans="1:7" x14ac:dyDescent="0.25">
      <c r="A80" s="105">
        <f>IF(B80&lt;&gt;"", SUBTOTAL(3, $B$2:B80), "")</f>
        <v>79</v>
      </c>
      <c r="B80" s="105" t="s">
        <v>100</v>
      </c>
      <c r="C80" s="105" t="s">
        <v>269</v>
      </c>
      <c r="D80" s="105">
        <v>36</v>
      </c>
      <c r="E80" s="105">
        <v>116</v>
      </c>
      <c r="F80" s="105">
        <v>2119</v>
      </c>
      <c r="G80" s="105" t="s">
        <v>11</v>
      </c>
    </row>
    <row r="81" spans="1:7" x14ac:dyDescent="0.25">
      <c r="A81" s="105">
        <f>IF(B81&lt;&gt;"", SUBTOTAL(3, $B$2:B81), "")</f>
        <v>80</v>
      </c>
      <c r="B81" s="105" t="s">
        <v>51</v>
      </c>
      <c r="C81" s="105" t="s">
        <v>323</v>
      </c>
      <c r="D81" s="105">
        <v>21</v>
      </c>
      <c r="E81" s="105">
        <v>107</v>
      </c>
      <c r="F81" s="105">
        <v>6979</v>
      </c>
      <c r="G81" s="105" t="s">
        <v>11</v>
      </c>
    </row>
    <row r="82" spans="1:7" x14ac:dyDescent="0.25">
      <c r="A82" s="105">
        <f>IF(B82&lt;&gt;"", SUBTOTAL(3, $B$2:B82), "")</f>
        <v>81</v>
      </c>
      <c r="B82" s="105" t="s">
        <v>51</v>
      </c>
      <c r="C82" s="105" t="s">
        <v>323</v>
      </c>
      <c r="D82" s="105">
        <v>21</v>
      </c>
      <c r="E82" s="105">
        <v>109</v>
      </c>
      <c r="F82" s="105">
        <v>3686</v>
      </c>
      <c r="G82" s="105" t="s">
        <v>11</v>
      </c>
    </row>
    <row r="83" spans="1:7" x14ac:dyDescent="0.25">
      <c r="A83" s="105">
        <f>IF(B83&lt;&gt;"", SUBTOTAL(3, $B$2:B83), "")</f>
        <v>82</v>
      </c>
      <c r="B83" s="105" t="s">
        <v>51</v>
      </c>
      <c r="C83" s="105" t="s">
        <v>323</v>
      </c>
      <c r="D83" s="105">
        <v>21</v>
      </c>
      <c r="E83" s="105">
        <v>110</v>
      </c>
      <c r="F83" s="105">
        <v>1672</v>
      </c>
      <c r="G83" s="105" t="s">
        <v>11</v>
      </c>
    </row>
    <row r="84" spans="1:7" x14ac:dyDescent="0.25">
      <c r="A84" s="105">
        <f>IF(B84&lt;&gt;"", SUBTOTAL(3, $B$2:B84), "")</f>
        <v>83</v>
      </c>
      <c r="B84" s="105" t="s">
        <v>88</v>
      </c>
      <c r="C84" s="105" t="s">
        <v>323</v>
      </c>
      <c r="D84" s="105">
        <v>21</v>
      </c>
      <c r="E84" s="105">
        <v>171</v>
      </c>
      <c r="F84" s="105">
        <v>3186</v>
      </c>
      <c r="G84" s="105" t="s">
        <v>11</v>
      </c>
    </row>
    <row r="85" spans="1:7" x14ac:dyDescent="0.25">
      <c r="A85" s="105">
        <f>IF(B85&lt;&gt;"", SUBTOTAL(3, $B$2:B85), "")</f>
        <v>84</v>
      </c>
      <c r="B85" s="105" t="s">
        <v>88</v>
      </c>
      <c r="C85" s="105" t="s">
        <v>323</v>
      </c>
      <c r="D85" s="105">
        <v>21</v>
      </c>
      <c r="E85" s="105">
        <v>173</v>
      </c>
      <c r="F85" s="105">
        <v>2547</v>
      </c>
      <c r="G85" s="105" t="s">
        <v>11</v>
      </c>
    </row>
    <row r="86" spans="1:7" x14ac:dyDescent="0.25">
      <c r="A86" s="105">
        <f>IF(B86&lt;&gt;"", SUBTOTAL(3, $B$2:B86), "")</f>
        <v>85</v>
      </c>
      <c r="B86" s="105" t="s">
        <v>88</v>
      </c>
      <c r="C86" s="105" t="s">
        <v>323</v>
      </c>
      <c r="D86" s="105">
        <v>21</v>
      </c>
      <c r="E86" s="105">
        <v>174</v>
      </c>
      <c r="F86" s="105">
        <v>11112</v>
      </c>
      <c r="G86" s="105" t="s">
        <v>11</v>
      </c>
    </row>
    <row r="87" spans="1:7" x14ac:dyDescent="0.25">
      <c r="A87" s="105">
        <f>IF(B87&lt;&gt;"", SUBTOTAL(3, $B$2:B87), "")</f>
        <v>86</v>
      </c>
      <c r="B87" s="105" t="s">
        <v>88</v>
      </c>
      <c r="C87" s="105" t="s">
        <v>323</v>
      </c>
      <c r="D87" s="105">
        <v>21</v>
      </c>
      <c r="E87" s="105">
        <v>176</v>
      </c>
      <c r="F87" s="105">
        <v>18329</v>
      </c>
      <c r="G87" s="105" t="s">
        <v>11</v>
      </c>
    </row>
    <row r="88" spans="1:7" x14ac:dyDescent="0.25">
      <c r="A88" s="105">
        <f>IF(B88&lt;&gt;"", SUBTOTAL(3, $B$2:B88), "")</f>
        <v>87</v>
      </c>
      <c r="B88" s="105" t="s">
        <v>106</v>
      </c>
      <c r="C88" s="105" t="s">
        <v>323</v>
      </c>
      <c r="D88" s="105">
        <v>21</v>
      </c>
      <c r="E88" s="105">
        <v>201</v>
      </c>
      <c r="F88" s="105">
        <v>10400</v>
      </c>
      <c r="G88" s="105" t="s">
        <v>11</v>
      </c>
    </row>
    <row r="89" spans="1:7" x14ac:dyDescent="0.25">
      <c r="A89" s="105">
        <f>IF(B89&lt;&gt;"", SUBTOTAL(3, $B$2:B89), "")</f>
        <v>88</v>
      </c>
      <c r="B89" s="105" t="s">
        <v>146</v>
      </c>
      <c r="C89" s="105" t="s">
        <v>323</v>
      </c>
      <c r="D89" s="105">
        <v>28</v>
      </c>
      <c r="E89" s="105">
        <v>149</v>
      </c>
      <c r="F89" s="105">
        <v>7824</v>
      </c>
      <c r="G89" s="105" t="s">
        <v>11</v>
      </c>
    </row>
    <row r="90" spans="1:7" x14ac:dyDescent="0.25">
      <c r="A90" s="105">
        <f>IF(B90&lt;&gt;"", SUBTOTAL(3, $B$2:B90), "")</f>
        <v>89</v>
      </c>
      <c r="B90" s="105" t="s">
        <v>48</v>
      </c>
      <c r="C90" s="105" t="s">
        <v>323</v>
      </c>
      <c r="D90" s="105">
        <v>3</v>
      </c>
      <c r="E90" s="105">
        <v>2</v>
      </c>
      <c r="F90" s="105">
        <v>3777</v>
      </c>
      <c r="G90" s="105" t="s">
        <v>11</v>
      </c>
    </row>
    <row r="91" spans="1:7" x14ac:dyDescent="0.25">
      <c r="A91" s="105">
        <f>IF(B91&lt;&gt;"", SUBTOTAL(3, $B$2:B91), "")</f>
        <v>90</v>
      </c>
      <c r="B91" s="105" t="s">
        <v>122</v>
      </c>
      <c r="C91" s="105" t="s">
        <v>323</v>
      </c>
      <c r="D91" s="105">
        <v>21</v>
      </c>
      <c r="E91" s="105">
        <v>226</v>
      </c>
      <c r="F91" s="105">
        <v>6911</v>
      </c>
      <c r="G91" s="105" t="s">
        <v>11</v>
      </c>
    </row>
    <row r="92" spans="1:7" x14ac:dyDescent="0.25">
      <c r="A92" s="105">
        <f>IF(B92&lt;&gt;"", SUBTOTAL(3, $B$2:B92), "")</f>
        <v>91</v>
      </c>
      <c r="B92" s="105" t="s">
        <v>122</v>
      </c>
      <c r="C92" s="105" t="s">
        <v>323</v>
      </c>
      <c r="D92" s="105">
        <v>21</v>
      </c>
      <c r="E92" s="105">
        <v>227</v>
      </c>
      <c r="F92" s="105">
        <v>8079</v>
      </c>
      <c r="G92" s="105" t="s">
        <v>11</v>
      </c>
    </row>
    <row r="93" spans="1:7" x14ac:dyDescent="0.25">
      <c r="A93" s="105">
        <f>IF(B93&lt;&gt;"", SUBTOTAL(3, $B$2:B93), "")</f>
        <v>92</v>
      </c>
      <c r="B93" s="105" t="s">
        <v>122</v>
      </c>
      <c r="C93" s="105" t="s">
        <v>323</v>
      </c>
      <c r="D93" s="105">
        <v>3</v>
      </c>
      <c r="E93" s="105">
        <v>234</v>
      </c>
      <c r="F93" s="105">
        <v>2028</v>
      </c>
      <c r="G93" s="105" t="s">
        <v>11</v>
      </c>
    </row>
    <row r="94" spans="1:7" x14ac:dyDescent="0.25">
      <c r="A94" s="105">
        <f>IF(B94&lt;&gt;"", SUBTOTAL(3, $B$2:B94), "")</f>
        <v>93</v>
      </c>
      <c r="B94" s="105" t="s">
        <v>90</v>
      </c>
      <c r="C94" s="105" t="s">
        <v>163</v>
      </c>
      <c r="D94" s="105">
        <v>21</v>
      </c>
      <c r="E94" s="105">
        <v>178</v>
      </c>
      <c r="F94" s="105">
        <v>6472</v>
      </c>
      <c r="G94" s="105" t="s">
        <v>11</v>
      </c>
    </row>
    <row r="95" spans="1:7" x14ac:dyDescent="0.25">
      <c r="A95" s="105">
        <f>IF(B95&lt;&gt;"", SUBTOTAL(3, $B$2:B95), "")</f>
        <v>94</v>
      </c>
      <c r="B95" s="105" t="s">
        <v>90</v>
      </c>
      <c r="C95" s="105" t="s">
        <v>163</v>
      </c>
      <c r="D95" s="105">
        <v>21</v>
      </c>
      <c r="E95" s="105">
        <v>179</v>
      </c>
      <c r="F95" s="105">
        <v>10813</v>
      </c>
      <c r="G95" s="105" t="s">
        <v>11</v>
      </c>
    </row>
    <row r="96" spans="1:7" x14ac:dyDescent="0.25">
      <c r="A96" s="105">
        <f>IF(B96&lt;&gt;"", SUBTOTAL(3, $B$2:B96), "")</f>
        <v>95</v>
      </c>
      <c r="B96" s="105" t="s">
        <v>90</v>
      </c>
      <c r="C96" s="105" t="s">
        <v>163</v>
      </c>
      <c r="D96" s="105">
        <v>21</v>
      </c>
      <c r="E96" s="105">
        <v>180</v>
      </c>
      <c r="F96" s="105">
        <v>7786</v>
      </c>
      <c r="G96" s="105" t="s">
        <v>11</v>
      </c>
    </row>
    <row r="97" spans="1:7" x14ac:dyDescent="0.25">
      <c r="A97" s="105">
        <f>IF(B97&lt;&gt;"", SUBTOTAL(3, $B$2:B97), "")</f>
        <v>96</v>
      </c>
      <c r="B97" s="105" t="s">
        <v>115</v>
      </c>
      <c r="C97" s="105" t="s">
        <v>163</v>
      </c>
      <c r="D97" s="105">
        <v>21</v>
      </c>
      <c r="E97" s="105">
        <v>216</v>
      </c>
      <c r="F97" s="105">
        <v>16737</v>
      </c>
      <c r="G97" s="105" t="s">
        <v>11</v>
      </c>
    </row>
    <row r="98" spans="1:7" x14ac:dyDescent="0.25">
      <c r="A98" s="105">
        <f>IF(B98&lt;&gt;"", SUBTOTAL(3, $B$2:B98), "")</f>
        <v>97</v>
      </c>
      <c r="B98" s="105" t="s">
        <v>86</v>
      </c>
      <c r="C98" s="105" t="s">
        <v>285</v>
      </c>
      <c r="D98" s="105">
        <v>21</v>
      </c>
      <c r="E98" s="105">
        <v>169</v>
      </c>
      <c r="F98" s="105">
        <v>14540</v>
      </c>
      <c r="G98" s="105" t="s">
        <v>11</v>
      </c>
    </row>
    <row r="99" spans="1:7" x14ac:dyDescent="0.25">
      <c r="A99" s="105">
        <f>IF(B99&lt;&gt;"", SUBTOTAL(3, $B$2:B99), "")</f>
        <v>98</v>
      </c>
      <c r="B99" s="105" t="s">
        <v>109</v>
      </c>
      <c r="C99" s="105" t="s">
        <v>285</v>
      </c>
      <c r="D99" s="105">
        <v>21</v>
      </c>
      <c r="E99" s="105">
        <v>205</v>
      </c>
      <c r="F99" s="105">
        <v>11493</v>
      </c>
      <c r="G99" s="105" t="s">
        <v>11</v>
      </c>
    </row>
    <row r="100" spans="1:7" x14ac:dyDescent="0.25">
      <c r="A100" s="105">
        <f>IF(B100&lt;&gt;"", SUBTOTAL(3, $B$2:B100), "")</f>
        <v>99</v>
      </c>
      <c r="B100" s="105" t="s">
        <v>25</v>
      </c>
      <c r="C100" s="105" t="s">
        <v>171</v>
      </c>
      <c r="D100" s="105">
        <v>21</v>
      </c>
      <c r="E100" s="105">
        <v>74</v>
      </c>
      <c r="F100" s="105">
        <v>13882</v>
      </c>
      <c r="G100" s="105" t="s">
        <v>11</v>
      </c>
    </row>
    <row r="101" spans="1:7" x14ac:dyDescent="0.25">
      <c r="A101" s="105">
        <f>IF(B101&lt;&gt;"", SUBTOTAL(3, $B$2:B101), "")</f>
        <v>100</v>
      </c>
      <c r="B101" s="105" t="s">
        <v>63</v>
      </c>
      <c r="C101" s="105" t="s">
        <v>307</v>
      </c>
      <c r="D101" s="105">
        <v>1</v>
      </c>
      <c r="E101" s="105">
        <v>204</v>
      </c>
      <c r="F101" s="105">
        <v>4276</v>
      </c>
      <c r="G101" s="105" t="s">
        <v>11</v>
      </c>
    </row>
    <row r="102" spans="1:7" x14ac:dyDescent="0.25">
      <c r="A102" s="105">
        <f>IF(B102&lt;&gt;"", SUBTOTAL(3, $B$2:B102), "")</f>
        <v>101</v>
      </c>
      <c r="B102" s="105" t="s">
        <v>77</v>
      </c>
      <c r="C102" s="105" t="s">
        <v>307</v>
      </c>
      <c r="D102" s="105">
        <v>8</v>
      </c>
      <c r="E102" s="105">
        <v>244</v>
      </c>
      <c r="F102" s="105">
        <v>5208</v>
      </c>
      <c r="G102" s="105" t="s">
        <v>11</v>
      </c>
    </row>
    <row r="103" spans="1:7" x14ac:dyDescent="0.25">
      <c r="A103" s="105">
        <f>IF(B103&lt;&gt;"", SUBTOTAL(3, $B$2:B103), "")</f>
        <v>102</v>
      </c>
      <c r="B103" s="105" t="s">
        <v>38</v>
      </c>
      <c r="C103" s="105" t="s">
        <v>216</v>
      </c>
      <c r="D103" s="105">
        <v>29</v>
      </c>
      <c r="E103" s="105">
        <v>40</v>
      </c>
      <c r="F103" s="105">
        <v>5918</v>
      </c>
      <c r="G103" s="105" t="s">
        <v>11</v>
      </c>
    </row>
    <row r="104" spans="1:7" x14ac:dyDescent="0.25">
      <c r="A104" s="105">
        <f>IF(B104&lt;&gt;"", SUBTOTAL(3, $B$2:B104), "")</f>
        <v>103</v>
      </c>
      <c r="B104" s="105" t="s">
        <v>59</v>
      </c>
      <c r="C104" s="105" t="s">
        <v>216</v>
      </c>
      <c r="D104" s="105">
        <v>7</v>
      </c>
      <c r="E104" s="105">
        <v>32</v>
      </c>
      <c r="F104" s="105">
        <v>3136</v>
      </c>
      <c r="G104" s="105" t="s">
        <v>11</v>
      </c>
    </row>
    <row r="105" spans="1:7" x14ac:dyDescent="0.25">
      <c r="A105" s="105">
        <f>IF(B105&lt;&gt;"", SUBTOTAL(3, $B$2:B105), "")</f>
        <v>104</v>
      </c>
      <c r="B105" s="105" t="s">
        <v>613</v>
      </c>
      <c r="C105" s="105" t="s">
        <v>216</v>
      </c>
      <c r="D105" s="105">
        <v>21</v>
      </c>
      <c r="E105" s="105">
        <v>195</v>
      </c>
      <c r="F105" s="105">
        <v>10616</v>
      </c>
      <c r="G105" s="105" t="s">
        <v>11</v>
      </c>
    </row>
    <row r="106" spans="1:7" x14ac:dyDescent="0.25">
      <c r="A106" s="105">
        <f>IF(B106&lt;&gt;"", SUBTOTAL(3, $B$2:B106), "")</f>
        <v>105</v>
      </c>
      <c r="B106" s="105" t="s">
        <v>613</v>
      </c>
      <c r="C106" s="105" t="s">
        <v>216</v>
      </c>
      <c r="D106" s="105">
        <v>8</v>
      </c>
      <c r="E106" s="105">
        <v>83</v>
      </c>
      <c r="F106" s="105">
        <v>3693</v>
      </c>
      <c r="G106" s="105" t="s">
        <v>11</v>
      </c>
    </row>
    <row r="107" spans="1:7" x14ac:dyDescent="0.25">
      <c r="A107" s="105">
        <f>IF(B107&lt;&gt;"", SUBTOTAL(3, $B$2:B107), "")</f>
        <v>106</v>
      </c>
      <c r="B107" s="105" t="s">
        <v>50</v>
      </c>
      <c r="C107" s="105" t="s">
        <v>216</v>
      </c>
      <c r="D107" s="105">
        <v>21</v>
      </c>
      <c r="E107" s="105">
        <v>106</v>
      </c>
      <c r="F107" s="105">
        <v>7931</v>
      </c>
      <c r="G107" s="105" t="s">
        <v>11</v>
      </c>
    </row>
    <row r="108" spans="1:7" x14ac:dyDescent="0.25">
      <c r="A108" s="105">
        <f>IF(B108&lt;&gt;"", SUBTOTAL(3, $B$2:B108), "")</f>
        <v>107</v>
      </c>
      <c r="B108" s="105" t="s">
        <v>101</v>
      </c>
      <c r="C108" s="105" t="s">
        <v>195</v>
      </c>
      <c r="D108" s="105">
        <v>16</v>
      </c>
      <c r="E108" s="105">
        <v>47</v>
      </c>
      <c r="F108" s="105">
        <v>3989</v>
      </c>
      <c r="G108" s="105" t="s">
        <v>11</v>
      </c>
    </row>
    <row r="109" spans="1:7" x14ac:dyDescent="0.25">
      <c r="A109" s="105">
        <f>IF(B109&lt;&gt;"", SUBTOTAL(3, $B$2:B109), "")</f>
        <v>108</v>
      </c>
      <c r="B109" s="105" t="s">
        <v>142</v>
      </c>
      <c r="C109" s="105" t="s">
        <v>164</v>
      </c>
      <c r="D109" s="105">
        <v>21</v>
      </c>
      <c r="E109" s="105">
        <v>243</v>
      </c>
      <c r="F109" s="105">
        <v>9126</v>
      </c>
      <c r="G109" s="105" t="s">
        <v>11</v>
      </c>
    </row>
    <row r="110" spans="1:7" x14ac:dyDescent="0.25">
      <c r="A110" s="105">
        <f>IF(B110&lt;&gt;"", SUBTOTAL(3, $B$2:B110), "")</f>
        <v>109</v>
      </c>
      <c r="B110" s="105" t="s">
        <v>21</v>
      </c>
      <c r="C110" s="105" t="s">
        <v>164</v>
      </c>
      <c r="D110" s="105">
        <v>1</v>
      </c>
      <c r="E110" s="105">
        <v>88</v>
      </c>
      <c r="F110" s="105">
        <v>6895</v>
      </c>
      <c r="G110" s="105" t="s">
        <v>11</v>
      </c>
    </row>
    <row r="111" spans="1:7" x14ac:dyDescent="0.25">
      <c r="A111" s="105">
        <f>IF(B111&lt;&gt;"", SUBTOTAL(3, $B$2:B111), "")</f>
        <v>110</v>
      </c>
      <c r="B111" s="105" t="s">
        <v>84</v>
      </c>
      <c r="C111" s="105" t="s">
        <v>407</v>
      </c>
      <c r="D111" s="105">
        <v>21</v>
      </c>
      <c r="E111" s="105">
        <v>163</v>
      </c>
      <c r="F111" s="105">
        <v>10831</v>
      </c>
      <c r="G111" s="105" t="s">
        <v>11</v>
      </c>
    </row>
    <row r="112" spans="1:7" x14ac:dyDescent="0.25">
      <c r="A112" s="105">
        <f>IF(B112&lt;&gt;"", SUBTOTAL(3, $B$2:B112), "")</f>
        <v>111</v>
      </c>
      <c r="B112" s="105" t="s">
        <v>84</v>
      </c>
      <c r="C112" s="105" t="s">
        <v>407</v>
      </c>
      <c r="D112" s="105">
        <v>21</v>
      </c>
      <c r="E112" s="105">
        <v>165</v>
      </c>
      <c r="F112" s="105">
        <v>3672</v>
      </c>
      <c r="G112" s="105" t="s">
        <v>11</v>
      </c>
    </row>
    <row r="113" spans="1:7" x14ac:dyDescent="0.25">
      <c r="A113" s="105">
        <f>IF(B113&lt;&gt;"", SUBTOTAL(3, $B$2:B113), "")</f>
        <v>112</v>
      </c>
      <c r="B113" s="105" t="s">
        <v>139</v>
      </c>
      <c r="C113" s="105" t="s">
        <v>407</v>
      </c>
      <c r="D113" s="105">
        <v>21</v>
      </c>
      <c r="E113" s="105">
        <v>240</v>
      </c>
      <c r="F113" s="105">
        <v>10971</v>
      </c>
      <c r="G113" s="105" t="s">
        <v>11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231"/>
  <sheetViews>
    <sheetView showWhiteSpace="0" topLeftCell="A154" zoomScaleNormal="100" workbookViewId="0">
      <selection activeCell="B159" sqref="B159"/>
    </sheetView>
  </sheetViews>
  <sheetFormatPr defaultColWidth="9.140625" defaultRowHeight="16.5" x14ac:dyDescent="0.25"/>
  <cols>
    <col min="1" max="1" width="6.5703125" style="49" customWidth="1"/>
    <col min="2" max="2" width="24.7109375" style="49" customWidth="1"/>
    <col min="3" max="3" width="16.5703125" style="49" customWidth="1"/>
    <col min="4" max="4" width="7.7109375" style="49" customWidth="1"/>
    <col min="5" max="5" width="10.42578125" style="49" customWidth="1"/>
    <col min="6" max="6" width="12" style="49" customWidth="1"/>
    <col min="7" max="7" width="13" style="49" customWidth="1"/>
    <col min="8" max="16384" width="9.140625" style="49"/>
  </cols>
  <sheetData>
    <row r="1" spans="1:7" ht="22.5" customHeight="1" x14ac:dyDescent="0.25">
      <c r="A1" s="113" t="s">
        <v>336</v>
      </c>
      <c r="B1" s="113"/>
      <c r="C1" s="112" t="s">
        <v>335</v>
      </c>
      <c r="D1" s="112"/>
      <c r="E1" s="112"/>
      <c r="F1" s="112"/>
      <c r="G1" s="112"/>
    </row>
    <row r="2" spans="1:7" x14ac:dyDescent="0.25">
      <c r="A2" s="112" t="s">
        <v>334</v>
      </c>
      <c r="B2" s="112"/>
      <c r="C2" s="112" t="s">
        <v>333</v>
      </c>
      <c r="D2" s="112"/>
      <c r="E2" s="112"/>
      <c r="F2" s="112"/>
      <c r="G2" s="112"/>
    </row>
    <row r="4" spans="1:7" x14ac:dyDescent="0.25">
      <c r="A4" s="114" t="s">
        <v>337</v>
      </c>
      <c r="B4" s="114"/>
      <c r="C4" s="115" t="s">
        <v>338</v>
      </c>
      <c r="D4" s="115"/>
      <c r="E4" s="115"/>
      <c r="F4" s="115"/>
      <c r="G4" s="115"/>
    </row>
    <row r="6" spans="1:7" x14ac:dyDescent="0.25">
      <c r="A6" s="112" t="s">
        <v>330</v>
      </c>
      <c r="B6" s="112"/>
      <c r="C6" s="112"/>
      <c r="D6" s="112"/>
      <c r="E6" s="112"/>
      <c r="F6" s="112"/>
      <c r="G6" s="112"/>
    </row>
    <row r="7" spans="1:7" ht="65.25" customHeight="1" x14ac:dyDescent="0.25">
      <c r="A7" s="116" t="s">
        <v>339</v>
      </c>
      <c r="B7" s="116"/>
      <c r="C7" s="116"/>
      <c r="D7" s="116"/>
      <c r="E7" s="116"/>
      <c r="F7" s="116"/>
      <c r="G7" s="116"/>
    </row>
    <row r="8" spans="1:7" ht="31.5" customHeight="1" x14ac:dyDescent="0.25">
      <c r="A8" s="61" t="s">
        <v>149</v>
      </c>
      <c r="B8" s="61" t="s">
        <v>622</v>
      </c>
      <c r="C8" s="61" t="s">
        <v>328</v>
      </c>
      <c r="D8" s="61" t="s">
        <v>1</v>
      </c>
      <c r="E8" s="61" t="s">
        <v>9</v>
      </c>
      <c r="F8" s="62" t="s">
        <v>327</v>
      </c>
      <c r="G8" s="61" t="s">
        <v>6</v>
      </c>
    </row>
    <row r="9" spans="1:7" x14ac:dyDescent="0.25">
      <c r="A9" s="52">
        <v>1</v>
      </c>
      <c r="B9" s="55" t="s">
        <v>141</v>
      </c>
      <c r="C9" s="52" t="s">
        <v>340</v>
      </c>
      <c r="D9" s="52">
        <v>2</v>
      </c>
      <c r="E9" s="52" t="s">
        <v>229</v>
      </c>
      <c r="F9" s="52" t="s">
        <v>341</v>
      </c>
      <c r="G9" s="55"/>
    </row>
    <row r="10" spans="1:7" x14ac:dyDescent="0.25">
      <c r="A10" s="52">
        <v>2</v>
      </c>
      <c r="B10" s="55" t="s">
        <v>342</v>
      </c>
      <c r="C10" s="52" t="s">
        <v>340</v>
      </c>
      <c r="D10" s="52">
        <v>2</v>
      </c>
      <c r="E10" s="52" t="s">
        <v>229</v>
      </c>
      <c r="F10" s="52" t="s">
        <v>343</v>
      </c>
      <c r="G10" s="55"/>
    </row>
    <row r="11" spans="1:7" x14ac:dyDescent="0.25">
      <c r="A11" s="52">
        <v>3</v>
      </c>
      <c r="B11" s="55" t="s">
        <v>344</v>
      </c>
      <c r="C11" s="52" t="s">
        <v>340</v>
      </c>
      <c r="D11" s="52">
        <v>1</v>
      </c>
      <c r="E11" s="52" t="s">
        <v>229</v>
      </c>
      <c r="F11" s="52" t="s">
        <v>341</v>
      </c>
      <c r="G11" s="55"/>
    </row>
    <row r="12" spans="1:7" x14ac:dyDescent="0.25">
      <c r="A12" s="52">
        <v>4</v>
      </c>
      <c r="B12" s="55" t="s">
        <v>345</v>
      </c>
      <c r="C12" s="52" t="s">
        <v>340</v>
      </c>
      <c r="D12" s="52">
        <v>2</v>
      </c>
      <c r="E12" s="52" t="s">
        <v>229</v>
      </c>
      <c r="F12" s="52" t="s">
        <v>343</v>
      </c>
      <c r="G12" s="55"/>
    </row>
    <row r="13" spans="1:7" x14ac:dyDescent="0.25">
      <c r="A13" s="52">
        <v>5</v>
      </c>
      <c r="B13" s="55" t="s">
        <v>346</v>
      </c>
      <c r="C13" s="52" t="s">
        <v>340</v>
      </c>
      <c r="D13" s="52">
        <v>2</v>
      </c>
      <c r="E13" s="52" t="s">
        <v>229</v>
      </c>
      <c r="F13" s="52" t="s">
        <v>341</v>
      </c>
      <c r="G13" s="55"/>
    </row>
    <row r="14" spans="1:7" x14ac:dyDescent="0.25">
      <c r="A14" s="52">
        <v>6</v>
      </c>
      <c r="B14" s="55" t="s">
        <v>347</v>
      </c>
      <c r="C14" s="52" t="s">
        <v>340</v>
      </c>
      <c r="D14" s="52">
        <v>1</v>
      </c>
      <c r="E14" s="52" t="s">
        <v>229</v>
      </c>
      <c r="F14" s="52" t="s">
        <v>341</v>
      </c>
      <c r="G14" s="55"/>
    </row>
    <row r="15" spans="1:7" x14ac:dyDescent="0.25">
      <c r="A15" s="52">
        <v>7</v>
      </c>
      <c r="B15" s="55" t="s">
        <v>348</v>
      </c>
      <c r="C15" s="52" t="s">
        <v>340</v>
      </c>
      <c r="D15" s="52">
        <v>2</v>
      </c>
      <c r="E15" s="52" t="s">
        <v>229</v>
      </c>
      <c r="F15" s="52" t="s">
        <v>341</v>
      </c>
      <c r="G15" s="55"/>
    </row>
    <row r="16" spans="1:7" x14ac:dyDescent="0.25">
      <c r="A16" s="52">
        <v>8</v>
      </c>
      <c r="B16" s="55" t="s">
        <v>349</v>
      </c>
      <c r="C16" s="52" t="s">
        <v>340</v>
      </c>
      <c r="D16" s="52">
        <v>1</v>
      </c>
      <c r="E16" s="52" t="s">
        <v>229</v>
      </c>
      <c r="F16" s="52" t="s">
        <v>341</v>
      </c>
      <c r="G16" s="55"/>
    </row>
    <row r="17" spans="1:7" x14ac:dyDescent="0.25">
      <c r="A17" s="52">
        <v>9</v>
      </c>
      <c r="B17" s="55" t="s">
        <v>350</v>
      </c>
      <c r="C17" s="52" t="s">
        <v>340</v>
      </c>
      <c r="D17" s="52">
        <v>1</v>
      </c>
      <c r="E17" s="52" t="s">
        <v>229</v>
      </c>
      <c r="F17" s="52" t="s">
        <v>351</v>
      </c>
      <c r="G17" s="55"/>
    </row>
    <row r="18" spans="1:7" x14ac:dyDescent="0.25">
      <c r="A18" s="52">
        <v>10</v>
      </c>
      <c r="B18" s="55" t="s">
        <v>352</v>
      </c>
      <c r="C18" s="52" t="s">
        <v>340</v>
      </c>
      <c r="D18" s="52">
        <v>2</v>
      </c>
      <c r="E18" s="52" t="s">
        <v>229</v>
      </c>
      <c r="F18" s="67" t="s">
        <v>341</v>
      </c>
      <c r="G18" s="55"/>
    </row>
    <row r="19" spans="1:7" x14ac:dyDescent="0.25">
      <c r="A19" s="52">
        <v>11</v>
      </c>
      <c r="B19" s="55" t="s">
        <v>353</v>
      </c>
      <c r="C19" s="52" t="s">
        <v>164</v>
      </c>
      <c r="D19" s="52">
        <v>4</v>
      </c>
      <c r="E19" s="52" t="s">
        <v>229</v>
      </c>
      <c r="F19" s="52" t="s">
        <v>341</v>
      </c>
      <c r="G19" s="55"/>
    </row>
    <row r="20" spans="1:7" x14ac:dyDescent="0.25">
      <c r="A20" s="52">
        <v>12</v>
      </c>
      <c r="B20" s="55" t="s">
        <v>21</v>
      </c>
      <c r="C20" s="52" t="s">
        <v>164</v>
      </c>
      <c r="D20" s="52">
        <v>5</v>
      </c>
      <c r="E20" s="52" t="s">
        <v>229</v>
      </c>
      <c r="F20" s="52" t="s">
        <v>341</v>
      </c>
      <c r="G20" s="55"/>
    </row>
    <row r="21" spans="1:7" x14ac:dyDescent="0.25">
      <c r="A21" s="52">
        <v>13</v>
      </c>
      <c r="B21" s="68" t="s">
        <v>354</v>
      </c>
      <c r="C21" s="52" t="s">
        <v>164</v>
      </c>
      <c r="D21" s="52">
        <v>4</v>
      </c>
      <c r="E21" s="52" t="s">
        <v>229</v>
      </c>
      <c r="F21" s="52" t="s">
        <v>351</v>
      </c>
      <c r="G21" s="55"/>
    </row>
    <row r="22" spans="1:7" x14ac:dyDescent="0.25">
      <c r="A22" s="52">
        <v>14</v>
      </c>
      <c r="B22" s="55" t="s">
        <v>355</v>
      </c>
      <c r="C22" s="52" t="s">
        <v>164</v>
      </c>
      <c r="D22" s="52">
        <v>3</v>
      </c>
      <c r="E22" s="52" t="s">
        <v>229</v>
      </c>
      <c r="F22" s="52" t="s">
        <v>351</v>
      </c>
      <c r="G22" s="55"/>
    </row>
    <row r="23" spans="1:7" x14ac:dyDescent="0.25">
      <c r="A23" s="52">
        <v>15</v>
      </c>
      <c r="B23" s="55" t="s">
        <v>356</v>
      </c>
      <c r="C23" s="52" t="s">
        <v>164</v>
      </c>
      <c r="D23" s="52">
        <v>2</v>
      </c>
      <c r="E23" s="52" t="s">
        <v>229</v>
      </c>
      <c r="F23" s="52" t="s">
        <v>351</v>
      </c>
      <c r="G23" s="55"/>
    </row>
    <row r="24" spans="1:7" x14ac:dyDescent="0.25">
      <c r="A24" s="52">
        <v>16</v>
      </c>
      <c r="B24" s="55" t="s">
        <v>122</v>
      </c>
      <c r="C24" s="52" t="s">
        <v>164</v>
      </c>
      <c r="D24" s="52">
        <v>1</v>
      </c>
      <c r="E24" s="52" t="s">
        <v>229</v>
      </c>
      <c r="F24" s="52" t="s">
        <v>351</v>
      </c>
      <c r="G24" s="55"/>
    </row>
    <row r="25" spans="1:7" x14ac:dyDescent="0.25">
      <c r="A25" s="52">
        <v>17</v>
      </c>
      <c r="B25" s="55" t="s">
        <v>37</v>
      </c>
      <c r="C25" s="52" t="s">
        <v>164</v>
      </c>
      <c r="D25" s="52">
        <v>1</v>
      </c>
      <c r="E25" s="52" t="s">
        <v>229</v>
      </c>
      <c r="F25" s="52" t="s">
        <v>341</v>
      </c>
      <c r="G25" s="55"/>
    </row>
    <row r="26" spans="1:7" x14ac:dyDescent="0.25">
      <c r="A26" s="52">
        <v>18</v>
      </c>
      <c r="B26" s="55" t="s">
        <v>357</v>
      </c>
      <c r="C26" s="52" t="s">
        <v>164</v>
      </c>
      <c r="D26" s="52">
        <v>1</v>
      </c>
      <c r="E26" s="52" t="s">
        <v>229</v>
      </c>
      <c r="F26" s="52" t="s">
        <v>341</v>
      </c>
      <c r="G26" s="55"/>
    </row>
    <row r="27" spans="1:7" x14ac:dyDescent="0.25">
      <c r="A27" s="52">
        <v>19</v>
      </c>
      <c r="B27" s="55" t="s">
        <v>182</v>
      </c>
      <c r="C27" s="52" t="s">
        <v>164</v>
      </c>
      <c r="D27" s="52">
        <v>1</v>
      </c>
      <c r="E27" s="52" t="s">
        <v>229</v>
      </c>
      <c r="F27" s="52" t="s">
        <v>341</v>
      </c>
      <c r="G27" s="55"/>
    </row>
    <row r="28" spans="1:7" x14ac:dyDescent="0.25">
      <c r="A28" s="52">
        <v>20</v>
      </c>
      <c r="B28" s="55" t="s">
        <v>358</v>
      </c>
      <c r="C28" s="52" t="s">
        <v>164</v>
      </c>
      <c r="D28" s="52">
        <v>1</v>
      </c>
      <c r="E28" s="52" t="s">
        <v>229</v>
      </c>
      <c r="F28" s="52" t="s">
        <v>351</v>
      </c>
      <c r="G28" s="55"/>
    </row>
    <row r="29" spans="1:7" x14ac:dyDescent="0.25">
      <c r="A29" s="52">
        <v>21</v>
      </c>
      <c r="B29" s="55" t="s">
        <v>359</v>
      </c>
      <c r="C29" s="52" t="s">
        <v>164</v>
      </c>
      <c r="D29" s="52">
        <v>5</v>
      </c>
      <c r="E29" s="52" t="s">
        <v>229</v>
      </c>
      <c r="F29" s="52" t="s">
        <v>351</v>
      </c>
      <c r="G29" s="55"/>
    </row>
    <row r="30" spans="1:7" x14ac:dyDescent="0.25">
      <c r="A30" s="52">
        <v>22</v>
      </c>
      <c r="B30" s="55" t="s">
        <v>360</v>
      </c>
      <c r="C30" s="52" t="s">
        <v>164</v>
      </c>
      <c r="D30" s="52">
        <v>3</v>
      </c>
      <c r="E30" s="52" t="s">
        <v>229</v>
      </c>
      <c r="F30" s="52" t="s">
        <v>351</v>
      </c>
      <c r="G30" s="55"/>
    </row>
    <row r="31" spans="1:7" x14ac:dyDescent="0.25">
      <c r="A31" s="52">
        <v>23</v>
      </c>
      <c r="B31" s="55" t="s">
        <v>138</v>
      </c>
      <c r="C31" s="52" t="s">
        <v>164</v>
      </c>
      <c r="D31" s="52">
        <v>1</v>
      </c>
      <c r="E31" s="52" t="s">
        <v>229</v>
      </c>
      <c r="F31" s="52" t="s">
        <v>341</v>
      </c>
      <c r="G31" s="55"/>
    </row>
    <row r="32" spans="1:7" x14ac:dyDescent="0.25">
      <c r="A32" s="52">
        <v>24</v>
      </c>
      <c r="B32" s="55" t="s">
        <v>361</v>
      </c>
      <c r="C32" s="52" t="s">
        <v>164</v>
      </c>
      <c r="D32" s="52">
        <v>1</v>
      </c>
      <c r="E32" s="52" t="s">
        <v>229</v>
      </c>
      <c r="F32" s="52" t="s">
        <v>351</v>
      </c>
      <c r="G32" s="55"/>
    </row>
    <row r="33" spans="1:7" x14ac:dyDescent="0.25">
      <c r="A33" s="52">
        <v>25</v>
      </c>
      <c r="B33" s="55" t="s">
        <v>362</v>
      </c>
      <c r="C33" s="52" t="s">
        <v>164</v>
      </c>
      <c r="D33" s="52">
        <v>2</v>
      </c>
      <c r="E33" s="52" t="s">
        <v>229</v>
      </c>
      <c r="F33" s="52" t="s">
        <v>351</v>
      </c>
      <c r="G33" s="55"/>
    </row>
    <row r="34" spans="1:7" x14ac:dyDescent="0.25">
      <c r="A34" s="52">
        <v>26</v>
      </c>
      <c r="B34" s="55" t="s">
        <v>363</v>
      </c>
      <c r="C34" s="52" t="s">
        <v>164</v>
      </c>
      <c r="D34" s="52">
        <v>1</v>
      </c>
      <c r="E34" s="52" t="s">
        <v>229</v>
      </c>
      <c r="F34" s="52" t="s">
        <v>351</v>
      </c>
      <c r="G34" s="55"/>
    </row>
    <row r="35" spans="1:7" x14ac:dyDescent="0.25">
      <c r="A35" s="52">
        <v>27</v>
      </c>
      <c r="B35" s="55" t="s">
        <v>364</v>
      </c>
      <c r="C35" s="52" t="s">
        <v>164</v>
      </c>
      <c r="D35" s="52">
        <v>2</v>
      </c>
      <c r="E35" s="52" t="s">
        <v>229</v>
      </c>
      <c r="F35" s="52" t="s">
        <v>365</v>
      </c>
      <c r="G35" s="55"/>
    </row>
    <row r="36" spans="1:7" x14ac:dyDescent="0.25">
      <c r="A36" s="52">
        <v>28</v>
      </c>
      <c r="B36" s="55" t="s">
        <v>366</v>
      </c>
      <c r="C36" s="52" t="s">
        <v>164</v>
      </c>
      <c r="D36" s="52">
        <v>2</v>
      </c>
      <c r="E36" s="52" t="s">
        <v>229</v>
      </c>
      <c r="F36" s="52" t="s">
        <v>341</v>
      </c>
      <c r="G36" s="55"/>
    </row>
    <row r="37" spans="1:7" x14ac:dyDescent="0.25">
      <c r="A37" s="52">
        <v>29</v>
      </c>
      <c r="B37" s="55" t="s">
        <v>19</v>
      </c>
      <c r="C37" s="52" t="s">
        <v>164</v>
      </c>
      <c r="D37" s="52">
        <v>1</v>
      </c>
      <c r="E37" s="52" t="s">
        <v>229</v>
      </c>
      <c r="F37" s="52" t="s">
        <v>341</v>
      </c>
      <c r="G37" s="55"/>
    </row>
    <row r="38" spans="1:7" x14ac:dyDescent="0.25">
      <c r="A38" s="52">
        <v>30</v>
      </c>
      <c r="B38" s="55" t="s">
        <v>367</v>
      </c>
      <c r="C38" s="52" t="s">
        <v>164</v>
      </c>
      <c r="D38" s="52">
        <v>2</v>
      </c>
      <c r="E38" s="52" t="s">
        <v>229</v>
      </c>
      <c r="F38" s="52" t="s">
        <v>351</v>
      </c>
      <c r="G38" s="55"/>
    </row>
    <row r="39" spans="1:7" x14ac:dyDescent="0.25">
      <c r="A39" s="52">
        <v>31</v>
      </c>
      <c r="B39" s="55" t="s">
        <v>48</v>
      </c>
      <c r="C39" s="52" t="s">
        <v>164</v>
      </c>
      <c r="D39" s="52">
        <v>2</v>
      </c>
      <c r="E39" s="52" t="s">
        <v>229</v>
      </c>
      <c r="F39" s="52" t="s">
        <v>341</v>
      </c>
      <c r="G39" s="55"/>
    </row>
    <row r="40" spans="1:7" x14ac:dyDescent="0.25">
      <c r="A40" s="52">
        <v>32</v>
      </c>
      <c r="B40" s="55" t="s">
        <v>368</v>
      </c>
      <c r="C40" s="52" t="s">
        <v>164</v>
      </c>
      <c r="D40" s="52">
        <v>3</v>
      </c>
      <c r="E40" s="52" t="s">
        <v>229</v>
      </c>
      <c r="F40" s="52" t="s">
        <v>341</v>
      </c>
      <c r="G40" s="55"/>
    </row>
    <row r="41" spans="1:7" x14ac:dyDescent="0.25">
      <c r="A41" s="52">
        <v>33</v>
      </c>
      <c r="B41" s="55" t="s">
        <v>369</v>
      </c>
      <c r="C41" s="52" t="s">
        <v>164</v>
      </c>
      <c r="D41" s="52">
        <v>3</v>
      </c>
      <c r="E41" s="52" t="s">
        <v>229</v>
      </c>
      <c r="F41" s="52" t="s">
        <v>341</v>
      </c>
      <c r="G41" s="55"/>
    </row>
    <row r="42" spans="1:7" x14ac:dyDescent="0.25">
      <c r="A42" s="52">
        <v>34</v>
      </c>
      <c r="B42" s="55" t="s">
        <v>370</v>
      </c>
      <c r="C42" s="52" t="s">
        <v>164</v>
      </c>
      <c r="D42" s="52">
        <v>3</v>
      </c>
      <c r="E42" s="52" t="s">
        <v>229</v>
      </c>
      <c r="F42" s="52" t="s">
        <v>341</v>
      </c>
      <c r="G42" s="55"/>
    </row>
    <row r="43" spans="1:7" x14ac:dyDescent="0.25">
      <c r="A43" s="52">
        <v>35</v>
      </c>
      <c r="B43" s="55" t="s">
        <v>371</v>
      </c>
      <c r="C43" s="52" t="s">
        <v>216</v>
      </c>
      <c r="D43" s="52">
        <v>2</v>
      </c>
      <c r="E43" s="52" t="s">
        <v>229</v>
      </c>
      <c r="F43" s="52" t="s">
        <v>341</v>
      </c>
      <c r="G43" s="55"/>
    </row>
    <row r="44" spans="1:7" x14ac:dyDescent="0.25">
      <c r="A44" s="52">
        <v>36</v>
      </c>
      <c r="B44" s="55" t="s">
        <v>372</v>
      </c>
      <c r="C44" s="52" t="s">
        <v>216</v>
      </c>
      <c r="D44" s="52">
        <v>4</v>
      </c>
      <c r="E44" s="52" t="s">
        <v>229</v>
      </c>
      <c r="F44" s="52" t="s">
        <v>341</v>
      </c>
      <c r="G44" s="55"/>
    </row>
    <row r="45" spans="1:7" x14ac:dyDescent="0.25">
      <c r="A45" s="52">
        <v>37</v>
      </c>
      <c r="B45" s="55" t="s">
        <v>373</v>
      </c>
      <c r="C45" s="52" t="s">
        <v>216</v>
      </c>
      <c r="D45" s="52">
        <v>1</v>
      </c>
      <c r="E45" s="52" t="s">
        <v>229</v>
      </c>
      <c r="F45" s="52" t="s">
        <v>341</v>
      </c>
      <c r="G45" s="55"/>
    </row>
    <row r="46" spans="1:7" x14ac:dyDescent="0.25">
      <c r="A46" s="52">
        <v>38</v>
      </c>
      <c r="B46" s="55" t="s">
        <v>374</v>
      </c>
      <c r="C46" s="52" t="s">
        <v>216</v>
      </c>
      <c r="D46" s="52">
        <v>2</v>
      </c>
      <c r="E46" s="52" t="s">
        <v>229</v>
      </c>
      <c r="F46" s="52" t="s">
        <v>341</v>
      </c>
      <c r="G46" s="55"/>
    </row>
    <row r="47" spans="1:7" x14ac:dyDescent="0.25">
      <c r="A47" s="52">
        <v>39</v>
      </c>
      <c r="B47" s="55" t="s">
        <v>375</v>
      </c>
      <c r="C47" s="52" t="s">
        <v>216</v>
      </c>
      <c r="D47" s="52">
        <v>1</v>
      </c>
      <c r="E47" s="52" t="s">
        <v>229</v>
      </c>
      <c r="F47" s="52" t="s">
        <v>351</v>
      </c>
      <c r="G47" s="55"/>
    </row>
    <row r="48" spans="1:7" x14ac:dyDescent="0.25">
      <c r="A48" s="52">
        <v>40</v>
      </c>
      <c r="B48" s="55" t="s">
        <v>376</v>
      </c>
      <c r="C48" s="52" t="s">
        <v>216</v>
      </c>
      <c r="D48" s="52">
        <v>1</v>
      </c>
      <c r="E48" s="52" t="s">
        <v>229</v>
      </c>
      <c r="F48" s="52" t="s">
        <v>351</v>
      </c>
      <c r="G48" s="55"/>
    </row>
    <row r="49" spans="1:7" x14ac:dyDescent="0.25">
      <c r="A49" s="52">
        <v>41</v>
      </c>
      <c r="B49" s="55" t="s">
        <v>377</v>
      </c>
      <c r="C49" s="52" t="s">
        <v>216</v>
      </c>
      <c r="D49" s="52">
        <v>2</v>
      </c>
      <c r="E49" s="52" t="s">
        <v>229</v>
      </c>
      <c r="F49" s="52" t="s">
        <v>351</v>
      </c>
      <c r="G49" s="55"/>
    </row>
    <row r="50" spans="1:7" x14ac:dyDescent="0.25">
      <c r="A50" s="52">
        <v>42</v>
      </c>
      <c r="B50" s="55" t="s">
        <v>378</v>
      </c>
      <c r="C50" s="52" t="s">
        <v>216</v>
      </c>
      <c r="D50" s="52">
        <v>1</v>
      </c>
      <c r="E50" s="52" t="s">
        <v>229</v>
      </c>
      <c r="F50" s="52" t="s">
        <v>351</v>
      </c>
      <c r="G50" s="55"/>
    </row>
    <row r="51" spans="1:7" x14ac:dyDescent="0.25">
      <c r="A51" s="52">
        <v>43</v>
      </c>
      <c r="B51" s="55" t="s">
        <v>379</v>
      </c>
      <c r="C51" s="52" t="s">
        <v>216</v>
      </c>
      <c r="D51" s="52">
        <v>1</v>
      </c>
      <c r="E51" s="52" t="s">
        <v>229</v>
      </c>
      <c r="F51" s="52" t="s">
        <v>343</v>
      </c>
      <c r="G51" s="55"/>
    </row>
    <row r="52" spans="1:7" x14ac:dyDescent="0.25">
      <c r="A52" s="52">
        <v>44</v>
      </c>
      <c r="B52" s="55" t="s">
        <v>380</v>
      </c>
      <c r="C52" s="52" t="s">
        <v>216</v>
      </c>
      <c r="D52" s="52">
        <v>1</v>
      </c>
      <c r="E52" s="52" t="s">
        <v>229</v>
      </c>
      <c r="F52" s="52" t="s">
        <v>343</v>
      </c>
      <c r="G52" s="55"/>
    </row>
    <row r="53" spans="1:7" x14ac:dyDescent="0.25">
      <c r="A53" s="52">
        <v>45</v>
      </c>
      <c r="B53" s="55" t="s">
        <v>381</v>
      </c>
      <c r="C53" s="52" t="s">
        <v>216</v>
      </c>
      <c r="D53" s="52">
        <v>1</v>
      </c>
      <c r="E53" s="52" t="s">
        <v>229</v>
      </c>
      <c r="F53" s="52" t="s">
        <v>351</v>
      </c>
      <c r="G53" s="55"/>
    </row>
    <row r="54" spans="1:7" x14ac:dyDescent="0.25">
      <c r="A54" s="52">
        <v>46</v>
      </c>
      <c r="B54" s="55" t="s">
        <v>382</v>
      </c>
      <c r="C54" s="52" t="s">
        <v>216</v>
      </c>
      <c r="D54" s="52">
        <v>2</v>
      </c>
      <c r="E54" s="52" t="s">
        <v>229</v>
      </c>
      <c r="F54" s="52" t="s">
        <v>351</v>
      </c>
      <c r="G54" s="55"/>
    </row>
    <row r="55" spans="1:7" x14ac:dyDescent="0.25">
      <c r="A55" s="52">
        <v>47</v>
      </c>
      <c r="B55" s="55" t="s">
        <v>383</v>
      </c>
      <c r="C55" s="52" t="s">
        <v>216</v>
      </c>
      <c r="D55" s="52">
        <v>1</v>
      </c>
      <c r="E55" s="52" t="s">
        <v>229</v>
      </c>
      <c r="F55" s="52" t="s">
        <v>341</v>
      </c>
      <c r="G55" s="55"/>
    </row>
    <row r="56" spans="1:7" x14ac:dyDescent="0.25">
      <c r="A56" s="52">
        <v>48</v>
      </c>
      <c r="B56" s="55" t="s">
        <v>384</v>
      </c>
      <c r="C56" s="52" t="s">
        <v>216</v>
      </c>
      <c r="D56" s="52">
        <v>1</v>
      </c>
      <c r="E56" s="52" t="s">
        <v>229</v>
      </c>
      <c r="F56" s="52" t="s">
        <v>351</v>
      </c>
      <c r="G56" s="55"/>
    </row>
    <row r="57" spans="1:7" x14ac:dyDescent="0.25">
      <c r="A57" s="52">
        <v>49</v>
      </c>
      <c r="B57" s="55" t="s">
        <v>385</v>
      </c>
      <c r="C57" s="52" t="s">
        <v>216</v>
      </c>
      <c r="D57" s="52">
        <v>2</v>
      </c>
      <c r="E57" s="52" t="s">
        <v>229</v>
      </c>
      <c r="F57" s="52" t="s">
        <v>341</v>
      </c>
      <c r="G57" s="55"/>
    </row>
    <row r="58" spans="1:7" x14ac:dyDescent="0.25">
      <c r="A58" s="52">
        <v>50</v>
      </c>
      <c r="B58" s="55" t="s">
        <v>386</v>
      </c>
      <c r="C58" s="52" t="s">
        <v>216</v>
      </c>
      <c r="D58" s="52">
        <v>1</v>
      </c>
      <c r="E58" s="52" t="s">
        <v>229</v>
      </c>
      <c r="F58" s="52" t="s">
        <v>341</v>
      </c>
      <c r="G58" s="55"/>
    </row>
    <row r="59" spans="1:7" x14ac:dyDescent="0.25">
      <c r="A59" s="52">
        <v>51</v>
      </c>
      <c r="B59" s="55" t="s">
        <v>64</v>
      </c>
      <c r="C59" s="52" t="s">
        <v>216</v>
      </c>
      <c r="D59" s="52">
        <v>1</v>
      </c>
      <c r="E59" s="52" t="s">
        <v>229</v>
      </c>
      <c r="F59" s="52" t="s">
        <v>351</v>
      </c>
      <c r="G59" s="55"/>
    </row>
    <row r="60" spans="1:7" x14ac:dyDescent="0.25">
      <c r="A60" s="52">
        <v>52</v>
      </c>
      <c r="B60" s="55" t="s">
        <v>15</v>
      </c>
      <c r="C60" s="52" t="s">
        <v>216</v>
      </c>
      <c r="D60" s="52">
        <v>2</v>
      </c>
      <c r="E60" s="52" t="s">
        <v>229</v>
      </c>
      <c r="F60" s="52" t="s">
        <v>351</v>
      </c>
      <c r="G60" s="55"/>
    </row>
    <row r="61" spans="1:7" x14ac:dyDescent="0.25">
      <c r="A61" s="52">
        <v>53</v>
      </c>
      <c r="B61" s="55" t="s">
        <v>387</v>
      </c>
      <c r="C61" s="52" t="s">
        <v>216</v>
      </c>
      <c r="D61" s="52">
        <v>3</v>
      </c>
      <c r="E61" s="52" t="s">
        <v>229</v>
      </c>
      <c r="F61" s="52" t="s">
        <v>351</v>
      </c>
      <c r="G61" s="55"/>
    </row>
    <row r="62" spans="1:7" x14ac:dyDescent="0.25">
      <c r="A62" s="52">
        <v>54</v>
      </c>
      <c r="B62" s="55" t="s">
        <v>388</v>
      </c>
      <c r="C62" s="18" t="s">
        <v>195</v>
      </c>
      <c r="D62" s="52">
        <v>1</v>
      </c>
      <c r="E62" s="52" t="s">
        <v>194</v>
      </c>
      <c r="F62" s="52" t="s">
        <v>341</v>
      </c>
      <c r="G62" s="55"/>
    </row>
    <row r="63" spans="1:7" x14ac:dyDescent="0.25">
      <c r="A63" s="52">
        <v>55</v>
      </c>
      <c r="B63" s="55" t="s">
        <v>389</v>
      </c>
      <c r="C63" s="18" t="s">
        <v>195</v>
      </c>
      <c r="D63" s="52">
        <v>2</v>
      </c>
      <c r="E63" s="52" t="s">
        <v>194</v>
      </c>
      <c r="F63" s="52" t="s">
        <v>341</v>
      </c>
      <c r="G63" s="55"/>
    </row>
    <row r="64" spans="1:7" x14ac:dyDescent="0.25">
      <c r="A64" s="52">
        <v>56</v>
      </c>
      <c r="B64" s="55" t="s">
        <v>390</v>
      </c>
      <c r="C64" s="18" t="s">
        <v>195</v>
      </c>
      <c r="D64" s="52">
        <v>1</v>
      </c>
      <c r="E64" s="52" t="s">
        <v>194</v>
      </c>
      <c r="F64" s="52" t="s">
        <v>341</v>
      </c>
      <c r="G64" s="55"/>
    </row>
    <row r="65" spans="1:7" x14ac:dyDescent="0.25">
      <c r="A65" s="52">
        <v>57</v>
      </c>
      <c r="B65" s="55" t="s">
        <v>391</v>
      </c>
      <c r="C65" s="18" t="s">
        <v>195</v>
      </c>
      <c r="D65" s="52">
        <v>2</v>
      </c>
      <c r="E65" s="52" t="s">
        <v>194</v>
      </c>
      <c r="F65" s="52" t="s">
        <v>341</v>
      </c>
      <c r="G65" s="55"/>
    </row>
    <row r="66" spans="1:7" x14ac:dyDescent="0.25">
      <c r="A66" s="52">
        <v>58</v>
      </c>
      <c r="B66" s="55" t="s">
        <v>392</v>
      </c>
      <c r="C66" s="18" t="s">
        <v>195</v>
      </c>
      <c r="D66" s="52">
        <v>3</v>
      </c>
      <c r="E66" s="52" t="s">
        <v>194</v>
      </c>
      <c r="F66" s="52" t="s">
        <v>341</v>
      </c>
      <c r="G66" s="55"/>
    </row>
    <row r="67" spans="1:7" x14ac:dyDescent="0.25">
      <c r="A67" s="52">
        <v>59</v>
      </c>
      <c r="B67" s="68" t="s">
        <v>393</v>
      </c>
      <c r="C67" s="18" t="s">
        <v>195</v>
      </c>
      <c r="D67" s="67">
        <v>1</v>
      </c>
      <c r="E67" s="52" t="s">
        <v>194</v>
      </c>
      <c r="F67" s="67" t="s">
        <v>341</v>
      </c>
      <c r="G67" s="55"/>
    </row>
    <row r="68" spans="1:7" x14ac:dyDescent="0.25">
      <c r="A68" s="52">
        <v>60</v>
      </c>
      <c r="B68" s="55" t="s">
        <v>394</v>
      </c>
      <c r="C68" s="18" t="s">
        <v>195</v>
      </c>
      <c r="D68" s="52">
        <v>3</v>
      </c>
      <c r="E68" s="52" t="s">
        <v>194</v>
      </c>
      <c r="F68" s="52" t="s">
        <v>341</v>
      </c>
      <c r="G68" s="55"/>
    </row>
    <row r="69" spans="1:7" x14ac:dyDescent="0.25">
      <c r="A69" s="52">
        <v>61</v>
      </c>
      <c r="B69" s="55" t="s">
        <v>395</v>
      </c>
      <c r="C69" s="18" t="s">
        <v>195</v>
      </c>
      <c r="D69" s="52">
        <v>1</v>
      </c>
      <c r="E69" s="52" t="s">
        <v>194</v>
      </c>
      <c r="F69" s="52" t="s">
        <v>341</v>
      </c>
      <c r="G69" s="55"/>
    </row>
    <row r="70" spans="1:7" x14ac:dyDescent="0.25">
      <c r="A70" s="52">
        <v>62</v>
      </c>
      <c r="B70" s="55" t="s">
        <v>396</v>
      </c>
      <c r="C70" s="18" t="s">
        <v>195</v>
      </c>
      <c r="D70" s="52">
        <v>1</v>
      </c>
      <c r="E70" s="52" t="s">
        <v>194</v>
      </c>
      <c r="F70" s="52" t="s">
        <v>365</v>
      </c>
      <c r="G70" s="55"/>
    </row>
    <row r="71" spans="1:7" x14ac:dyDescent="0.25">
      <c r="A71" s="52">
        <v>63</v>
      </c>
      <c r="B71" s="55" t="s">
        <v>397</v>
      </c>
      <c r="C71" s="18" t="s">
        <v>195</v>
      </c>
      <c r="D71" s="52">
        <v>1</v>
      </c>
      <c r="E71" s="52" t="s">
        <v>194</v>
      </c>
      <c r="F71" s="52" t="s">
        <v>341</v>
      </c>
      <c r="G71" s="55"/>
    </row>
    <row r="72" spans="1:7" x14ac:dyDescent="0.25">
      <c r="A72" s="52">
        <v>64</v>
      </c>
      <c r="B72" s="55" t="s">
        <v>398</v>
      </c>
      <c r="C72" s="18" t="s">
        <v>195</v>
      </c>
      <c r="D72" s="52">
        <v>1</v>
      </c>
      <c r="E72" s="52" t="s">
        <v>194</v>
      </c>
      <c r="F72" s="52" t="s">
        <v>341</v>
      </c>
      <c r="G72" s="55"/>
    </row>
    <row r="73" spans="1:7" x14ac:dyDescent="0.25">
      <c r="A73" s="52">
        <v>65</v>
      </c>
      <c r="B73" s="55" t="s">
        <v>119</v>
      </c>
      <c r="C73" s="18" t="s">
        <v>195</v>
      </c>
      <c r="D73" s="52">
        <v>2</v>
      </c>
      <c r="E73" s="52" t="s">
        <v>194</v>
      </c>
      <c r="F73" s="52" t="s">
        <v>341</v>
      </c>
      <c r="G73" s="55"/>
    </row>
    <row r="74" spans="1:7" x14ac:dyDescent="0.25">
      <c r="A74" s="52">
        <v>66</v>
      </c>
      <c r="B74" s="55" t="s">
        <v>399</v>
      </c>
      <c r="C74" s="52" t="s">
        <v>173</v>
      </c>
      <c r="D74" s="52">
        <v>1</v>
      </c>
      <c r="E74" s="52" t="s">
        <v>229</v>
      </c>
      <c r="F74" s="52" t="s">
        <v>341</v>
      </c>
      <c r="G74" s="55"/>
    </row>
    <row r="75" spans="1:7" x14ac:dyDescent="0.25">
      <c r="A75" s="52">
        <v>67</v>
      </c>
      <c r="B75" s="55" t="s">
        <v>400</v>
      </c>
      <c r="C75" s="52" t="s">
        <v>173</v>
      </c>
      <c r="D75" s="52">
        <v>2</v>
      </c>
      <c r="E75" s="52" t="s">
        <v>229</v>
      </c>
      <c r="F75" s="52" t="s">
        <v>341</v>
      </c>
      <c r="G75" s="55"/>
    </row>
    <row r="76" spans="1:7" x14ac:dyDescent="0.25">
      <c r="A76" s="52">
        <v>68</v>
      </c>
      <c r="B76" s="55" t="s">
        <v>97</v>
      </c>
      <c r="C76" s="52" t="s">
        <v>173</v>
      </c>
      <c r="D76" s="52">
        <v>1</v>
      </c>
      <c r="E76" s="52" t="s">
        <v>229</v>
      </c>
      <c r="F76" s="52" t="s">
        <v>365</v>
      </c>
      <c r="G76" s="55"/>
    </row>
    <row r="77" spans="1:7" x14ac:dyDescent="0.25">
      <c r="A77" s="52">
        <v>69</v>
      </c>
      <c r="B77" s="55" t="s">
        <v>401</v>
      </c>
      <c r="C77" s="52" t="s">
        <v>173</v>
      </c>
      <c r="D77" s="52">
        <v>1</v>
      </c>
      <c r="E77" s="52" t="s">
        <v>229</v>
      </c>
      <c r="F77" s="52" t="s">
        <v>341</v>
      </c>
      <c r="G77" s="55"/>
    </row>
    <row r="78" spans="1:7" x14ac:dyDescent="0.25">
      <c r="A78" s="52">
        <v>70</v>
      </c>
      <c r="B78" s="55" t="s">
        <v>402</v>
      </c>
      <c r="C78" s="52" t="s">
        <v>173</v>
      </c>
      <c r="D78" s="52">
        <v>2</v>
      </c>
      <c r="E78" s="52" t="s">
        <v>229</v>
      </c>
      <c r="F78" s="52" t="s">
        <v>341</v>
      </c>
      <c r="G78" s="55"/>
    </row>
    <row r="79" spans="1:7" x14ac:dyDescent="0.25">
      <c r="A79" s="52">
        <v>71</v>
      </c>
      <c r="B79" s="55" t="s">
        <v>76</v>
      </c>
      <c r="C79" s="52" t="s">
        <v>173</v>
      </c>
      <c r="D79" s="52">
        <v>2</v>
      </c>
      <c r="E79" s="52" t="s">
        <v>229</v>
      </c>
      <c r="F79" s="52" t="s">
        <v>341</v>
      </c>
      <c r="G79" s="55"/>
    </row>
    <row r="80" spans="1:7" x14ac:dyDescent="0.25">
      <c r="A80" s="52">
        <v>72</v>
      </c>
      <c r="B80" s="55" t="s">
        <v>50</v>
      </c>
      <c r="C80" s="52" t="s">
        <v>173</v>
      </c>
      <c r="D80" s="52">
        <v>1</v>
      </c>
      <c r="E80" s="52" t="s">
        <v>229</v>
      </c>
      <c r="F80" s="52" t="s">
        <v>341</v>
      </c>
      <c r="G80" s="55"/>
    </row>
    <row r="81" spans="1:7" x14ac:dyDescent="0.25">
      <c r="A81" s="52">
        <v>73</v>
      </c>
      <c r="B81" s="55" t="s">
        <v>403</v>
      </c>
      <c r="C81" s="52" t="s">
        <v>173</v>
      </c>
      <c r="D81" s="52">
        <v>1</v>
      </c>
      <c r="E81" s="52" t="s">
        <v>229</v>
      </c>
      <c r="F81" s="52" t="s">
        <v>341</v>
      </c>
      <c r="G81" s="55"/>
    </row>
    <row r="82" spans="1:7" x14ac:dyDescent="0.25">
      <c r="A82" s="52">
        <v>74</v>
      </c>
      <c r="B82" s="55" t="s">
        <v>404</v>
      </c>
      <c r="C82" s="52" t="s">
        <v>173</v>
      </c>
      <c r="D82" s="52">
        <v>1</v>
      </c>
      <c r="E82" s="52" t="s">
        <v>229</v>
      </c>
      <c r="F82" s="52" t="s">
        <v>351</v>
      </c>
      <c r="G82" s="55"/>
    </row>
    <row r="83" spans="1:7" x14ac:dyDescent="0.25">
      <c r="A83" s="52">
        <v>75</v>
      </c>
      <c r="B83" s="55" t="s">
        <v>405</v>
      </c>
      <c r="C83" s="52" t="s">
        <v>173</v>
      </c>
      <c r="D83" s="52">
        <v>2</v>
      </c>
      <c r="E83" s="52" t="s">
        <v>229</v>
      </c>
      <c r="F83" s="52" t="s">
        <v>341</v>
      </c>
      <c r="G83" s="55"/>
    </row>
    <row r="84" spans="1:7" x14ac:dyDescent="0.25">
      <c r="A84" s="52">
        <v>76</v>
      </c>
      <c r="B84" s="55" t="s">
        <v>406</v>
      </c>
      <c r="C84" s="52" t="s">
        <v>173</v>
      </c>
      <c r="D84" s="52">
        <v>2</v>
      </c>
      <c r="E84" s="52" t="s">
        <v>229</v>
      </c>
      <c r="F84" s="52" t="s">
        <v>351</v>
      </c>
      <c r="G84" s="55"/>
    </row>
    <row r="85" spans="1:7" x14ac:dyDescent="0.25">
      <c r="A85" s="52">
        <v>77</v>
      </c>
      <c r="B85" s="55" t="s">
        <v>169</v>
      </c>
      <c r="C85" s="52" t="s">
        <v>407</v>
      </c>
      <c r="D85" s="52">
        <v>3</v>
      </c>
      <c r="E85" s="52" t="s">
        <v>229</v>
      </c>
      <c r="F85" s="52" t="s">
        <v>351</v>
      </c>
      <c r="G85" s="55"/>
    </row>
    <row r="86" spans="1:7" x14ac:dyDescent="0.25">
      <c r="A86" s="52">
        <v>78</v>
      </c>
      <c r="B86" s="55" t="s">
        <v>168</v>
      </c>
      <c r="C86" s="52" t="s">
        <v>407</v>
      </c>
      <c r="D86" s="52">
        <v>4</v>
      </c>
      <c r="E86" s="52" t="s">
        <v>229</v>
      </c>
      <c r="F86" s="52" t="s">
        <v>341</v>
      </c>
      <c r="G86" s="55"/>
    </row>
    <row r="87" spans="1:7" x14ac:dyDescent="0.25">
      <c r="A87" s="52">
        <v>79</v>
      </c>
      <c r="B87" s="55" t="s">
        <v>408</v>
      </c>
      <c r="C87" s="52" t="s">
        <v>407</v>
      </c>
      <c r="D87" s="52">
        <v>1</v>
      </c>
      <c r="E87" s="52" t="s">
        <v>194</v>
      </c>
      <c r="F87" s="52" t="s">
        <v>341</v>
      </c>
      <c r="G87" s="55"/>
    </row>
    <row r="88" spans="1:7" x14ac:dyDescent="0.25">
      <c r="A88" s="52">
        <v>80</v>
      </c>
      <c r="B88" s="55" t="s">
        <v>409</v>
      </c>
      <c r="C88" s="52" t="s">
        <v>407</v>
      </c>
      <c r="D88" s="52">
        <v>1</v>
      </c>
      <c r="E88" s="52" t="s">
        <v>229</v>
      </c>
      <c r="F88" s="52" t="s">
        <v>351</v>
      </c>
      <c r="G88" s="55"/>
    </row>
    <row r="89" spans="1:7" x14ac:dyDescent="0.25">
      <c r="A89" s="52">
        <v>81</v>
      </c>
      <c r="B89" s="55" t="s">
        <v>55</v>
      </c>
      <c r="C89" s="52" t="s">
        <v>407</v>
      </c>
      <c r="D89" s="52">
        <v>2</v>
      </c>
      <c r="E89" s="52" t="s">
        <v>229</v>
      </c>
      <c r="F89" s="52" t="s">
        <v>365</v>
      </c>
      <c r="G89" s="55"/>
    </row>
    <row r="90" spans="1:7" x14ac:dyDescent="0.25">
      <c r="A90" s="52">
        <v>82</v>
      </c>
      <c r="B90" s="55" t="s">
        <v>410</v>
      </c>
      <c r="C90" s="52" t="s">
        <v>407</v>
      </c>
      <c r="D90" s="52">
        <v>1</v>
      </c>
      <c r="E90" s="52" t="s">
        <v>229</v>
      </c>
      <c r="F90" s="52" t="s">
        <v>341</v>
      </c>
      <c r="G90" s="55"/>
    </row>
    <row r="91" spans="1:7" x14ac:dyDescent="0.25">
      <c r="A91" s="52">
        <v>83</v>
      </c>
      <c r="B91" s="55" t="s">
        <v>411</v>
      </c>
      <c r="C91" s="52" t="s">
        <v>407</v>
      </c>
      <c r="D91" s="52">
        <v>1</v>
      </c>
      <c r="E91" s="52" t="s">
        <v>229</v>
      </c>
      <c r="F91" s="52" t="s">
        <v>341</v>
      </c>
      <c r="G91" s="55"/>
    </row>
    <row r="92" spans="1:7" x14ac:dyDescent="0.25">
      <c r="A92" s="52">
        <v>84</v>
      </c>
      <c r="B92" s="55" t="s">
        <v>412</v>
      </c>
      <c r="C92" s="52" t="s">
        <v>407</v>
      </c>
      <c r="D92" s="52">
        <v>1</v>
      </c>
      <c r="E92" s="52" t="s">
        <v>229</v>
      </c>
      <c r="F92" s="52" t="s">
        <v>365</v>
      </c>
      <c r="G92" s="55"/>
    </row>
    <row r="93" spans="1:7" x14ac:dyDescent="0.25">
      <c r="A93" s="52">
        <v>85</v>
      </c>
      <c r="B93" s="55" t="s">
        <v>413</v>
      </c>
      <c r="C93" s="52" t="s">
        <v>407</v>
      </c>
      <c r="D93" s="52">
        <v>1</v>
      </c>
      <c r="E93" s="52" t="s">
        <v>229</v>
      </c>
      <c r="F93" s="52" t="s">
        <v>341</v>
      </c>
      <c r="G93" s="55"/>
    </row>
    <row r="94" spans="1:7" x14ac:dyDescent="0.25">
      <c r="A94" s="52">
        <v>86</v>
      </c>
      <c r="B94" s="55" t="s">
        <v>414</v>
      </c>
      <c r="C94" s="52" t="s">
        <v>407</v>
      </c>
      <c r="D94" s="52">
        <v>1</v>
      </c>
      <c r="E94" s="52" t="s">
        <v>229</v>
      </c>
      <c r="F94" s="52" t="s">
        <v>351</v>
      </c>
      <c r="G94" s="55"/>
    </row>
    <row r="95" spans="1:7" x14ac:dyDescent="0.25">
      <c r="A95" s="52">
        <v>87</v>
      </c>
      <c r="B95" s="55" t="s">
        <v>123</v>
      </c>
      <c r="C95" s="52" t="s">
        <v>407</v>
      </c>
      <c r="D95" s="52">
        <v>2</v>
      </c>
      <c r="E95" s="52" t="s">
        <v>229</v>
      </c>
      <c r="F95" s="52" t="s">
        <v>341</v>
      </c>
      <c r="G95" s="55"/>
    </row>
    <row r="96" spans="1:7" x14ac:dyDescent="0.25">
      <c r="A96" s="52">
        <v>88</v>
      </c>
      <c r="B96" s="55" t="s">
        <v>60</v>
      </c>
      <c r="C96" s="52" t="s">
        <v>407</v>
      </c>
      <c r="D96" s="52">
        <v>2</v>
      </c>
      <c r="E96" s="52" t="s">
        <v>229</v>
      </c>
      <c r="F96" s="52" t="s">
        <v>341</v>
      </c>
      <c r="G96" s="55"/>
    </row>
    <row r="97" spans="1:7" x14ac:dyDescent="0.25">
      <c r="A97" s="52">
        <v>89</v>
      </c>
      <c r="B97" s="55" t="s">
        <v>415</v>
      </c>
      <c r="C97" s="52" t="s">
        <v>407</v>
      </c>
      <c r="D97" s="52">
        <v>1</v>
      </c>
      <c r="E97" s="52" t="s">
        <v>229</v>
      </c>
      <c r="F97" s="52" t="s">
        <v>351</v>
      </c>
      <c r="G97" s="55"/>
    </row>
    <row r="98" spans="1:7" x14ac:dyDescent="0.25">
      <c r="A98" s="52">
        <v>90</v>
      </c>
      <c r="B98" s="55" t="s">
        <v>416</v>
      </c>
      <c r="C98" s="52" t="s">
        <v>407</v>
      </c>
      <c r="D98" s="52">
        <v>3</v>
      </c>
      <c r="E98" s="52" t="s">
        <v>229</v>
      </c>
      <c r="F98" s="52" t="s">
        <v>341</v>
      </c>
      <c r="G98" s="55"/>
    </row>
    <row r="99" spans="1:7" x14ac:dyDescent="0.25">
      <c r="A99" s="52">
        <v>91</v>
      </c>
      <c r="B99" s="55" t="s">
        <v>633</v>
      </c>
      <c r="C99" s="52" t="s">
        <v>407</v>
      </c>
      <c r="D99" s="52">
        <v>2</v>
      </c>
      <c r="E99" s="52" t="s">
        <v>229</v>
      </c>
      <c r="F99" s="52" t="s">
        <v>417</v>
      </c>
      <c r="G99" s="55"/>
    </row>
    <row r="100" spans="1:7" x14ac:dyDescent="0.25">
      <c r="A100" s="52">
        <v>92</v>
      </c>
      <c r="B100" s="55" t="s">
        <v>24</v>
      </c>
      <c r="C100" s="52" t="s">
        <v>407</v>
      </c>
      <c r="D100" s="52">
        <v>2</v>
      </c>
      <c r="E100" s="52" t="s">
        <v>229</v>
      </c>
      <c r="F100" s="52" t="s">
        <v>365</v>
      </c>
      <c r="G100" s="55"/>
    </row>
    <row r="101" spans="1:7" x14ac:dyDescent="0.25">
      <c r="A101" s="52">
        <v>93</v>
      </c>
      <c r="B101" s="55" t="s">
        <v>604</v>
      </c>
      <c r="C101" s="52" t="s">
        <v>407</v>
      </c>
      <c r="D101" s="52">
        <v>1</v>
      </c>
      <c r="E101" s="52" t="s">
        <v>229</v>
      </c>
      <c r="F101" s="52" t="s">
        <v>365</v>
      </c>
      <c r="G101" s="55"/>
    </row>
    <row r="102" spans="1:7" x14ac:dyDescent="0.25">
      <c r="A102" s="52">
        <v>94</v>
      </c>
      <c r="B102" s="55" t="s">
        <v>418</v>
      </c>
      <c r="C102" s="52" t="s">
        <v>407</v>
      </c>
      <c r="D102" s="52">
        <v>2</v>
      </c>
      <c r="E102" s="52" t="s">
        <v>229</v>
      </c>
      <c r="F102" s="52" t="s">
        <v>351</v>
      </c>
      <c r="G102" s="55"/>
    </row>
    <row r="103" spans="1:7" x14ac:dyDescent="0.25">
      <c r="A103" s="52">
        <v>95</v>
      </c>
      <c r="B103" s="55" t="s">
        <v>419</v>
      </c>
      <c r="C103" s="52" t="s">
        <v>407</v>
      </c>
      <c r="D103" s="52">
        <v>2</v>
      </c>
      <c r="E103" s="52" t="s">
        <v>229</v>
      </c>
      <c r="F103" s="52" t="s">
        <v>351</v>
      </c>
      <c r="G103" s="55"/>
    </row>
    <row r="104" spans="1:7" x14ac:dyDescent="0.25">
      <c r="A104" s="52">
        <v>96</v>
      </c>
      <c r="B104" s="55" t="s">
        <v>420</v>
      </c>
      <c r="C104" s="52" t="s">
        <v>407</v>
      </c>
      <c r="D104" s="52">
        <v>1</v>
      </c>
      <c r="E104" s="52" t="s">
        <v>229</v>
      </c>
      <c r="F104" s="52" t="s">
        <v>341</v>
      </c>
      <c r="G104" s="55"/>
    </row>
    <row r="105" spans="1:7" x14ac:dyDescent="0.25">
      <c r="A105" s="52">
        <v>97</v>
      </c>
      <c r="B105" s="55" t="s">
        <v>47</v>
      </c>
      <c r="C105" s="52" t="s">
        <v>407</v>
      </c>
      <c r="D105" s="52">
        <v>2</v>
      </c>
      <c r="E105" s="52" t="s">
        <v>229</v>
      </c>
      <c r="F105" s="52" t="s">
        <v>341</v>
      </c>
      <c r="G105" s="55"/>
    </row>
    <row r="106" spans="1:7" x14ac:dyDescent="0.25">
      <c r="A106" s="52">
        <v>98</v>
      </c>
      <c r="B106" s="55" t="s">
        <v>421</v>
      </c>
      <c r="C106" s="52" t="s">
        <v>407</v>
      </c>
      <c r="D106" s="52">
        <v>3</v>
      </c>
      <c r="E106" s="52" t="s">
        <v>229</v>
      </c>
      <c r="F106" s="52" t="s">
        <v>341</v>
      </c>
      <c r="G106" s="55"/>
    </row>
    <row r="107" spans="1:7" x14ac:dyDescent="0.25">
      <c r="A107" s="52">
        <v>99</v>
      </c>
      <c r="B107" s="55" t="s">
        <v>422</v>
      </c>
      <c r="C107" s="52" t="s">
        <v>407</v>
      </c>
      <c r="D107" s="52">
        <v>1</v>
      </c>
      <c r="E107" s="52" t="s">
        <v>229</v>
      </c>
      <c r="F107" s="52" t="s">
        <v>341</v>
      </c>
      <c r="G107" s="55"/>
    </row>
    <row r="108" spans="1:7" x14ac:dyDescent="0.25">
      <c r="A108" s="52">
        <v>100</v>
      </c>
      <c r="B108" s="55" t="s">
        <v>423</v>
      </c>
      <c r="C108" s="52" t="s">
        <v>307</v>
      </c>
      <c r="D108" s="52">
        <v>1</v>
      </c>
      <c r="E108" s="52" t="s">
        <v>194</v>
      </c>
      <c r="F108" s="52" t="s">
        <v>341</v>
      </c>
      <c r="G108" s="55"/>
    </row>
    <row r="109" spans="1:7" x14ac:dyDescent="0.25">
      <c r="A109" s="52">
        <v>101</v>
      </c>
      <c r="B109" s="55" t="s">
        <v>424</v>
      </c>
      <c r="C109" s="52" t="s">
        <v>307</v>
      </c>
      <c r="D109" s="52">
        <v>1</v>
      </c>
      <c r="E109" s="52" t="s">
        <v>194</v>
      </c>
      <c r="F109" s="52" t="s">
        <v>341</v>
      </c>
      <c r="G109" s="55"/>
    </row>
    <row r="110" spans="1:7" x14ac:dyDescent="0.25">
      <c r="A110" s="52">
        <v>102</v>
      </c>
      <c r="B110" s="55" t="s">
        <v>425</v>
      </c>
      <c r="C110" s="52" t="s">
        <v>307</v>
      </c>
      <c r="D110" s="52">
        <v>1</v>
      </c>
      <c r="E110" s="52" t="s">
        <v>194</v>
      </c>
      <c r="F110" s="52" t="s">
        <v>341</v>
      </c>
      <c r="G110" s="55"/>
    </row>
    <row r="111" spans="1:7" x14ac:dyDescent="0.25">
      <c r="A111" s="52">
        <v>103</v>
      </c>
      <c r="B111" s="55" t="s">
        <v>426</v>
      </c>
      <c r="C111" s="52" t="s">
        <v>307</v>
      </c>
      <c r="D111" s="52">
        <v>1</v>
      </c>
      <c r="E111" s="52" t="s">
        <v>194</v>
      </c>
      <c r="F111" s="52" t="s">
        <v>365</v>
      </c>
      <c r="G111" s="55"/>
    </row>
    <row r="112" spans="1:7" x14ac:dyDescent="0.25">
      <c r="A112" s="52">
        <v>104</v>
      </c>
      <c r="B112" s="55" t="s">
        <v>96</v>
      </c>
      <c r="C112" s="52" t="s">
        <v>307</v>
      </c>
      <c r="D112" s="52">
        <v>1</v>
      </c>
      <c r="E112" s="52" t="s">
        <v>194</v>
      </c>
      <c r="F112" s="52" t="s">
        <v>341</v>
      </c>
      <c r="G112" s="55"/>
    </row>
    <row r="113" spans="1:7" x14ac:dyDescent="0.25">
      <c r="A113" s="52">
        <v>105</v>
      </c>
      <c r="B113" s="55" t="s">
        <v>427</v>
      </c>
      <c r="C113" s="52" t="s">
        <v>307</v>
      </c>
      <c r="D113" s="52">
        <v>1</v>
      </c>
      <c r="E113" s="52" t="s">
        <v>229</v>
      </c>
      <c r="F113" s="52" t="s">
        <v>341</v>
      </c>
      <c r="G113" s="55"/>
    </row>
    <row r="114" spans="1:7" x14ac:dyDescent="0.25">
      <c r="A114" s="52">
        <v>106</v>
      </c>
      <c r="B114" s="55" t="s">
        <v>428</v>
      </c>
      <c r="C114" s="52" t="s">
        <v>307</v>
      </c>
      <c r="D114" s="52">
        <v>2</v>
      </c>
      <c r="E114" s="52" t="s">
        <v>194</v>
      </c>
      <c r="F114" s="52" t="s">
        <v>341</v>
      </c>
      <c r="G114" s="55"/>
    </row>
    <row r="115" spans="1:7" x14ac:dyDescent="0.25">
      <c r="A115" s="52">
        <v>107</v>
      </c>
      <c r="B115" s="55" t="s">
        <v>633</v>
      </c>
      <c r="C115" s="52" t="s">
        <v>171</v>
      </c>
      <c r="D115" s="52">
        <v>1</v>
      </c>
      <c r="E115" s="52" t="s">
        <v>229</v>
      </c>
      <c r="F115" s="52" t="s">
        <v>341</v>
      </c>
      <c r="G115" s="55"/>
    </row>
    <row r="116" spans="1:7" x14ac:dyDescent="0.25">
      <c r="A116" s="52">
        <v>108</v>
      </c>
      <c r="B116" s="55" t="s">
        <v>264</v>
      </c>
      <c r="C116" s="52" t="s">
        <v>171</v>
      </c>
      <c r="D116" s="52">
        <v>1</v>
      </c>
      <c r="E116" s="52" t="s">
        <v>229</v>
      </c>
      <c r="F116" s="52" t="s">
        <v>341</v>
      </c>
      <c r="G116" s="55"/>
    </row>
    <row r="117" spans="1:7" x14ac:dyDescent="0.25">
      <c r="A117" s="52">
        <v>109</v>
      </c>
      <c r="B117" s="55" t="s">
        <v>429</v>
      </c>
      <c r="C117" s="52" t="s">
        <v>171</v>
      </c>
      <c r="D117" s="52">
        <v>1</v>
      </c>
      <c r="E117" s="52" t="s">
        <v>229</v>
      </c>
      <c r="F117" s="52" t="s">
        <v>341</v>
      </c>
      <c r="G117" s="55"/>
    </row>
    <row r="118" spans="1:7" x14ac:dyDescent="0.25">
      <c r="A118" s="52">
        <v>110</v>
      </c>
      <c r="B118" s="55" t="s">
        <v>172</v>
      </c>
      <c r="C118" s="52" t="s">
        <v>171</v>
      </c>
      <c r="D118" s="52">
        <v>1</v>
      </c>
      <c r="E118" s="52" t="s">
        <v>229</v>
      </c>
      <c r="F118" s="52" t="s">
        <v>341</v>
      </c>
      <c r="G118" s="55"/>
    </row>
    <row r="119" spans="1:7" x14ac:dyDescent="0.25">
      <c r="A119" s="52">
        <v>111</v>
      </c>
      <c r="B119" s="55" t="s">
        <v>65</v>
      </c>
      <c r="C119" s="52" t="s">
        <v>171</v>
      </c>
      <c r="D119" s="52">
        <v>4</v>
      </c>
      <c r="E119" s="52" t="s">
        <v>229</v>
      </c>
      <c r="F119" s="52" t="s">
        <v>341</v>
      </c>
      <c r="G119" s="55"/>
    </row>
    <row r="120" spans="1:7" x14ac:dyDescent="0.25">
      <c r="A120" s="52">
        <v>112</v>
      </c>
      <c r="B120" s="55" t="s">
        <v>298</v>
      </c>
      <c r="C120" s="52" t="s">
        <v>171</v>
      </c>
      <c r="D120" s="52">
        <v>2</v>
      </c>
      <c r="E120" s="52" t="s">
        <v>229</v>
      </c>
      <c r="F120" s="52" t="s">
        <v>229</v>
      </c>
      <c r="G120" s="55"/>
    </row>
    <row r="121" spans="1:7" x14ac:dyDescent="0.25">
      <c r="A121" s="52">
        <v>113</v>
      </c>
      <c r="B121" s="55" t="s">
        <v>430</v>
      </c>
      <c r="C121" s="52" t="s">
        <v>171</v>
      </c>
      <c r="D121" s="52">
        <v>1</v>
      </c>
      <c r="E121" s="52" t="s">
        <v>229</v>
      </c>
      <c r="F121" s="52" t="s">
        <v>229</v>
      </c>
      <c r="G121" s="55"/>
    </row>
    <row r="122" spans="1:7" x14ac:dyDescent="0.25">
      <c r="A122" s="52">
        <v>114</v>
      </c>
      <c r="B122" s="55" t="s">
        <v>431</v>
      </c>
      <c r="C122" s="52" t="s">
        <v>171</v>
      </c>
      <c r="D122" s="52">
        <v>3</v>
      </c>
      <c r="E122" s="52" t="s">
        <v>229</v>
      </c>
      <c r="F122" s="52" t="s">
        <v>341</v>
      </c>
      <c r="G122" s="55"/>
    </row>
    <row r="123" spans="1:7" x14ac:dyDescent="0.25">
      <c r="A123" s="52">
        <v>115</v>
      </c>
      <c r="B123" s="55" t="s">
        <v>432</v>
      </c>
      <c r="C123" s="52" t="s">
        <v>171</v>
      </c>
      <c r="D123" s="52">
        <v>3</v>
      </c>
      <c r="E123" s="52" t="s">
        <v>229</v>
      </c>
      <c r="F123" s="52" t="s">
        <v>341</v>
      </c>
      <c r="G123" s="55"/>
    </row>
    <row r="124" spans="1:7" x14ac:dyDescent="0.25">
      <c r="A124" s="52">
        <v>116</v>
      </c>
      <c r="B124" s="55" t="s">
        <v>65</v>
      </c>
      <c r="C124" s="52" t="s">
        <v>171</v>
      </c>
      <c r="D124" s="52">
        <v>2</v>
      </c>
      <c r="E124" s="52" t="s">
        <v>229</v>
      </c>
      <c r="F124" s="52" t="s">
        <v>341</v>
      </c>
      <c r="G124" s="55"/>
    </row>
    <row r="125" spans="1:7" x14ac:dyDescent="0.25">
      <c r="A125" s="52">
        <v>117</v>
      </c>
      <c r="B125" s="55" t="s">
        <v>23</v>
      </c>
      <c r="C125" s="52" t="s">
        <v>171</v>
      </c>
      <c r="D125" s="52">
        <v>2</v>
      </c>
      <c r="E125" s="52" t="s">
        <v>229</v>
      </c>
      <c r="F125" s="52" t="s">
        <v>341</v>
      </c>
      <c r="G125" s="55"/>
    </row>
    <row r="126" spans="1:7" x14ac:dyDescent="0.25">
      <c r="A126" s="52">
        <v>118</v>
      </c>
      <c r="B126" s="55" t="s">
        <v>433</v>
      </c>
      <c r="C126" s="52" t="s">
        <v>171</v>
      </c>
      <c r="D126" s="52">
        <v>3</v>
      </c>
      <c r="E126" s="52" t="s">
        <v>229</v>
      </c>
      <c r="F126" s="52" t="s">
        <v>365</v>
      </c>
      <c r="G126" s="55"/>
    </row>
    <row r="127" spans="1:7" x14ac:dyDescent="0.25">
      <c r="A127" s="52">
        <v>119</v>
      </c>
      <c r="B127" s="55" t="s">
        <v>434</v>
      </c>
      <c r="C127" s="52" t="s">
        <v>171</v>
      </c>
      <c r="D127" s="52">
        <v>2</v>
      </c>
      <c r="E127" s="52" t="s">
        <v>229</v>
      </c>
      <c r="F127" s="52" t="s">
        <v>365</v>
      </c>
      <c r="G127" s="55"/>
    </row>
    <row r="128" spans="1:7" x14ac:dyDescent="0.25">
      <c r="A128" s="52">
        <v>120</v>
      </c>
      <c r="B128" s="55" t="s">
        <v>435</v>
      </c>
      <c r="C128" s="52" t="s">
        <v>171</v>
      </c>
      <c r="D128" s="52">
        <v>4</v>
      </c>
      <c r="E128" s="52" t="s">
        <v>229</v>
      </c>
      <c r="F128" s="52" t="s">
        <v>341</v>
      </c>
      <c r="G128" s="55"/>
    </row>
    <row r="129" spans="1:7" x14ac:dyDescent="0.25">
      <c r="A129" s="52">
        <v>121</v>
      </c>
      <c r="B129" s="55" t="s">
        <v>436</v>
      </c>
      <c r="C129" s="52" t="s">
        <v>171</v>
      </c>
      <c r="D129" s="52">
        <v>2</v>
      </c>
      <c r="E129" s="52" t="s">
        <v>229</v>
      </c>
      <c r="F129" s="52" t="s">
        <v>341</v>
      </c>
      <c r="G129" s="55"/>
    </row>
    <row r="130" spans="1:7" x14ac:dyDescent="0.25">
      <c r="A130" s="52">
        <v>122</v>
      </c>
      <c r="B130" s="55" t="s">
        <v>437</v>
      </c>
      <c r="C130" s="52" t="s">
        <v>171</v>
      </c>
      <c r="D130" s="52">
        <v>2</v>
      </c>
      <c r="E130" s="52" t="s">
        <v>229</v>
      </c>
      <c r="F130" s="52" t="s">
        <v>365</v>
      </c>
      <c r="G130" s="55"/>
    </row>
    <row r="131" spans="1:7" x14ac:dyDescent="0.25">
      <c r="A131" s="52">
        <v>123</v>
      </c>
      <c r="B131" s="55" t="s">
        <v>438</v>
      </c>
      <c r="C131" s="52" t="s">
        <v>171</v>
      </c>
      <c r="D131" s="52">
        <v>2</v>
      </c>
      <c r="E131" s="52" t="s">
        <v>229</v>
      </c>
      <c r="F131" s="52" t="s">
        <v>351</v>
      </c>
      <c r="G131" s="55"/>
    </row>
    <row r="132" spans="1:7" x14ac:dyDescent="0.25">
      <c r="A132" s="52">
        <v>124</v>
      </c>
      <c r="B132" s="55" t="s">
        <v>439</v>
      </c>
      <c r="C132" s="52" t="s">
        <v>171</v>
      </c>
      <c r="D132" s="52">
        <v>2</v>
      </c>
      <c r="E132" s="52" t="s">
        <v>229</v>
      </c>
      <c r="F132" s="52" t="s">
        <v>351</v>
      </c>
      <c r="G132" s="55"/>
    </row>
    <row r="133" spans="1:7" x14ac:dyDescent="0.25">
      <c r="A133" s="52">
        <v>125</v>
      </c>
      <c r="B133" s="55" t="s">
        <v>440</v>
      </c>
      <c r="C133" s="52" t="s">
        <v>171</v>
      </c>
      <c r="D133" s="52">
        <v>2</v>
      </c>
      <c r="E133" s="52" t="s">
        <v>229</v>
      </c>
      <c r="F133" s="52" t="s">
        <v>351</v>
      </c>
      <c r="G133" s="55"/>
    </row>
    <row r="134" spans="1:7" x14ac:dyDescent="0.25">
      <c r="A134" s="52">
        <v>126</v>
      </c>
      <c r="B134" s="55" t="s">
        <v>441</v>
      </c>
      <c r="C134" s="52" t="s">
        <v>171</v>
      </c>
      <c r="D134" s="52">
        <v>2</v>
      </c>
      <c r="E134" s="52" t="s">
        <v>229</v>
      </c>
      <c r="F134" s="52" t="s">
        <v>351</v>
      </c>
      <c r="G134" s="55"/>
    </row>
    <row r="135" spans="1:7" x14ac:dyDescent="0.25">
      <c r="A135" s="52">
        <v>127</v>
      </c>
      <c r="B135" s="55" t="s">
        <v>442</v>
      </c>
      <c r="C135" s="52" t="s">
        <v>171</v>
      </c>
      <c r="D135" s="52">
        <v>3</v>
      </c>
      <c r="E135" s="52" t="s">
        <v>229</v>
      </c>
      <c r="F135" s="52" t="s">
        <v>351</v>
      </c>
      <c r="G135" s="55"/>
    </row>
    <row r="136" spans="1:7" x14ac:dyDescent="0.25">
      <c r="A136" s="52">
        <v>128</v>
      </c>
      <c r="B136" s="55" t="s">
        <v>443</v>
      </c>
      <c r="C136" s="52" t="s">
        <v>171</v>
      </c>
      <c r="D136" s="52">
        <v>3</v>
      </c>
      <c r="E136" s="52" t="s">
        <v>229</v>
      </c>
      <c r="F136" s="52" t="s">
        <v>351</v>
      </c>
      <c r="G136" s="55"/>
    </row>
    <row r="137" spans="1:7" x14ac:dyDescent="0.25">
      <c r="A137" s="52">
        <v>129</v>
      </c>
      <c r="B137" s="55" t="s">
        <v>444</v>
      </c>
      <c r="C137" s="52" t="s">
        <v>171</v>
      </c>
      <c r="D137" s="52">
        <v>1</v>
      </c>
      <c r="E137" s="52" t="s">
        <v>229</v>
      </c>
      <c r="F137" s="52" t="s">
        <v>351</v>
      </c>
      <c r="G137" s="55"/>
    </row>
    <row r="138" spans="1:7" x14ac:dyDescent="0.25">
      <c r="A138" s="52">
        <v>130</v>
      </c>
      <c r="B138" s="55" t="s">
        <v>445</v>
      </c>
      <c r="C138" s="52" t="s">
        <v>171</v>
      </c>
      <c r="D138" s="52">
        <v>2</v>
      </c>
      <c r="E138" s="52" t="s">
        <v>229</v>
      </c>
      <c r="F138" s="52" t="s">
        <v>351</v>
      </c>
      <c r="G138" s="55"/>
    </row>
    <row r="139" spans="1:7" x14ac:dyDescent="0.25">
      <c r="A139" s="52">
        <v>131</v>
      </c>
      <c r="B139" s="55" t="s">
        <v>446</v>
      </c>
      <c r="C139" s="52" t="s">
        <v>163</v>
      </c>
      <c r="D139" s="52">
        <v>4</v>
      </c>
      <c r="E139" s="52" t="s">
        <v>229</v>
      </c>
      <c r="F139" s="52" t="s">
        <v>351</v>
      </c>
      <c r="G139" s="55"/>
    </row>
    <row r="140" spans="1:7" x14ac:dyDescent="0.25">
      <c r="A140" s="52">
        <v>132</v>
      </c>
      <c r="B140" s="55" t="s">
        <v>82</v>
      </c>
      <c r="C140" s="52" t="s">
        <v>163</v>
      </c>
      <c r="D140" s="52">
        <v>1</v>
      </c>
      <c r="E140" s="52" t="s">
        <v>229</v>
      </c>
      <c r="F140" s="52" t="s">
        <v>351</v>
      </c>
      <c r="G140" s="55"/>
    </row>
    <row r="141" spans="1:7" x14ac:dyDescent="0.25">
      <c r="A141" s="52">
        <v>133</v>
      </c>
      <c r="B141" s="55" t="s">
        <v>613</v>
      </c>
      <c r="C141" s="52" t="s">
        <v>163</v>
      </c>
      <c r="D141" s="52">
        <v>1</v>
      </c>
      <c r="E141" s="52" t="s">
        <v>229</v>
      </c>
      <c r="F141" s="52" t="s">
        <v>341</v>
      </c>
      <c r="G141" s="55"/>
    </row>
    <row r="142" spans="1:7" x14ac:dyDescent="0.25">
      <c r="A142" s="52">
        <v>134</v>
      </c>
      <c r="B142" s="55" t="s">
        <v>179</v>
      </c>
      <c r="C142" s="52" t="s">
        <v>163</v>
      </c>
      <c r="D142" s="52">
        <v>1</v>
      </c>
      <c r="E142" s="52" t="s">
        <v>229</v>
      </c>
      <c r="F142" s="52" t="s">
        <v>341</v>
      </c>
      <c r="G142" s="55"/>
    </row>
    <row r="143" spans="1:7" x14ac:dyDescent="0.25">
      <c r="A143" s="52">
        <v>135</v>
      </c>
      <c r="B143" s="55" t="s">
        <v>447</v>
      </c>
      <c r="C143" s="52" t="s">
        <v>163</v>
      </c>
      <c r="D143" s="52">
        <v>1</v>
      </c>
      <c r="E143" s="52" t="s">
        <v>229</v>
      </c>
      <c r="F143" s="52" t="s">
        <v>351</v>
      </c>
      <c r="G143" s="55"/>
    </row>
    <row r="144" spans="1:7" x14ac:dyDescent="0.25">
      <c r="A144" s="52">
        <v>136</v>
      </c>
      <c r="B144" s="55" t="s">
        <v>141</v>
      </c>
      <c r="C144" s="52" t="s">
        <v>163</v>
      </c>
      <c r="D144" s="52">
        <v>2</v>
      </c>
      <c r="E144" s="52" t="s">
        <v>229</v>
      </c>
      <c r="F144" s="52" t="s">
        <v>341</v>
      </c>
      <c r="G144" s="55"/>
    </row>
    <row r="145" spans="1:7" x14ac:dyDescent="0.25">
      <c r="A145" s="52">
        <v>137</v>
      </c>
      <c r="B145" s="55" t="s">
        <v>177</v>
      </c>
      <c r="C145" s="52" t="s">
        <v>163</v>
      </c>
      <c r="D145" s="52">
        <v>1</v>
      </c>
      <c r="E145" s="52" t="s">
        <v>229</v>
      </c>
      <c r="F145" s="52" t="s">
        <v>341</v>
      </c>
      <c r="G145" s="55"/>
    </row>
    <row r="146" spans="1:7" x14ac:dyDescent="0.25">
      <c r="A146" s="52">
        <v>138</v>
      </c>
      <c r="B146" s="55" t="s">
        <v>448</v>
      </c>
      <c r="C146" s="52" t="s">
        <v>163</v>
      </c>
      <c r="D146" s="52">
        <v>1</v>
      </c>
      <c r="E146" s="52" t="s">
        <v>229</v>
      </c>
      <c r="F146" s="52" t="s">
        <v>341</v>
      </c>
      <c r="G146" s="55"/>
    </row>
    <row r="147" spans="1:7" x14ac:dyDescent="0.25">
      <c r="A147" s="52">
        <v>139</v>
      </c>
      <c r="B147" s="55" t="s">
        <v>74</v>
      </c>
      <c r="C147" s="52" t="s">
        <v>163</v>
      </c>
      <c r="D147" s="52">
        <v>1</v>
      </c>
      <c r="E147" s="52" t="s">
        <v>229</v>
      </c>
      <c r="F147" s="52" t="s">
        <v>341</v>
      </c>
      <c r="G147" s="55"/>
    </row>
    <row r="148" spans="1:7" x14ac:dyDescent="0.25">
      <c r="A148" s="52">
        <v>140</v>
      </c>
      <c r="B148" s="55" t="s">
        <v>61</v>
      </c>
      <c r="C148" s="52" t="s">
        <v>163</v>
      </c>
      <c r="D148" s="52">
        <v>1</v>
      </c>
      <c r="E148" s="52" t="s">
        <v>229</v>
      </c>
      <c r="F148" s="52" t="s">
        <v>341</v>
      </c>
      <c r="G148" s="55"/>
    </row>
    <row r="149" spans="1:7" x14ac:dyDescent="0.25">
      <c r="A149" s="52">
        <v>141</v>
      </c>
      <c r="B149" s="55" t="s">
        <v>91</v>
      </c>
      <c r="C149" s="52" t="s">
        <v>163</v>
      </c>
      <c r="D149" s="52">
        <v>1</v>
      </c>
      <c r="E149" s="52" t="s">
        <v>229</v>
      </c>
      <c r="F149" s="52" t="s">
        <v>341</v>
      </c>
      <c r="G149" s="55"/>
    </row>
    <row r="150" spans="1:7" x14ac:dyDescent="0.25">
      <c r="A150" s="52">
        <v>142</v>
      </c>
      <c r="B150" s="55" t="s">
        <v>120</v>
      </c>
      <c r="C150" s="52" t="s">
        <v>163</v>
      </c>
      <c r="D150" s="52">
        <v>1</v>
      </c>
      <c r="E150" s="52" t="s">
        <v>229</v>
      </c>
      <c r="F150" s="52" t="s">
        <v>341</v>
      </c>
      <c r="G150" s="55"/>
    </row>
    <row r="151" spans="1:7" x14ac:dyDescent="0.25">
      <c r="A151" s="52">
        <v>143</v>
      </c>
      <c r="B151" s="55" t="s">
        <v>30</v>
      </c>
      <c r="C151" s="52" t="s">
        <v>163</v>
      </c>
      <c r="D151" s="52">
        <v>1</v>
      </c>
      <c r="E151" s="52" t="s">
        <v>229</v>
      </c>
      <c r="F151" s="52" t="s">
        <v>341</v>
      </c>
      <c r="G151" s="55"/>
    </row>
    <row r="152" spans="1:7" x14ac:dyDescent="0.25">
      <c r="A152" s="52">
        <v>144</v>
      </c>
      <c r="B152" s="55" t="s">
        <v>32</v>
      </c>
      <c r="C152" s="52" t="s">
        <v>163</v>
      </c>
      <c r="D152" s="52">
        <v>1</v>
      </c>
      <c r="E152" s="52" t="s">
        <v>229</v>
      </c>
      <c r="F152" s="52" t="s">
        <v>341</v>
      </c>
      <c r="G152" s="55"/>
    </row>
    <row r="153" spans="1:7" x14ac:dyDescent="0.25">
      <c r="A153" s="52">
        <v>145</v>
      </c>
      <c r="B153" s="55" t="s">
        <v>79</v>
      </c>
      <c r="C153" s="52" t="s">
        <v>163</v>
      </c>
      <c r="D153" s="52">
        <v>1</v>
      </c>
      <c r="E153" s="52" t="s">
        <v>229</v>
      </c>
      <c r="F153" s="52" t="s">
        <v>341</v>
      </c>
      <c r="G153" s="55"/>
    </row>
    <row r="154" spans="1:7" x14ac:dyDescent="0.25">
      <c r="A154" s="52">
        <v>146</v>
      </c>
      <c r="B154" s="55" t="s">
        <v>449</v>
      </c>
      <c r="C154" s="52" t="s">
        <v>163</v>
      </c>
      <c r="D154" s="52">
        <v>1</v>
      </c>
      <c r="E154" s="52" t="s">
        <v>229</v>
      </c>
      <c r="F154" s="52" t="s">
        <v>341</v>
      </c>
      <c r="G154" s="55"/>
    </row>
    <row r="155" spans="1:7" x14ac:dyDescent="0.25">
      <c r="A155" s="52">
        <v>147</v>
      </c>
      <c r="B155" s="55" t="s">
        <v>130</v>
      </c>
      <c r="C155" s="52" t="s">
        <v>163</v>
      </c>
      <c r="D155" s="52">
        <v>4</v>
      </c>
      <c r="E155" s="52" t="s">
        <v>229</v>
      </c>
      <c r="F155" s="52" t="s">
        <v>351</v>
      </c>
      <c r="G155" s="55"/>
    </row>
    <row r="156" spans="1:7" x14ac:dyDescent="0.25">
      <c r="A156" s="52">
        <v>148</v>
      </c>
      <c r="B156" s="55" t="s">
        <v>450</v>
      </c>
      <c r="C156" s="52" t="s">
        <v>163</v>
      </c>
      <c r="D156" s="52">
        <v>2</v>
      </c>
      <c r="E156" s="52" t="s">
        <v>229</v>
      </c>
      <c r="F156" s="52" t="s">
        <v>351</v>
      </c>
      <c r="G156" s="55"/>
    </row>
    <row r="157" spans="1:7" x14ac:dyDescent="0.25">
      <c r="A157" s="52">
        <v>149</v>
      </c>
      <c r="B157" s="55" t="s">
        <v>66</v>
      </c>
      <c r="C157" s="52" t="s">
        <v>163</v>
      </c>
      <c r="D157" s="52">
        <v>3</v>
      </c>
      <c r="E157" s="52" t="s">
        <v>229</v>
      </c>
      <c r="F157" s="52" t="s">
        <v>365</v>
      </c>
      <c r="G157" s="55"/>
    </row>
    <row r="158" spans="1:7" x14ac:dyDescent="0.25">
      <c r="A158" s="52">
        <v>150</v>
      </c>
      <c r="B158" s="55" t="s">
        <v>451</v>
      </c>
      <c r="C158" s="52" t="s">
        <v>163</v>
      </c>
      <c r="D158" s="52">
        <v>2</v>
      </c>
      <c r="E158" s="52" t="s">
        <v>229</v>
      </c>
      <c r="F158" s="52" t="s">
        <v>351</v>
      </c>
      <c r="G158" s="55"/>
    </row>
    <row r="159" spans="1:7" x14ac:dyDescent="0.25">
      <c r="A159" s="52">
        <v>151</v>
      </c>
      <c r="B159" s="55" t="s">
        <v>22</v>
      </c>
      <c r="C159" s="52" t="s">
        <v>163</v>
      </c>
      <c r="D159" s="52">
        <v>3</v>
      </c>
      <c r="E159" s="52" t="s">
        <v>229</v>
      </c>
      <c r="F159" s="52" t="s">
        <v>351</v>
      </c>
      <c r="G159" s="55"/>
    </row>
    <row r="160" spans="1:7" x14ac:dyDescent="0.25">
      <c r="A160" s="52">
        <v>152</v>
      </c>
      <c r="B160" s="55" t="s">
        <v>452</v>
      </c>
      <c r="C160" s="52" t="s">
        <v>163</v>
      </c>
      <c r="D160" s="52">
        <v>2</v>
      </c>
      <c r="E160" s="52" t="s">
        <v>229</v>
      </c>
      <c r="F160" s="52" t="s">
        <v>351</v>
      </c>
      <c r="G160" s="55"/>
    </row>
    <row r="161" spans="1:7" x14ac:dyDescent="0.25">
      <c r="A161" s="52">
        <v>153</v>
      </c>
      <c r="B161" s="55" t="s">
        <v>453</v>
      </c>
      <c r="C161" s="52" t="s">
        <v>163</v>
      </c>
      <c r="D161" s="52">
        <v>2</v>
      </c>
      <c r="E161" s="52" t="s">
        <v>229</v>
      </c>
      <c r="F161" s="52" t="s">
        <v>351</v>
      </c>
      <c r="G161" s="55"/>
    </row>
    <row r="162" spans="1:7" x14ac:dyDescent="0.25">
      <c r="A162" s="52">
        <v>154</v>
      </c>
      <c r="B162" s="55" t="s">
        <v>103</v>
      </c>
      <c r="C162" s="52" t="s">
        <v>163</v>
      </c>
      <c r="D162" s="52">
        <v>2</v>
      </c>
      <c r="E162" s="52" t="s">
        <v>229</v>
      </c>
      <c r="F162" s="52" t="s">
        <v>351</v>
      </c>
      <c r="G162" s="55"/>
    </row>
    <row r="163" spans="1:7" x14ac:dyDescent="0.25">
      <c r="A163" s="52">
        <v>155</v>
      </c>
      <c r="B163" s="55" t="s">
        <v>40</v>
      </c>
      <c r="C163" s="52" t="s">
        <v>163</v>
      </c>
      <c r="D163" s="52">
        <v>6</v>
      </c>
      <c r="E163" s="52" t="s">
        <v>229</v>
      </c>
      <c r="F163" s="52" t="s">
        <v>341</v>
      </c>
      <c r="G163" s="55"/>
    </row>
    <row r="164" spans="1:7" x14ac:dyDescent="0.25">
      <c r="A164" s="52">
        <v>156</v>
      </c>
      <c r="B164" s="55" t="s">
        <v>454</v>
      </c>
      <c r="C164" s="52" t="s">
        <v>163</v>
      </c>
      <c r="D164" s="52">
        <v>2</v>
      </c>
      <c r="E164" s="52" t="s">
        <v>229</v>
      </c>
      <c r="F164" s="52" t="s">
        <v>341</v>
      </c>
      <c r="G164" s="55"/>
    </row>
    <row r="165" spans="1:7" x14ac:dyDescent="0.25">
      <c r="A165" s="52">
        <v>157</v>
      </c>
      <c r="B165" s="55" t="s">
        <v>18</v>
      </c>
      <c r="C165" s="52" t="s">
        <v>163</v>
      </c>
      <c r="D165" s="52">
        <v>4</v>
      </c>
      <c r="E165" s="52" t="s">
        <v>229</v>
      </c>
      <c r="F165" s="52" t="s">
        <v>365</v>
      </c>
      <c r="G165" s="55"/>
    </row>
    <row r="166" spans="1:7" x14ac:dyDescent="0.25">
      <c r="A166" s="52">
        <v>158</v>
      </c>
      <c r="B166" s="55" t="s">
        <v>178</v>
      </c>
      <c r="C166" s="52" t="s">
        <v>163</v>
      </c>
      <c r="D166" s="52">
        <v>3</v>
      </c>
      <c r="E166" s="52" t="s">
        <v>229</v>
      </c>
      <c r="F166" s="52" t="s">
        <v>365</v>
      </c>
      <c r="G166" s="55"/>
    </row>
    <row r="167" spans="1:7" x14ac:dyDescent="0.25">
      <c r="A167" s="52">
        <v>159</v>
      </c>
      <c r="B167" s="55" t="s">
        <v>17</v>
      </c>
      <c r="C167" s="52" t="s">
        <v>163</v>
      </c>
      <c r="D167" s="52">
        <v>4</v>
      </c>
      <c r="E167" s="52" t="s">
        <v>229</v>
      </c>
      <c r="F167" s="52" t="s">
        <v>365</v>
      </c>
      <c r="G167" s="55"/>
    </row>
    <row r="168" spans="1:7" x14ac:dyDescent="0.25">
      <c r="A168" s="52">
        <v>160</v>
      </c>
      <c r="B168" s="55" t="s">
        <v>455</v>
      </c>
      <c r="C168" s="52" t="s">
        <v>163</v>
      </c>
      <c r="D168" s="52">
        <v>2</v>
      </c>
      <c r="E168" s="52" t="s">
        <v>229</v>
      </c>
      <c r="F168" s="52" t="s">
        <v>341</v>
      </c>
      <c r="G168" s="55"/>
    </row>
    <row r="169" spans="1:7" x14ac:dyDescent="0.25">
      <c r="A169" s="52">
        <v>161</v>
      </c>
      <c r="B169" s="55" t="s">
        <v>456</v>
      </c>
      <c r="C169" s="52" t="s">
        <v>163</v>
      </c>
      <c r="D169" s="52">
        <v>3</v>
      </c>
      <c r="E169" s="52" t="s">
        <v>229</v>
      </c>
      <c r="F169" s="52" t="s">
        <v>341</v>
      </c>
      <c r="G169" s="55"/>
    </row>
    <row r="170" spans="1:7" x14ac:dyDescent="0.25">
      <c r="A170" s="52">
        <v>162</v>
      </c>
      <c r="B170" s="55" t="s">
        <v>83</v>
      </c>
      <c r="C170" s="52" t="s">
        <v>163</v>
      </c>
      <c r="D170" s="52">
        <v>3</v>
      </c>
      <c r="E170" s="52" t="s">
        <v>229</v>
      </c>
      <c r="F170" s="52" t="s">
        <v>341</v>
      </c>
      <c r="G170" s="55"/>
    </row>
    <row r="171" spans="1:7" x14ac:dyDescent="0.25">
      <c r="A171" s="52">
        <v>163</v>
      </c>
      <c r="B171" s="55" t="s">
        <v>457</v>
      </c>
      <c r="C171" s="52" t="s">
        <v>163</v>
      </c>
      <c r="D171" s="52">
        <v>3</v>
      </c>
      <c r="E171" s="52" t="s">
        <v>229</v>
      </c>
      <c r="F171" s="52" t="s">
        <v>365</v>
      </c>
      <c r="G171" s="55"/>
    </row>
    <row r="172" spans="1:7" x14ac:dyDescent="0.25">
      <c r="A172" s="52">
        <v>164</v>
      </c>
      <c r="B172" s="55" t="s">
        <v>458</v>
      </c>
      <c r="C172" s="52" t="s">
        <v>285</v>
      </c>
      <c r="D172" s="52">
        <v>1</v>
      </c>
      <c r="E172" s="52" t="s">
        <v>229</v>
      </c>
      <c r="F172" s="52" t="s">
        <v>351</v>
      </c>
      <c r="G172" s="55"/>
    </row>
    <row r="173" spans="1:7" x14ac:dyDescent="0.25">
      <c r="A173" s="52">
        <v>165</v>
      </c>
      <c r="B173" s="55" t="s">
        <v>459</v>
      </c>
      <c r="C173" s="52" t="s">
        <v>285</v>
      </c>
      <c r="D173" s="52">
        <v>1</v>
      </c>
      <c r="E173" s="52" t="s">
        <v>229</v>
      </c>
      <c r="F173" s="52" t="s">
        <v>351</v>
      </c>
      <c r="G173" s="55"/>
    </row>
    <row r="174" spans="1:7" x14ac:dyDescent="0.25">
      <c r="A174" s="52">
        <v>166</v>
      </c>
      <c r="B174" s="55" t="s">
        <v>460</v>
      </c>
      <c r="C174" s="52" t="s">
        <v>285</v>
      </c>
      <c r="D174" s="52">
        <v>2</v>
      </c>
      <c r="E174" s="52" t="s">
        <v>229</v>
      </c>
      <c r="F174" s="52" t="s">
        <v>351</v>
      </c>
      <c r="G174" s="55"/>
    </row>
    <row r="175" spans="1:7" x14ac:dyDescent="0.25">
      <c r="A175" s="52">
        <v>167</v>
      </c>
      <c r="B175" s="55" t="s">
        <v>461</v>
      </c>
      <c r="C175" s="52" t="s">
        <v>285</v>
      </c>
      <c r="D175" s="52">
        <v>1</v>
      </c>
      <c r="E175" s="52" t="s">
        <v>229</v>
      </c>
      <c r="F175" s="52" t="s">
        <v>341</v>
      </c>
      <c r="G175" s="55"/>
    </row>
    <row r="176" spans="1:7" x14ac:dyDescent="0.25">
      <c r="A176" s="52">
        <v>168</v>
      </c>
      <c r="B176" s="55" t="s">
        <v>462</v>
      </c>
      <c r="C176" s="52" t="s">
        <v>285</v>
      </c>
      <c r="D176" s="52">
        <v>1</v>
      </c>
      <c r="E176" s="52" t="s">
        <v>229</v>
      </c>
      <c r="F176" s="52" t="s">
        <v>351</v>
      </c>
      <c r="G176" s="55"/>
    </row>
    <row r="177" spans="1:8" x14ac:dyDescent="0.25">
      <c r="A177" s="52">
        <v>169</v>
      </c>
      <c r="B177" s="55" t="s">
        <v>463</v>
      </c>
      <c r="C177" s="52" t="s">
        <v>285</v>
      </c>
      <c r="D177" s="52">
        <v>1</v>
      </c>
      <c r="E177" s="52" t="s">
        <v>229</v>
      </c>
      <c r="F177" s="52" t="s">
        <v>341</v>
      </c>
      <c r="G177" s="55"/>
    </row>
    <row r="178" spans="1:8" x14ac:dyDescent="0.25">
      <c r="A178" s="117" t="s">
        <v>464</v>
      </c>
      <c r="B178" s="117"/>
      <c r="C178" s="55"/>
      <c r="D178" s="51">
        <f>SUM(D9:D177)</f>
        <v>311</v>
      </c>
      <c r="E178" s="55"/>
      <c r="F178" s="55"/>
      <c r="G178" s="55"/>
    </row>
    <row r="179" spans="1:8" x14ac:dyDescent="0.25">
      <c r="A179" s="69"/>
      <c r="B179" s="69"/>
      <c r="C179" s="69"/>
      <c r="D179" s="70"/>
    </row>
    <row r="180" spans="1:8" x14ac:dyDescent="0.25">
      <c r="A180" s="69"/>
      <c r="B180" s="69"/>
      <c r="C180" s="69"/>
      <c r="E180" s="112" t="s">
        <v>191</v>
      </c>
      <c r="F180" s="112"/>
      <c r="G180" s="112"/>
    </row>
    <row r="181" spans="1:8" x14ac:dyDescent="0.25">
      <c r="A181" s="69"/>
      <c r="B181" s="69"/>
      <c r="C181" s="69"/>
      <c r="D181" s="69"/>
      <c r="E181" s="112" t="s">
        <v>465</v>
      </c>
      <c r="F181" s="112"/>
      <c r="G181" s="112"/>
      <c r="H181" s="48"/>
    </row>
    <row r="182" spans="1:8" ht="17.25" x14ac:dyDescent="0.3">
      <c r="A182" s="69"/>
      <c r="B182" s="69"/>
      <c r="C182" s="69"/>
      <c r="D182" s="69"/>
      <c r="E182" s="47"/>
      <c r="H182" s="48"/>
    </row>
    <row r="183" spans="1:8" ht="17.25" x14ac:dyDescent="0.3">
      <c r="A183" s="69"/>
      <c r="B183" s="69"/>
      <c r="C183" s="69"/>
      <c r="D183" s="69"/>
      <c r="E183" s="47"/>
    </row>
    <row r="184" spans="1:8" ht="17.25" x14ac:dyDescent="0.3">
      <c r="A184" s="69"/>
      <c r="B184" s="69"/>
      <c r="C184" s="69"/>
      <c r="D184" s="69"/>
      <c r="E184" s="47"/>
    </row>
    <row r="185" spans="1:8" ht="17.25" x14ac:dyDescent="0.3">
      <c r="A185" s="69"/>
      <c r="B185" s="69"/>
      <c r="C185" s="69"/>
      <c r="D185" s="69"/>
      <c r="E185" s="47"/>
    </row>
    <row r="186" spans="1:8" x14ac:dyDescent="0.25">
      <c r="A186" s="69"/>
      <c r="B186" s="69"/>
      <c r="C186" s="69"/>
      <c r="D186" s="69"/>
      <c r="E186" s="112"/>
      <c r="F186" s="112"/>
      <c r="G186" s="112"/>
    </row>
    <row r="187" spans="1:8" x14ac:dyDescent="0.25">
      <c r="A187" s="69"/>
      <c r="B187" s="69"/>
      <c r="C187" s="69"/>
      <c r="D187" s="69"/>
      <c r="E187" s="69"/>
      <c r="F187" s="69"/>
      <c r="G187" s="69"/>
    </row>
    <row r="188" spans="1:8" x14ac:dyDescent="0.25">
      <c r="A188" s="69"/>
      <c r="B188" s="69"/>
      <c r="C188" s="69"/>
      <c r="D188" s="69"/>
      <c r="E188" s="69"/>
      <c r="F188" s="69"/>
      <c r="G188" s="69"/>
    </row>
    <row r="189" spans="1:8" x14ac:dyDescent="0.25">
      <c r="A189" s="69"/>
      <c r="B189" s="69"/>
      <c r="C189" s="69"/>
      <c r="D189" s="69"/>
      <c r="E189" s="69"/>
      <c r="F189" s="69"/>
      <c r="G189" s="69"/>
    </row>
    <row r="190" spans="1:8" x14ac:dyDescent="0.25">
      <c r="A190" s="69"/>
      <c r="B190" s="69"/>
      <c r="C190" s="69"/>
      <c r="D190" s="69"/>
      <c r="E190" s="69"/>
      <c r="F190" s="69"/>
      <c r="G190" s="69"/>
    </row>
    <row r="191" spans="1:8" x14ac:dyDescent="0.25">
      <c r="A191" s="69"/>
      <c r="B191" s="69"/>
      <c r="C191" s="69"/>
      <c r="D191" s="69"/>
      <c r="E191" s="69"/>
      <c r="F191" s="69"/>
      <c r="G191" s="69"/>
    </row>
    <row r="192" spans="1:8" x14ac:dyDescent="0.25">
      <c r="A192" s="69"/>
      <c r="B192" s="69"/>
      <c r="C192" s="69"/>
      <c r="D192" s="69"/>
      <c r="E192" s="69"/>
      <c r="F192" s="69"/>
      <c r="G192" s="69"/>
    </row>
    <row r="193" spans="1:7" x14ac:dyDescent="0.25">
      <c r="A193" s="69"/>
      <c r="B193" s="69"/>
      <c r="C193" s="69"/>
      <c r="D193" s="69"/>
      <c r="E193" s="69"/>
      <c r="F193" s="69"/>
      <c r="G193" s="69"/>
    </row>
    <row r="194" spans="1:7" x14ac:dyDescent="0.25">
      <c r="A194" s="69"/>
      <c r="B194" s="69"/>
      <c r="C194" s="69"/>
      <c r="D194" s="69"/>
      <c r="E194" s="69"/>
      <c r="F194" s="69"/>
      <c r="G194" s="69"/>
    </row>
    <row r="195" spans="1:7" x14ac:dyDescent="0.25">
      <c r="A195" s="69"/>
      <c r="B195" s="69"/>
      <c r="C195" s="69"/>
      <c r="D195" s="69"/>
      <c r="E195" s="69"/>
      <c r="F195" s="69"/>
      <c r="G195" s="69"/>
    </row>
    <row r="196" spans="1:7" x14ac:dyDescent="0.25">
      <c r="A196" s="69"/>
      <c r="B196" s="69"/>
      <c r="C196" s="69"/>
      <c r="D196" s="69"/>
      <c r="E196" s="69"/>
      <c r="F196" s="69"/>
      <c r="G196" s="69"/>
    </row>
    <row r="197" spans="1:7" x14ac:dyDescent="0.25">
      <c r="A197" s="69"/>
      <c r="B197" s="69"/>
      <c r="C197" s="69"/>
      <c r="D197" s="69"/>
      <c r="E197" s="69"/>
      <c r="F197" s="69"/>
      <c r="G197" s="69"/>
    </row>
    <row r="198" spans="1:7" x14ac:dyDescent="0.25">
      <c r="A198" s="69"/>
      <c r="B198" s="69"/>
      <c r="C198" s="69"/>
      <c r="D198" s="69"/>
      <c r="E198" s="69"/>
      <c r="F198" s="69"/>
      <c r="G198" s="69"/>
    </row>
    <row r="199" spans="1:7" x14ac:dyDescent="0.25">
      <c r="A199" s="69"/>
      <c r="B199" s="69"/>
      <c r="C199" s="69"/>
      <c r="D199" s="69"/>
      <c r="E199" s="69"/>
      <c r="F199" s="69"/>
      <c r="G199" s="69"/>
    </row>
    <row r="200" spans="1:7" x14ac:dyDescent="0.25">
      <c r="A200" s="69"/>
      <c r="B200" s="69"/>
      <c r="C200" s="69"/>
      <c r="D200" s="69"/>
      <c r="E200" s="69"/>
      <c r="F200" s="69"/>
      <c r="G200" s="69"/>
    </row>
    <row r="201" spans="1:7" x14ac:dyDescent="0.25">
      <c r="A201" s="69"/>
      <c r="B201" s="69"/>
      <c r="C201" s="69"/>
      <c r="D201" s="69"/>
      <c r="E201" s="69"/>
      <c r="F201" s="69"/>
      <c r="G201" s="69"/>
    </row>
    <row r="202" spans="1:7" x14ac:dyDescent="0.25">
      <c r="A202" s="69"/>
      <c r="B202" s="69"/>
      <c r="C202" s="69"/>
      <c r="D202" s="69"/>
      <c r="E202" s="69"/>
      <c r="F202" s="69"/>
      <c r="G202" s="69"/>
    </row>
    <row r="203" spans="1:7" x14ac:dyDescent="0.25">
      <c r="A203" s="69"/>
      <c r="B203" s="69"/>
      <c r="C203" s="69"/>
      <c r="D203" s="69"/>
      <c r="E203" s="69"/>
      <c r="F203" s="69"/>
      <c r="G203" s="69"/>
    </row>
    <row r="204" spans="1:7" x14ac:dyDescent="0.25">
      <c r="A204" s="69"/>
      <c r="B204" s="69"/>
      <c r="C204" s="69"/>
      <c r="D204" s="69"/>
      <c r="E204" s="69"/>
      <c r="F204" s="69"/>
      <c r="G204" s="69"/>
    </row>
    <row r="205" spans="1:7" x14ac:dyDescent="0.25">
      <c r="A205" s="69"/>
      <c r="B205" s="69"/>
      <c r="C205" s="69"/>
      <c r="D205" s="69"/>
      <c r="E205" s="69"/>
      <c r="F205" s="69"/>
      <c r="G205" s="69"/>
    </row>
    <row r="206" spans="1:7" x14ac:dyDescent="0.25">
      <c r="A206" s="69"/>
      <c r="B206" s="69"/>
      <c r="C206" s="69"/>
      <c r="D206" s="69"/>
      <c r="E206" s="69"/>
      <c r="F206" s="69"/>
      <c r="G206" s="69"/>
    </row>
    <row r="207" spans="1:7" x14ac:dyDescent="0.25">
      <c r="A207" s="69"/>
      <c r="B207" s="69"/>
      <c r="C207" s="69"/>
      <c r="D207" s="69"/>
      <c r="E207" s="69"/>
      <c r="F207" s="69"/>
      <c r="G207" s="69"/>
    </row>
    <row r="208" spans="1:7" x14ac:dyDescent="0.25">
      <c r="A208" s="69"/>
      <c r="B208" s="69"/>
      <c r="C208" s="69"/>
      <c r="D208" s="69"/>
      <c r="E208" s="69"/>
      <c r="F208" s="69"/>
      <c r="G208" s="69"/>
    </row>
    <row r="209" spans="1:7" x14ac:dyDescent="0.25">
      <c r="A209" s="69"/>
      <c r="B209" s="69"/>
      <c r="C209" s="69"/>
      <c r="D209" s="69"/>
      <c r="E209" s="69"/>
      <c r="F209" s="69"/>
      <c r="G209" s="69"/>
    </row>
    <row r="210" spans="1:7" x14ac:dyDescent="0.25">
      <c r="A210" s="69"/>
      <c r="B210" s="69"/>
      <c r="C210" s="69"/>
      <c r="D210" s="69"/>
      <c r="E210" s="69"/>
      <c r="F210" s="69"/>
      <c r="G210" s="69"/>
    </row>
    <row r="211" spans="1:7" x14ac:dyDescent="0.25">
      <c r="A211" s="69"/>
      <c r="B211" s="69"/>
      <c r="C211" s="69"/>
      <c r="D211" s="69"/>
      <c r="E211" s="69"/>
      <c r="F211" s="69"/>
      <c r="G211" s="69"/>
    </row>
    <row r="212" spans="1:7" x14ac:dyDescent="0.25">
      <c r="A212" s="69"/>
      <c r="B212" s="69"/>
      <c r="C212" s="69"/>
      <c r="D212" s="69"/>
      <c r="E212" s="69"/>
      <c r="F212" s="69"/>
      <c r="G212" s="69"/>
    </row>
    <row r="213" spans="1:7" x14ac:dyDescent="0.25">
      <c r="A213" s="69"/>
      <c r="B213" s="69"/>
      <c r="C213" s="69"/>
      <c r="D213" s="69"/>
      <c r="E213" s="69"/>
      <c r="F213" s="69"/>
      <c r="G213" s="69"/>
    </row>
    <row r="214" spans="1:7" x14ac:dyDescent="0.25">
      <c r="A214" s="69"/>
      <c r="B214" s="69"/>
      <c r="C214" s="69"/>
      <c r="D214" s="69"/>
      <c r="E214" s="69"/>
      <c r="F214" s="69"/>
      <c r="G214" s="69"/>
    </row>
    <row r="215" spans="1:7" x14ac:dyDescent="0.25">
      <c r="A215" s="69"/>
      <c r="B215" s="69"/>
      <c r="C215" s="69"/>
      <c r="D215" s="69"/>
      <c r="E215" s="69"/>
      <c r="F215" s="69"/>
      <c r="G215" s="69"/>
    </row>
    <row r="216" spans="1:7" x14ac:dyDescent="0.25">
      <c r="A216" s="69"/>
      <c r="B216" s="69"/>
      <c r="C216" s="69"/>
      <c r="D216" s="69"/>
      <c r="E216" s="69"/>
      <c r="F216" s="69"/>
      <c r="G216" s="69"/>
    </row>
    <row r="217" spans="1:7" x14ac:dyDescent="0.25">
      <c r="A217" s="69"/>
      <c r="B217" s="69"/>
      <c r="C217" s="69"/>
      <c r="D217" s="69"/>
      <c r="E217" s="69"/>
      <c r="F217" s="69"/>
      <c r="G217" s="69"/>
    </row>
    <row r="218" spans="1:7" x14ac:dyDescent="0.25">
      <c r="A218" s="69"/>
      <c r="B218" s="69"/>
      <c r="C218" s="69"/>
      <c r="D218" s="69"/>
      <c r="E218" s="69"/>
      <c r="F218" s="69"/>
      <c r="G218" s="69"/>
    </row>
    <row r="219" spans="1:7" x14ac:dyDescent="0.25">
      <c r="A219" s="69"/>
      <c r="B219" s="69"/>
      <c r="C219" s="69"/>
      <c r="D219" s="69"/>
      <c r="E219" s="69"/>
      <c r="F219" s="69"/>
      <c r="G219" s="69"/>
    </row>
    <row r="220" spans="1:7" x14ac:dyDescent="0.25">
      <c r="A220" s="69"/>
      <c r="B220" s="69"/>
      <c r="C220" s="69"/>
      <c r="D220" s="69"/>
      <c r="E220" s="69"/>
      <c r="F220" s="69"/>
      <c r="G220" s="69"/>
    </row>
    <row r="221" spans="1:7" x14ac:dyDescent="0.25">
      <c r="A221" s="69"/>
      <c r="B221" s="69"/>
      <c r="C221" s="69"/>
      <c r="D221" s="69"/>
      <c r="E221" s="69"/>
      <c r="F221" s="69"/>
      <c r="G221" s="69"/>
    </row>
    <row r="222" spans="1:7" x14ac:dyDescent="0.25">
      <c r="A222" s="69"/>
      <c r="B222" s="69"/>
      <c r="C222" s="69"/>
      <c r="D222" s="69"/>
      <c r="E222" s="69"/>
      <c r="F222" s="69"/>
      <c r="G222" s="69"/>
    </row>
    <row r="223" spans="1:7" x14ac:dyDescent="0.25">
      <c r="A223" s="69"/>
      <c r="B223" s="69"/>
      <c r="C223" s="69"/>
      <c r="D223" s="69"/>
      <c r="E223" s="69"/>
      <c r="F223" s="69"/>
      <c r="G223" s="69"/>
    </row>
    <row r="224" spans="1:7" x14ac:dyDescent="0.25">
      <c r="A224" s="69"/>
      <c r="B224" s="69"/>
      <c r="C224" s="69"/>
      <c r="D224" s="69"/>
      <c r="E224" s="69"/>
      <c r="F224" s="69"/>
      <c r="G224" s="69"/>
    </row>
    <row r="225" spans="1:7" x14ac:dyDescent="0.25">
      <c r="A225" s="69"/>
      <c r="B225" s="69"/>
      <c r="C225" s="69"/>
      <c r="D225" s="69"/>
      <c r="E225" s="69"/>
      <c r="F225" s="69"/>
      <c r="G225" s="69"/>
    </row>
    <row r="226" spans="1:7" x14ac:dyDescent="0.25">
      <c r="A226" s="69"/>
      <c r="B226" s="69"/>
      <c r="C226" s="69"/>
      <c r="D226" s="69"/>
      <c r="E226" s="69"/>
      <c r="F226" s="69"/>
      <c r="G226" s="69"/>
    </row>
    <row r="227" spans="1:7" x14ac:dyDescent="0.25">
      <c r="A227" s="69"/>
      <c r="B227" s="69"/>
      <c r="C227" s="69"/>
      <c r="D227" s="69"/>
      <c r="E227" s="69"/>
      <c r="F227" s="69"/>
      <c r="G227" s="69"/>
    </row>
    <row r="228" spans="1:7" x14ac:dyDescent="0.25">
      <c r="A228" s="69"/>
      <c r="B228" s="69"/>
      <c r="C228" s="69"/>
      <c r="D228" s="69"/>
      <c r="E228" s="69"/>
      <c r="F228" s="69"/>
      <c r="G228" s="69"/>
    </row>
    <row r="229" spans="1:7" x14ac:dyDescent="0.25">
      <c r="A229" s="69"/>
      <c r="B229" s="69"/>
      <c r="C229" s="69"/>
      <c r="D229" s="69"/>
      <c r="E229" s="69"/>
      <c r="F229" s="69"/>
      <c r="G229" s="69"/>
    </row>
    <row r="230" spans="1:7" x14ac:dyDescent="0.25">
      <c r="A230" s="69"/>
      <c r="B230" s="69"/>
      <c r="C230" s="69"/>
      <c r="D230" s="69"/>
      <c r="E230" s="69"/>
      <c r="F230" s="69"/>
      <c r="G230" s="69"/>
    </row>
    <row r="231" spans="1:7" x14ac:dyDescent="0.25">
      <c r="A231" s="69"/>
      <c r="B231" s="69"/>
      <c r="C231" s="69"/>
      <c r="D231" s="69"/>
      <c r="E231" s="69"/>
      <c r="F231" s="69"/>
      <c r="G231" s="69"/>
    </row>
  </sheetData>
  <mergeCells count="12">
    <mergeCell ref="E186:G186"/>
    <mergeCell ref="A1:B1"/>
    <mergeCell ref="C1:G1"/>
    <mergeCell ref="A2:B2"/>
    <mergeCell ref="C2:G2"/>
    <mergeCell ref="A4:B4"/>
    <mergeCell ref="C4:G4"/>
    <mergeCell ref="A6:G6"/>
    <mergeCell ref="A7:G7"/>
    <mergeCell ref="A178:B178"/>
    <mergeCell ref="E180:G180"/>
    <mergeCell ref="E181:G181"/>
  </mergeCells>
  <pageMargins left="0.25" right="0.25" top="0.75" bottom="0.75" header="0.3" footer="0.3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172"/>
  <sheetViews>
    <sheetView topLeftCell="A21" workbookViewId="0">
      <selection activeCell="B21" sqref="B21"/>
    </sheetView>
  </sheetViews>
  <sheetFormatPr defaultRowHeight="15" x14ac:dyDescent="0.25"/>
  <cols>
    <col min="1" max="1" width="5" style="102" bestFit="1" customWidth="1"/>
    <col min="2" max="2" width="17" style="102" bestFit="1" customWidth="1"/>
    <col min="3" max="3" width="15.7109375" style="102" bestFit="1" customWidth="1"/>
    <col min="4" max="4" width="5.7109375" style="102" bestFit="1" customWidth="1"/>
    <col min="5" max="5" width="8" style="102" bestFit="1" customWidth="1"/>
    <col min="6" max="6" width="9.42578125" style="102" bestFit="1" customWidth="1"/>
    <col min="7" max="7" width="13.28515625" style="102" bestFit="1" customWidth="1"/>
    <col min="8" max="8" width="17.28515625" style="102" bestFit="1" customWidth="1"/>
    <col min="9" max="9" width="23.7109375" style="102" customWidth="1"/>
    <col min="10" max="10" width="19.85546875" style="102" bestFit="1" customWidth="1"/>
    <col min="11" max="11" width="16.7109375" style="102" customWidth="1"/>
    <col min="12" max="12" width="11.85546875" style="102" bestFit="1" customWidth="1"/>
    <col min="13" max="13" width="28.42578125" style="102" bestFit="1" customWidth="1"/>
    <col min="14" max="14" width="9.140625" style="102" customWidth="1"/>
    <col min="15" max="15" width="26.7109375" style="102" customWidth="1"/>
    <col min="16" max="16" width="9.140625" style="102" customWidth="1"/>
    <col min="17" max="17" width="25" style="102" customWidth="1"/>
    <col min="18" max="18" width="21.5703125" style="102" bestFit="1" customWidth="1"/>
    <col min="19" max="16384" width="9.140625" style="102"/>
  </cols>
  <sheetData>
    <row r="1" spans="1:18" s="103" customFormat="1" ht="14.25" x14ac:dyDescent="0.25">
      <c r="A1" s="103" t="s">
        <v>149</v>
      </c>
      <c r="B1" s="103" t="s">
        <v>623</v>
      </c>
      <c r="C1" s="103" t="s">
        <v>562</v>
      </c>
      <c r="D1" s="103" t="s">
        <v>0</v>
      </c>
      <c r="E1" s="103" t="s">
        <v>1</v>
      </c>
      <c r="F1" s="103" t="s">
        <v>3</v>
      </c>
      <c r="G1" s="103" t="s">
        <v>7</v>
      </c>
      <c r="H1" s="103" t="s">
        <v>602</v>
      </c>
      <c r="I1" s="103" t="s">
        <v>599</v>
      </c>
      <c r="J1" s="103" t="s">
        <v>614</v>
      </c>
      <c r="K1" s="103" t="s">
        <v>466</v>
      </c>
      <c r="L1" s="103" t="s">
        <v>328</v>
      </c>
      <c r="M1" s="103" t="s">
        <v>467</v>
      </c>
      <c r="N1" s="103" t="s">
        <v>601</v>
      </c>
      <c r="O1" s="103" t="s">
        <v>468</v>
      </c>
      <c r="P1" s="103" t="s">
        <v>600</v>
      </c>
      <c r="Q1" s="103" t="s">
        <v>469</v>
      </c>
      <c r="R1" s="103" t="s">
        <v>561</v>
      </c>
    </row>
    <row r="2" spans="1:18" x14ac:dyDescent="0.25">
      <c r="A2" s="102">
        <v>133</v>
      </c>
      <c r="B2" s="102" t="s">
        <v>84</v>
      </c>
      <c r="C2" s="102" t="s">
        <v>407</v>
      </c>
      <c r="D2" s="102">
        <v>21</v>
      </c>
      <c r="E2" s="102">
        <v>163</v>
      </c>
      <c r="F2" s="102">
        <v>10831</v>
      </c>
      <c r="G2" s="102" t="s">
        <v>11</v>
      </c>
      <c r="H2" s="102" t="s">
        <v>10</v>
      </c>
      <c r="I2" s="102" t="s">
        <v>10</v>
      </c>
      <c r="J2" s="102" t="s">
        <v>407</v>
      </c>
      <c r="K2" s="102" t="s">
        <v>10</v>
      </c>
      <c r="L2" s="102" t="s">
        <v>10</v>
      </c>
      <c r="M2" s="102" t="s">
        <v>10</v>
      </c>
      <c r="N2" s="102" t="s">
        <v>10</v>
      </c>
      <c r="O2" s="102" t="s">
        <v>10</v>
      </c>
      <c r="P2" s="102" t="s">
        <v>10</v>
      </c>
      <c r="Q2" s="102" t="s">
        <v>10</v>
      </c>
      <c r="R2" s="102" t="s">
        <v>407</v>
      </c>
    </row>
    <row r="3" spans="1:18" x14ac:dyDescent="0.25">
      <c r="A3" s="102">
        <v>135</v>
      </c>
      <c r="B3" s="102" t="s">
        <v>84</v>
      </c>
      <c r="C3" s="102" t="s">
        <v>407</v>
      </c>
      <c r="D3" s="102">
        <v>21</v>
      </c>
      <c r="E3" s="102">
        <v>165</v>
      </c>
      <c r="F3" s="102">
        <v>3672</v>
      </c>
      <c r="G3" s="102" t="s">
        <v>11</v>
      </c>
      <c r="H3" s="102" t="s">
        <v>10</v>
      </c>
      <c r="I3" s="102" t="s">
        <v>10</v>
      </c>
      <c r="J3" s="102" t="s">
        <v>407</v>
      </c>
      <c r="K3" s="102" t="s">
        <v>10</v>
      </c>
      <c r="L3" s="102" t="s">
        <v>407</v>
      </c>
      <c r="M3" s="102" t="s">
        <v>617</v>
      </c>
      <c r="N3" s="102" t="s">
        <v>407</v>
      </c>
      <c r="O3" s="102" t="s">
        <v>617</v>
      </c>
      <c r="P3" s="102" t="s">
        <v>10</v>
      </c>
      <c r="Q3" s="102" t="s">
        <v>10</v>
      </c>
      <c r="R3" s="102" t="s">
        <v>10</v>
      </c>
    </row>
    <row r="4" spans="1:18" x14ac:dyDescent="0.25">
      <c r="A4" s="102">
        <v>228</v>
      </c>
      <c r="B4" s="102" t="s">
        <v>139</v>
      </c>
      <c r="C4" s="102" t="s">
        <v>407</v>
      </c>
      <c r="D4" s="102">
        <v>21</v>
      </c>
      <c r="E4" s="102">
        <v>240</v>
      </c>
      <c r="F4" s="102">
        <v>10971</v>
      </c>
      <c r="G4" s="102" t="s">
        <v>11</v>
      </c>
      <c r="H4" s="102" t="s">
        <v>10</v>
      </c>
      <c r="I4" s="102" t="s">
        <v>10</v>
      </c>
      <c r="J4" s="102" t="s">
        <v>407</v>
      </c>
      <c r="K4" s="102" t="s">
        <v>10</v>
      </c>
      <c r="L4" s="102" t="s">
        <v>10</v>
      </c>
      <c r="M4" s="102" t="s">
        <v>10</v>
      </c>
      <c r="N4" s="102" t="s">
        <v>10</v>
      </c>
      <c r="O4" s="102" t="s">
        <v>10</v>
      </c>
      <c r="P4" s="102" t="s">
        <v>10</v>
      </c>
      <c r="Q4" s="102" t="s">
        <v>10</v>
      </c>
      <c r="R4" s="102" t="s">
        <v>10</v>
      </c>
    </row>
    <row r="5" spans="1:18" x14ac:dyDescent="0.25">
      <c r="A5" s="102">
        <v>16</v>
      </c>
      <c r="B5" s="102" t="s">
        <v>21</v>
      </c>
      <c r="C5" s="102" t="s">
        <v>164</v>
      </c>
      <c r="D5" s="102">
        <v>1</v>
      </c>
      <c r="E5" s="102">
        <v>88</v>
      </c>
      <c r="F5" s="102">
        <v>6895</v>
      </c>
      <c r="G5" s="102" t="s">
        <v>11</v>
      </c>
      <c r="H5" s="102" t="s">
        <v>10</v>
      </c>
      <c r="I5" s="102" t="s">
        <v>10</v>
      </c>
      <c r="J5" s="102" t="s">
        <v>164</v>
      </c>
      <c r="K5" s="102" t="s">
        <v>164</v>
      </c>
      <c r="L5" s="102" t="s">
        <v>10</v>
      </c>
      <c r="M5" s="102" t="s">
        <v>10</v>
      </c>
      <c r="N5" s="102" t="s">
        <v>10</v>
      </c>
      <c r="O5" s="102" t="s">
        <v>10</v>
      </c>
      <c r="P5" s="102" t="s">
        <v>10</v>
      </c>
      <c r="Q5" s="102" t="s">
        <v>10</v>
      </c>
      <c r="R5" s="102" t="s">
        <v>164</v>
      </c>
    </row>
    <row r="6" spans="1:18" x14ac:dyDescent="0.25">
      <c r="A6" s="102">
        <v>232</v>
      </c>
      <c r="B6" s="102" t="s">
        <v>142</v>
      </c>
      <c r="C6" s="102" t="s">
        <v>164</v>
      </c>
      <c r="D6" s="102">
        <v>21</v>
      </c>
      <c r="E6" s="102">
        <v>243</v>
      </c>
      <c r="F6" s="102">
        <v>9126</v>
      </c>
      <c r="G6" s="102" t="s">
        <v>11</v>
      </c>
      <c r="H6" s="102" t="s">
        <v>10</v>
      </c>
      <c r="I6" s="102" t="s">
        <v>10</v>
      </c>
      <c r="J6" s="102" t="s">
        <v>164</v>
      </c>
      <c r="K6" s="102" t="s">
        <v>10</v>
      </c>
      <c r="L6" s="102" t="s">
        <v>10</v>
      </c>
      <c r="M6" s="102" t="s">
        <v>10</v>
      </c>
      <c r="N6" s="102" t="s">
        <v>10</v>
      </c>
      <c r="O6" s="102" t="s">
        <v>10</v>
      </c>
      <c r="P6" s="102" t="s">
        <v>10</v>
      </c>
      <c r="Q6" s="102" t="s">
        <v>10</v>
      </c>
      <c r="R6" s="102" t="s">
        <v>10</v>
      </c>
    </row>
    <row r="7" spans="1:18" x14ac:dyDescent="0.25">
      <c r="A7" s="102">
        <v>170</v>
      </c>
      <c r="B7" s="102" t="s">
        <v>101</v>
      </c>
      <c r="C7" s="102" t="s">
        <v>195</v>
      </c>
      <c r="D7" s="102">
        <v>16</v>
      </c>
      <c r="E7" s="102">
        <v>47</v>
      </c>
      <c r="F7" s="102">
        <v>3989</v>
      </c>
      <c r="G7" s="102" t="s">
        <v>11</v>
      </c>
      <c r="H7" s="102" t="s">
        <v>10</v>
      </c>
      <c r="I7" s="102" t="s">
        <v>10</v>
      </c>
      <c r="J7" s="102" t="s">
        <v>195</v>
      </c>
      <c r="K7" s="102" t="s">
        <v>10</v>
      </c>
      <c r="L7" s="102" t="s">
        <v>10</v>
      </c>
      <c r="M7" s="102" t="s">
        <v>10</v>
      </c>
      <c r="N7" s="102" t="s">
        <v>10</v>
      </c>
      <c r="O7" s="102" t="s">
        <v>10</v>
      </c>
      <c r="P7" s="102" t="s">
        <v>10</v>
      </c>
      <c r="Q7" s="102" t="s">
        <v>10</v>
      </c>
      <c r="R7" s="102" t="s">
        <v>475</v>
      </c>
    </row>
    <row r="8" spans="1:18" x14ac:dyDescent="0.25">
      <c r="A8" s="102">
        <v>67</v>
      </c>
      <c r="B8" s="102" t="s">
        <v>50</v>
      </c>
      <c r="C8" s="102" t="s">
        <v>216</v>
      </c>
      <c r="D8" s="102">
        <v>21</v>
      </c>
      <c r="E8" s="102">
        <v>106</v>
      </c>
      <c r="F8" s="102">
        <v>7931</v>
      </c>
      <c r="G8" s="102" t="s">
        <v>11</v>
      </c>
      <c r="H8" s="102" t="s">
        <v>10</v>
      </c>
      <c r="I8" s="102" t="s">
        <v>10</v>
      </c>
      <c r="J8" s="102" t="s">
        <v>216</v>
      </c>
      <c r="K8" s="102" t="s">
        <v>173</v>
      </c>
      <c r="L8" s="102" t="s">
        <v>10</v>
      </c>
      <c r="M8" s="102" t="s">
        <v>10</v>
      </c>
      <c r="N8" s="102" t="s">
        <v>10</v>
      </c>
      <c r="O8" s="102" t="s">
        <v>10</v>
      </c>
      <c r="P8" s="102" t="s">
        <v>10</v>
      </c>
      <c r="Q8" s="102" t="s">
        <v>10</v>
      </c>
      <c r="R8" s="102" t="s">
        <v>10</v>
      </c>
    </row>
    <row r="9" spans="1:18" x14ac:dyDescent="0.25">
      <c r="A9" s="102">
        <v>165</v>
      </c>
      <c r="B9" s="102" t="s">
        <v>613</v>
      </c>
      <c r="C9" s="102" t="s">
        <v>216</v>
      </c>
      <c r="D9" s="102">
        <v>21</v>
      </c>
      <c r="E9" s="102">
        <v>195</v>
      </c>
      <c r="F9" s="102">
        <v>10616</v>
      </c>
      <c r="G9" s="102" t="s">
        <v>11</v>
      </c>
      <c r="H9" s="102" t="s">
        <v>10</v>
      </c>
      <c r="I9" s="102" t="s">
        <v>10</v>
      </c>
      <c r="J9" s="102" t="s">
        <v>216</v>
      </c>
      <c r="K9" s="102" t="s">
        <v>163</v>
      </c>
      <c r="L9" s="102" t="s">
        <v>10</v>
      </c>
      <c r="M9" s="102" t="s">
        <v>10</v>
      </c>
      <c r="N9" s="102" t="s">
        <v>10</v>
      </c>
      <c r="O9" s="102" t="s">
        <v>10</v>
      </c>
      <c r="P9" s="102" t="s">
        <v>10</v>
      </c>
      <c r="Q9" s="102" t="s">
        <v>10</v>
      </c>
      <c r="R9" s="102" t="s">
        <v>10</v>
      </c>
    </row>
    <row r="10" spans="1:18" x14ac:dyDescent="0.25">
      <c r="A10" s="102">
        <v>167</v>
      </c>
      <c r="B10" s="102" t="s">
        <v>613</v>
      </c>
      <c r="C10" s="102" t="s">
        <v>216</v>
      </c>
      <c r="D10" s="102">
        <v>8</v>
      </c>
      <c r="E10" s="102">
        <v>83</v>
      </c>
      <c r="F10" s="102">
        <v>3693</v>
      </c>
      <c r="G10" s="102" t="s">
        <v>11</v>
      </c>
      <c r="H10" s="102" t="s">
        <v>10</v>
      </c>
      <c r="I10" s="102" t="s">
        <v>10</v>
      </c>
      <c r="J10" s="102" t="s">
        <v>216</v>
      </c>
      <c r="K10" s="102" t="s">
        <v>163</v>
      </c>
      <c r="L10" s="102" t="s">
        <v>10</v>
      </c>
      <c r="M10" s="102" t="s">
        <v>10</v>
      </c>
      <c r="N10" s="102" t="s">
        <v>10</v>
      </c>
      <c r="O10" s="102" t="s">
        <v>10</v>
      </c>
      <c r="P10" s="102" t="s">
        <v>10</v>
      </c>
      <c r="Q10" s="102" t="s">
        <v>10</v>
      </c>
      <c r="R10" s="102" t="s">
        <v>10</v>
      </c>
    </row>
    <row r="11" spans="1:18" x14ac:dyDescent="0.25">
      <c r="A11" s="102">
        <v>46</v>
      </c>
      <c r="B11" s="102" t="s">
        <v>38</v>
      </c>
      <c r="C11" s="102" t="s">
        <v>216</v>
      </c>
      <c r="D11" s="102">
        <v>29</v>
      </c>
      <c r="E11" s="102">
        <v>40</v>
      </c>
      <c r="F11" s="102">
        <v>5918</v>
      </c>
      <c r="G11" s="102" t="s">
        <v>11</v>
      </c>
      <c r="H11" s="102" t="s">
        <v>10</v>
      </c>
      <c r="I11" s="102" t="s">
        <v>10</v>
      </c>
      <c r="J11" s="102" t="s">
        <v>216</v>
      </c>
      <c r="K11" s="102" t="s">
        <v>10</v>
      </c>
      <c r="L11" s="102" t="s">
        <v>10</v>
      </c>
      <c r="M11" s="102" t="s">
        <v>10</v>
      </c>
      <c r="N11" s="102" t="s">
        <v>10</v>
      </c>
      <c r="O11" s="102" t="s">
        <v>10</v>
      </c>
      <c r="P11" s="102" t="s">
        <v>10</v>
      </c>
      <c r="Q11" s="102" t="s">
        <v>10</v>
      </c>
      <c r="R11" s="102" t="s">
        <v>216</v>
      </c>
    </row>
    <row r="12" spans="1:18" x14ac:dyDescent="0.25">
      <c r="A12" s="102">
        <v>85</v>
      </c>
      <c r="B12" s="102" t="s">
        <v>59</v>
      </c>
      <c r="C12" s="102" t="s">
        <v>216</v>
      </c>
      <c r="D12" s="102">
        <v>7</v>
      </c>
      <c r="E12" s="102">
        <v>32</v>
      </c>
      <c r="F12" s="102">
        <v>3136</v>
      </c>
      <c r="G12" s="102" t="s">
        <v>11</v>
      </c>
      <c r="H12" s="102" t="s">
        <v>10</v>
      </c>
      <c r="I12" s="102" t="s">
        <v>10</v>
      </c>
      <c r="J12" s="102" t="s">
        <v>216</v>
      </c>
      <c r="K12" s="102" t="s">
        <v>10</v>
      </c>
      <c r="L12" s="102" t="s">
        <v>10</v>
      </c>
      <c r="M12" s="102" t="s">
        <v>10</v>
      </c>
      <c r="N12" s="102" t="s">
        <v>10</v>
      </c>
      <c r="O12" s="102" t="s">
        <v>10</v>
      </c>
      <c r="P12" s="102" t="s">
        <v>10</v>
      </c>
      <c r="Q12" s="102" t="s">
        <v>10</v>
      </c>
      <c r="R12" s="102" t="s">
        <v>216</v>
      </c>
    </row>
    <row r="13" spans="1:18" x14ac:dyDescent="0.25">
      <c r="A13" s="102">
        <v>93</v>
      </c>
      <c r="B13" s="102" t="s">
        <v>63</v>
      </c>
      <c r="C13" s="102" t="s">
        <v>307</v>
      </c>
      <c r="D13" s="102">
        <v>1</v>
      </c>
      <c r="E13" s="102">
        <v>204</v>
      </c>
      <c r="F13" s="102">
        <v>4276</v>
      </c>
      <c r="G13" s="102" t="s">
        <v>11</v>
      </c>
      <c r="H13" s="102" t="s">
        <v>10</v>
      </c>
      <c r="I13" s="102" t="s">
        <v>10</v>
      </c>
      <c r="J13" s="102" t="s">
        <v>307</v>
      </c>
      <c r="K13" s="102" t="s">
        <v>10</v>
      </c>
      <c r="L13" s="102" t="s">
        <v>10</v>
      </c>
      <c r="M13" s="102" t="s">
        <v>10</v>
      </c>
      <c r="N13" s="102" t="s">
        <v>10</v>
      </c>
      <c r="O13" s="102" t="s">
        <v>10</v>
      </c>
      <c r="P13" s="102" t="s">
        <v>10</v>
      </c>
      <c r="Q13" s="102" t="s">
        <v>10</v>
      </c>
      <c r="R13" s="102" t="s">
        <v>164</v>
      </c>
    </row>
    <row r="14" spans="1:18" x14ac:dyDescent="0.25">
      <c r="A14" s="102">
        <v>117</v>
      </c>
      <c r="B14" s="102" t="s">
        <v>77</v>
      </c>
      <c r="C14" s="102" t="s">
        <v>307</v>
      </c>
      <c r="D14" s="102">
        <v>8</v>
      </c>
      <c r="E14" s="102">
        <v>244</v>
      </c>
      <c r="F14" s="102">
        <v>5208</v>
      </c>
      <c r="G14" s="102" t="s">
        <v>11</v>
      </c>
      <c r="H14" s="102" t="s">
        <v>10</v>
      </c>
      <c r="I14" s="102" t="s">
        <v>10</v>
      </c>
      <c r="J14" s="102" t="s">
        <v>307</v>
      </c>
      <c r="K14" s="102" t="s">
        <v>10</v>
      </c>
      <c r="L14" s="102" t="s">
        <v>164</v>
      </c>
      <c r="M14" s="102" t="s">
        <v>617</v>
      </c>
      <c r="N14" s="102" t="s">
        <v>164</v>
      </c>
      <c r="O14" s="102" t="s">
        <v>617</v>
      </c>
      <c r="P14" s="102" t="s">
        <v>10</v>
      </c>
      <c r="Q14" s="102" t="s">
        <v>10</v>
      </c>
      <c r="R14" s="102" t="s">
        <v>10</v>
      </c>
    </row>
    <row r="15" spans="1:18" x14ac:dyDescent="0.25">
      <c r="A15" s="102">
        <v>23</v>
      </c>
      <c r="B15" s="102" t="s">
        <v>25</v>
      </c>
      <c r="C15" s="102" t="s">
        <v>171</v>
      </c>
      <c r="D15" s="102">
        <v>21</v>
      </c>
      <c r="E15" s="102">
        <v>74</v>
      </c>
      <c r="F15" s="102">
        <v>13882</v>
      </c>
      <c r="G15" s="102" t="s">
        <v>11</v>
      </c>
      <c r="H15" s="102" t="s">
        <v>10</v>
      </c>
      <c r="I15" s="102" t="s">
        <v>10</v>
      </c>
      <c r="J15" s="102" t="s">
        <v>171</v>
      </c>
      <c r="K15" s="102" t="s">
        <v>10</v>
      </c>
      <c r="L15" s="102" t="s">
        <v>171</v>
      </c>
      <c r="M15" s="102" t="s">
        <v>617</v>
      </c>
      <c r="N15" s="102" t="s">
        <v>171</v>
      </c>
      <c r="O15" s="102" t="s">
        <v>617</v>
      </c>
      <c r="P15" s="102" t="s">
        <v>10</v>
      </c>
      <c r="Q15" s="102" t="s">
        <v>10</v>
      </c>
      <c r="R15" s="102" t="s">
        <v>407</v>
      </c>
    </row>
    <row r="16" spans="1:18" x14ac:dyDescent="0.25">
      <c r="A16" s="102">
        <v>139</v>
      </c>
      <c r="B16" s="102" t="s">
        <v>86</v>
      </c>
      <c r="C16" s="102" t="s">
        <v>285</v>
      </c>
      <c r="D16" s="102">
        <v>21</v>
      </c>
      <c r="E16" s="102">
        <v>169</v>
      </c>
      <c r="F16" s="102">
        <v>14540</v>
      </c>
      <c r="G16" s="102" t="s">
        <v>11</v>
      </c>
      <c r="H16" s="102" t="s">
        <v>10</v>
      </c>
      <c r="I16" s="102" t="s">
        <v>10</v>
      </c>
      <c r="J16" s="102" t="s">
        <v>285</v>
      </c>
      <c r="K16" s="102" t="s">
        <v>10</v>
      </c>
      <c r="L16" s="102" t="s">
        <v>10</v>
      </c>
      <c r="M16" s="102" t="s">
        <v>10</v>
      </c>
      <c r="N16" s="102" t="s">
        <v>10</v>
      </c>
      <c r="O16" s="102" t="s">
        <v>10</v>
      </c>
      <c r="P16" s="102" t="s">
        <v>10</v>
      </c>
      <c r="Q16" s="102" t="s">
        <v>10</v>
      </c>
      <c r="R16" s="102" t="s">
        <v>10</v>
      </c>
    </row>
    <row r="17" spans="1:18" x14ac:dyDescent="0.25">
      <c r="A17" s="102">
        <v>181</v>
      </c>
      <c r="B17" s="102" t="s">
        <v>109</v>
      </c>
      <c r="C17" s="102" t="s">
        <v>285</v>
      </c>
      <c r="D17" s="102">
        <v>21</v>
      </c>
      <c r="E17" s="102">
        <v>205</v>
      </c>
      <c r="F17" s="102">
        <v>11493</v>
      </c>
      <c r="G17" s="102" t="s">
        <v>11</v>
      </c>
      <c r="H17" s="102" t="s">
        <v>10</v>
      </c>
      <c r="I17" s="102" t="s">
        <v>10</v>
      </c>
      <c r="J17" s="102" t="s">
        <v>285</v>
      </c>
      <c r="K17" s="102" t="s">
        <v>10</v>
      </c>
      <c r="L17" s="102" t="s">
        <v>10</v>
      </c>
      <c r="M17" s="102" t="s">
        <v>10</v>
      </c>
      <c r="N17" s="102" t="s">
        <v>10</v>
      </c>
      <c r="O17" s="102" t="s">
        <v>10</v>
      </c>
      <c r="P17" s="102" t="s">
        <v>10</v>
      </c>
      <c r="Q17" s="102" t="s">
        <v>10</v>
      </c>
      <c r="R17" s="102" t="s">
        <v>541</v>
      </c>
    </row>
    <row r="18" spans="1:18" x14ac:dyDescent="0.25">
      <c r="A18" s="102">
        <v>148</v>
      </c>
      <c r="B18" s="102" t="s">
        <v>90</v>
      </c>
      <c r="C18" s="102" t="s">
        <v>163</v>
      </c>
      <c r="D18" s="102">
        <v>21</v>
      </c>
      <c r="E18" s="102">
        <v>178</v>
      </c>
      <c r="F18" s="102">
        <v>6472</v>
      </c>
      <c r="G18" s="102" t="s">
        <v>11</v>
      </c>
      <c r="H18" s="102" t="s">
        <v>10</v>
      </c>
      <c r="I18" s="102" t="s">
        <v>10</v>
      </c>
      <c r="J18" s="102" t="s">
        <v>163</v>
      </c>
      <c r="K18" s="102" t="s">
        <v>10</v>
      </c>
      <c r="L18" s="102" t="s">
        <v>176</v>
      </c>
      <c r="M18" s="102" t="s">
        <v>618</v>
      </c>
      <c r="N18" s="102" t="s">
        <v>176</v>
      </c>
      <c r="O18" s="102" t="s">
        <v>618</v>
      </c>
      <c r="P18" s="102" t="s">
        <v>10</v>
      </c>
      <c r="Q18" s="102" t="s">
        <v>10</v>
      </c>
      <c r="R18" s="102" t="s">
        <v>10</v>
      </c>
    </row>
    <row r="19" spans="1:18" x14ac:dyDescent="0.25">
      <c r="A19" s="102">
        <v>149</v>
      </c>
      <c r="B19" s="102" t="s">
        <v>90</v>
      </c>
      <c r="C19" s="102" t="s">
        <v>163</v>
      </c>
      <c r="D19" s="102">
        <v>21</v>
      </c>
      <c r="E19" s="102">
        <v>179</v>
      </c>
      <c r="F19" s="102">
        <v>10813</v>
      </c>
      <c r="G19" s="102" t="s">
        <v>11</v>
      </c>
      <c r="H19" s="102" t="s">
        <v>10</v>
      </c>
      <c r="I19" s="102" t="s">
        <v>10</v>
      </c>
      <c r="J19" s="102" t="s">
        <v>163</v>
      </c>
      <c r="K19" s="102" t="s">
        <v>10</v>
      </c>
      <c r="L19" s="102" t="s">
        <v>176</v>
      </c>
      <c r="M19" s="102" t="s">
        <v>619</v>
      </c>
      <c r="N19" s="102" t="s">
        <v>176</v>
      </c>
      <c r="O19" s="102" t="s">
        <v>619</v>
      </c>
      <c r="P19" s="102" t="s">
        <v>10</v>
      </c>
      <c r="Q19" s="102" t="s">
        <v>10</v>
      </c>
      <c r="R19" s="102" t="s">
        <v>10</v>
      </c>
    </row>
    <row r="20" spans="1:18" x14ac:dyDescent="0.25">
      <c r="A20" s="102">
        <v>150</v>
      </c>
      <c r="B20" s="102" t="s">
        <v>90</v>
      </c>
      <c r="C20" s="102" t="s">
        <v>163</v>
      </c>
      <c r="D20" s="102">
        <v>21</v>
      </c>
      <c r="E20" s="102">
        <v>180</v>
      </c>
      <c r="F20" s="102">
        <v>7786</v>
      </c>
      <c r="G20" s="102" t="s">
        <v>11</v>
      </c>
      <c r="H20" s="102" t="s">
        <v>10</v>
      </c>
      <c r="I20" s="102" t="s">
        <v>10</v>
      </c>
      <c r="J20" s="102" t="s">
        <v>163</v>
      </c>
      <c r="K20" s="102" t="s">
        <v>10</v>
      </c>
      <c r="L20" s="102" t="s">
        <v>10</v>
      </c>
      <c r="M20" s="102" t="s">
        <v>10</v>
      </c>
      <c r="N20" s="102" t="s">
        <v>10</v>
      </c>
      <c r="O20" s="102" t="s">
        <v>10</v>
      </c>
      <c r="P20" s="102" t="s">
        <v>10</v>
      </c>
      <c r="Q20" s="102" t="s">
        <v>10</v>
      </c>
      <c r="R20" s="102" t="s">
        <v>10</v>
      </c>
    </row>
    <row r="21" spans="1:18" x14ac:dyDescent="0.25">
      <c r="A21" s="102">
        <v>191</v>
      </c>
      <c r="B21" s="102" t="s">
        <v>115</v>
      </c>
      <c r="C21" s="102" t="s">
        <v>163</v>
      </c>
      <c r="D21" s="102">
        <v>21</v>
      </c>
      <c r="E21" s="102">
        <v>216</v>
      </c>
      <c r="F21" s="102">
        <v>16737</v>
      </c>
      <c r="G21" s="102" t="s">
        <v>11</v>
      </c>
      <c r="H21" s="102" t="s">
        <v>10</v>
      </c>
      <c r="I21" s="102" t="s">
        <v>10</v>
      </c>
      <c r="J21" s="102" t="s">
        <v>163</v>
      </c>
      <c r="K21" s="102" t="s">
        <v>10</v>
      </c>
      <c r="L21" s="102" t="s">
        <v>10</v>
      </c>
      <c r="M21" s="102" t="s">
        <v>10</v>
      </c>
      <c r="N21" s="102" t="s">
        <v>10</v>
      </c>
      <c r="O21" s="102" t="s">
        <v>10</v>
      </c>
      <c r="P21" s="102" t="s">
        <v>10</v>
      </c>
      <c r="Q21" s="102" t="s">
        <v>10</v>
      </c>
      <c r="R21" s="102" t="s">
        <v>10</v>
      </c>
    </row>
    <row r="22" spans="1:18" x14ac:dyDescent="0.25">
      <c r="A22" s="102">
        <v>63</v>
      </c>
      <c r="B22" s="102" t="s">
        <v>48</v>
      </c>
      <c r="C22" s="102" t="s">
        <v>323</v>
      </c>
      <c r="D22" s="102">
        <v>3</v>
      </c>
      <c r="E22" s="102">
        <v>2</v>
      </c>
      <c r="F22" s="102">
        <v>3777</v>
      </c>
      <c r="G22" s="102" t="s">
        <v>11</v>
      </c>
      <c r="H22" s="102" t="s">
        <v>10</v>
      </c>
      <c r="I22" s="102" t="s">
        <v>10</v>
      </c>
      <c r="J22" s="102" t="s">
        <v>323</v>
      </c>
      <c r="K22" s="102" t="s">
        <v>164</v>
      </c>
      <c r="L22" s="102" t="s">
        <v>10</v>
      </c>
      <c r="M22" s="102" t="s">
        <v>10</v>
      </c>
      <c r="N22" s="102" t="s">
        <v>10</v>
      </c>
      <c r="O22" s="102" t="s">
        <v>10</v>
      </c>
      <c r="P22" s="102" t="s">
        <v>10</v>
      </c>
      <c r="Q22" s="102" t="s">
        <v>10</v>
      </c>
      <c r="R22" s="102" t="s">
        <v>164</v>
      </c>
    </row>
    <row r="23" spans="1:18" x14ac:dyDescent="0.25">
      <c r="A23" s="102">
        <v>205</v>
      </c>
      <c r="B23" s="102" t="s">
        <v>122</v>
      </c>
      <c r="C23" s="102" t="s">
        <v>323</v>
      </c>
      <c r="D23" s="102">
        <v>21</v>
      </c>
      <c r="E23" s="102">
        <v>226</v>
      </c>
      <c r="F23" s="102">
        <v>6911</v>
      </c>
      <c r="G23" s="102" t="s">
        <v>11</v>
      </c>
      <c r="H23" s="102" t="s">
        <v>10</v>
      </c>
      <c r="I23" s="102" t="s">
        <v>10</v>
      </c>
      <c r="J23" s="102" t="s">
        <v>323</v>
      </c>
      <c r="K23" s="102" t="s">
        <v>164</v>
      </c>
      <c r="L23" s="102" t="s">
        <v>10</v>
      </c>
      <c r="M23" s="102" t="s">
        <v>10</v>
      </c>
      <c r="N23" s="102" t="s">
        <v>10</v>
      </c>
      <c r="O23" s="102" t="s">
        <v>10</v>
      </c>
      <c r="P23" s="102" t="s">
        <v>10</v>
      </c>
      <c r="Q23" s="102" t="s">
        <v>10</v>
      </c>
      <c r="R23" s="102" t="s">
        <v>10</v>
      </c>
    </row>
    <row r="24" spans="1:18" x14ac:dyDescent="0.25">
      <c r="A24" s="102">
        <v>206</v>
      </c>
      <c r="B24" s="102" t="s">
        <v>122</v>
      </c>
      <c r="C24" s="102" t="s">
        <v>323</v>
      </c>
      <c r="D24" s="102">
        <v>21</v>
      </c>
      <c r="E24" s="102">
        <v>227</v>
      </c>
      <c r="F24" s="102">
        <v>8079</v>
      </c>
      <c r="G24" s="102" t="s">
        <v>11</v>
      </c>
      <c r="H24" s="102" t="s">
        <v>10</v>
      </c>
      <c r="I24" s="102" t="s">
        <v>10</v>
      </c>
      <c r="J24" s="102" t="s">
        <v>323</v>
      </c>
      <c r="K24" s="102" t="s">
        <v>164</v>
      </c>
      <c r="L24" s="102" t="s">
        <v>407</v>
      </c>
      <c r="M24" s="102" t="s">
        <v>617</v>
      </c>
      <c r="N24" s="102" t="s">
        <v>407</v>
      </c>
      <c r="O24" s="102" t="s">
        <v>617</v>
      </c>
      <c r="P24" s="102" t="s">
        <v>10</v>
      </c>
      <c r="Q24" s="102" t="s">
        <v>10</v>
      </c>
      <c r="R24" s="102" t="s">
        <v>10</v>
      </c>
    </row>
    <row r="25" spans="1:18" x14ac:dyDescent="0.25">
      <c r="A25" s="102">
        <v>208</v>
      </c>
      <c r="B25" s="102" t="s">
        <v>122</v>
      </c>
      <c r="C25" s="102" t="s">
        <v>323</v>
      </c>
      <c r="D25" s="102">
        <v>3</v>
      </c>
      <c r="E25" s="102">
        <v>234</v>
      </c>
      <c r="F25" s="102">
        <v>2028</v>
      </c>
      <c r="G25" s="102" t="s">
        <v>11</v>
      </c>
      <c r="H25" s="102" t="s">
        <v>10</v>
      </c>
      <c r="I25" s="102" t="s">
        <v>10</v>
      </c>
      <c r="J25" s="102" t="s">
        <v>323</v>
      </c>
      <c r="K25" s="102" t="s">
        <v>164</v>
      </c>
      <c r="L25" s="102" t="s">
        <v>10</v>
      </c>
      <c r="M25" s="102" t="s">
        <v>10</v>
      </c>
      <c r="N25" s="102" t="s">
        <v>10</v>
      </c>
      <c r="O25" s="102" t="s">
        <v>10</v>
      </c>
      <c r="P25" s="102" t="s">
        <v>10</v>
      </c>
      <c r="Q25" s="102" t="s">
        <v>10</v>
      </c>
      <c r="R25" s="102" t="s">
        <v>164</v>
      </c>
    </row>
    <row r="26" spans="1:18" x14ac:dyDescent="0.25">
      <c r="A26" s="102">
        <v>68</v>
      </c>
      <c r="B26" s="102" t="s">
        <v>51</v>
      </c>
      <c r="C26" s="102" t="s">
        <v>323</v>
      </c>
      <c r="D26" s="102">
        <v>21</v>
      </c>
      <c r="E26" s="102">
        <v>107</v>
      </c>
      <c r="F26" s="102">
        <v>6979</v>
      </c>
      <c r="G26" s="102" t="s">
        <v>11</v>
      </c>
      <c r="H26" s="102" t="s">
        <v>10</v>
      </c>
      <c r="I26" s="102" t="s">
        <v>10</v>
      </c>
      <c r="J26" s="102" t="s">
        <v>323</v>
      </c>
      <c r="K26" s="102" t="s">
        <v>10</v>
      </c>
      <c r="L26" s="102" t="s">
        <v>10</v>
      </c>
      <c r="M26" s="102" t="s">
        <v>10</v>
      </c>
      <c r="N26" s="102" t="s">
        <v>10</v>
      </c>
      <c r="O26" s="102" t="s">
        <v>10</v>
      </c>
      <c r="P26" s="102" t="s">
        <v>10</v>
      </c>
      <c r="Q26" s="102" t="s">
        <v>10</v>
      </c>
      <c r="R26" s="102" t="s">
        <v>10</v>
      </c>
    </row>
    <row r="27" spans="1:18" x14ac:dyDescent="0.25">
      <c r="A27" s="102">
        <v>70</v>
      </c>
      <c r="B27" s="102" t="s">
        <v>51</v>
      </c>
      <c r="C27" s="102" t="s">
        <v>323</v>
      </c>
      <c r="D27" s="102">
        <v>21</v>
      </c>
      <c r="E27" s="102">
        <v>109</v>
      </c>
      <c r="F27" s="102">
        <v>3686</v>
      </c>
      <c r="G27" s="102" t="s">
        <v>11</v>
      </c>
      <c r="H27" s="102" t="s">
        <v>10</v>
      </c>
      <c r="I27" s="102" t="s">
        <v>10</v>
      </c>
      <c r="J27" s="102" t="s">
        <v>323</v>
      </c>
      <c r="K27" s="102" t="s">
        <v>10</v>
      </c>
      <c r="L27" s="102" t="s">
        <v>407</v>
      </c>
      <c r="M27" s="102" t="s">
        <v>619</v>
      </c>
      <c r="N27" s="102" t="s">
        <v>407</v>
      </c>
      <c r="O27" s="102" t="s">
        <v>619</v>
      </c>
      <c r="P27" s="102" t="s">
        <v>10</v>
      </c>
      <c r="Q27" s="102" t="s">
        <v>10</v>
      </c>
      <c r="R27" s="102" t="s">
        <v>10</v>
      </c>
    </row>
    <row r="28" spans="1:18" x14ac:dyDescent="0.25">
      <c r="A28" s="102">
        <v>71</v>
      </c>
      <c r="B28" s="102" t="s">
        <v>51</v>
      </c>
      <c r="C28" s="102" t="s">
        <v>323</v>
      </c>
      <c r="D28" s="102">
        <v>21</v>
      </c>
      <c r="E28" s="102">
        <v>110</v>
      </c>
      <c r="F28" s="102">
        <v>1672</v>
      </c>
      <c r="G28" s="102" t="s">
        <v>11</v>
      </c>
      <c r="H28" s="102" t="s">
        <v>10</v>
      </c>
      <c r="I28" s="102" t="s">
        <v>10</v>
      </c>
      <c r="J28" s="102" t="s">
        <v>323</v>
      </c>
      <c r="K28" s="102" t="s">
        <v>10</v>
      </c>
      <c r="L28" s="102" t="s">
        <v>407</v>
      </c>
      <c r="M28" s="102" t="s">
        <v>619</v>
      </c>
      <c r="N28" s="102" t="s">
        <v>407</v>
      </c>
      <c r="O28" s="102" t="s">
        <v>619</v>
      </c>
      <c r="P28" s="102" t="s">
        <v>10</v>
      </c>
      <c r="Q28" s="102" t="s">
        <v>10</v>
      </c>
      <c r="R28" s="102" t="s">
        <v>10</v>
      </c>
    </row>
    <row r="29" spans="1:18" x14ac:dyDescent="0.25">
      <c r="A29" s="102">
        <v>141</v>
      </c>
      <c r="B29" s="102" t="s">
        <v>88</v>
      </c>
      <c r="C29" s="102" t="s">
        <v>323</v>
      </c>
      <c r="D29" s="102">
        <v>21</v>
      </c>
      <c r="E29" s="102">
        <v>171</v>
      </c>
      <c r="F29" s="102">
        <v>3186</v>
      </c>
      <c r="G29" s="102" t="s">
        <v>11</v>
      </c>
      <c r="H29" s="102" t="s">
        <v>10</v>
      </c>
      <c r="I29" s="102" t="s">
        <v>10</v>
      </c>
      <c r="J29" s="102" t="s">
        <v>323</v>
      </c>
      <c r="K29" s="102" t="s">
        <v>10</v>
      </c>
      <c r="L29" s="102" t="s">
        <v>407</v>
      </c>
      <c r="M29" s="102" t="s">
        <v>617</v>
      </c>
      <c r="N29" s="102" t="s">
        <v>407</v>
      </c>
      <c r="O29" s="102" t="s">
        <v>617</v>
      </c>
      <c r="P29" s="102" t="s">
        <v>10</v>
      </c>
      <c r="Q29" s="102" t="s">
        <v>10</v>
      </c>
      <c r="R29" s="102" t="s">
        <v>10</v>
      </c>
    </row>
    <row r="30" spans="1:18" x14ac:dyDescent="0.25">
      <c r="A30" s="102">
        <v>143</v>
      </c>
      <c r="B30" s="102" t="s">
        <v>88</v>
      </c>
      <c r="C30" s="102" t="s">
        <v>323</v>
      </c>
      <c r="D30" s="102">
        <v>21</v>
      </c>
      <c r="E30" s="102">
        <v>173</v>
      </c>
      <c r="F30" s="102">
        <v>2547</v>
      </c>
      <c r="G30" s="102" t="s">
        <v>11</v>
      </c>
      <c r="H30" s="102" t="s">
        <v>10</v>
      </c>
      <c r="I30" s="102" t="s">
        <v>10</v>
      </c>
      <c r="J30" s="102" t="s">
        <v>323</v>
      </c>
      <c r="K30" s="102" t="s">
        <v>10</v>
      </c>
      <c r="L30" s="102" t="s">
        <v>10</v>
      </c>
      <c r="M30" s="102" t="s">
        <v>10</v>
      </c>
      <c r="N30" s="102" t="s">
        <v>10</v>
      </c>
      <c r="O30" s="102" t="s">
        <v>10</v>
      </c>
      <c r="P30" s="102" t="s">
        <v>10</v>
      </c>
      <c r="Q30" s="102" t="s">
        <v>10</v>
      </c>
      <c r="R30" s="102" t="s">
        <v>10</v>
      </c>
    </row>
    <row r="31" spans="1:18" x14ac:dyDescent="0.25">
      <c r="A31" s="102">
        <v>144</v>
      </c>
      <c r="B31" s="102" t="s">
        <v>88</v>
      </c>
      <c r="C31" s="102" t="s">
        <v>323</v>
      </c>
      <c r="D31" s="102">
        <v>21</v>
      </c>
      <c r="E31" s="102">
        <v>174</v>
      </c>
      <c r="F31" s="102">
        <v>11112</v>
      </c>
      <c r="G31" s="102" t="s">
        <v>11</v>
      </c>
      <c r="H31" s="102" t="s">
        <v>10</v>
      </c>
      <c r="I31" s="102" t="s">
        <v>10</v>
      </c>
      <c r="J31" s="102" t="s">
        <v>323</v>
      </c>
      <c r="K31" s="102" t="s">
        <v>10</v>
      </c>
      <c r="L31" s="102" t="s">
        <v>176</v>
      </c>
      <c r="M31" s="102" t="s">
        <v>619</v>
      </c>
      <c r="N31" s="102" t="s">
        <v>176</v>
      </c>
      <c r="O31" s="102" t="s">
        <v>619</v>
      </c>
      <c r="P31" s="102" t="s">
        <v>10</v>
      </c>
      <c r="Q31" s="102" t="s">
        <v>10</v>
      </c>
      <c r="R31" s="102" t="s">
        <v>10</v>
      </c>
    </row>
    <row r="32" spans="1:18" x14ac:dyDescent="0.25">
      <c r="A32" s="102">
        <v>146</v>
      </c>
      <c r="B32" s="102" t="s">
        <v>88</v>
      </c>
      <c r="C32" s="102" t="s">
        <v>323</v>
      </c>
      <c r="D32" s="102">
        <v>21</v>
      </c>
      <c r="E32" s="102">
        <v>176</v>
      </c>
      <c r="F32" s="102">
        <v>18329</v>
      </c>
      <c r="G32" s="102" t="s">
        <v>11</v>
      </c>
      <c r="H32" s="102" t="s">
        <v>10</v>
      </c>
      <c r="I32" s="102" t="s">
        <v>10</v>
      </c>
      <c r="J32" s="102" t="s">
        <v>323</v>
      </c>
      <c r="K32" s="102" t="s">
        <v>10</v>
      </c>
      <c r="L32" s="102" t="s">
        <v>176</v>
      </c>
      <c r="M32" s="102" t="s">
        <v>619</v>
      </c>
      <c r="N32" s="102" t="s">
        <v>176</v>
      </c>
      <c r="O32" s="102" t="s">
        <v>619</v>
      </c>
      <c r="P32" s="102" t="s">
        <v>10</v>
      </c>
      <c r="Q32" s="102" t="s">
        <v>10</v>
      </c>
      <c r="R32" s="102" t="s">
        <v>10</v>
      </c>
    </row>
    <row r="33" spans="1:18" x14ac:dyDescent="0.25">
      <c r="A33" s="102">
        <v>177</v>
      </c>
      <c r="B33" s="102" t="s">
        <v>106</v>
      </c>
      <c r="C33" s="102" t="s">
        <v>323</v>
      </c>
      <c r="D33" s="102">
        <v>21</v>
      </c>
      <c r="E33" s="102">
        <v>201</v>
      </c>
      <c r="F33" s="102">
        <v>10400</v>
      </c>
      <c r="G33" s="102" t="s">
        <v>11</v>
      </c>
      <c r="H33" s="102" t="s">
        <v>10</v>
      </c>
      <c r="I33" s="102" t="s">
        <v>10</v>
      </c>
      <c r="J33" s="102" t="s">
        <v>323</v>
      </c>
      <c r="K33" s="102" t="s">
        <v>10</v>
      </c>
      <c r="L33" s="102" t="s">
        <v>10</v>
      </c>
      <c r="M33" s="102" t="s">
        <v>10</v>
      </c>
      <c r="N33" s="102" t="s">
        <v>10</v>
      </c>
      <c r="O33" s="102" t="s">
        <v>10</v>
      </c>
      <c r="P33" s="102" t="s">
        <v>10</v>
      </c>
      <c r="Q33" s="102" t="s">
        <v>10</v>
      </c>
      <c r="R33" s="102" t="s">
        <v>10</v>
      </c>
    </row>
    <row r="34" spans="1:18" x14ac:dyDescent="0.25">
      <c r="A34" s="102">
        <v>239</v>
      </c>
      <c r="B34" s="102" t="s">
        <v>146</v>
      </c>
      <c r="C34" s="102" t="s">
        <v>323</v>
      </c>
      <c r="D34" s="102">
        <v>28</v>
      </c>
      <c r="E34" s="102">
        <v>149</v>
      </c>
      <c r="F34" s="102">
        <v>7824</v>
      </c>
      <c r="G34" s="102" t="s">
        <v>11</v>
      </c>
      <c r="H34" s="102" t="s">
        <v>10</v>
      </c>
      <c r="I34" s="102" t="s">
        <v>10</v>
      </c>
      <c r="J34" s="102" t="s">
        <v>323</v>
      </c>
      <c r="K34" s="102" t="s">
        <v>10</v>
      </c>
      <c r="L34" s="102" t="s">
        <v>10</v>
      </c>
      <c r="M34" s="102" t="s">
        <v>10</v>
      </c>
      <c r="N34" s="102" t="s">
        <v>10</v>
      </c>
      <c r="O34" s="102" t="s">
        <v>10</v>
      </c>
      <c r="P34" s="102" t="s">
        <v>10</v>
      </c>
      <c r="Q34" s="102" t="s">
        <v>10</v>
      </c>
      <c r="R34" s="102" t="s">
        <v>407</v>
      </c>
    </row>
    <row r="35" spans="1:18" x14ac:dyDescent="0.25">
      <c r="A35" s="102">
        <v>168</v>
      </c>
      <c r="B35" s="102" t="s">
        <v>100</v>
      </c>
      <c r="C35" s="102" t="s">
        <v>269</v>
      </c>
      <c r="D35" s="102">
        <v>36</v>
      </c>
      <c r="E35" s="102">
        <v>116</v>
      </c>
      <c r="F35" s="102">
        <v>2119</v>
      </c>
      <c r="G35" s="102" t="s">
        <v>11</v>
      </c>
      <c r="H35" s="102" t="s">
        <v>10</v>
      </c>
      <c r="I35" s="102" t="s">
        <v>10</v>
      </c>
      <c r="J35" s="102" t="s">
        <v>269</v>
      </c>
      <c r="K35" s="102" t="s">
        <v>10</v>
      </c>
      <c r="L35" s="102" t="s">
        <v>10</v>
      </c>
      <c r="M35" s="102" t="s">
        <v>10</v>
      </c>
      <c r="N35" s="102" t="s">
        <v>10</v>
      </c>
      <c r="O35" s="102" t="s">
        <v>10</v>
      </c>
      <c r="P35" s="102" t="s">
        <v>10</v>
      </c>
      <c r="Q35" s="102" t="s">
        <v>10</v>
      </c>
      <c r="R35" s="102" t="s">
        <v>173</v>
      </c>
    </row>
    <row r="36" spans="1:18" x14ac:dyDescent="0.25">
      <c r="A36" s="102">
        <v>79</v>
      </c>
      <c r="B36" s="102" t="s">
        <v>57</v>
      </c>
      <c r="C36" s="102" t="s">
        <v>607</v>
      </c>
      <c r="D36" s="102">
        <v>21</v>
      </c>
      <c r="E36" s="102">
        <v>230</v>
      </c>
      <c r="F36" s="102">
        <v>7015</v>
      </c>
      <c r="G36" s="102" t="s">
        <v>11</v>
      </c>
      <c r="H36" s="102" t="s">
        <v>10</v>
      </c>
      <c r="I36" s="102" t="s">
        <v>10</v>
      </c>
      <c r="J36" s="102" t="s">
        <v>607</v>
      </c>
      <c r="K36" s="102" t="s">
        <v>10</v>
      </c>
      <c r="L36" s="102" t="s">
        <v>10</v>
      </c>
      <c r="M36" s="102" t="s">
        <v>10</v>
      </c>
      <c r="N36" s="102" t="s">
        <v>10</v>
      </c>
      <c r="O36" s="102" t="s">
        <v>10</v>
      </c>
      <c r="P36" s="102" t="s">
        <v>10</v>
      </c>
      <c r="Q36" s="102" t="s">
        <v>10</v>
      </c>
      <c r="R36" s="102" t="s">
        <v>307</v>
      </c>
    </row>
    <row r="37" spans="1:18" x14ac:dyDescent="0.25">
      <c r="A37" s="102">
        <v>31</v>
      </c>
      <c r="B37" s="102" t="s">
        <v>29</v>
      </c>
      <c r="C37" s="102" t="s">
        <v>603</v>
      </c>
      <c r="D37" s="102">
        <v>21</v>
      </c>
      <c r="E37" s="102">
        <v>82</v>
      </c>
      <c r="F37" s="102">
        <v>14524</v>
      </c>
      <c r="G37" s="102" t="s">
        <v>11</v>
      </c>
      <c r="H37" s="102" t="s">
        <v>10</v>
      </c>
      <c r="I37" s="102" t="s">
        <v>10</v>
      </c>
      <c r="J37" s="102" t="s">
        <v>603</v>
      </c>
      <c r="K37" s="102" t="s">
        <v>10</v>
      </c>
      <c r="L37" s="102" t="s">
        <v>171</v>
      </c>
      <c r="M37" s="102" t="s">
        <v>617</v>
      </c>
      <c r="N37" s="102" t="s">
        <v>171</v>
      </c>
      <c r="O37" s="102" t="s">
        <v>617</v>
      </c>
      <c r="P37" s="102" t="s">
        <v>10</v>
      </c>
      <c r="Q37" s="102" t="s">
        <v>10</v>
      </c>
      <c r="R37" s="102" t="s">
        <v>407</v>
      </c>
    </row>
    <row r="38" spans="1:18" x14ac:dyDescent="0.25">
      <c r="A38" s="102">
        <v>65</v>
      </c>
      <c r="B38" s="102" t="s">
        <v>49</v>
      </c>
      <c r="C38" s="102" t="s">
        <v>603</v>
      </c>
      <c r="D38" s="102">
        <v>21</v>
      </c>
      <c r="E38" s="102">
        <v>105</v>
      </c>
      <c r="F38" s="102">
        <v>2993</v>
      </c>
      <c r="G38" s="102" t="s">
        <v>11</v>
      </c>
      <c r="H38" s="102" t="s">
        <v>10</v>
      </c>
      <c r="I38" s="102" t="s">
        <v>10</v>
      </c>
      <c r="J38" s="102" t="s">
        <v>603</v>
      </c>
      <c r="K38" s="102" t="s">
        <v>10</v>
      </c>
      <c r="L38" s="102" t="s">
        <v>171</v>
      </c>
      <c r="M38" s="102" t="s">
        <v>617</v>
      </c>
      <c r="N38" s="102" t="s">
        <v>171</v>
      </c>
      <c r="O38" s="102" t="s">
        <v>617</v>
      </c>
      <c r="P38" s="102" t="s">
        <v>10</v>
      </c>
      <c r="Q38" s="102" t="s">
        <v>10</v>
      </c>
      <c r="R38" s="102" t="s">
        <v>10</v>
      </c>
    </row>
    <row r="39" spans="1:18" x14ac:dyDescent="0.25">
      <c r="A39" s="102">
        <v>66</v>
      </c>
      <c r="B39" s="102" t="s">
        <v>49</v>
      </c>
      <c r="C39" s="102" t="s">
        <v>603</v>
      </c>
      <c r="D39" s="102">
        <v>21</v>
      </c>
      <c r="E39" s="102">
        <v>69</v>
      </c>
      <c r="F39" s="102">
        <v>5865</v>
      </c>
      <c r="G39" s="102" t="s">
        <v>11</v>
      </c>
      <c r="H39" s="102" t="s">
        <v>10</v>
      </c>
      <c r="I39" s="102" t="s">
        <v>10</v>
      </c>
      <c r="J39" s="102" t="s">
        <v>603</v>
      </c>
      <c r="K39" s="102" t="s">
        <v>10</v>
      </c>
      <c r="L39" s="102" t="s">
        <v>10</v>
      </c>
      <c r="M39" s="102" t="s">
        <v>10</v>
      </c>
      <c r="N39" s="102" t="s">
        <v>10</v>
      </c>
      <c r="O39" s="102" t="s">
        <v>10</v>
      </c>
      <c r="P39" s="102" t="s">
        <v>10</v>
      </c>
      <c r="Q39" s="102" t="s">
        <v>10</v>
      </c>
      <c r="R39" s="102" t="s">
        <v>171</v>
      </c>
    </row>
    <row r="40" spans="1:18" x14ac:dyDescent="0.25">
      <c r="A40" s="102">
        <v>81</v>
      </c>
      <c r="B40" s="102" t="s">
        <v>58</v>
      </c>
      <c r="C40" s="102" t="s">
        <v>603</v>
      </c>
      <c r="D40" s="102">
        <v>32</v>
      </c>
      <c r="E40" s="102">
        <v>52</v>
      </c>
      <c r="F40" s="102">
        <v>11176</v>
      </c>
      <c r="G40" s="102" t="s">
        <v>11</v>
      </c>
      <c r="H40" s="102" t="s">
        <v>10</v>
      </c>
      <c r="I40" s="102" t="s">
        <v>10</v>
      </c>
      <c r="J40" s="102" t="s">
        <v>603</v>
      </c>
      <c r="K40" s="102" t="s">
        <v>10</v>
      </c>
      <c r="L40" s="102" t="s">
        <v>10</v>
      </c>
      <c r="M40" s="102" t="s">
        <v>10</v>
      </c>
      <c r="N40" s="102" t="s">
        <v>10</v>
      </c>
      <c r="O40" s="102" t="s">
        <v>10</v>
      </c>
      <c r="P40" s="102" t="s">
        <v>10</v>
      </c>
      <c r="Q40" s="102" t="s">
        <v>10</v>
      </c>
      <c r="R40" s="102" t="s">
        <v>10</v>
      </c>
    </row>
    <row r="41" spans="1:18" x14ac:dyDescent="0.25">
      <c r="A41" s="102">
        <v>110</v>
      </c>
      <c r="B41" s="102" t="s">
        <v>73</v>
      </c>
      <c r="C41" s="102" t="s">
        <v>603</v>
      </c>
      <c r="D41" s="102">
        <v>21</v>
      </c>
      <c r="E41" s="102">
        <v>143</v>
      </c>
      <c r="F41" s="102">
        <v>10614</v>
      </c>
      <c r="G41" s="102" t="s">
        <v>11</v>
      </c>
      <c r="H41" s="102" t="s">
        <v>10</v>
      </c>
      <c r="I41" s="102" t="s">
        <v>10</v>
      </c>
      <c r="J41" s="102" t="s">
        <v>603</v>
      </c>
      <c r="K41" s="102" t="s">
        <v>10</v>
      </c>
      <c r="L41" s="102" t="s">
        <v>10</v>
      </c>
      <c r="M41" s="102" t="s">
        <v>10</v>
      </c>
      <c r="N41" s="102" t="s">
        <v>10</v>
      </c>
      <c r="O41" s="102" t="s">
        <v>10</v>
      </c>
      <c r="P41" s="102" t="s">
        <v>10</v>
      </c>
      <c r="Q41" s="102" t="s">
        <v>10</v>
      </c>
      <c r="R41" s="102" t="s">
        <v>171</v>
      </c>
    </row>
    <row r="42" spans="1:18" x14ac:dyDescent="0.25">
      <c r="A42" s="102">
        <v>155</v>
      </c>
      <c r="B42" s="102" t="s">
        <v>92</v>
      </c>
      <c r="C42" s="102" t="s">
        <v>603</v>
      </c>
      <c r="D42" s="102">
        <v>21</v>
      </c>
      <c r="E42" s="102">
        <v>74</v>
      </c>
      <c r="F42" s="102">
        <v>4352</v>
      </c>
      <c r="G42" s="102" t="s">
        <v>11</v>
      </c>
      <c r="H42" s="102" t="s">
        <v>10</v>
      </c>
      <c r="I42" s="102" t="s">
        <v>10</v>
      </c>
      <c r="J42" s="102" t="s">
        <v>603</v>
      </c>
      <c r="K42" s="102" t="s">
        <v>10</v>
      </c>
      <c r="L42" s="102" t="s">
        <v>171</v>
      </c>
      <c r="M42" s="102" t="s">
        <v>617</v>
      </c>
      <c r="N42" s="102" t="s">
        <v>171</v>
      </c>
      <c r="O42" s="102" t="s">
        <v>617</v>
      </c>
      <c r="P42" s="102" t="s">
        <v>10</v>
      </c>
      <c r="Q42" s="102" t="s">
        <v>10</v>
      </c>
      <c r="R42" s="102" t="s">
        <v>407</v>
      </c>
    </row>
    <row r="43" spans="1:18" x14ac:dyDescent="0.25">
      <c r="A43" s="102">
        <v>196</v>
      </c>
      <c r="B43" s="102" t="s">
        <v>118</v>
      </c>
      <c r="C43" s="102" t="s">
        <v>603</v>
      </c>
      <c r="D43" s="102">
        <v>21</v>
      </c>
      <c r="E43" s="102">
        <v>76</v>
      </c>
      <c r="F43" s="102">
        <v>7672</v>
      </c>
      <c r="G43" s="102" t="s">
        <v>11</v>
      </c>
      <c r="H43" s="102" t="s">
        <v>10</v>
      </c>
      <c r="I43" s="102" t="s">
        <v>10</v>
      </c>
      <c r="J43" s="102" t="s">
        <v>603</v>
      </c>
      <c r="K43" s="102" t="s">
        <v>10</v>
      </c>
      <c r="L43" s="102" t="s">
        <v>10</v>
      </c>
      <c r="M43" s="102" t="s">
        <v>10</v>
      </c>
      <c r="N43" s="102" t="s">
        <v>10</v>
      </c>
      <c r="O43" s="102" t="s">
        <v>10</v>
      </c>
      <c r="P43" s="102" t="s">
        <v>10</v>
      </c>
      <c r="Q43" s="102" t="s">
        <v>10</v>
      </c>
      <c r="R43" s="102" t="s">
        <v>307</v>
      </c>
    </row>
    <row r="44" spans="1:18" x14ac:dyDescent="0.25">
      <c r="A44" s="102">
        <v>222</v>
      </c>
      <c r="B44" s="102" t="s">
        <v>135</v>
      </c>
      <c r="C44" s="102" t="s">
        <v>603</v>
      </c>
      <c r="D44" s="102">
        <v>21</v>
      </c>
      <c r="E44" s="102">
        <v>236</v>
      </c>
      <c r="F44" s="102">
        <v>8046</v>
      </c>
      <c r="G44" s="102" t="s">
        <v>11</v>
      </c>
      <c r="H44" s="102" t="s">
        <v>10</v>
      </c>
      <c r="I44" s="102" t="s">
        <v>10</v>
      </c>
      <c r="J44" s="102" t="s">
        <v>603</v>
      </c>
      <c r="K44" s="102" t="s">
        <v>10</v>
      </c>
      <c r="L44" s="102" t="s">
        <v>171</v>
      </c>
      <c r="M44" s="102" t="s">
        <v>617</v>
      </c>
      <c r="N44" s="102" t="s">
        <v>171</v>
      </c>
      <c r="O44" s="102" t="s">
        <v>617</v>
      </c>
      <c r="P44" s="102" t="s">
        <v>10</v>
      </c>
      <c r="Q44" s="102" t="s">
        <v>10</v>
      </c>
      <c r="R44" s="102" t="s">
        <v>171</v>
      </c>
    </row>
    <row r="45" spans="1:18" x14ac:dyDescent="0.25">
      <c r="A45" s="102">
        <v>241</v>
      </c>
      <c r="B45" s="102" t="s">
        <v>148</v>
      </c>
      <c r="C45" s="102" t="s">
        <v>306</v>
      </c>
      <c r="D45" s="102">
        <v>21</v>
      </c>
      <c r="E45" s="102">
        <v>251</v>
      </c>
      <c r="F45" s="102">
        <v>6469</v>
      </c>
      <c r="G45" s="102" t="s">
        <v>11</v>
      </c>
      <c r="H45" s="102" t="s">
        <v>10</v>
      </c>
      <c r="I45" s="102" t="s">
        <v>10</v>
      </c>
      <c r="J45" s="102" t="s">
        <v>306</v>
      </c>
      <c r="K45" s="102" t="s">
        <v>10</v>
      </c>
      <c r="L45" s="102" t="s">
        <v>10</v>
      </c>
      <c r="M45" s="102" t="s">
        <v>10</v>
      </c>
      <c r="N45" s="102" t="s">
        <v>10</v>
      </c>
      <c r="O45" s="102" t="s">
        <v>10</v>
      </c>
      <c r="P45" s="102" t="s">
        <v>10</v>
      </c>
      <c r="Q45" s="102" t="s">
        <v>10</v>
      </c>
      <c r="R45" s="102" t="s">
        <v>10</v>
      </c>
    </row>
    <row r="46" spans="1:18" x14ac:dyDescent="0.25">
      <c r="A46" s="102">
        <v>114</v>
      </c>
      <c r="B46" s="102" t="s">
        <v>76</v>
      </c>
      <c r="C46" s="102" t="s">
        <v>608</v>
      </c>
      <c r="D46" s="102">
        <v>21</v>
      </c>
      <c r="E46" s="102">
        <v>146</v>
      </c>
      <c r="F46" s="102">
        <v>7264</v>
      </c>
      <c r="G46" s="102" t="s">
        <v>11</v>
      </c>
      <c r="H46" s="102" t="s">
        <v>10</v>
      </c>
      <c r="I46" s="102" t="s">
        <v>10</v>
      </c>
      <c r="J46" s="102" t="s">
        <v>608</v>
      </c>
      <c r="K46" s="102" t="s">
        <v>173</v>
      </c>
      <c r="L46" s="102" t="s">
        <v>176</v>
      </c>
      <c r="M46" s="102" t="s">
        <v>618</v>
      </c>
      <c r="N46" s="102" t="s">
        <v>176</v>
      </c>
      <c r="O46" s="102" t="s">
        <v>618</v>
      </c>
      <c r="P46" s="102" t="s">
        <v>10</v>
      </c>
      <c r="Q46" s="102" t="s">
        <v>10</v>
      </c>
      <c r="R46" s="102" t="s">
        <v>10</v>
      </c>
    </row>
    <row r="47" spans="1:18" x14ac:dyDescent="0.25">
      <c r="A47" s="102">
        <v>115</v>
      </c>
      <c r="B47" s="102" t="s">
        <v>76</v>
      </c>
      <c r="C47" s="102" t="s">
        <v>608</v>
      </c>
      <c r="D47" s="102">
        <v>21</v>
      </c>
      <c r="E47" s="102">
        <v>147</v>
      </c>
      <c r="F47" s="102">
        <v>4738</v>
      </c>
      <c r="G47" s="102" t="s">
        <v>11</v>
      </c>
      <c r="H47" s="102" t="s">
        <v>10</v>
      </c>
      <c r="I47" s="102" t="s">
        <v>10</v>
      </c>
      <c r="J47" s="102" t="s">
        <v>608</v>
      </c>
      <c r="K47" s="102" t="s">
        <v>173</v>
      </c>
      <c r="L47" s="102" t="s">
        <v>176</v>
      </c>
      <c r="M47" s="102" t="s">
        <v>618</v>
      </c>
      <c r="N47" s="102" t="s">
        <v>176</v>
      </c>
      <c r="O47" s="102" t="s">
        <v>618</v>
      </c>
      <c r="P47" s="102" t="s">
        <v>10</v>
      </c>
      <c r="Q47" s="102" t="s">
        <v>10</v>
      </c>
      <c r="R47" s="102" t="s">
        <v>10</v>
      </c>
    </row>
    <row r="48" spans="1:18" x14ac:dyDescent="0.25">
      <c r="A48" s="102">
        <v>197</v>
      </c>
      <c r="B48" s="102" t="s">
        <v>119</v>
      </c>
      <c r="C48" s="102" t="s">
        <v>608</v>
      </c>
      <c r="D48" s="102">
        <v>21</v>
      </c>
      <c r="E48" s="102">
        <v>220</v>
      </c>
      <c r="F48" s="102">
        <v>11197</v>
      </c>
      <c r="G48" s="102" t="s">
        <v>11</v>
      </c>
      <c r="H48" s="102" t="s">
        <v>10</v>
      </c>
      <c r="I48" s="102" t="s">
        <v>10</v>
      </c>
      <c r="J48" s="102" t="s">
        <v>608</v>
      </c>
      <c r="K48" s="102" t="s">
        <v>195</v>
      </c>
      <c r="L48" s="102" t="s">
        <v>176</v>
      </c>
      <c r="M48" s="102" t="s">
        <v>618</v>
      </c>
      <c r="N48" s="102" t="s">
        <v>176</v>
      </c>
      <c r="O48" s="102" t="s">
        <v>618</v>
      </c>
      <c r="P48" s="102" t="s">
        <v>10</v>
      </c>
      <c r="Q48" s="102" t="s">
        <v>10</v>
      </c>
      <c r="R48" s="102" t="s">
        <v>10</v>
      </c>
    </row>
    <row r="49" spans="1:18" x14ac:dyDescent="0.25">
      <c r="A49" s="102">
        <v>198</v>
      </c>
      <c r="B49" s="102" t="s">
        <v>119</v>
      </c>
      <c r="C49" s="102" t="s">
        <v>608</v>
      </c>
      <c r="D49" s="102">
        <v>21</v>
      </c>
      <c r="E49" s="102">
        <v>221</v>
      </c>
      <c r="F49" s="102">
        <v>4587</v>
      </c>
      <c r="G49" s="102" t="s">
        <v>11</v>
      </c>
      <c r="H49" s="102" t="s">
        <v>10</v>
      </c>
      <c r="I49" s="102" t="s">
        <v>10</v>
      </c>
      <c r="J49" s="102" t="s">
        <v>608</v>
      </c>
      <c r="K49" s="102" t="s">
        <v>195</v>
      </c>
      <c r="L49" s="102" t="s">
        <v>176</v>
      </c>
      <c r="M49" s="102" t="s">
        <v>618</v>
      </c>
      <c r="N49" s="102" t="s">
        <v>176</v>
      </c>
      <c r="O49" s="102" t="s">
        <v>618</v>
      </c>
      <c r="P49" s="102" t="s">
        <v>10</v>
      </c>
      <c r="Q49" s="102" t="s">
        <v>10</v>
      </c>
      <c r="R49" s="102" t="s">
        <v>10</v>
      </c>
    </row>
    <row r="50" spans="1:18" x14ac:dyDescent="0.25">
      <c r="A50" s="102">
        <v>11</v>
      </c>
      <c r="B50" s="102" t="s">
        <v>20</v>
      </c>
      <c r="C50" s="102" t="s">
        <v>608</v>
      </c>
      <c r="D50" s="102">
        <v>21</v>
      </c>
      <c r="E50" s="102">
        <v>63</v>
      </c>
      <c r="F50" s="102">
        <v>7913</v>
      </c>
      <c r="G50" s="102" t="s">
        <v>11</v>
      </c>
      <c r="H50" s="102" t="s">
        <v>10</v>
      </c>
      <c r="I50" s="102" t="s">
        <v>10</v>
      </c>
      <c r="J50" s="102" t="s">
        <v>608</v>
      </c>
      <c r="K50" s="102" t="s">
        <v>10</v>
      </c>
      <c r="L50" s="102" t="s">
        <v>176</v>
      </c>
      <c r="M50" s="102" t="s">
        <v>617</v>
      </c>
      <c r="N50" s="102" t="s">
        <v>176</v>
      </c>
      <c r="O50" s="102" t="s">
        <v>617</v>
      </c>
      <c r="P50" s="102" t="s">
        <v>10</v>
      </c>
      <c r="Q50" s="102" t="s">
        <v>10</v>
      </c>
      <c r="R50" s="102" t="s">
        <v>10</v>
      </c>
    </row>
    <row r="51" spans="1:18" x14ac:dyDescent="0.25">
      <c r="A51" s="102">
        <v>12</v>
      </c>
      <c r="B51" s="102" t="s">
        <v>20</v>
      </c>
      <c r="C51" s="102" t="s">
        <v>608</v>
      </c>
      <c r="D51" s="102">
        <v>21</v>
      </c>
      <c r="E51" s="102">
        <v>64</v>
      </c>
      <c r="F51" s="102">
        <v>5219</v>
      </c>
      <c r="G51" s="102" t="s">
        <v>11</v>
      </c>
      <c r="H51" s="102" t="s">
        <v>10</v>
      </c>
      <c r="I51" s="102" t="s">
        <v>10</v>
      </c>
      <c r="J51" s="102" t="s">
        <v>608</v>
      </c>
      <c r="K51" s="102" t="s">
        <v>10</v>
      </c>
      <c r="L51" s="102" t="s">
        <v>10</v>
      </c>
      <c r="M51" s="102" t="s">
        <v>10</v>
      </c>
      <c r="N51" s="102" t="s">
        <v>10</v>
      </c>
      <c r="O51" s="102" t="s">
        <v>10</v>
      </c>
      <c r="P51" s="102" t="s">
        <v>10</v>
      </c>
      <c r="Q51" s="102" t="s">
        <v>10</v>
      </c>
      <c r="R51" s="102" t="s">
        <v>10</v>
      </c>
    </row>
    <row r="52" spans="1:18" x14ac:dyDescent="0.25">
      <c r="A52" s="102">
        <v>28</v>
      </c>
      <c r="B52" s="102" t="s">
        <v>28</v>
      </c>
      <c r="C52" s="102" t="s">
        <v>608</v>
      </c>
      <c r="D52" s="102">
        <v>21</v>
      </c>
      <c r="E52" s="102">
        <v>79</v>
      </c>
      <c r="F52" s="102">
        <v>9667</v>
      </c>
      <c r="G52" s="102" t="s">
        <v>11</v>
      </c>
      <c r="H52" s="102" t="s">
        <v>10</v>
      </c>
      <c r="I52" s="102" t="s">
        <v>10</v>
      </c>
      <c r="J52" s="102" t="s">
        <v>608</v>
      </c>
      <c r="K52" s="102" t="s">
        <v>10</v>
      </c>
      <c r="L52" s="102" t="s">
        <v>176</v>
      </c>
      <c r="M52" s="102" t="s">
        <v>618</v>
      </c>
      <c r="N52" s="102" t="s">
        <v>176</v>
      </c>
      <c r="O52" s="102" t="s">
        <v>618</v>
      </c>
      <c r="P52" s="102" t="s">
        <v>10</v>
      </c>
      <c r="Q52" s="102" t="s">
        <v>10</v>
      </c>
      <c r="R52" s="102" t="s">
        <v>10</v>
      </c>
    </row>
    <row r="53" spans="1:18" x14ac:dyDescent="0.25">
      <c r="A53" s="102">
        <v>29</v>
      </c>
      <c r="B53" s="102" t="s">
        <v>28</v>
      </c>
      <c r="C53" s="102" t="s">
        <v>608</v>
      </c>
      <c r="D53" s="102">
        <v>21</v>
      </c>
      <c r="E53" s="102">
        <v>80</v>
      </c>
      <c r="F53" s="102">
        <v>13907</v>
      </c>
      <c r="G53" s="102" t="s">
        <v>11</v>
      </c>
      <c r="H53" s="102" t="s">
        <v>10</v>
      </c>
      <c r="I53" s="102" t="s">
        <v>10</v>
      </c>
      <c r="J53" s="102" t="s">
        <v>608</v>
      </c>
      <c r="K53" s="102" t="s">
        <v>10</v>
      </c>
      <c r="L53" s="102" t="s">
        <v>176</v>
      </c>
      <c r="M53" s="102" t="s">
        <v>618</v>
      </c>
      <c r="N53" s="102" t="s">
        <v>176</v>
      </c>
      <c r="O53" s="102" t="s">
        <v>618</v>
      </c>
      <c r="P53" s="102" t="s">
        <v>10</v>
      </c>
      <c r="Q53" s="102" t="s">
        <v>10</v>
      </c>
      <c r="R53" s="102" t="s">
        <v>10</v>
      </c>
    </row>
    <row r="54" spans="1:18" x14ac:dyDescent="0.25">
      <c r="A54" s="102">
        <v>123</v>
      </c>
      <c r="B54" s="102" t="s">
        <v>80</v>
      </c>
      <c r="C54" s="102" t="s">
        <v>608</v>
      </c>
      <c r="D54" s="102">
        <v>21</v>
      </c>
      <c r="E54" s="102">
        <v>153</v>
      </c>
      <c r="F54" s="102">
        <v>7804</v>
      </c>
      <c r="G54" s="102" t="s">
        <v>11</v>
      </c>
      <c r="H54" s="102" t="s">
        <v>10</v>
      </c>
      <c r="I54" s="102" t="s">
        <v>10</v>
      </c>
      <c r="J54" s="102" t="s">
        <v>608</v>
      </c>
      <c r="K54" s="102" t="s">
        <v>10</v>
      </c>
      <c r="L54" s="102" t="s">
        <v>176</v>
      </c>
      <c r="M54" s="102" t="s">
        <v>617</v>
      </c>
      <c r="N54" s="102" t="s">
        <v>176</v>
      </c>
      <c r="O54" s="102" t="s">
        <v>617</v>
      </c>
      <c r="P54" s="102" t="s">
        <v>10</v>
      </c>
      <c r="Q54" s="102" t="s">
        <v>10</v>
      </c>
      <c r="R54" s="102" t="s">
        <v>10</v>
      </c>
    </row>
    <row r="55" spans="1:18" x14ac:dyDescent="0.25">
      <c r="A55" s="102">
        <v>182</v>
      </c>
      <c r="B55" s="102" t="s">
        <v>110</v>
      </c>
      <c r="C55" s="102" t="s">
        <v>608</v>
      </c>
      <c r="D55" s="102">
        <v>22</v>
      </c>
      <c r="E55" s="102">
        <v>14</v>
      </c>
      <c r="F55" s="102">
        <v>7934</v>
      </c>
      <c r="G55" s="102" t="s">
        <v>11</v>
      </c>
      <c r="H55" s="102" t="s">
        <v>10</v>
      </c>
      <c r="I55" s="102" t="s">
        <v>10</v>
      </c>
      <c r="J55" s="102" t="s">
        <v>608</v>
      </c>
      <c r="K55" s="102" t="s">
        <v>10</v>
      </c>
      <c r="L55" s="102" t="s">
        <v>10</v>
      </c>
      <c r="M55" s="102" t="s">
        <v>10</v>
      </c>
      <c r="N55" s="102" t="s">
        <v>10</v>
      </c>
      <c r="O55" s="102" t="s">
        <v>10</v>
      </c>
      <c r="P55" s="102" t="s">
        <v>10</v>
      </c>
      <c r="Q55" s="102" t="s">
        <v>10</v>
      </c>
      <c r="R55" s="102" t="s">
        <v>10</v>
      </c>
    </row>
    <row r="56" spans="1:18" x14ac:dyDescent="0.25">
      <c r="A56" s="102">
        <v>184</v>
      </c>
      <c r="B56" s="102" t="s">
        <v>110</v>
      </c>
      <c r="C56" s="102" t="s">
        <v>608</v>
      </c>
      <c r="D56" s="102">
        <v>21</v>
      </c>
      <c r="E56" s="102">
        <v>208</v>
      </c>
      <c r="F56" s="102">
        <v>27215</v>
      </c>
      <c r="G56" s="102" t="s">
        <v>11</v>
      </c>
      <c r="H56" s="102" t="s">
        <v>10</v>
      </c>
      <c r="I56" s="102" t="s">
        <v>10</v>
      </c>
      <c r="J56" s="102" t="s">
        <v>608</v>
      </c>
      <c r="K56" s="102" t="s">
        <v>10</v>
      </c>
      <c r="L56" s="102" t="s">
        <v>10</v>
      </c>
      <c r="M56" s="102" t="s">
        <v>10</v>
      </c>
      <c r="N56" s="102" t="s">
        <v>10</v>
      </c>
      <c r="O56" s="102" t="s">
        <v>10</v>
      </c>
      <c r="P56" s="102" t="s">
        <v>10</v>
      </c>
      <c r="Q56" s="102" t="s">
        <v>10</v>
      </c>
      <c r="R56" s="102" t="s">
        <v>10</v>
      </c>
    </row>
    <row r="57" spans="1:18" x14ac:dyDescent="0.25">
      <c r="A57" s="102">
        <v>202</v>
      </c>
      <c r="B57" s="102" t="s">
        <v>121</v>
      </c>
      <c r="C57" s="102" t="s">
        <v>608</v>
      </c>
      <c r="D57" s="102">
        <v>32</v>
      </c>
      <c r="E57" s="102">
        <v>119</v>
      </c>
      <c r="F57" s="102">
        <v>6114</v>
      </c>
      <c r="G57" s="102" t="s">
        <v>11</v>
      </c>
      <c r="H57" s="102" t="s">
        <v>10</v>
      </c>
      <c r="I57" s="102" t="s">
        <v>10</v>
      </c>
      <c r="J57" s="102" t="s">
        <v>608</v>
      </c>
      <c r="K57" s="102" t="s">
        <v>10</v>
      </c>
      <c r="L57" s="102" t="s">
        <v>176</v>
      </c>
      <c r="M57" s="102" t="s">
        <v>617</v>
      </c>
      <c r="N57" s="102" t="s">
        <v>176</v>
      </c>
      <c r="O57" s="102" t="s">
        <v>617</v>
      </c>
      <c r="P57" s="102" t="s">
        <v>10</v>
      </c>
      <c r="Q57" s="102" t="s">
        <v>10</v>
      </c>
      <c r="R57" s="102" t="s">
        <v>10</v>
      </c>
    </row>
    <row r="58" spans="1:18" x14ac:dyDescent="0.25">
      <c r="A58" s="102">
        <v>204</v>
      </c>
      <c r="B58" s="102" t="s">
        <v>121</v>
      </c>
      <c r="C58" s="102" t="s">
        <v>608</v>
      </c>
      <c r="D58" s="102">
        <v>33</v>
      </c>
      <c r="E58" s="102">
        <v>6</v>
      </c>
      <c r="F58" s="102">
        <v>5752</v>
      </c>
      <c r="G58" s="102" t="s">
        <v>11</v>
      </c>
      <c r="H58" s="102" t="s">
        <v>10</v>
      </c>
      <c r="I58" s="102" t="s">
        <v>10</v>
      </c>
      <c r="J58" s="102" t="s">
        <v>608</v>
      </c>
      <c r="K58" s="102" t="s">
        <v>10</v>
      </c>
      <c r="L58" s="102" t="s">
        <v>10</v>
      </c>
      <c r="M58" s="102" t="s">
        <v>10</v>
      </c>
      <c r="N58" s="102" t="s">
        <v>10</v>
      </c>
      <c r="O58" s="102" t="s">
        <v>10</v>
      </c>
      <c r="P58" s="102" t="s">
        <v>10</v>
      </c>
      <c r="Q58" s="102" t="s">
        <v>10</v>
      </c>
      <c r="R58" s="102" t="s">
        <v>10</v>
      </c>
    </row>
    <row r="59" spans="1:18" x14ac:dyDescent="0.25">
      <c r="A59" s="102">
        <v>231</v>
      </c>
      <c r="B59" s="102" t="s">
        <v>141</v>
      </c>
      <c r="C59" s="102" t="s">
        <v>340</v>
      </c>
      <c r="D59" s="102">
        <v>21</v>
      </c>
      <c r="E59" s="102">
        <v>242</v>
      </c>
      <c r="F59" s="102">
        <v>4876</v>
      </c>
      <c r="G59" s="102" t="s">
        <v>11</v>
      </c>
      <c r="H59" s="102" t="s">
        <v>10</v>
      </c>
      <c r="I59" s="102" t="s">
        <v>10</v>
      </c>
      <c r="J59" s="102" t="s">
        <v>10</v>
      </c>
      <c r="K59" s="102" t="s">
        <v>340</v>
      </c>
      <c r="L59" s="102" t="s">
        <v>10</v>
      </c>
      <c r="M59" s="102" t="s">
        <v>10</v>
      </c>
      <c r="N59" s="102" t="s">
        <v>10</v>
      </c>
      <c r="O59" s="102" t="s">
        <v>10</v>
      </c>
      <c r="P59" s="102" t="s">
        <v>10</v>
      </c>
      <c r="Q59" s="102" t="s">
        <v>10</v>
      </c>
      <c r="R59" s="102" t="s">
        <v>10</v>
      </c>
    </row>
    <row r="60" spans="1:18" x14ac:dyDescent="0.25">
      <c r="A60" s="102">
        <v>19</v>
      </c>
      <c r="B60" s="102" t="s">
        <v>24</v>
      </c>
      <c r="C60" s="102" t="s">
        <v>407</v>
      </c>
      <c r="D60" s="102">
        <v>21</v>
      </c>
      <c r="E60" s="102">
        <v>70</v>
      </c>
      <c r="F60" s="102">
        <v>12571</v>
      </c>
      <c r="G60" s="102" t="s">
        <v>11</v>
      </c>
      <c r="H60" s="102" t="s">
        <v>10</v>
      </c>
      <c r="I60" s="102" t="s">
        <v>10</v>
      </c>
      <c r="J60" s="102" t="s">
        <v>10</v>
      </c>
      <c r="K60" s="102" t="s">
        <v>407</v>
      </c>
      <c r="L60" s="102" t="s">
        <v>10</v>
      </c>
      <c r="M60" s="102" t="s">
        <v>10</v>
      </c>
      <c r="N60" s="102" t="s">
        <v>10</v>
      </c>
      <c r="O60" s="102" t="s">
        <v>10</v>
      </c>
      <c r="P60" s="102" t="s">
        <v>10</v>
      </c>
      <c r="Q60" s="102" t="s">
        <v>10</v>
      </c>
      <c r="R60" s="102" t="s">
        <v>407</v>
      </c>
    </row>
    <row r="61" spans="1:18" x14ac:dyDescent="0.25">
      <c r="A61" s="102">
        <v>20</v>
      </c>
      <c r="B61" s="102" t="s">
        <v>24</v>
      </c>
      <c r="C61" s="102" t="s">
        <v>407</v>
      </c>
      <c r="D61" s="102">
        <v>21</v>
      </c>
      <c r="E61" s="102">
        <v>71</v>
      </c>
      <c r="F61" s="102">
        <v>7637</v>
      </c>
      <c r="G61" s="102" t="s">
        <v>11</v>
      </c>
      <c r="H61" s="102" t="s">
        <v>10</v>
      </c>
      <c r="I61" s="102" t="s">
        <v>10</v>
      </c>
      <c r="J61" s="102" t="s">
        <v>10</v>
      </c>
      <c r="K61" s="102" t="s">
        <v>407</v>
      </c>
      <c r="L61" s="102" t="s">
        <v>407</v>
      </c>
      <c r="M61" s="102" t="s">
        <v>617</v>
      </c>
      <c r="N61" s="102" t="s">
        <v>10</v>
      </c>
      <c r="O61" s="102" t="s">
        <v>10</v>
      </c>
      <c r="P61" s="102" t="s">
        <v>407</v>
      </c>
      <c r="Q61" s="102" t="s">
        <v>617</v>
      </c>
      <c r="R61" s="102" t="s">
        <v>407</v>
      </c>
    </row>
    <row r="62" spans="1:18" x14ac:dyDescent="0.25">
      <c r="A62" s="102">
        <v>21</v>
      </c>
      <c r="B62" s="102" t="s">
        <v>633</v>
      </c>
      <c r="C62" s="102" t="s">
        <v>407</v>
      </c>
      <c r="D62" s="102">
        <v>21</v>
      </c>
      <c r="E62" s="102">
        <v>72</v>
      </c>
      <c r="F62" s="102">
        <v>17247</v>
      </c>
      <c r="G62" s="102" t="s">
        <v>11</v>
      </c>
      <c r="H62" s="102" t="s">
        <v>10</v>
      </c>
      <c r="I62" s="102" t="s">
        <v>10</v>
      </c>
      <c r="J62" s="102" t="s">
        <v>10</v>
      </c>
      <c r="K62" s="102" t="s">
        <v>407</v>
      </c>
      <c r="L62" s="102" t="s">
        <v>171</v>
      </c>
      <c r="M62" s="102" t="s">
        <v>617</v>
      </c>
      <c r="N62" s="102" t="s">
        <v>10</v>
      </c>
      <c r="O62" s="102" t="s">
        <v>10</v>
      </c>
      <c r="P62" s="102" t="s">
        <v>171</v>
      </c>
      <c r="Q62" s="102" t="s">
        <v>617</v>
      </c>
      <c r="R62" s="102" t="s">
        <v>171</v>
      </c>
    </row>
    <row r="63" spans="1:18" x14ac:dyDescent="0.25">
      <c r="A63" s="102">
        <v>62</v>
      </c>
      <c r="B63" s="102" t="s">
        <v>47</v>
      </c>
      <c r="C63" s="102" t="s">
        <v>407</v>
      </c>
      <c r="D63" s="102">
        <v>21</v>
      </c>
      <c r="E63" s="102">
        <v>102</v>
      </c>
      <c r="F63" s="102">
        <v>6352</v>
      </c>
      <c r="G63" s="102" t="s">
        <v>11</v>
      </c>
      <c r="H63" s="102" t="s">
        <v>10</v>
      </c>
      <c r="I63" s="102" t="s">
        <v>10</v>
      </c>
      <c r="J63" s="102" t="s">
        <v>10</v>
      </c>
      <c r="K63" s="102" t="s">
        <v>407</v>
      </c>
      <c r="L63" s="102" t="s">
        <v>10</v>
      </c>
      <c r="M63" s="102" t="s">
        <v>10</v>
      </c>
      <c r="N63" s="102" t="s">
        <v>10</v>
      </c>
      <c r="O63" s="102" t="s">
        <v>10</v>
      </c>
      <c r="P63" s="102" t="s">
        <v>10</v>
      </c>
      <c r="Q63" s="102" t="s">
        <v>10</v>
      </c>
      <c r="R63" s="102" t="s">
        <v>10</v>
      </c>
    </row>
    <row r="64" spans="1:18" x14ac:dyDescent="0.25">
      <c r="A64" s="102">
        <v>75</v>
      </c>
      <c r="B64" s="102" t="s">
        <v>55</v>
      </c>
      <c r="C64" s="102" t="s">
        <v>407</v>
      </c>
      <c r="D64" s="102">
        <v>21</v>
      </c>
      <c r="E64" s="102">
        <v>114</v>
      </c>
      <c r="F64" s="102">
        <v>11270</v>
      </c>
      <c r="G64" s="102" t="s">
        <v>11</v>
      </c>
      <c r="H64" s="102" t="s">
        <v>10</v>
      </c>
      <c r="I64" s="102" t="s">
        <v>10</v>
      </c>
      <c r="J64" s="102" t="s">
        <v>10</v>
      </c>
      <c r="K64" s="102" t="s">
        <v>407</v>
      </c>
      <c r="L64" s="102" t="s">
        <v>10</v>
      </c>
      <c r="M64" s="102" t="s">
        <v>10</v>
      </c>
      <c r="N64" s="102" t="s">
        <v>10</v>
      </c>
      <c r="O64" s="102" t="s">
        <v>10</v>
      </c>
      <c r="P64" s="102" t="s">
        <v>10</v>
      </c>
      <c r="Q64" s="102" t="s">
        <v>10</v>
      </c>
      <c r="R64" s="102" t="s">
        <v>10</v>
      </c>
    </row>
    <row r="65" spans="1:18" x14ac:dyDescent="0.25">
      <c r="A65" s="102">
        <v>76</v>
      </c>
      <c r="B65" s="102" t="s">
        <v>55</v>
      </c>
      <c r="C65" s="102" t="s">
        <v>407</v>
      </c>
      <c r="D65" s="102">
        <v>21</v>
      </c>
      <c r="E65" s="102">
        <v>115</v>
      </c>
      <c r="F65" s="102">
        <v>26358</v>
      </c>
      <c r="G65" s="102" t="s">
        <v>11</v>
      </c>
      <c r="H65" s="102" t="s">
        <v>10</v>
      </c>
      <c r="I65" s="102" t="s">
        <v>10</v>
      </c>
      <c r="J65" s="102" t="s">
        <v>10</v>
      </c>
      <c r="K65" s="102" t="s">
        <v>407</v>
      </c>
      <c r="L65" s="102" t="s">
        <v>407</v>
      </c>
      <c r="M65" s="102" t="s">
        <v>624</v>
      </c>
      <c r="N65" s="102" t="s">
        <v>10</v>
      </c>
      <c r="O65" s="102" t="s">
        <v>10</v>
      </c>
      <c r="P65" s="102" t="s">
        <v>407</v>
      </c>
      <c r="Q65" s="102" t="s">
        <v>624</v>
      </c>
      <c r="R65" s="102" t="s">
        <v>10</v>
      </c>
    </row>
    <row r="66" spans="1:18" x14ac:dyDescent="0.25">
      <c r="A66" s="102">
        <v>82</v>
      </c>
      <c r="B66" s="102" t="s">
        <v>604</v>
      </c>
      <c r="C66" s="102" t="s">
        <v>407</v>
      </c>
      <c r="D66" s="102">
        <v>33</v>
      </c>
      <c r="E66" s="102">
        <v>12</v>
      </c>
      <c r="F66" s="102">
        <v>9487</v>
      </c>
      <c r="G66" s="102" t="s">
        <v>11</v>
      </c>
      <c r="H66" s="102" t="s">
        <v>10</v>
      </c>
      <c r="I66" s="102" t="s">
        <v>10</v>
      </c>
      <c r="J66" s="102" t="s">
        <v>10</v>
      </c>
      <c r="K66" s="102" t="s">
        <v>407</v>
      </c>
      <c r="L66" s="102" t="s">
        <v>10</v>
      </c>
      <c r="M66" s="102" t="s">
        <v>10</v>
      </c>
      <c r="N66" s="102" t="s">
        <v>10</v>
      </c>
      <c r="O66" s="102" t="s">
        <v>10</v>
      </c>
      <c r="P66" s="102" t="s">
        <v>10</v>
      </c>
      <c r="Q66" s="102" t="s">
        <v>10</v>
      </c>
      <c r="R66" s="102" t="s">
        <v>407</v>
      </c>
    </row>
    <row r="67" spans="1:18" x14ac:dyDescent="0.25">
      <c r="A67" s="102">
        <v>84</v>
      </c>
      <c r="B67" s="102" t="s">
        <v>604</v>
      </c>
      <c r="C67" s="102" t="s">
        <v>407</v>
      </c>
      <c r="D67" s="102">
        <v>21</v>
      </c>
      <c r="E67" s="102">
        <v>121</v>
      </c>
      <c r="F67" s="102">
        <v>11402</v>
      </c>
      <c r="G67" s="102" t="s">
        <v>11</v>
      </c>
      <c r="H67" s="102" t="s">
        <v>10</v>
      </c>
      <c r="I67" s="102" t="s">
        <v>10</v>
      </c>
      <c r="J67" s="102" t="s">
        <v>10</v>
      </c>
      <c r="K67" s="102" t="s">
        <v>407</v>
      </c>
      <c r="L67" s="102" t="s">
        <v>10</v>
      </c>
      <c r="M67" s="102" t="s">
        <v>10</v>
      </c>
      <c r="N67" s="102" t="s">
        <v>10</v>
      </c>
      <c r="O67" s="102" t="s">
        <v>10</v>
      </c>
      <c r="P67" s="102" t="s">
        <v>10</v>
      </c>
      <c r="Q67" s="102" t="s">
        <v>10</v>
      </c>
      <c r="R67" s="102" t="s">
        <v>10</v>
      </c>
    </row>
    <row r="68" spans="1:18" x14ac:dyDescent="0.25">
      <c r="A68" s="102">
        <v>86</v>
      </c>
      <c r="B68" s="102" t="s">
        <v>60</v>
      </c>
      <c r="C68" s="102" t="s">
        <v>407</v>
      </c>
      <c r="D68" s="102">
        <v>21</v>
      </c>
      <c r="E68" s="102">
        <v>123</v>
      </c>
      <c r="F68" s="102">
        <v>1705</v>
      </c>
      <c r="G68" s="102" t="s">
        <v>11</v>
      </c>
      <c r="H68" s="102" t="s">
        <v>10</v>
      </c>
      <c r="I68" s="102" t="s">
        <v>10</v>
      </c>
      <c r="J68" s="102" t="s">
        <v>10</v>
      </c>
      <c r="K68" s="102" t="s">
        <v>407</v>
      </c>
      <c r="L68" s="102" t="s">
        <v>10</v>
      </c>
      <c r="M68" s="102" t="s">
        <v>10</v>
      </c>
      <c r="N68" s="102" t="s">
        <v>10</v>
      </c>
      <c r="O68" s="102" t="s">
        <v>10</v>
      </c>
      <c r="P68" s="102" t="s">
        <v>10</v>
      </c>
      <c r="Q68" s="102" t="s">
        <v>10</v>
      </c>
      <c r="R68" s="102" t="s">
        <v>10</v>
      </c>
    </row>
    <row r="69" spans="1:18" x14ac:dyDescent="0.25">
      <c r="A69" s="102">
        <v>87</v>
      </c>
      <c r="B69" s="102" t="s">
        <v>60</v>
      </c>
      <c r="C69" s="102" t="s">
        <v>407</v>
      </c>
      <c r="D69" s="102">
        <v>21</v>
      </c>
      <c r="E69" s="102">
        <v>124</v>
      </c>
      <c r="F69" s="102">
        <v>8766</v>
      </c>
      <c r="G69" s="102" t="s">
        <v>11</v>
      </c>
      <c r="H69" s="102" t="s">
        <v>10</v>
      </c>
      <c r="I69" s="102" t="s">
        <v>10</v>
      </c>
      <c r="J69" s="102" t="s">
        <v>10</v>
      </c>
      <c r="K69" s="102" t="s">
        <v>407</v>
      </c>
      <c r="L69" s="102" t="s">
        <v>10</v>
      </c>
      <c r="M69" s="102" t="s">
        <v>10</v>
      </c>
      <c r="N69" s="102" t="s">
        <v>10</v>
      </c>
      <c r="O69" s="102" t="s">
        <v>10</v>
      </c>
      <c r="P69" s="102" t="s">
        <v>10</v>
      </c>
      <c r="Q69" s="102" t="s">
        <v>10</v>
      </c>
      <c r="R69" s="102" t="s">
        <v>10</v>
      </c>
    </row>
    <row r="70" spans="1:18" x14ac:dyDescent="0.25">
      <c r="A70" s="102">
        <v>140</v>
      </c>
      <c r="B70" s="102" t="s">
        <v>87</v>
      </c>
      <c r="C70" s="102" t="s">
        <v>407</v>
      </c>
      <c r="D70" s="102">
        <v>21</v>
      </c>
      <c r="E70" s="102">
        <v>170</v>
      </c>
      <c r="F70" s="102">
        <v>7810</v>
      </c>
      <c r="G70" s="102" t="s">
        <v>11</v>
      </c>
      <c r="H70" s="102" t="s">
        <v>10</v>
      </c>
      <c r="I70" s="102" t="s">
        <v>10</v>
      </c>
      <c r="J70" s="102" t="s">
        <v>10</v>
      </c>
      <c r="K70" s="102" t="s">
        <v>407</v>
      </c>
      <c r="L70" s="102" t="s">
        <v>10</v>
      </c>
      <c r="M70" s="102" t="s">
        <v>10</v>
      </c>
      <c r="N70" s="102" t="s">
        <v>10</v>
      </c>
      <c r="O70" s="102" t="s">
        <v>10</v>
      </c>
      <c r="P70" s="102" t="s">
        <v>10</v>
      </c>
      <c r="Q70" s="102" t="s">
        <v>10</v>
      </c>
      <c r="R70" s="102" t="s">
        <v>10</v>
      </c>
    </row>
    <row r="71" spans="1:18" x14ac:dyDescent="0.25">
      <c r="A71" s="102">
        <v>209</v>
      </c>
      <c r="B71" s="102" t="s">
        <v>123</v>
      </c>
      <c r="C71" s="102" t="s">
        <v>407</v>
      </c>
      <c r="D71" s="102">
        <v>21</v>
      </c>
      <c r="E71" s="102">
        <v>229</v>
      </c>
      <c r="F71" s="102">
        <v>5084</v>
      </c>
      <c r="G71" s="102" t="s">
        <v>11</v>
      </c>
      <c r="H71" s="102" t="s">
        <v>10</v>
      </c>
      <c r="I71" s="102" t="s">
        <v>10</v>
      </c>
      <c r="J71" s="102" t="s">
        <v>10</v>
      </c>
      <c r="K71" s="102" t="s">
        <v>407</v>
      </c>
      <c r="L71" s="102" t="s">
        <v>10</v>
      </c>
      <c r="M71" s="102" t="s">
        <v>10</v>
      </c>
      <c r="N71" s="102" t="s">
        <v>10</v>
      </c>
      <c r="O71" s="102" t="s">
        <v>10</v>
      </c>
      <c r="P71" s="102" t="s">
        <v>10</v>
      </c>
      <c r="Q71" s="102" t="s">
        <v>10</v>
      </c>
      <c r="R71" s="102" t="s">
        <v>10</v>
      </c>
    </row>
    <row r="72" spans="1:18" x14ac:dyDescent="0.25">
      <c r="A72" s="102">
        <v>10</v>
      </c>
      <c r="B72" s="102" t="s">
        <v>19</v>
      </c>
      <c r="C72" s="102" t="s">
        <v>164</v>
      </c>
      <c r="D72" s="102">
        <v>1</v>
      </c>
      <c r="E72" s="102">
        <v>167</v>
      </c>
      <c r="F72" s="102">
        <v>3672</v>
      </c>
      <c r="G72" s="102" t="s">
        <v>11</v>
      </c>
      <c r="H72" s="102" t="s">
        <v>10</v>
      </c>
      <c r="I72" s="102" t="s">
        <v>10</v>
      </c>
      <c r="J72" s="102" t="s">
        <v>10</v>
      </c>
      <c r="K72" s="102" t="s">
        <v>164</v>
      </c>
      <c r="L72" s="102" t="s">
        <v>10</v>
      </c>
      <c r="M72" s="102" t="s">
        <v>10</v>
      </c>
      <c r="N72" s="102" t="s">
        <v>10</v>
      </c>
      <c r="O72" s="102" t="s">
        <v>10</v>
      </c>
      <c r="P72" s="102" t="s">
        <v>10</v>
      </c>
      <c r="Q72" s="102" t="s">
        <v>10</v>
      </c>
      <c r="R72" s="102" t="s">
        <v>164</v>
      </c>
    </row>
    <row r="73" spans="1:18" x14ac:dyDescent="0.25">
      <c r="A73" s="102">
        <v>45</v>
      </c>
      <c r="B73" s="102" t="s">
        <v>37</v>
      </c>
      <c r="C73" s="102" t="s">
        <v>164</v>
      </c>
      <c r="D73" s="102">
        <v>1</v>
      </c>
      <c r="E73" s="102">
        <v>6</v>
      </c>
      <c r="F73" s="102">
        <v>6517</v>
      </c>
      <c r="G73" s="102" t="s">
        <v>11</v>
      </c>
      <c r="H73" s="102" t="s">
        <v>10</v>
      </c>
      <c r="I73" s="102" t="s">
        <v>10</v>
      </c>
      <c r="J73" s="102" t="s">
        <v>10</v>
      </c>
      <c r="K73" s="102" t="s">
        <v>164</v>
      </c>
      <c r="L73" s="102" t="s">
        <v>10</v>
      </c>
      <c r="M73" s="102" t="s">
        <v>10</v>
      </c>
      <c r="N73" s="102" t="s">
        <v>10</v>
      </c>
      <c r="O73" s="102" t="s">
        <v>10</v>
      </c>
      <c r="P73" s="102" t="s">
        <v>10</v>
      </c>
      <c r="Q73" s="102" t="s">
        <v>10</v>
      </c>
      <c r="R73" s="102" t="s">
        <v>10</v>
      </c>
    </row>
    <row r="74" spans="1:18" x14ac:dyDescent="0.25">
      <c r="A74" s="102">
        <v>162</v>
      </c>
      <c r="B74" s="102" t="s">
        <v>97</v>
      </c>
      <c r="C74" s="102" t="s">
        <v>173</v>
      </c>
      <c r="D74" s="102">
        <v>8</v>
      </c>
      <c r="E74" s="102">
        <v>210</v>
      </c>
      <c r="F74" s="102">
        <v>4483</v>
      </c>
      <c r="G74" s="102" t="s">
        <v>11</v>
      </c>
      <c r="H74" s="102" t="s">
        <v>10</v>
      </c>
      <c r="I74" s="102" t="s">
        <v>10</v>
      </c>
      <c r="J74" s="102" t="s">
        <v>10</v>
      </c>
      <c r="K74" s="102" t="s">
        <v>173</v>
      </c>
      <c r="L74" s="102" t="s">
        <v>10</v>
      </c>
      <c r="M74" s="102" t="s">
        <v>10</v>
      </c>
      <c r="N74" s="102" t="s">
        <v>10</v>
      </c>
      <c r="O74" s="102" t="s">
        <v>10</v>
      </c>
      <c r="P74" s="102" t="s">
        <v>10</v>
      </c>
      <c r="Q74" s="102" t="s">
        <v>10</v>
      </c>
      <c r="R74" s="102" t="s">
        <v>472</v>
      </c>
    </row>
    <row r="75" spans="1:18" x14ac:dyDescent="0.25">
      <c r="A75" s="102">
        <v>58</v>
      </c>
      <c r="B75" s="102" t="s">
        <v>44</v>
      </c>
      <c r="C75" s="102" t="s">
        <v>195</v>
      </c>
      <c r="D75" s="102">
        <v>14</v>
      </c>
      <c r="E75" s="102">
        <v>27</v>
      </c>
      <c r="F75" s="102">
        <v>11025</v>
      </c>
      <c r="G75" s="102" t="s">
        <v>11</v>
      </c>
      <c r="H75" s="102" t="s">
        <v>10</v>
      </c>
      <c r="I75" s="102" t="s">
        <v>10</v>
      </c>
      <c r="J75" s="102" t="s">
        <v>10</v>
      </c>
      <c r="K75" s="102" t="s">
        <v>195</v>
      </c>
      <c r="L75" s="102" t="s">
        <v>10</v>
      </c>
      <c r="M75" s="102" t="s">
        <v>10</v>
      </c>
      <c r="N75" s="102" t="s">
        <v>10</v>
      </c>
      <c r="O75" s="102" t="s">
        <v>10</v>
      </c>
      <c r="P75" s="102" t="s">
        <v>10</v>
      </c>
      <c r="Q75" s="102" t="s">
        <v>10</v>
      </c>
      <c r="R75" s="102" t="s">
        <v>475</v>
      </c>
    </row>
    <row r="76" spans="1:18" x14ac:dyDescent="0.25">
      <c r="A76" s="102">
        <v>94</v>
      </c>
      <c r="B76" s="102" t="s">
        <v>64</v>
      </c>
      <c r="C76" s="102" t="s">
        <v>216</v>
      </c>
      <c r="D76" s="102">
        <v>33</v>
      </c>
      <c r="E76" s="102">
        <v>5</v>
      </c>
      <c r="F76" s="102">
        <v>9588</v>
      </c>
      <c r="G76" s="102" t="s">
        <v>11</v>
      </c>
      <c r="H76" s="102" t="s">
        <v>10</v>
      </c>
      <c r="I76" s="102" t="s">
        <v>10</v>
      </c>
      <c r="J76" s="102" t="s">
        <v>10</v>
      </c>
      <c r="K76" s="102" t="s">
        <v>216</v>
      </c>
      <c r="L76" s="102" t="s">
        <v>10</v>
      </c>
      <c r="M76" s="102" t="s">
        <v>10</v>
      </c>
      <c r="N76" s="102" t="s">
        <v>10</v>
      </c>
      <c r="O76" s="102" t="s">
        <v>10</v>
      </c>
      <c r="P76" s="102" t="s">
        <v>10</v>
      </c>
      <c r="Q76" s="102" t="s">
        <v>10</v>
      </c>
      <c r="R76" s="102" t="s">
        <v>407</v>
      </c>
    </row>
    <row r="77" spans="1:18" x14ac:dyDescent="0.25">
      <c r="A77" s="102">
        <v>161</v>
      </c>
      <c r="B77" s="102" t="s">
        <v>96</v>
      </c>
      <c r="C77" s="102" t="s">
        <v>307</v>
      </c>
      <c r="D77" s="102">
        <v>21</v>
      </c>
      <c r="E77" s="102">
        <v>191</v>
      </c>
      <c r="F77" s="102">
        <v>18950</v>
      </c>
      <c r="G77" s="102" t="s">
        <v>11</v>
      </c>
      <c r="H77" s="102" t="s">
        <v>10</v>
      </c>
      <c r="I77" s="102" t="s">
        <v>10</v>
      </c>
      <c r="J77" s="102" t="s">
        <v>10</v>
      </c>
      <c r="K77" s="102" t="s">
        <v>307</v>
      </c>
      <c r="L77" s="102" t="s">
        <v>10</v>
      </c>
      <c r="M77" s="102" t="s">
        <v>10</v>
      </c>
      <c r="N77" s="102" t="s">
        <v>10</v>
      </c>
      <c r="O77" s="102" t="s">
        <v>10</v>
      </c>
      <c r="P77" s="102" t="s">
        <v>10</v>
      </c>
      <c r="Q77" s="102" t="s">
        <v>10</v>
      </c>
      <c r="R77" s="102" t="s">
        <v>307</v>
      </c>
    </row>
    <row r="78" spans="1:18" x14ac:dyDescent="0.25">
      <c r="A78" s="102">
        <v>18</v>
      </c>
      <c r="B78" s="102" t="s">
        <v>23</v>
      </c>
      <c r="C78" s="102" t="s">
        <v>171</v>
      </c>
      <c r="D78" s="102">
        <v>21</v>
      </c>
      <c r="E78" s="102">
        <v>68</v>
      </c>
      <c r="F78" s="102">
        <v>3699</v>
      </c>
      <c r="G78" s="102" t="s">
        <v>11</v>
      </c>
      <c r="H78" s="102" t="s">
        <v>10</v>
      </c>
      <c r="I78" s="102" t="s">
        <v>10</v>
      </c>
      <c r="J78" s="102" t="s">
        <v>10</v>
      </c>
      <c r="K78" s="102" t="s">
        <v>171</v>
      </c>
      <c r="L78" s="102" t="s">
        <v>10</v>
      </c>
      <c r="M78" s="102" t="s">
        <v>10</v>
      </c>
      <c r="N78" s="102" t="s">
        <v>10</v>
      </c>
      <c r="O78" s="102" t="s">
        <v>10</v>
      </c>
      <c r="P78" s="102" t="s">
        <v>10</v>
      </c>
      <c r="Q78" s="102" t="s">
        <v>10</v>
      </c>
      <c r="R78" s="102" t="s">
        <v>10</v>
      </c>
    </row>
    <row r="79" spans="1:18" x14ac:dyDescent="0.25">
      <c r="A79" s="102">
        <v>95</v>
      </c>
      <c r="B79" s="102" t="s">
        <v>65</v>
      </c>
      <c r="C79" s="102" t="s">
        <v>171</v>
      </c>
      <c r="D79" s="102">
        <v>21</v>
      </c>
      <c r="E79" s="102">
        <v>132</v>
      </c>
      <c r="F79" s="102">
        <v>11540</v>
      </c>
      <c r="G79" s="102" t="s">
        <v>11</v>
      </c>
      <c r="H79" s="102" t="s">
        <v>10</v>
      </c>
      <c r="I79" s="102" t="s">
        <v>10</v>
      </c>
      <c r="J79" s="102" t="s">
        <v>10</v>
      </c>
      <c r="K79" s="102" t="s">
        <v>171</v>
      </c>
      <c r="L79" s="102" t="s">
        <v>10</v>
      </c>
      <c r="M79" s="102" t="s">
        <v>10</v>
      </c>
      <c r="N79" s="102" t="s">
        <v>10</v>
      </c>
      <c r="O79" s="102" t="s">
        <v>10</v>
      </c>
      <c r="P79" s="102" t="s">
        <v>10</v>
      </c>
      <c r="Q79" s="102" t="s">
        <v>10</v>
      </c>
      <c r="R79" s="102" t="s">
        <v>171</v>
      </c>
    </row>
    <row r="80" spans="1:18" x14ac:dyDescent="0.25">
      <c r="A80" s="102">
        <v>96</v>
      </c>
      <c r="B80" s="102" t="s">
        <v>65</v>
      </c>
      <c r="C80" s="102" t="s">
        <v>171</v>
      </c>
      <c r="D80" s="102">
        <v>21</v>
      </c>
      <c r="E80" s="102">
        <v>70</v>
      </c>
      <c r="F80" s="102">
        <v>8887</v>
      </c>
      <c r="G80" s="102" t="s">
        <v>11</v>
      </c>
      <c r="H80" s="102" t="s">
        <v>10</v>
      </c>
      <c r="I80" s="102" t="s">
        <v>10</v>
      </c>
      <c r="J80" s="102" t="s">
        <v>10</v>
      </c>
      <c r="K80" s="102" t="s">
        <v>171</v>
      </c>
      <c r="L80" s="102" t="s">
        <v>10</v>
      </c>
      <c r="M80" s="102" t="s">
        <v>10</v>
      </c>
      <c r="N80" s="102" t="s">
        <v>10</v>
      </c>
      <c r="O80" s="102" t="s">
        <v>10</v>
      </c>
      <c r="P80" s="102" t="s">
        <v>10</v>
      </c>
      <c r="Q80" s="102" t="s">
        <v>10</v>
      </c>
      <c r="R80" s="102" t="s">
        <v>407</v>
      </c>
    </row>
    <row r="81" spans="1:18" x14ac:dyDescent="0.25">
      <c r="A81" s="102">
        <v>97</v>
      </c>
      <c r="B81" s="102" t="s">
        <v>65</v>
      </c>
      <c r="C81" s="102" t="s">
        <v>171</v>
      </c>
      <c r="D81" s="102">
        <v>21</v>
      </c>
      <c r="E81" s="102">
        <v>71</v>
      </c>
      <c r="F81" s="102">
        <v>13915</v>
      </c>
      <c r="G81" s="102" t="s">
        <v>11</v>
      </c>
      <c r="H81" s="102" t="s">
        <v>10</v>
      </c>
      <c r="I81" s="102" t="s">
        <v>10</v>
      </c>
      <c r="J81" s="102" t="s">
        <v>10</v>
      </c>
      <c r="K81" s="102" t="s">
        <v>171</v>
      </c>
      <c r="L81" s="102" t="s">
        <v>407</v>
      </c>
      <c r="M81" s="102" t="s">
        <v>617</v>
      </c>
      <c r="N81" s="102" t="s">
        <v>10</v>
      </c>
      <c r="O81" s="102" t="s">
        <v>10</v>
      </c>
      <c r="P81" s="102" t="s">
        <v>407</v>
      </c>
      <c r="Q81" s="102" t="s">
        <v>617</v>
      </c>
      <c r="R81" s="102" t="s">
        <v>407</v>
      </c>
    </row>
    <row r="82" spans="1:18" x14ac:dyDescent="0.25">
      <c r="A82" s="102">
        <v>98</v>
      </c>
      <c r="B82" s="102" t="s">
        <v>65</v>
      </c>
      <c r="C82" s="102" t="s">
        <v>171</v>
      </c>
      <c r="D82" s="102">
        <v>21</v>
      </c>
      <c r="E82" s="102">
        <v>72</v>
      </c>
      <c r="F82" s="102">
        <v>11043</v>
      </c>
      <c r="G82" s="102" t="s">
        <v>11</v>
      </c>
      <c r="H82" s="102" t="s">
        <v>10</v>
      </c>
      <c r="I82" s="102" t="s">
        <v>10</v>
      </c>
      <c r="J82" s="102" t="s">
        <v>10</v>
      </c>
      <c r="K82" s="102" t="s">
        <v>171</v>
      </c>
      <c r="L82" s="102" t="s">
        <v>171</v>
      </c>
      <c r="M82" s="102" t="s">
        <v>617</v>
      </c>
      <c r="N82" s="102" t="s">
        <v>10</v>
      </c>
      <c r="O82" s="102" t="s">
        <v>10</v>
      </c>
      <c r="P82" s="102" t="s">
        <v>171</v>
      </c>
      <c r="Q82" s="102" t="s">
        <v>617</v>
      </c>
      <c r="R82" s="102" t="s">
        <v>171</v>
      </c>
    </row>
    <row r="83" spans="1:18" x14ac:dyDescent="0.25">
      <c r="A83" s="102">
        <v>6</v>
      </c>
      <c r="B83" s="102" t="s">
        <v>17</v>
      </c>
      <c r="C83" s="102" t="s">
        <v>163</v>
      </c>
      <c r="D83" s="102">
        <v>22</v>
      </c>
      <c r="E83" s="102">
        <v>22</v>
      </c>
      <c r="F83" s="102">
        <v>5636</v>
      </c>
      <c r="G83" s="102" t="s">
        <v>11</v>
      </c>
      <c r="H83" s="102" t="s">
        <v>10</v>
      </c>
      <c r="I83" s="102" t="s">
        <v>10</v>
      </c>
      <c r="J83" s="102" t="s">
        <v>10</v>
      </c>
      <c r="K83" s="102" t="s">
        <v>163</v>
      </c>
      <c r="L83" s="102" t="s">
        <v>10</v>
      </c>
      <c r="M83" s="102" t="s">
        <v>10</v>
      </c>
      <c r="N83" s="102" t="s">
        <v>10</v>
      </c>
      <c r="O83" s="102" t="s">
        <v>10</v>
      </c>
      <c r="P83" s="102" t="s">
        <v>10</v>
      </c>
      <c r="Q83" s="102" t="s">
        <v>10</v>
      </c>
      <c r="R83" s="102" t="s">
        <v>10</v>
      </c>
    </row>
    <row r="84" spans="1:18" x14ac:dyDescent="0.25">
      <c r="A84" s="102">
        <v>8</v>
      </c>
      <c r="B84" s="102" t="s">
        <v>18</v>
      </c>
      <c r="C84" s="102" t="s">
        <v>163</v>
      </c>
      <c r="D84" s="102">
        <v>21</v>
      </c>
      <c r="E84" s="102">
        <v>61</v>
      </c>
      <c r="F84" s="102">
        <v>14713</v>
      </c>
      <c r="G84" s="102" t="s">
        <v>11</v>
      </c>
      <c r="H84" s="102" t="s">
        <v>10</v>
      </c>
      <c r="I84" s="102" t="s">
        <v>10</v>
      </c>
      <c r="J84" s="102" t="s">
        <v>10</v>
      </c>
      <c r="K84" s="102" t="s">
        <v>163</v>
      </c>
      <c r="L84" s="102" t="s">
        <v>10</v>
      </c>
      <c r="M84" s="102" t="s">
        <v>10</v>
      </c>
      <c r="N84" s="102" t="s">
        <v>10</v>
      </c>
      <c r="O84" s="102" t="s">
        <v>10</v>
      </c>
      <c r="P84" s="102" t="s">
        <v>10</v>
      </c>
      <c r="Q84" s="102" t="s">
        <v>10</v>
      </c>
      <c r="R84" s="102" t="s">
        <v>10</v>
      </c>
    </row>
    <row r="85" spans="1:18" x14ac:dyDescent="0.25">
      <c r="A85" s="102">
        <v>9</v>
      </c>
      <c r="B85" s="102" t="s">
        <v>18</v>
      </c>
      <c r="C85" s="102" t="s">
        <v>163</v>
      </c>
      <c r="D85" s="102">
        <v>21</v>
      </c>
      <c r="E85" s="102">
        <v>62</v>
      </c>
      <c r="F85" s="102">
        <v>12240</v>
      </c>
      <c r="G85" s="102" t="s">
        <v>11</v>
      </c>
      <c r="H85" s="102" t="s">
        <v>10</v>
      </c>
      <c r="I85" s="102" t="s">
        <v>10</v>
      </c>
      <c r="J85" s="102" t="s">
        <v>10</v>
      </c>
      <c r="K85" s="102" t="s">
        <v>163</v>
      </c>
      <c r="L85" s="102" t="s">
        <v>176</v>
      </c>
      <c r="M85" s="102" t="s">
        <v>617</v>
      </c>
      <c r="N85" s="102" t="s">
        <v>10</v>
      </c>
      <c r="O85" s="102" t="s">
        <v>10</v>
      </c>
      <c r="P85" s="102" t="s">
        <v>176</v>
      </c>
      <c r="Q85" s="102" t="s">
        <v>617</v>
      </c>
      <c r="R85" s="102" t="s">
        <v>10</v>
      </c>
    </row>
    <row r="86" spans="1:18" x14ac:dyDescent="0.25">
      <c r="A86" s="102">
        <v>17</v>
      </c>
      <c r="B86" s="102" t="s">
        <v>22</v>
      </c>
      <c r="C86" s="102" t="s">
        <v>163</v>
      </c>
      <c r="D86" s="102">
        <v>21</v>
      </c>
      <c r="E86" s="102">
        <v>68</v>
      </c>
      <c r="F86" s="102">
        <v>15126</v>
      </c>
      <c r="G86" s="102" t="s">
        <v>11</v>
      </c>
      <c r="H86" s="102" t="s">
        <v>10</v>
      </c>
      <c r="I86" s="102" t="s">
        <v>10</v>
      </c>
      <c r="J86" s="102" t="s">
        <v>10</v>
      </c>
      <c r="K86" s="102" t="s">
        <v>163</v>
      </c>
      <c r="L86" s="102" t="s">
        <v>10</v>
      </c>
      <c r="M86" s="102" t="s">
        <v>10</v>
      </c>
      <c r="N86" s="102" t="s">
        <v>10</v>
      </c>
      <c r="O86" s="102" t="s">
        <v>10</v>
      </c>
      <c r="P86" s="102" t="s">
        <v>10</v>
      </c>
      <c r="Q86" s="102" t="s">
        <v>10</v>
      </c>
      <c r="R86" s="102" t="s">
        <v>10</v>
      </c>
    </row>
    <row r="87" spans="1:18" x14ac:dyDescent="0.25">
      <c r="A87" s="102">
        <v>32</v>
      </c>
      <c r="B87" s="102" t="s">
        <v>30</v>
      </c>
      <c r="C87" s="102" t="s">
        <v>163</v>
      </c>
      <c r="D87" s="102">
        <v>21</v>
      </c>
      <c r="E87" s="102">
        <v>83</v>
      </c>
      <c r="F87" s="102">
        <v>5917</v>
      </c>
      <c r="G87" s="102" t="s">
        <v>11</v>
      </c>
      <c r="H87" s="102" t="s">
        <v>10</v>
      </c>
      <c r="I87" s="102" t="s">
        <v>10</v>
      </c>
      <c r="J87" s="102" t="s">
        <v>10</v>
      </c>
      <c r="K87" s="102" t="s">
        <v>163</v>
      </c>
      <c r="L87" s="102" t="s">
        <v>176</v>
      </c>
      <c r="M87" s="102" t="s">
        <v>618</v>
      </c>
      <c r="N87" s="102" t="s">
        <v>10</v>
      </c>
      <c r="O87" s="102" t="s">
        <v>10</v>
      </c>
      <c r="P87" s="102" t="s">
        <v>176</v>
      </c>
      <c r="Q87" s="102" t="s">
        <v>618</v>
      </c>
      <c r="R87" s="102" t="s">
        <v>10</v>
      </c>
    </row>
    <row r="88" spans="1:18" x14ac:dyDescent="0.25">
      <c r="A88" s="102">
        <v>33</v>
      </c>
      <c r="B88" s="102" t="s">
        <v>30</v>
      </c>
      <c r="C88" s="102" t="s">
        <v>163</v>
      </c>
      <c r="D88" s="102">
        <v>21</v>
      </c>
      <c r="E88" s="102">
        <v>84</v>
      </c>
      <c r="F88" s="102">
        <v>3911</v>
      </c>
      <c r="G88" s="102" t="s">
        <v>11</v>
      </c>
      <c r="H88" s="102" t="s">
        <v>10</v>
      </c>
      <c r="I88" s="102" t="s">
        <v>10</v>
      </c>
      <c r="J88" s="102" t="s">
        <v>10</v>
      </c>
      <c r="K88" s="102" t="s">
        <v>163</v>
      </c>
      <c r="L88" s="102" t="s">
        <v>176</v>
      </c>
      <c r="M88" s="102" t="s">
        <v>618</v>
      </c>
      <c r="N88" s="102" t="s">
        <v>10</v>
      </c>
      <c r="O88" s="102" t="s">
        <v>10</v>
      </c>
      <c r="P88" s="102" t="s">
        <v>176</v>
      </c>
      <c r="Q88" s="102" t="s">
        <v>618</v>
      </c>
      <c r="R88" s="102" t="s">
        <v>10</v>
      </c>
    </row>
    <row r="89" spans="1:18" x14ac:dyDescent="0.25">
      <c r="A89" s="102">
        <v>34</v>
      </c>
      <c r="B89" s="102" t="s">
        <v>30</v>
      </c>
      <c r="C89" s="102" t="s">
        <v>163</v>
      </c>
      <c r="D89" s="102">
        <v>21</v>
      </c>
      <c r="E89" s="102">
        <v>85</v>
      </c>
      <c r="F89" s="102">
        <v>17141</v>
      </c>
      <c r="G89" s="102" t="s">
        <v>11</v>
      </c>
      <c r="H89" s="102" t="s">
        <v>10</v>
      </c>
      <c r="I89" s="102" t="s">
        <v>10</v>
      </c>
      <c r="J89" s="102" t="s">
        <v>10</v>
      </c>
      <c r="K89" s="102" t="s">
        <v>163</v>
      </c>
      <c r="L89" s="102" t="s">
        <v>10</v>
      </c>
      <c r="M89" s="102" t="s">
        <v>10</v>
      </c>
      <c r="N89" s="102" t="s">
        <v>10</v>
      </c>
      <c r="O89" s="102" t="s">
        <v>10</v>
      </c>
      <c r="P89" s="102" t="s">
        <v>10</v>
      </c>
      <c r="Q89" s="102" t="s">
        <v>10</v>
      </c>
      <c r="R89" s="102" t="s">
        <v>10</v>
      </c>
    </row>
    <row r="90" spans="1:18" x14ac:dyDescent="0.25">
      <c r="A90" s="102">
        <v>36</v>
      </c>
      <c r="B90" s="102" t="s">
        <v>32</v>
      </c>
      <c r="C90" s="102" t="s">
        <v>163</v>
      </c>
      <c r="D90" s="102">
        <v>21</v>
      </c>
      <c r="E90" s="102">
        <v>86</v>
      </c>
      <c r="F90" s="102">
        <v>8170</v>
      </c>
      <c r="G90" s="102" t="s">
        <v>11</v>
      </c>
      <c r="H90" s="102" t="s">
        <v>10</v>
      </c>
      <c r="I90" s="102" t="s">
        <v>10</v>
      </c>
      <c r="J90" s="102" t="s">
        <v>10</v>
      </c>
      <c r="K90" s="102" t="s">
        <v>163</v>
      </c>
      <c r="L90" s="102" t="s">
        <v>176</v>
      </c>
      <c r="M90" s="102" t="s">
        <v>617</v>
      </c>
      <c r="N90" s="102" t="s">
        <v>10</v>
      </c>
      <c r="O90" s="102" t="s">
        <v>10</v>
      </c>
      <c r="P90" s="102" t="s">
        <v>176</v>
      </c>
      <c r="Q90" s="102" t="s">
        <v>617</v>
      </c>
      <c r="R90" s="102" t="s">
        <v>307</v>
      </c>
    </row>
    <row r="91" spans="1:18" x14ac:dyDescent="0.25">
      <c r="A91" s="102">
        <v>37</v>
      </c>
      <c r="B91" s="102" t="s">
        <v>32</v>
      </c>
      <c r="C91" s="102" t="s">
        <v>163</v>
      </c>
      <c r="D91" s="102">
        <v>21</v>
      </c>
      <c r="E91" s="102">
        <v>87</v>
      </c>
      <c r="F91" s="102">
        <v>9745</v>
      </c>
      <c r="G91" s="102" t="s">
        <v>11</v>
      </c>
      <c r="H91" s="102" t="s">
        <v>10</v>
      </c>
      <c r="I91" s="102" t="s">
        <v>10</v>
      </c>
      <c r="J91" s="102" t="s">
        <v>10</v>
      </c>
      <c r="K91" s="102" t="s">
        <v>163</v>
      </c>
      <c r="L91" s="102" t="s">
        <v>10</v>
      </c>
      <c r="M91" s="102" t="s">
        <v>10</v>
      </c>
      <c r="N91" s="102" t="s">
        <v>10</v>
      </c>
      <c r="O91" s="102" t="s">
        <v>10</v>
      </c>
      <c r="P91" s="102" t="s">
        <v>10</v>
      </c>
      <c r="Q91" s="102" t="s">
        <v>10</v>
      </c>
      <c r="R91" s="102" t="s">
        <v>307</v>
      </c>
    </row>
    <row r="92" spans="1:18" x14ac:dyDescent="0.25">
      <c r="A92" s="102">
        <v>89</v>
      </c>
      <c r="B92" s="102" t="s">
        <v>61</v>
      </c>
      <c r="C92" s="102" t="s">
        <v>163</v>
      </c>
      <c r="D92" s="102">
        <v>21</v>
      </c>
      <c r="E92" s="102">
        <v>125</v>
      </c>
      <c r="F92" s="102">
        <v>9149</v>
      </c>
      <c r="G92" s="102" t="s">
        <v>11</v>
      </c>
      <c r="H92" s="102" t="s">
        <v>10</v>
      </c>
      <c r="I92" s="102" t="s">
        <v>10</v>
      </c>
      <c r="J92" s="102" t="s">
        <v>10</v>
      </c>
      <c r="K92" s="102" t="s">
        <v>163</v>
      </c>
      <c r="L92" s="102" t="s">
        <v>176</v>
      </c>
      <c r="M92" s="102" t="s">
        <v>618</v>
      </c>
      <c r="N92" s="102" t="s">
        <v>10</v>
      </c>
      <c r="O92" s="102" t="s">
        <v>10</v>
      </c>
      <c r="P92" s="102" t="s">
        <v>176</v>
      </c>
      <c r="Q92" s="102" t="s">
        <v>618</v>
      </c>
      <c r="R92" s="102" t="s">
        <v>10</v>
      </c>
    </row>
    <row r="93" spans="1:18" x14ac:dyDescent="0.25">
      <c r="A93" s="102">
        <v>90</v>
      </c>
      <c r="B93" s="102" t="s">
        <v>61</v>
      </c>
      <c r="C93" s="102" t="s">
        <v>163</v>
      </c>
      <c r="D93" s="102">
        <v>21</v>
      </c>
      <c r="E93" s="102">
        <v>126</v>
      </c>
      <c r="F93" s="102">
        <v>9151</v>
      </c>
      <c r="G93" s="102" t="s">
        <v>11</v>
      </c>
      <c r="H93" s="102" t="s">
        <v>10</v>
      </c>
      <c r="I93" s="102" t="s">
        <v>10</v>
      </c>
      <c r="J93" s="102" t="s">
        <v>10</v>
      </c>
      <c r="K93" s="102" t="s">
        <v>163</v>
      </c>
      <c r="L93" s="102" t="s">
        <v>10</v>
      </c>
      <c r="M93" s="102" t="s">
        <v>10</v>
      </c>
      <c r="N93" s="102" t="s">
        <v>10</v>
      </c>
      <c r="O93" s="102" t="s">
        <v>10</v>
      </c>
      <c r="P93" s="102" t="s">
        <v>10</v>
      </c>
      <c r="Q93" s="102" t="s">
        <v>10</v>
      </c>
      <c r="R93" s="102" t="s">
        <v>10</v>
      </c>
    </row>
    <row r="94" spans="1:18" x14ac:dyDescent="0.25">
      <c r="A94" s="102">
        <v>91</v>
      </c>
      <c r="B94" s="102" t="s">
        <v>61</v>
      </c>
      <c r="C94" s="102" t="s">
        <v>163</v>
      </c>
      <c r="D94" s="102">
        <v>21</v>
      </c>
      <c r="E94" s="102">
        <v>127</v>
      </c>
      <c r="F94" s="102">
        <v>5024</v>
      </c>
      <c r="G94" s="102" t="s">
        <v>11</v>
      </c>
      <c r="H94" s="102" t="s">
        <v>10</v>
      </c>
      <c r="I94" s="102" t="s">
        <v>10</v>
      </c>
      <c r="J94" s="102" t="s">
        <v>10</v>
      </c>
      <c r="K94" s="102" t="s">
        <v>163</v>
      </c>
      <c r="L94" s="102" t="s">
        <v>176</v>
      </c>
      <c r="M94" s="102" t="s">
        <v>618</v>
      </c>
      <c r="N94" s="102" t="s">
        <v>10</v>
      </c>
      <c r="O94" s="102" t="s">
        <v>10</v>
      </c>
      <c r="P94" s="102" t="s">
        <v>176</v>
      </c>
      <c r="Q94" s="102" t="s">
        <v>618</v>
      </c>
      <c r="R94" s="102" t="s">
        <v>10</v>
      </c>
    </row>
    <row r="95" spans="1:18" x14ac:dyDescent="0.25">
      <c r="A95" s="102">
        <v>99</v>
      </c>
      <c r="B95" s="102" t="s">
        <v>66</v>
      </c>
      <c r="C95" s="102" t="s">
        <v>163</v>
      </c>
      <c r="D95" s="102">
        <v>21</v>
      </c>
      <c r="E95" s="102">
        <v>133</v>
      </c>
      <c r="F95" s="102">
        <v>26490</v>
      </c>
      <c r="G95" s="102" t="s">
        <v>11</v>
      </c>
      <c r="H95" s="102" t="s">
        <v>10</v>
      </c>
      <c r="I95" s="102" t="s">
        <v>10</v>
      </c>
      <c r="J95" s="102" t="s">
        <v>10</v>
      </c>
      <c r="K95" s="102" t="s">
        <v>163</v>
      </c>
      <c r="L95" s="102" t="s">
        <v>10</v>
      </c>
      <c r="M95" s="102" t="s">
        <v>10</v>
      </c>
      <c r="N95" s="102" t="s">
        <v>10</v>
      </c>
      <c r="O95" s="102" t="s">
        <v>10</v>
      </c>
      <c r="P95" s="102" t="s">
        <v>10</v>
      </c>
      <c r="Q95" s="102" t="s">
        <v>10</v>
      </c>
      <c r="R95" s="102" t="s">
        <v>10</v>
      </c>
    </row>
    <row r="96" spans="1:18" x14ac:dyDescent="0.25">
      <c r="A96" s="102">
        <v>100</v>
      </c>
      <c r="B96" s="102" t="s">
        <v>66</v>
      </c>
      <c r="C96" s="102" t="s">
        <v>163</v>
      </c>
      <c r="D96" s="102">
        <v>21</v>
      </c>
      <c r="E96" s="102">
        <v>134</v>
      </c>
      <c r="F96" s="102">
        <v>6891</v>
      </c>
      <c r="G96" s="102" t="s">
        <v>11</v>
      </c>
      <c r="H96" s="102" t="s">
        <v>10</v>
      </c>
      <c r="I96" s="102" t="s">
        <v>10</v>
      </c>
      <c r="J96" s="102" t="s">
        <v>10</v>
      </c>
      <c r="K96" s="102" t="s">
        <v>163</v>
      </c>
      <c r="L96" s="102" t="s">
        <v>176</v>
      </c>
      <c r="M96" s="102" t="s">
        <v>618</v>
      </c>
      <c r="N96" s="102" t="s">
        <v>10</v>
      </c>
      <c r="O96" s="102" t="s">
        <v>10</v>
      </c>
      <c r="P96" s="102" t="s">
        <v>176</v>
      </c>
      <c r="Q96" s="102" t="s">
        <v>618</v>
      </c>
      <c r="R96" s="102" t="s">
        <v>10</v>
      </c>
    </row>
    <row r="97" spans="1:18" x14ac:dyDescent="0.25">
      <c r="A97" s="102">
        <v>101</v>
      </c>
      <c r="B97" s="102" t="s">
        <v>66</v>
      </c>
      <c r="C97" s="102" t="s">
        <v>163</v>
      </c>
      <c r="D97" s="102">
        <v>21</v>
      </c>
      <c r="E97" s="102">
        <v>135</v>
      </c>
      <c r="F97" s="102">
        <v>36590</v>
      </c>
      <c r="G97" s="102" t="s">
        <v>11</v>
      </c>
      <c r="H97" s="102" t="s">
        <v>10</v>
      </c>
      <c r="I97" s="102" t="s">
        <v>10</v>
      </c>
      <c r="J97" s="102" t="s">
        <v>10</v>
      </c>
      <c r="K97" s="102" t="s">
        <v>163</v>
      </c>
      <c r="L97" s="102" t="s">
        <v>176</v>
      </c>
      <c r="M97" s="102" t="s">
        <v>618</v>
      </c>
      <c r="N97" s="102" t="s">
        <v>10</v>
      </c>
      <c r="O97" s="102" t="s">
        <v>10</v>
      </c>
      <c r="P97" s="102" t="s">
        <v>176</v>
      </c>
      <c r="Q97" s="102" t="s">
        <v>618</v>
      </c>
      <c r="R97" s="102" t="s">
        <v>10</v>
      </c>
    </row>
    <row r="98" spans="1:18" x14ac:dyDescent="0.25">
      <c r="A98" s="102">
        <v>112</v>
      </c>
      <c r="B98" s="102" t="s">
        <v>74</v>
      </c>
      <c r="C98" s="102" t="s">
        <v>163</v>
      </c>
      <c r="D98" s="102">
        <v>21</v>
      </c>
      <c r="E98" s="102">
        <v>145</v>
      </c>
      <c r="F98" s="102">
        <v>2824</v>
      </c>
      <c r="G98" s="102" t="s">
        <v>11</v>
      </c>
      <c r="H98" s="102" t="s">
        <v>10</v>
      </c>
      <c r="I98" s="102" t="s">
        <v>10</v>
      </c>
      <c r="J98" s="102" t="s">
        <v>10</v>
      </c>
      <c r="K98" s="102" t="s">
        <v>163</v>
      </c>
      <c r="L98" s="102" t="s">
        <v>10</v>
      </c>
      <c r="M98" s="102" t="s">
        <v>10</v>
      </c>
      <c r="N98" s="102" t="s">
        <v>10</v>
      </c>
      <c r="O98" s="102" t="s">
        <v>10</v>
      </c>
      <c r="P98" s="102" t="s">
        <v>10</v>
      </c>
      <c r="Q98" s="102" t="s">
        <v>10</v>
      </c>
      <c r="R98" s="102" t="s">
        <v>10</v>
      </c>
    </row>
    <row r="99" spans="1:18" x14ac:dyDescent="0.25">
      <c r="A99" s="102">
        <v>120</v>
      </c>
      <c r="B99" s="102" t="s">
        <v>79</v>
      </c>
      <c r="C99" s="102" t="s">
        <v>163</v>
      </c>
      <c r="D99" s="102">
        <v>21</v>
      </c>
      <c r="E99" s="102">
        <v>150</v>
      </c>
      <c r="F99" s="102">
        <v>7258</v>
      </c>
      <c r="G99" s="102" t="s">
        <v>11</v>
      </c>
      <c r="H99" s="102" t="s">
        <v>10</v>
      </c>
      <c r="I99" s="102" t="s">
        <v>10</v>
      </c>
      <c r="J99" s="102" t="s">
        <v>10</v>
      </c>
      <c r="K99" s="102" t="s">
        <v>163</v>
      </c>
      <c r="L99" s="102" t="s">
        <v>176</v>
      </c>
      <c r="M99" s="102" t="s">
        <v>618</v>
      </c>
      <c r="N99" s="102" t="s">
        <v>10</v>
      </c>
      <c r="O99" s="102" t="s">
        <v>10</v>
      </c>
      <c r="P99" s="102" t="s">
        <v>176</v>
      </c>
      <c r="Q99" s="102" t="s">
        <v>618</v>
      </c>
      <c r="R99" s="102" t="s">
        <v>10</v>
      </c>
    </row>
    <row r="100" spans="1:18" x14ac:dyDescent="0.25">
      <c r="A100" s="102">
        <v>121</v>
      </c>
      <c r="B100" s="102" t="s">
        <v>79</v>
      </c>
      <c r="C100" s="102" t="s">
        <v>163</v>
      </c>
      <c r="D100" s="102">
        <v>21</v>
      </c>
      <c r="E100" s="102">
        <v>151</v>
      </c>
      <c r="F100" s="102">
        <v>11823</v>
      </c>
      <c r="G100" s="102" t="s">
        <v>11</v>
      </c>
      <c r="H100" s="102" t="s">
        <v>10</v>
      </c>
      <c r="I100" s="102" t="s">
        <v>10</v>
      </c>
      <c r="J100" s="102" t="s">
        <v>10</v>
      </c>
      <c r="K100" s="102" t="s">
        <v>163</v>
      </c>
      <c r="L100" s="102" t="s">
        <v>10</v>
      </c>
      <c r="M100" s="102" t="s">
        <v>10</v>
      </c>
      <c r="N100" s="102" t="s">
        <v>10</v>
      </c>
      <c r="O100" s="102" t="s">
        <v>10</v>
      </c>
      <c r="P100" s="102" t="s">
        <v>10</v>
      </c>
      <c r="Q100" s="102" t="s">
        <v>10</v>
      </c>
      <c r="R100" s="102" t="s">
        <v>10</v>
      </c>
    </row>
    <row r="101" spans="1:18" x14ac:dyDescent="0.25">
      <c r="A101" s="102">
        <v>122</v>
      </c>
      <c r="B101" s="102" t="s">
        <v>79</v>
      </c>
      <c r="C101" s="102" t="s">
        <v>163</v>
      </c>
      <c r="D101" s="102">
        <v>21</v>
      </c>
      <c r="E101" s="102">
        <v>152</v>
      </c>
      <c r="F101" s="102">
        <v>4680</v>
      </c>
      <c r="G101" s="102" t="s">
        <v>11</v>
      </c>
      <c r="H101" s="102" t="s">
        <v>10</v>
      </c>
      <c r="I101" s="102" t="s">
        <v>10</v>
      </c>
      <c r="J101" s="102" t="s">
        <v>10</v>
      </c>
      <c r="K101" s="102" t="s">
        <v>163</v>
      </c>
      <c r="L101" s="102" t="s">
        <v>176</v>
      </c>
      <c r="M101" s="102" t="s">
        <v>618</v>
      </c>
      <c r="N101" s="102" t="s">
        <v>10</v>
      </c>
      <c r="O101" s="102" t="s">
        <v>10</v>
      </c>
      <c r="P101" s="102" t="s">
        <v>176</v>
      </c>
      <c r="Q101" s="102" t="s">
        <v>618</v>
      </c>
      <c r="R101" s="102" t="s">
        <v>10</v>
      </c>
    </row>
    <row r="102" spans="1:18" x14ac:dyDescent="0.25">
      <c r="A102" s="102">
        <v>127</v>
      </c>
      <c r="B102" s="102" t="s">
        <v>82</v>
      </c>
      <c r="C102" s="102" t="s">
        <v>163</v>
      </c>
      <c r="D102" s="102">
        <v>21</v>
      </c>
      <c r="E102" s="102">
        <v>157</v>
      </c>
      <c r="F102" s="102">
        <v>5223</v>
      </c>
      <c r="G102" s="102" t="s">
        <v>11</v>
      </c>
      <c r="H102" s="102" t="s">
        <v>10</v>
      </c>
      <c r="I102" s="102" t="s">
        <v>10</v>
      </c>
      <c r="J102" s="102" t="s">
        <v>10</v>
      </c>
      <c r="K102" s="102" t="s">
        <v>163</v>
      </c>
      <c r="L102" s="102" t="s">
        <v>176</v>
      </c>
      <c r="M102" s="102" t="s">
        <v>618</v>
      </c>
      <c r="N102" s="102" t="s">
        <v>10</v>
      </c>
      <c r="O102" s="102" t="s">
        <v>10</v>
      </c>
      <c r="P102" s="102" t="s">
        <v>176</v>
      </c>
      <c r="Q102" s="102" t="s">
        <v>618</v>
      </c>
      <c r="R102" s="102" t="s">
        <v>10</v>
      </c>
    </row>
    <row r="103" spans="1:18" x14ac:dyDescent="0.25">
      <c r="A103" s="102">
        <v>129</v>
      </c>
      <c r="B103" s="102" t="s">
        <v>82</v>
      </c>
      <c r="C103" s="102" t="s">
        <v>163</v>
      </c>
      <c r="D103" s="102">
        <v>21</v>
      </c>
      <c r="E103" s="102">
        <v>159</v>
      </c>
      <c r="F103" s="102">
        <v>3403</v>
      </c>
      <c r="G103" s="102" t="s">
        <v>11</v>
      </c>
      <c r="H103" s="102" t="s">
        <v>10</v>
      </c>
      <c r="I103" s="102" t="s">
        <v>10</v>
      </c>
      <c r="J103" s="102" t="s">
        <v>10</v>
      </c>
      <c r="K103" s="102" t="s">
        <v>163</v>
      </c>
      <c r="L103" s="102" t="s">
        <v>176</v>
      </c>
      <c r="M103" s="102" t="s">
        <v>618</v>
      </c>
      <c r="N103" s="102" t="s">
        <v>10</v>
      </c>
      <c r="O103" s="102" t="s">
        <v>10</v>
      </c>
      <c r="P103" s="102" t="s">
        <v>176</v>
      </c>
      <c r="Q103" s="102" t="s">
        <v>618</v>
      </c>
      <c r="R103" s="102" t="s">
        <v>10</v>
      </c>
    </row>
    <row r="104" spans="1:18" x14ac:dyDescent="0.25">
      <c r="A104" s="102">
        <v>130</v>
      </c>
      <c r="B104" s="102" t="s">
        <v>83</v>
      </c>
      <c r="C104" s="102" t="s">
        <v>163</v>
      </c>
      <c r="D104" s="102">
        <v>21</v>
      </c>
      <c r="E104" s="102">
        <v>160</v>
      </c>
      <c r="F104" s="102">
        <v>6134</v>
      </c>
      <c r="G104" s="102" t="s">
        <v>11</v>
      </c>
      <c r="H104" s="102" t="s">
        <v>10</v>
      </c>
      <c r="I104" s="102" t="s">
        <v>10</v>
      </c>
      <c r="J104" s="102" t="s">
        <v>10</v>
      </c>
      <c r="K104" s="102" t="s">
        <v>163</v>
      </c>
      <c r="L104" s="102" t="s">
        <v>176</v>
      </c>
      <c r="M104" s="102" t="s">
        <v>618</v>
      </c>
      <c r="N104" s="102" t="s">
        <v>10</v>
      </c>
      <c r="O104" s="102" t="s">
        <v>10</v>
      </c>
      <c r="P104" s="102" t="s">
        <v>176</v>
      </c>
      <c r="Q104" s="102" t="s">
        <v>618</v>
      </c>
      <c r="R104" s="102" t="s">
        <v>10</v>
      </c>
    </row>
    <row r="105" spans="1:18" x14ac:dyDescent="0.25">
      <c r="A105" s="102">
        <v>131</v>
      </c>
      <c r="B105" s="102" t="s">
        <v>83</v>
      </c>
      <c r="C105" s="102" t="s">
        <v>163</v>
      </c>
      <c r="D105" s="102">
        <v>21</v>
      </c>
      <c r="E105" s="102">
        <v>161</v>
      </c>
      <c r="F105" s="102">
        <v>12699</v>
      </c>
      <c r="G105" s="102" t="s">
        <v>11</v>
      </c>
      <c r="H105" s="102" t="s">
        <v>10</v>
      </c>
      <c r="I105" s="102" t="s">
        <v>10</v>
      </c>
      <c r="J105" s="102" t="s">
        <v>10</v>
      </c>
      <c r="K105" s="102" t="s">
        <v>163</v>
      </c>
      <c r="L105" s="102" t="s">
        <v>176</v>
      </c>
      <c r="M105" s="102" t="s">
        <v>618</v>
      </c>
      <c r="N105" s="102" t="s">
        <v>10</v>
      </c>
      <c r="O105" s="102" t="s">
        <v>10</v>
      </c>
      <c r="P105" s="102" t="s">
        <v>176</v>
      </c>
      <c r="Q105" s="102" t="s">
        <v>618</v>
      </c>
      <c r="R105" s="102" t="s">
        <v>10</v>
      </c>
    </row>
    <row r="106" spans="1:18" x14ac:dyDescent="0.25">
      <c r="A106" s="102">
        <v>132</v>
      </c>
      <c r="B106" s="102" t="s">
        <v>83</v>
      </c>
      <c r="C106" s="102" t="s">
        <v>163</v>
      </c>
      <c r="D106" s="102">
        <v>21</v>
      </c>
      <c r="E106" s="102">
        <v>162</v>
      </c>
      <c r="F106" s="102">
        <v>16603</v>
      </c>
      <c r="G106" s="102" t="s">
        <v>11</v>
      </c>
      <c r="H106" s="102" t="s">
        <v>10</v>
      </c>
      <c r="I106" s="102" t="s">
        <v>10</v>
      </c>
      <c r="J106" s="102" t="s">
        <v>10</v>
      </c>
      <c r="K106" s="102" t="s">
        <v>163</v>
      </c>
      <c r="L106" s="102" t="s">
        <v>10</v>
      </c>
      <c r="M106" s="102" t="s">
        <v>10</v>
      </c>
      <c r="N106" s="102" t="s">
        <v>10</v>
      </c>
      <c r="O106" s="102" t="s">
        <v>10</v>
      </c>
      <c r="P106" s="102" t="s">
        <v>10</v>
      </c>
      <c r="Q106" s="102" t="s">
        <v>10</v>
      </c>
      <c r="R106" s="102" t="s">
        <v>10</v>
      </c>
    </row>
    <row r="107" spans="1:18" x14ac:dyDescent="0.25">
      <c r="A107" s="102">
        <v>152</v>
      </c>
      <c r="B107" s="102" t="s">
        <v>91</v>
      </c>
      <c r="C107" s="102" t="s">
        <v>163</v>
      </c>
      <c r="D107" s="102">
        <v>21</v>
      </c>
      <c r="E107" s="102">
        <v>182</v>
      </c>
      <c r="F107" s="102">
        <v>5395</v>
      </c>
      <c r="G107" s="102" t="s">
        <v>11</v>
      </c>
      <c r="H107" s="102" t="s">
        <v>10</v>
      </c>
      <c r="I107" s="102" t="s">
        <v>10</v>
      </c>
      <c r="J107" s="102" t="s">
        <v>10</v>
      </c>
      <c r="K107" s="102" t="s">
        <v>163</v>
      </c>
      <c r="L107" s="102" t="s">
        <v>176</v>
      </c>
      <c r="M107" s="102" t="s">
        <v>617</v>
      </c>
      <c r="N107" s="102" t="s">
        <v>10</v>
      </c>
      <c r="O107" s="102" t="s">
        <v>10</v>
      </c>
      <c r="P107" s="102" t="s">
        <v>176</v>
      </c>
      <c r="Q107" s="102" t="s">
        <v>617</v>
      </c>
      <c r="R107" s="102" t="s">
        <v>10</v>
      </c>
    </row>
    <row r="108" spans="1:18" x14ac:dyDescent="0.25">
      <c r="A108" s="102">
        <v>153</v>
      </c>
      <c r="B108" s="102" t="s">
        <v>91</v>
      </c>
      <c r="C108" s="102" t="s">
        <v>163</v>
      </c>
      <c r="D108" s="102">
        <v>21</v>
      </c>
      <c r="E108" s="102">
        <v>183</v>
      </c>
      <c r="F108" s="102">
        <v>7194</v>
      </c>
      <c r="G108" s="102" t="s">
        <v>11</v>
      </c>
      <c r="H108" s="102" t="s">
        <v>10</v>
      </c>
      <c r="I108" s="102" t="s">
        <v>10</v>
      </c>
      <c r="J108" s="102" t="s">
        <v>10</v>
      </c>
      <c r="K108" s="102" t="s">
        <v>163</v>
      </c>
      <c r="L108" s="102" t="s">
        <v>10</v>
      </c>
      <c r="M108" s="102" t="s">
        <v>10</v>
      </c>
      <c r="N108" s="102" t="s">
        <v>10</v>
      </c>
      <c r="O108" s="102" t="s">
        <v>10</v>
      </c>
      <c r="P108" s="102" t="s">
        <v>10</v>
      </c>
      <c r="Q108" s="102" t="s">
        <v>10</v>
      </c>
      <c r="R108" s="102" t="s">
        <v>10</v>
      </c>
    </row>
    <row r="109" spans="1:18" x14ac:dyDescent="0.25">
      <c r="A109" s="102">
        <v>172</v>
      </c>
      <c r="B109" s="102" t="s">
        <v>103</v>
      </c>
      <c r="C109" s="102" t="s">
        <v>163</v>
      </c>
      <c r="D109" s="102">
        <v>21</v>
      </c>
      <c r="E109" s="102">
        <v>197</v>
      </c>
      <c r="F109" s="102">
        <v>13396</v>
      </c>
      <c r="G109" s="102" t="s">
        <v>11</v>
      </c>
      <c r="H109" s="102" t="s">
        <v>10</v>
      </c>
      <c r="I109" s="102" t="s">
        <v>10</v>
      </c>
      <c r="J109" s="102" t="s">
        <v>10</v>
      </c>
      <c r="K109" s="102" t="s">
        <v>163</v>
      </c>
      <c r="L109" s="102" t="s">
        <v>10</v>
      </c>
      <c r="M109" s="102" t="s">
        <v>10</v>
      </c>
      <c r="N109" s="102" t="s">
        <v>10</v>
      </c>
      <c r="O109" s="102" t="s">
        <v>10</v>
      </c>
      <c r="P109" s="102" t="s">
        <v>10</v>
      </c>
      <c r="Q109" s="102" t="s">
        <v>10</v>
      </c>
      <c r="R109" s="102" t="s">
        <v>10</v>
      </c>
    </row>
    <row r="110" spans="1:18" x14ac:dyDescent="0.25">
      <c r="A110" s="102">
        <v>173</v>
      </c>
      <c r="B110" s="102" t="s">
        <v>103</v>
      </c>
      <c r="C110" s="102" t="s">
        <v>163</v>
      </c>
      <c r="D110" s="102">
        <v>21</v>
      </c>
      <c r="E110" s="102">
        <v>198</v>
      </c>
      <c r="F110" s="102">
        <v>4280</v>
      </c>
      <c r="G110" s="102" t="s">
        <v>11</v>
      </c>
      <c r="H110" s="102" t="s">
        <v>10</v>
      </c>
      <c r="I110" s="102" t="s">
        <v>10</v>
      </c>
      <c r="J110" s="102" t="s">
        <v>10</v>
      </c>
      <c r="K110" s="102" t="s">
        <v>163</v>
      </c>
      <c r="L110" s="102" t="s">
        <v>176</v>
      </c>
      <c r="M110" s="102" t="s">
        <v>617</v>
      </c>
      <c r="N110" s="102" t="s">
        <v>10</v>
      </c>
      <c r="O110" s="102" t="s">
        <v>10</v>
      </c>
      <c r="P110" s="102" t="s">
        <v>176</v>
      </c>
      <c r="Q110" s="102" t="s">
        <v>617</v>
      </c>
      <c r="R110" s="102" t="s">
        <v>10</v>
      </c>
    </row>
    <row r="111" spans="1:18" x14ac:dyDescent="0.25">
      <c r="A111" s="102">
        <v>200</v>
      </c>
      <c r="B111" s="102" t="s">
        <v>120</v>
      </c>
      <c r="C111" s="102" t="s">
        <v>163</v>
      </c>
      <c r="D111" s="102">
        <v>21</v>
      </c>
      <c r="E111" s="102">
        <v>223</v>
      </c>
      <c r="F111" s="102">
        <v>4096</v>
      </c>
      <c r="G111" s="102" t="s">
        <v>11</v>
      </c>
      <c r="H111" s="102" t="s">
        <v>10</v>
      </c>
      <c r="I111" s="102" t="s">
        <v>10</v>
      </c>
      <c r="J111" s="102" t="s">
        <v>10</v>
      </c>
      <c r="K111" s="102" t="s">
        <v>163</v>
      </c>
      <c r="L111" s="102" t="s">
        <v>176</v>
      </c>
      <c r="M111" s="102" t="s">
        <v>617</v>
      </c>
      <c r="N111" s="102" t="s">
        <v>10</v>
      </c>
      <c r="O111" s="102" t="s">
        <v>10</v>
      </c>
      <c r="P111" s="102" t="s">
        <v>176</v>
      </c>
      <c r="Q111" s="102" t="s">
        <v>617</v>
      </c>
      <c r="R111" s="102" t="s">
        <v>10</v>
      </c>
    </row>
    <row r="112" spans="1:18" x14ac:dyDescent="0.25">
      <c r="A112" s="102">
        <v>201</v>
      </c>
      <c r="B112" s="102" t="s">
        <v>120</v>
      </c>
      <c r="C112" s="102" t="s">
        <v>163</v>
      </c>
      <c r="D112" s="102">
        <v>21</v>
      </c>
      <c r="E112" s="102">
        <v>224</v>
      </c>
      <c r="F112" s="102">
        <v>9294</v>
      </c>
      <c r="G112" s="102" t="s">
        <v>11</v>
      </c>
      <c r="H112" s="102" t="s">
        <v>10</v>
      </c>
      <c r="I112" s="102" t="s">
        <v>10</v>
      </c>
      <c r="J112" s="102" t="s">
        <v>10</v>
      </c>
      <c r="K112" s="102" t="s">
        <v>163</v>
      </c>
      <c r="L112" s="102" t="s">
        <v>10</v>
      </c>
      <c r="M112" s="102" t="s">
        <v>10</v>
      </c>
      <c r="N112" s="102" t="s">
        <v>10</v>
      </c>
      <c r="O112" s="102" t="s">
        <v>10</v>
      </c>
      <c r="P112" s="102" t="s">
        <v>10</v>
      </c>
      <c r="Q112" s="102" t="s">
        <v>10</v>
      </c>
      <c r="R112" s="102" t="s">
        <v>10</v>
      </c>
    </row>
    <row r="113" spans="1:18" x14ac:dyDescent="0.25">
      <c r="A113" s="102">
        <v>217</v>
      </c>
      <c r="B113" s="102" t="s">
        <v>130</v>
      </c>
      <c r="C113" s="102" t="s">
        <v>163</v>
      </c>
      <c r="D113" s="102">
        <v>21</v>
      </c>
      <c r="E113" s="102">
        <v>233</v>
      </c>
      <c r="F113" s="102">
        <v>19045</v>
      </c>
      <c r="G113" s="102" t="s">
        <v>11</v>
      </c>
      <c r="H113" s="102" t="s">
        <v>10</v>
      </c>
      <c r="I113" s="102" t="s">
        <v>10</v>
      </c>
      <c r="J113" s="102" t="s">
        <v>10</v>
      </c>
      <c r="K113" s="102" t="s">
        <v>163</v>
      </c>
      <c r="L113" s="102" t="s">
        <v>10</v>
      </c>
      <c r="M113" s="102" t="s">
        <v>10</v>
      </c>
      <c r="N113" s="102" t="s">
        <v>10</v>
      </c>
      <c r="O113" s="102" t="s">
        <v>10</v>
      </c>
      <c r="P113" s="102" t="s">
        <v>10</v>
      </c>
      <c r="Q113" s="102" t="s">
        <v>10</v>
      </c>
      <c r="R113" s="102" t="s">
        <v>10</v>
      </c>
    </row>
    <row r="114" spans="1:18" x14ac:dyDescent="0.25">
      <c r="A114" s="102">
        <v>1</v>
      </c>
      <c r="B114" s="102" t="s">
        <v>12</v>
      </c>
      <c r="C114" s="102" t="s">
        <v>407</v>
      </c>
      <c r="D114" s="102">
        <v>21</v>
      </c>
      <c r="E114" s="102">
        <v>57</v>
      </c>
      <c r="F114" s="102">
        <v>13074</v>
      </c>
      <c r="G114" s="102" t="s">
        <v>11</v>
      </c>
      <c r="H114" s="102" t="s">
        <v>10</v>
      </c>
      <c r="I114" s="102" t="s">
        <v>10</v>
      </c>
      <c r="J114" s="102" t="s">
        <v>10</v>
      </c>
      <c r="K114" s="102" t="s">
        <v>10</v>
      </c>
      <c r="L114" s="102" t="s">
        <v>10</v>
      </c>
      <c r="M114" s="102" t="s">
        <v>10</v>
      </c>
      <c r="N114" s="102" t="s">
        <v>10</v>
      </c>
      <c r="O114" s="102" t="s">
        <v>10</v>
      </c>
      <c r="P114" s="102" t="s">
        <v>10</v>
      </c>
      <c r="Q114" s="102" t="s">
        <v>10</v>
      </c>
      <c r="R114" s="102" t="s">
        <v>407</v>
      </c>
    </row>
    <row r="115" spans="1:18" x14ac:dyDescent="0.25">
      <c r="A115" s="102">
        <v>3</v>
      </c>
      <c r="B115" s="102" t="s">
        <v>14</v>
      </c>
      <c r="C115" s="102" t="s">
        <v>407</v>
      </c>
      <c r="D115" s="102">
        <v>33</v>
      </c>
      <c r="E115" s="102">
        <v>34</v>
      </c>
      <c r="F115" s="102">
        <v>5058</v>
      </c>
      <c r="G115" s="102" t="s">
        <v>11</v>
      </c>
      <c r="H115" s="102" t="s">
        <v>10</v>
      </c>
      <c r="I115" s="102" t="s">
        <v>10</v>
      </c>
      <c r="J115" s="102" t="s">
        <v>10</v>
      </c>
      <c r="K115" s="102" t="s">
        <v>10</v>
      </c>
      <c r="L115" s="102" t="s">
        <v>10</v>
      </c>
      <c r="M115" s="102" t="s">
        <v>10</v>
      </c>
      <c r="N115" s="102" t="s">
        <v>10</v>
      </c>
      <c r="O115" s="102" t="s">
        <v>10</v>
      </c>
      <c r="P115" s="102" t="s">
        <v>10</v>
      </c>
      <c r="Q115" s="102" t="s">
        <v>10</v>
      </c>
      <c r="R115" s="102" t="s">
        <v>407</v>
      </c>
    </row>
    <row r="116" spans="1:18" x14ac:dyDescent="0.25">
      <c r="A116" s="102">
        <v>5</v>
      </c>
      <c r="B116" s="102" t="s">
        <v>16</v>
      </c>
      <c r="C116" s="102" t="s">
        <v>176</v>
      </c>
      <c r="D116" s="102">
        <v>21</v>
      </c>
      <c r="E116" s="102">
        <v>59</v>
      </c>
      <c r="F116" s="102">
        <v>8712</v>
      </c>
      <c r="G116" s="102" t="s">
        <v>11</v>
      </c>
      <c r="H116" s="102" t="s">
        <v>10</v>
      </c>
      <c r="I116" s="102" t="s">
        <v>10</v>
      </c>
      <c r="J116" s="102" t="s">
        <v>10</v>
      </c>
      <c r="K116" s="102" t="s">
        <v>10</v>
      </c>
      <c r="L116" s="102" t="s">
        <v>176</v>
      </c>
      <c r="M116" s="102" t="s">
        <v>617</v>
      </c>
      <c r="N116" s="102" t="s">
        <v>176</v>
      </c>
      <c r="O116" s="102" t="s">
        <v>617</v>
      </c>
      <c r="P116" s="102" t="s">
        <v>10</v>
      </c>
      <c r="Q116" s="102" t="s">
        <v>10</v>
      </c>
      <c r="R116" s="102" t="s">
        <v>10</v>
      </c>
    </row>
    <row r="117" spans="1:18" x14ac:dyDescent="0.25">
      <c r="A117" s="102">
        <v>14</v>
      </c>
      <c r="B117" s="102" t="s">
        <v>181</v>
      </c>
      <c r="C117" s="102" t="s">
        <v>176</v>
      </c>
      <c r="D117" s="102">
        <v>21</v>
      </c>
      <c r="E117" s="102">
        <v>66</v>
      </c>
      <c r="F117" s="102">
        <v>7693</v>
      </c>
      <c r="G117" s="102" t="s">
        <v>11</v>
      </c>
      <c r="H117" s="102" t="s">
        <v>10</v>
      </c>
      <c r="I117" s="102" t="s">
        <v>10</v>
      </c>
      <c r="J117" s="102" t="s">
        <v>10</v>
      </c>
      <c r="K117" s="102" t="s">
        <v>10</v>
      </c>
      <c r="L117" s="102" t="s">
        <v>176</v>
      </c>
      <c r="M117" s="102" t="s">
        <v>617</v>
      </c>
      <c r="N117" s="102" t="s">
        <v>176</v>
      </c>
      <c r="O117" s="102" t="s">
        <v>617</v>
      </c>
      <c r="P117" s="102" t="s">
        <v>10</v>
      </c>
      <c r="Q117" s="102" t="s">
        <v>10</v>
      </c>
      <c r="R117" s="102" t="s">
        <v>10</v>
      </c>
    </row>
    <row r="118" spans="1:18" x14ac:dyDescent="0.25">
      <c r="A118" s="102">
        <v>25</v>
      </c>
      <c r="B118" s="102" t="s">
        <v>26</v>
      </c>
      <c r="C118" s="102" t="s">
        <v>307</v>
      </c>
      <c r="D118" s="102">
        <v>21</v>
      </c>
      <c r="E118" s="102">
        <v>76</v>
      </c>
      <c r="F118" s="102">
        <v>14666</v>
      </c>
      <c r="G118" s="102" t="s">
        <v>11</v>
      </c>
      <c r="H118" s="102" t="s">
        <v>10</v>
      </c>
      <c r="I118" s="102" t="s">
        <v>10</v>
      </c>
      <c r="J118" s="102" t="s">
        <v>10</v>
      </c>
      <c r="K118" s="102" t="s">
        <v>10</v>
      </c>
      <c r="L118" s="102" t="s">
        <v>10</v>
      </c>
      <c r="M118" s="102" t="s">
        <v>10</v>
      </c>
      <c r="N118" s="102" t="s">
        <v>10</v>
      </c>
      <c r="O118" s="102" t="s">
        <v>10</v>
      </c>
      <c r="P118" s="102" t="s">
        <v>10</v>
      </c>
      <c r="Q118" s="102" t="s">
        <v>10</v>
      </c>
      <c r="R118" s="102" t="s">
        <v>307</v>
      </c>
    </row>
    <row r="119" spans="1:18" x14ac:dyDescent="0.25">
      <c r="A119" s="102">
        <v>26</v>
      </c>
      <c r="B119" s="102" t="s">
        <v>27</v>
      </c>
      <c r="C119" s="102" t="s">
        <v>10</v>
      </c>
      <c r="D119" s="102">
        <v>21</v>
      </c>
      <c r="E119" s="102">
        <v>77</v>
      </c>
      <c r="F119" s="102">
        <v>10873</v>
      </c>
      <c r="G119" s="102" t="s">
        <v>11</v>
      </c>
      <c r="H119" s="102" t="s">
        <v>10</v>
      </c>
      <c r="I119" s="102" t="s">
        <v>10</v>
      </c>
      <c r="J119" s="102" t="s">
        <v>10</v>
      </c>
      <c r="K119" s="102" t="s">
        <v>10</v>
      </c>
      <c r="L119" s="102" t="s">
        <v>10</v>
      </c>
      <c r="M119" s="102" t="s">
        <v>10</v>
      </c>
      <c r="N119" s="102" t="s">
        <v>10</v>
      </c>
      <c r="O119" s="102" t="s">
        <v>10</v>
      </c>
      <c r="P119" s="102" t="s">
        <v>10</v>
      </c>
      <c r="Q119" s="102" t="s">
        <v>10</v>
      </c>
      <c r="R119" s="102" t="s">
        <v>10</v>
      </c>
    </row>
    <row r="120" spans="1:18" x14ac:dyDescent="0.25">
      <c r="A120" s="102">
        <v>35</v>
      </c>
      <c r="B120" s="102" t="s">
        <v>31</v>
      </c>
      <c r="C120" s="102" t="s">
        <v>407</v>
      </c>
      <c r="D120" s="102">
        <v>38</v>
      </c>
      <c r="E120" s="102">
        <v>93</v>
      </c>
      <c r="F120" s="102">
        <v>15471</v>
      </c>
      <c r="G120" s="102" t="s">
        <v>11</v>
      </c>
      <c r="H120" s="102" t="s">
        <v>10</v>
      </c>
      <c r="I120" s="102" t="s">
        <v>10</v>
      </c>
      <c r="J120" s="102" t="s">
        <v>10</v>
      </c>
      <c r="K120" s="102" t="s">
        <v>10</v>
      </c>
      <c r="L120" s="102" t="s">
        <v>10</v>
      </c>
      <c r="M120" s="102" t="s">
        <v>10</v>
      </c>
      <c r="N120" s="102" t="s">
        <v>10</v>
      </c>
      <c r="O120" s="102" t="s">
        <v>10</v>
      </c>
      <c r="P120" s="102" t="s">
        <v>10</v>
      </c>
      <c r="Q120" s="102" t="s">
        <v>10</v>
      </c>
      <c r="R120" s="102" t="s">
        <v>407</v>
      </c>
    </row>
    <row r="121" spans="1:18" x14ac:dyDescent="0.25">
      <c r="A121" s="102">
        <v>39</v>
      </c>
      <c r="B121" s="102" t="s">
        <v>33</v>
      </c>
      <c r="C121" s="102" t="s">
        <v>10</v>
      </c>
      <c r="D121" s="102">
        <v>21</v>
      </c>
      <c r="E121" s="102">
        <v>89</v>
      </c>
      <c r="F121" s="102">
        <v>4769</v>
      </c>
      <c r="G121" s="102" t="s">
        <v>11</v>
      </c>
      <c r="H121" s="102" t="s">
        <v>10</v>
      </c>
      <c r="I121" s="102" t="s">
        <v>10</v>
      </c>
      <c r="J121" s="102" t="s">
        <v>10</v>
      </c>
      <c r="K121" s="102" t="s">
        <v>10</v>
      </c>
      <c r="L121" s="102" t="s">
        <v>10</v>
      </c>
      <c r="M121" s="102" t="s">
        <v>10</v>
      </c>
      <c r="N121" s="102" t="s">
        <v>10</v>
      </c>
      <c r="O121" s="102" t="s">
        <v>10</v>
      </c>
      <c r="P121" s="102" t="s">
        <v>10</v>
      </c>
      <c r="Q121" s="102" t="s">
        <v>10</v>
      </c>
      <c r="R121" s="102" t="s">
        <v>10</v>
      </c>
    </row>
    <row r="122" spans="1:18" x14ac:dyDescent="0.25">
      <c r="A122" s="102">
        <v>40</v>
      </c>
      <c r="B122" s="102" t="s">
        <v>33</v>
      </c>
      <c r="C122" s="102" t="s">
        <v>10</v>
      </c>
      <c r="D122" s="102">
        <v>21</v>
      </c>
      <c r="E122" s="102">
        <v>90</v>
      </c>
      <c r="F122" s="102">
        <v>24988</v>
      </c>
      <c r="G122" s="102" t="s">
        <v>11</v>
      </c>
      <c r="H122" s="102" t="s">
        <v>10</v>
      </c>
      <c r="I122" s="102" t="s">
        <v>10</v>
      </c>
      <c r="J122" s="102" t="s">
        <v>10</v>
      </c>
      <c r="K122" s="102" t="s">
        <v>10</v>
      </c>
      <c r="L122" s="102" t="s">
        <v>10</v>
      </c>
      <c r="M122" s="102" t="s">
        <v>10</v>
      </c>
      <c r="N122" s="102" t="s">
        <v>10</v>
      </c>
      <c r="O122" s="102" t="s">
        <v>10</v>
      </c>
      <c r="P122" s="102" t="s">
        <v>10</v>
      </c>
      <c r="Q122" s="102" t="s">
        <v>10</v>
      </c>
      <c r="R122" s="102" t="s">
        <v>10</v>
      </c>
    </row>
    <row r="123" spans="1:18" x14ac:dyDescent="0.25">
      <c r="A123" s="102">
        <v>41</v>
      </c>
      <c r="B123" s="102" t="s">
        <v>33</v>
      </c>
      <c r="C123" s="102" t="s">
        <v>10</v>
      </c>
      <c r="D123" s="102">
        <v>21</v>
      </c>
      <c r="E123" s="102">
        <v>91</v>
      </c>
      <c r="F123" s="102">
        <v>8459</v>
      </c>
      <c r="G123" s="102" t="s">
        <v>11</v>
      </c>
      <c r="H123" s="102" t="s">
        <v>10</v>
      </c>
      <c r="I123" s="102" t="s">
        <v>10</v>
      </c>
      <c r="J123" s="102" t="s">
        <v>10</v>
      </c>
      <c r="K123" s="102" t="s">
        <v>10</v>
      </c>
      <c r="L123" s="102" t="s">
        <v>10</v>
      </c>
      <c r="M123" s="102" t="s">
        <v>10</v>
      </c>
      <c r="N123" s="102" t="s">
        <v>10</v>
      </c>
      <c r="O123" s="102" t="s">
        <v>10</v>
      </c>
      <c r="P123" s="102" t="s">
        <v>10</v>
      </c>
      <c r="Q123" s="102" t="s">
        <v>10</v>
      </c>
      <c r="R123" s="102" t="s">
        <v>10</v>
      </c>
    </row>
    <row r="124" spans="1:18" x14ac:dyDescent="0.25">
      <c r="A124" s="102">
        <v>42</v>
      </c>
      <c r="B124" s="102" t="s">
        <v>34</v>
      </c>
      <c r="C124" s="102" t="s">
        <v>10</v>
      </c>
      <c r="D124" s="102">
        <v>33</v>
      </c>
      <c r="E124" s="102">
        <v>4</v>
      </c>
      <c r="F124" s="102">
        <v>5486</v>
      </c>
      <c r="G124" s="102" t="s">
        <v>11</v>
      </c>
      <c r="H124" s="102" t="s">
        <v>10</v>
      </c>
      <c r="I124" s="102" t="s">
        <v>10</v>
      </c>
      <c r="J124" s="102" t="s">
        <v>10</v>
      </c>
      <c r="K124" s="102" t="s">
        <v>10</v>
      </c>
      <c r="L124" s="102" t="s">
        <v>10</v>
      </c>
      <c r="M124" s="102" t="s">
        <v>10</v>
      </c>
      <c r="N124" s="102" t="s">
        <v>10</v>
      </c>
      <c r="O124" s="102" t="s">
        <v>10</v>
      </c>
      <c r="P124" s="102" t="s">
        <v>10</v>
      </c>
      <c r="Q124" s="102" t="s">
        <v>10</v>
      </c>
      <c r="R124" s="102" t="s">
        <v>10</v>
      </c>
    </row>
    <row r="125" spans="1:18" x14ac:dyDescent="0.25">
      <c r="A125" s="102">
        <v>43</v>
      </c>
      <c r="B125" s="102" t="s">
        <v>35</v>
      </c>
      <c r="C125" s="102" t="s">
        <v>10</v>
      </c>
      <c r="D125" s="102">
        <v>21</v>
      </c>
      <c r="E125" s="102">
        <v>92</v>
      </c>
      <c r="F125" s="102">
        <v>7480</v>
      </c>
      <c r="G125" s="102" t="s">
        <v>11</v>
      </c>
      <c r="H125" s="102" t="s">
        <v>10</v>
      </c>
      <c r="I125" s="102" t="s">
        <v>10</v>
      </c>
      <c r="J125" s="102" t="s">
        <v>10</v>
      </c>
      <c r="K125" s="102" t="s">
        <v>10</v>
      </c>
      <c r="L125" s="102" t="s">
        <v>10</v>
      </c>
      <c r="M125" s="102" t="s">
        <v>10</v>
      </c>
      <c r="N125" s="102" t="s">
        <v>10</v>
      </c>
      <c r="O125" s="102" t="s">
        <v>10</v>
      </c>
      <c r="P125" s="102" t="s">
        <v>10</v>
      </c>
      <c r="Q125" s="102" t="s">
        <v>10</v>
      </c>
      <c r="R125" s="102" t="s">
        <v>10</v>
      </c>
    </row>
    <row r="126" spans="1:18" x14ac:dyDescent="0.25">
      <c r="A126" s="102">
        <v>47</v>
      </c>
      <c r="B126" s="102" t="s">
        <v>39</v>
      </c>
      <c r="C126" s="102" t="s">
        <v>171</v>
      </c>
      <c r="D126" s="102">
        <v>21</v>
      </c>
      <c r="E126" s="102">
        <v>94</v>
      </c>
      <c r="F126" s="102">
        <v>10912</v>
      </c>
      <c r="G126" s="102" t="s">
        <v>11</v>
      </c>
      <c r="H126" s="102" t="s">
        <v>10</v>
      </c>
      <c r="I126" s="102" t="s">
        <v>10</v>
      </c>
      <c r="J126" s="102" t="s">
        <v>10</v>
      </c>
      <c r="K126" s="102" t="s">
        <v>10</v>
      </c>
      <c r="L126" s="102" t="s">
        <v>10</v>
      </c>
      <c r="M126" s="102" t="s">
        <v>10</v>
      </c>
      <c r="N126" s="102" t="s">
        <v>10</v>
      </c>
      <c r="O126" s="102" t="s">
        <v>10</v>
      </c>
      <c r="P126" s="102" t="s">
        <v>10</v>
      </c>
      <c r="Q126" s="102" t="s">
        <v>10</v>
      </c>
      <c r="R126" s="102" t="s">
        <v>171</v>
      </c>
    </row>
    <row r="127" spans="1:18" x14ac:dyDescent="0.25">
      <c r="A127" s="102">
        <v>49</v>
      </c>
      <c r="B127" s="102" t="s">
        <v>40</v>
      </c>
      <c r="C127" s="102" t="s">
        <v>307</v>
      </c>
      <c r="D127" s="102">
        <v>30</v>
      </c>
      <c r="E127" s="102">
        <v>78</v>
      </c>
      <c r="F127" s="102">
        <v>7651</v>
      </c>
      <c r="G127" s="102" t="s">
        <v>11</v>
      </c>
      <c r="H127" s="102" t="s">
        <v>10</v>
      </c>
      <c r="I127" s="102" t="s">
        <v>10</v>
      </c>
      <c r="J127" s="102" t="s">
        <v>10</v>
      </c>
      <c r="K127" s="102" t="s">
        <v>10</v>
      </c>
      <c r="L127" s="102" t="s">
        <v>10</v>
      </c>
      <c r="M127" s="102" t="s">
        <v>10</v>
      </c>
      <c r="N127" s="102" t="s">
        <v>10</v>
      </c>
      <c r="O127" s="102" t="s">
        <v>10</v>
      </c>
      <c r="P127" s="102" t="s">
        <v>10</v>
      </c>
      <c r="Q127" s="102" t="s">
        <v>10</v>
      </c>
      <c r="R127" s="102" t="s">
        <v>307</v>
      </c>
    </row>
    <row r="128" spans="1:18" x14ac:dyDescent="0.25">
      <c r="A128" s="102">
        <v>51</v>
      </c>
      <c r="B128" s="102" t="s">
        <v>42</v>
      </c>
      <c r="C128" s="102" t="s">
        <v>216</v>
      </c>
      <c r="D128" s="102">
        <v>1</v>
      </c>
      <c r="E128" s="102">
        <v>224</v>
      </c>
      <c r="F128" s="102">
        <v>6983</v>
      </c>
      <c r="G128" s="102" t="s">
        <v>11</v>
      </c>
      <c r="H128" s="102" t="s">
        <v>10</v>
      </c>
      <c r="I128" s="102" t="s">
        <v>10</v>
      </c>
      <c r="J128" s="102" t="s">
        <v>10</v>
      </c>
      <c r="K128" s="102" t="s">
        <v>10</v>
      </c>
      <c r="L128" s="102" t="s">
        <v>10</v>
      </c>
      <c r="M128" s="102" t="s">
        <v>10</v>
      </c>
      <c r="N128" s="102" t="s">
        <v>10</v>
      </c>
      <c r="O128" s="102" t="s">
        <v>10</v>
      </c>
      <c r="P128" s="102" t="s">
        <v>10</v>
      </c>
      <c r="Q128" s="102" t="s">
        <v>10</v>
      </c>
      <c r="R128" s="102" t="s">
        <v>216</v>
      </c>
    </row>
    <row r="129" spans="1:18" x14ac:dyDescent="0.25">
      <c r="A129" s="102">
        <v>52</v>
      </c>
      <c r="B129" s="102" t="s">
        <v>43</v>
      </c>
      <c r="C129" s="102" t="s">
        <v>164</v>
      </c>
      <c r="D129" s="102">
        <v>8</v>
      </c>
      <c r="E129" s="102">
        <v>218</v>
      </c>
      <c r="F129" s="102">
        <v>3191</v>
      </c>
      <c r="G129" s="102" t="s">
        <v>11</v>
      </c>
      <c r="H129" s="102" t="s">
        <v>10</v>
      </c>
      <c r="I129" s="102" t="s">
        <v>10</v>
      </c>
      <c r="J129" s="102" t="s">
        <v>10</v>
      </c>
      <c r="K129" s="102" t="s">
        <v>10</v>
      </c>
      <c r="L129" s="102" t="s">
        <v>10</v>
      </c>
      <c r="M129" s="102" t="s">
        <v>10</v>
      </c>
      <c r="N129" s="102" t="s">
        <v>10</v>
      </c>
      <c r="O129" s="102" t="s">
        <v>10</v>
      </c>
      <c r="P129" s="102" t="s">
        <v>10</v>
      </c>
      <c r="Q129" s="102" t="s">
        <v>10</v>
      </c>
      <c r="R129" s="102" t="s">
        <v>164</v>
      </c>
    </row>
    <row r="130" spans="1:18" x14ac:dyDescent="0.25">
      <c r="A130" s="102">
        <v>53</v>
      </c>
      <c r="B130" s="102" t="s">
        <v>43</v>
      </c>
      <c r="C130" s="102" t="s">
        <v>164</v>
      </c>
      <c r="D130" s="102">
        <v>8</v>
      </c>
      <c r="E130" s="102">
        <v>219</v>
      </c>
      <c r="F130" s="102">
        <v>20705</v>
      </c>
      <c r="G130" s="102" t="s">
        <v>11</v>
      </c>
      <c r="H130" s="102" t="s">
        <v>10</v>
      </c>
      <c r="I130" s="102" t="s">
        <v>10</v>
      </c>
      <c r="J130" s="102" t="s">
        <v>10</v>
      </c>
      <c r="K130" s="102" t="s">
        <v>10</v>
      </c>
      <c r="L130" s="102" t="s">
        <v>10</v>
      </c>
      <c r="M130" s="102" t="s">
        <v>10</v>
      </c>
      <c r="N130" s="102" t="s">
        <v>10</v>
      </c>
      <c r="O130" s="102" t="s">
        <v>10</v>
      </c>
      <c r="P130" s="102" t="s">
        <v>10</v>
      </c>
      <c r="Q130" s="102" t="s">
        <v>10</v>
      </c>
      <c r="R130" s="102" t="s">
        <v>164</v>
      </c>
    </row>
    <row r="131" spans="1:18" x14ac:dyDescent="0.25">
      <c r="A131" s="102">
        <v>56</v>
      </c>
      <c r="B131" s="102" t="s">
        <v>166</v>
      </c>
      <c r="C131" s="102" t="s">
        <v>407</v>
      </c>
      <c r="D131" s="102">
        <v>21</v>
      </c>
      <c r="E131" s="102">
        <v>98</v>
      </c>
      <c r="F131" s="102">
        <v>3392</v>
      </c>
      <c r="G131" s="102" t="s">
        <v>11</v>
      </c>
      <c r="H131" s="102" t="s">
        <v>10</v>
      </c>
      <c r="I131" s="102" t="s">
        <v>10</v>
      </c>
      <c r="J131" s="102" t="s">
        <v>10</v>
      </c>
      <c r="K131" s="102" t="s">
        <v>10</v>
      </c>
      <c r="L131" s="102" t="s">
        <v>407</v>
      </c>
      <c r="M131" s="102" t="s">
        <v>625</v>
      </c>
      <c r="N131" s="102" t="s">
        <v>407</v>
      </c>
      <c r="O131" s="102" t="s">
        <v>625</v>
      </c>
      <c r="P131" s="102" t="s">
        <v>10</v>
      </c>
      <c r="Q131" s="102" t="s">
        <v>10</v>
      </c>
      <c r="R131" s="102" t="s">
        <v>10</v>
      </c>
    </row>
    <row r="132" spans="1:18" x14ac:dyDescent="0.25">
      <c r="A132" s="102">
        <v>57</v>
      </c>
      <c r="B132" s="102" t="s">
        <v>166</v>
      </c>
      <c r="C132" s="102" t="s">
        <v>407</v>
      </c>
      <c r="D132" s="102">
        <v>21</v>
      </c>
      <c r="E132" s="102">
        <v>99</v>
      </c>
      <c r="F132" s="102">
        <v>2566</v>
      </c>
      <c r="G132" s="102" t="s">
        <v>11</v>
      </c>
      <c r="H132" s="102" t="s">
        <v>10</v>
      </c>
      <c r="I132" s="102" t="s">
        <v>10</v>
      </c>
      <c r="J132" s="102" t="s">
        <v>10</v>
      </c>
      <c r="K132" s="102" t="s">
        <v>10</v>
      </c>
      <c r="L132" s="102" t="s">
        <v>407</v>
      </c>
      <c r="M132" s="102" t="s">
        <v>625</v>
      </c>
      <c r="N132" s="102" t="s">
        <v>407</v>
      </c>
      <c r="O132" s="102" t="s">
        <v>625</v>
      </c>
      <c r="P132" s="102" t="s">
        <v>10</v>
      </c>
      <c r="Q132" s="102" t="s">
        <v>10</v>
      </c>
      <c r="R132" s="102" t="s">
        <v>10</v>
      </c>
    </row>
    <row r="133" spans="1:18" x14ac:dyDescent="0.25">
      <c r="A133" s="102">
        <v>61</v>
      </c>
      <c r="B133" s="102" t="s">
        <v>46</v>
      </c>
      <c r="C133" s="102" t="s">
        <v>407</v>
      </c>
      <c r="D133" s="102">
        <v>33</v>
      </c>
      <c r="E133" s="102">
        <v>21</v>
      </c>
      <c r="F133" s="102">
        <v>3638</v>
      </c>
      <c r="G133" s="102" t="s">
        <v>11</v>
      </c>
      <c r="H133" s="102" t="s">
        <v>10</v>
      </c>
      <c r="I133" s="102" t="s">
        <v>10</v>
      </c>
      <c r="J133" s="102" t="s">
        <v>10</v>
      </c>
      <c r="K133" s="102" t="s">
        <v>10</v>
      </c>
      <c r="L133" s="102" t="s">
        <v>10</v>
      </c>
      <c r="M133" s="102" t="s">
        <v>10</v>
      </c>
      <c r="N133" s="102" t="s">
        <v>10</v>
      </c>
      <c r="O133" s="102" t="s">
        <v>10</v>
      </c>
      <c r="P133" s="102" t="s">
        <v>10</v>
      </c>
      <c r="Q133" s="102" t="s">
        <v>10</v>
      </c>
      <c r="R133" s="102" t="s">
        <v>407</v>
      </c>
    </row>
    <row r="134" spans="1:18" x14ac:dyDescent="0.25">
      <c r="A134" s="102">
        <v>73</v>
      </c>
      <c r="B134" s="102" t="s">
        <v>53</v>
      </c>
      <c r="C134" s="102" t="s">
        <v>10</v>
      </c>
      <c r="D134" s="102">
        <v>21</v>
      </c>
      <c r="E134" s="102">
        <v>112</v>
      </c>
      <c r="F134" s="102">
        <v>10486</v>
      </c>
      <c r="G134" s="102" t="s">
        <v>11</v>
      </c>
      <c r="H134" s="102" t="s">
        <v>10</v>
      </c>
      <c r="I134" s="102" t="s">
        <v>10</v>
      </c>
      <c r="J134" s="102" t="s">
        <v>10</v>
      </c>
      <c r="K134" s="102" t="s">
        <v>10</v>
      </c>
      <c r="L134" s="102" t="s">
        <v>10</v>
      </c>
      <c r="M134" s="102" t="s">
        <v>10</v>
      </c>
      <c r="N134" s="102" t="s">
        <v>10</v>
      </c>
      <c r="O134" s="102" t="s">
        <v>10</v>
      </c>
      <c r="P134" s="102" t="s">
        <v>10</v>
      </c>
      <c r="Q134" s="102" t="s">
        <v>10</v>
      </c>
      <c r="R134" s="102" t="s">
        <v>10</v>
      </c>
    </row>
    <row r="135" spans="1:18" x14ac:dyDescent="0.25">
      <c r="A135" s="102">
        <v>77</v>
      </c>
      <c r="B135" s="102" t="s">
        <v>56</v>
      </c>
      <c r="C135" s="102" t="s">
        <v>10</v>
      </c>
      <c r="D135" s="102">
        <v>21</v>
      </c>
      <c r="E135" s="102">
        <v>116</v>
      </c>
      <c r="F135" s="102">
        <v>10834</v>
      </c>
      <c r="G135" s="102" t="s">
        <v>11</v>
      </c>
      <c r="H135" s="102" t="s">
        <v>10</v>
      </c>
      <c r="I135" s="102" t="s">
        <v>10</v>
      </c>
      <c r="J135" s="102" t="s">
        <v>10</v>
      </c>
      <c r="K135" s="102" t="s">
        <v>10</v>
      </c>
      <c r="L135" s="102" t="s">
        <v>10</v>
      </c>
      <c r="M135" s="102" t="s">
        <v>10</v>
      </c>
      <c r="N135" s="102" t="s">
        <v>10</v>
      </c>
      <c r="O135" s="102" t="s">
        <v>10</v>
      </c>
      <c r="P135" s="102" t="s">
        <v>10</v>
      </c>
      <c r="Q135" s="102" t="s">
        <v>10</v>
      </c>
      <c r="R135" s="102" t="s">
        <v>10</v>
      </c>
    </row>
    <row r="136" spans="1:18" x14ac:dyDescent="0.25">
      <c r="A136" s="102">
        <v>105</v>
      </c>
      <c r="B136" s="102" t="s">
        <v>69</v>
      </c>
      <c r="C136" s="102" t="s">
        <v>10</v>
      </c>
      <c r="D136" s="102">
        <v>21</v>
      </c>
      <c r="E136" s="102">
        <v>139</v>
      </c>
      <c r="F136" s="102">
        <v>12126</v>
      </c>
      <c r="G136" s="102" t="s">
        <v>11</v>
      </c>
      <c r="H136" s="102" t="s">
        <v>10</v>
      </c>
      <c r="I136" s="102" t="s">
        <v>10</v>
      </c>
      <c r="J136" s="102" t="s">
        <v>10</v>
      </c>
      <c r="K136" s="102" t="s">
        <v>10</v>
      </c>
      <c r="L136" s="102" t="s">
        <v>10</v>
      </c>
      <c r="M136" s="102" t="s">
        <v>10</v>
      </c>
      <c r="N136" s="102" t="s">
        <v>10</v>
      </c>
      <c r="O136" s="102" t="s">
        <v>10</v>
      </c>
      <c r="P136" s="102" t="s">
        <v>10</v>
      </c>
      <c r="Q136" s="102" t="s">
        <v>10</v>
      </c>
      <c r="R136" s="102" t="s">
        <v>10</v>
      </c>
    </row>
    <row r="137" spans="1:18" x14ac:dyDescent="0.25">
      <c r="A137" s="102">
        <v>106</v>
      </c>
      <c r="B137" s="102" t="s">
        <v>70</v>
      </c>
      <c r="C137" s="102" t="s">
        <v>10</v>
      </c>
      <c r="D137" s="102">
        <v>21</v>
      </c>
      <c r="E137" s="102">
        <v>140</v>
      </c>
      <c r="F137" s="102">
        <v>10926</v>
      </c>
      <c r="G137" s="102" t="s">
        <v>11</v>
      </c>
      <c r="H137" s="102" t="s">
        <v>10</v>
      </c>
      <c r="I137" s="102" t="s">
        <v>10</v>
      </c>
      <c r="J137" s="102" t="s">
        <v>10</v>
      </c>
      <c r="K137" s="102" t="s">
        <v>10</v>
      </c>
      <c r="L137" s="102" t="s">
        <v>10</v>
      </c>
      <c r="M137" s="102" t="s">
        <v>10</v>
      </c>
      <c r="N137" s="102" t="s">
        <v>10</v>
      </c>
      <c r="O137" s="102" t="s">
        <v>10</v>
      </c>
      <c r="P137" s="102" t="s">
        <v>10</v>
      </c>
      <c r="Q137" s="102" t="s">
        <v>10</v>
      </c>
      <c r="R137" s="102" t="s">
        <v>10</v>
      </c>
    </row>
    <row r="138" spans="1:18" x14ac:dyDescent="0.25">
      <c r="A138" s="102">
        <v>107</v>
      </c>
      <c r="B138" s="102" t="s">
        <v>71</v>
      </c>
      <c r="C138" s="102" t="s">
        <v>164</v>
      </c>
      <c r="D138" s="102">
        <v>3</v>
      </c>
      <c r="E138" s="102">
        <v>159</v>
      </c>
      <c r="F138" s="102">
        <v>11383</v>
      </c>
      <c r="G138" s="102" t="s">
        <v>11</v>
      </c>
      <c r="H138" s="102" t="s">
        <v>10</v>
      </c>
      <c r="I138" s="102" t="s">
        <v>10</v>
      </c>
      <c r="J138" s="102" t="s">
        <v>10</v>
      </c>
      <c r="K138" s="102" t="s">
        <v>10</v>
      </c>
      <c r="L138" s="102" t="s">
        <v>10</v>
      </c>
      <c r="M138" s="102" t="s">
        <v>10</v>
      </c>
      <c r="N138" s="102" t="s">
        <v>10</v>
      </c>
      <c r="O138" s="102" t="s">
        <v>10</v>
      </c>
      <c r="P138" s="102" t="s">
        <v>10</v>
      </c>
      <c r="Q138" s="102" t="s">
        <v>10</v>
      </c>
      <c r="R138" s="102" t="s">
        <v>164</v>
      </c>
    </row>
    <row r="139" spans="1:18" x14ac:dyDescent="0.25">
      <c r="A139" s="102">
        <v>108</v>
      </c>
      <c r="B139" s="102" t="s">
        <v>72</v>
      </c>
      <c r="C139" s="102" t="s">
        <v>407</v>
      </c>
      <c r="D139" s="102">
        <v>21</v>
      </c>
      <c r="E139" s="102">
        <v>141</v>
      </c>
      <c r="F139" s="102">
        <v>4128</v>
      </c>
      <c r="G139" s="102" t="s">
        <v>11</v>
      </c>
      <c r="H139" s="102" t="s">
        <v>10</v>
      </c>
      <c r="I139" s="102" t="s">
        <v>10</v>
      </c>
      <c r="J139" s="102" t="s">
        <v>10</v>
      </c>
      <c r="K139" s="102" t="s">
        <v>10</v>
      </c>
      <c r="L139" s="102" t="s">
        <v>407</v>
      </c>
      <c r="M139" s="102" t="s">
        <v>617</v>
      </c>
      <c r="N139" s="102" t="s">
        <v>407</v>
      </c>
      <c r="O139" s="102" t="s">
        <v>617</v>
      </c>
      <c r="P139" s="102" t="s">
        <v>10</v>
      </c>
      <c r="Q139" s="102" t="s">
        <v>10</v>
      </c>
      <c r="R139" s="102" t="s">
        <v>10</v>
      </c>
    </row>
    <row r="140" spans="1:18" x14ac:dyDescent="0.25">
      <c r="A140" s="102">
        <v>109</v>
      </c>
      <c r="B140" s="102" t="s">
        <v>72</v>
      </c>
      <c r="C140" s="102" t="s">
        <v>10</v>
      </c>
      <c r="D140" s="102">
        <v>21</v>
      </c>
      <c r="E140" s="102">
        <v>142</v>
      </c>
      <c r="F140" s="102">
        <v>4889</v>
      </c>
      <c r="G140" s="102" t="s">
        <v>11</v>
      </c>
      <c r="H140" s="102" t="s">
        <v>10</v>
      </c>
      <c r="I140" s="102" t="s">
        <v>10</v>
      </c>
      <c r="J140" s="102" t="s">
        <v>10</v>
      </c>
      <c r="K140" s="102" t="s">
        <v>10</v>
      </c>
      <c r="L140" s="102" t="s">
        <v>10</v>
      </c>
      <c r="M140" s="102" t="s">
        <v>10</v>
      </c>
      <c r="N140" s="102" t="s">
        <v>10</v>
      </c>
      <c r="O140" s="102" t="s">
        <v>10</v>
      </c>
      <c r="P140" s="102" t="s">
        <v>10</v>
      </c>
      <c r="Q140" s="102" t="s">
        <v>10</v>
      </c>
      <c r="R140" s="102" t="s">
        <v>10</v>
      </c>
    </row>
    <row r="141" spans="1:18" x14ac:dyDescent="0.25">
      <c r="A141" s="102">
        <v>125</v>
      </c>
      <c r="B141" s="102" t="s">
        <v>81</v>
      </c>
      <c r="C141" s="102" t="s">
        <v>10</v>
      </c>
      <c r="D141" s="102">
        <v>21</v>
      </c>
      <c r="E141" s="102">
        <v>155</v>
      </c>
      <c r="F141" s="102">
        <v>6028</v>
      </c>
      <c r="G141" s="102" t="s">
        <v>11</v>
      </c>
      <c r="H141" s="102" t="s">
        <v>10</v>
      </c>
      <c r="I141" s="102" t="s">
        <v>10</v>
      </c>
      <c r="J141" s="102" t="s">
        <v>10</v>
      </c>
      <c r="K141" s="102" t="s">
        <v>10</v>
      </c>
      <c r="L141" s="102" t="s">
        <v>10</v>
      </c>
      <c r="M141" s="102" t="s">
        <v>10</v>
      </c>
      <c r="N141" s="102" t="s">
        <v>10</v>
      </c>
      <c r="O141" s="102" t="s">
        <v>10</v>
      </c>
      <c r="P141" s="102" t="s">
        <v>10</v>
      </c>
      <c r="Q141" s="102" t="s">
        <v>10</v>
      </c>
      <c r="R141" s="102" t="s">
        <v>10</v>
      </c>
    </row>
    <row r="142" spans="1:18" x14ac:dyDescent="0.25">
      <c r="A142" s="102">
        <v>137</v>
      </c>
      <c r="B142" s="102" t="s">
        <v>86</v>
      </c>
      <c r="C142" s="102" t="s">
        <v>10</v>
      </c>
      <c r="D142" s="102">
        <v>21</v>
      </c>
      <c r="E142" s="102">
        <v>167</v>
      </c>
      <c r="F142" s="102">
        <v>7476</v>
      </c>
      <c r="G142" s="102" t="s">
        <v>11</v>
      </c>
      <c r="H142" s="102" t="s">
        <v>10</v>
      </c>
      <c r="I142" s="102" t="s">
        <v>10</v>
      </c>
      <c r="J142" s="102" t="s">
        <v>10</v>
      </c>
      <c r="K142" s="102" t="s">
        <v>10</v>
      </c>
      <c r="L142" s="102" t="s">
        <v>10</v>
      </c>
      <c r="M142" s="102" t="s">
        <v>10</v>
      </c>
      <c r="N142" s="102" t="s">
        <v>10</v>
      </c>
      <c r="O142" s="102" t="s">
        <v>10</v>
      </c>
      <c r="P142" s="102" t="s">
        <v>10</v>
      </c>
      <c r="Q142" s="102" t="s">
        <v>10</v>
      </c>
      <c r="R142" s="102" t="s">
        <v>10</v>
      </c>
    </row>
    <row r="143" spans="1:18" x14ac:dyDescent="0.25">
      <c r="A143" s="102">
        <v>156</v>
      </c>
      <c r="B143" s="102" t="s">
        <v>93</v>
      </c>
      <c r="C143" s="102" t="s">
        <v>407</v>
      </c>
      <c r="D143" s="102">
        <v>33</v>
      </c>
      <c r="E143" s="102">
        <v>32</v>
      </c>
      <c r="F143" s="102">
        <v>6891</v>
      </c>
      <c r="G143" s="102" t="s">
        <v>11</v>
      </c>
      <c r="H143" s="102" t="s">
        <v>10</v>
      </c>
      <c r="I143" s="102" t="s">
        <v>10</v>
      </c>
      <c r="J143" s="102" t="s">
        <v>10</v>
      </c>
      <c r="K143" s="102" t="s">
        <v>10</v>
      </c>
      <c r="L143" s="102" t="s">
        <v>10</v>
      </c>
      <c r="M143" s="102" t="s">
        <v>10</v>
      </c>
      <c r="N143" s="102" t="s">
        <v>10</v>
      </c>
      <c r="O143" s="102" t="s">
        <v>10</v>
      </c>
      <c r="P143" s="102" t="s">
        <v>10</v>
      </c>
      <c r="Q143" s="102" t="s">
        <v>10</v>
      </c>
      <c r="R143" s="102" t="s">
        <v>407</v>
      </c>
    </row>
    <row r="144" spans="1:18" x14ac:dyDescent="0.25">
      <c r="A144" s="102">
        <v>157</v>
      </c>
      <c r="B144" s="102" t="s">
        <v>94</v>
      </c>
      <c r="C144" s="102" t="s">
        <v>407</v>
      </c>
      <c r="D144" s="102">
        <v>21</v>
      </c>
      <c r="E144" s="102">
        <v>187</v>
      </c>
      <c r="F144" s="102">
        <v>11735</v>
      </c>
      <c r="G144" s="102" t="s">
        <v>11</v>
      </c>
      <c r="H144" s="102" t="s">
        <v>10</v>
      </c>
      <c r="I144" s="102" t="s">
        <v>10</v>
      </c>
      <c r="J144" s="102" t="s">
        <v>10</v>
      </c>
      <c r="K144" s="102" t="s">
        <v>10</v>
      </c>
      <c r="L144" s="102" t="s">
        <v>10</v>
      </c>
      <c r="M144" s="102" t="s">
        <v>10</v>
      </c>
      <c r="N144" s="102" t="s">
        <v>10</v>
      </c>
      <c r="O144" s="102" t="s">
        <v>10</v>
      </c>
      <c r="P144" s="102" t="s">
        <v>10</v>
      </c>
      <c r="Q144" s="102" t="s">
        <v>10</v>
      </c>
      <c r="R144" s="102" t="s">
        <v>407</v>
      </c>
    </row>
    <row r="145" spans="1:18" x14ac:dyDescent="0.25">
      <c r="A145" s="102">
        <v>159</v>
      </c>
      <c r="B145" s="102" t="s">
        <v>95</v>
      </c>
      <c r="C145" s="102" t="s">
        <v>407</v>
      </c>
      <c r="D145" s="102">
        <v>21</v>
      </c>
      <c r="E145" s="102">
        <v>189</v>
      </c>
      <c r="F145" s="102">
        <v>4497</v>
      </c>
      <c r="G145" s="102" t="s">
        <v>11</v>
      </c>
      <c r="H145" s="102" t="s">
        <v>10</v>
      </c>
      <c r="I145" s="102" t="s">
        <v>10</v>
      </c>
      <c r="J145" s="102" t="s">
        <v>10</v>
      </c>
      <c r="K145" s="102" t="s">
        <v>10</v>
      </c>
      <c r="L145" s="102" t="s">
        <v>407</v>
      </c>
      <c r="M145" s="102" t="s">
        <v>617</v>
      </c>
      <c r="N145" s="102" t="s">
        <v>10</v>
      </c>
      <c r="O145" s="102" t="s">
        <v>10</v>
      </c>
      <c r="P145" s="102" t="s">
        <v>407</v>
      </c>
      <c r="Q145" s="102" t="s">
        <v>617</v>
      </c>
      <c r="R145" s="102" t="s">
        <v>407</v>
      </c>
    </row>
    <row r="146" spans="1:18" x14ac:dyDescent="0.25">
      <c r="A146" s="102">
        <v>160</v>
      </c>
      <c r="B146" s="102" t="s">
        <v>95</v>
      </c>
      <c r="C146" s="102" t="s">
        <v>407</v>
      </c>
      <c r="D146" s="102">
        <v>21</v>
      </c>
      <c r="E146" s="102">
        <v>190</v>
      </c>
      <c r="F146" s="102">
        <v>8912</v>
      </c>
      <c r="G146" s="102" t="s">
        <v>11</v>
      </c>
      <c r="H146" s="102" t="s">
        <v>10</v>
      </c>
      <c r="I146" s="102" t="s">
        <v>10</v>
      </c>
      <c r="J146" s="102" t="s">
        <v>10</v>
      </c>
      <c r="K146" s="102" t="s">
        <v>10</v>
      </c>
      <c r="L146" s="102" t="s">
        <v>10</v>
      </c>
      <c r="M146" s="102" t="s">
        <v>10</v>
      </c>
      <c r="N146" s="102" t="s">
        <v>10</v>
      </c>
      <c r="O146" s="102" t="s">
        <v>10</v>
      </c>
      <c r="P146" s="102" t="s">
        <v>10</v>
      </c>
      <c r="Q146" s="102" t="s">
        <v>10</v>
      </c>
      <c r="R146" s="102" t="s">
        <v>407</v>
      </c>
    </row>
    <row r="147" spans="1:18" x14ac:dyDescent="0.25">
      <c r="A147" s="102">
        <v>163</v>
      </c>
      <c r="B147" s="102" t="s">
        <v>98</v>
      </c>
      <c r="C147" s="102" t="s">
        <v>307</v>
      </c>
      <c r="D147" s="102">
        <v>21</v>
      </c>
      <c r="E147" s="102">
        <v>232</v>
      </c>
      <c r="F147" s="102">
        <v>7245</v>
      </c>
      <c r="G147" s="102" t="s">
        <v>11</v>
      </c>
      <c r="H147" s="102" t="s">
        <v>10</v>
      </c>
      <c r="I147" s="102" t="s">
        <v>10</v>
      </c>
      <c r="J147" s="102" t="s">
        <v>10</v>
      </c>
      <c r="K147" s="102" t="s">
        <v>10</v>
      </c>
      <c r="L147" s="102" t="s">
        <v>10</v>
      </c>
      <c r="M147" s="102" t="s">
        <v>10</v>
      </c>
      <c r="N147" s="102" t="s">
        <v>10</v>
      </c>
      <c r="O147" s="102" t="s">
        <v>10</v>
      </c>
      <c r="P147" s="102" t="s">
        <v>10</v>
      </c>
      <c r="Q147" s="102" t="s">
        <v>10</v>
      </c>
      <c r="R147" s="102" t="s">
        <v>307</v>
      </c>
    </row>
    <row r="148" spans="1:18" x14ac:dyDescent="0.25">
      <c r="A148" s="102">
        <v>174</v>
      </c>
      <c r="B148" s="102" t="s">
        <v>104</v>
      </c>
      <c r="C148" s="102" t="s">
        <v>164</v>
      </c>
      <c r="D148" s="102">
        <v>3</v>
      </c>
      <c r="E148" s="102">
        <v>9</v>
      </c>
      <c r="F148" s="102">
        <v>13514</v>
      </c>
      <c r="G148" s="102" t="s">
        <v>11</v>
      </c>
      <c r="H148" s="102" t="s">
        <v>10</v>
      </c>
      <c r="I148" s="102" t="s">
        <v>10</v>
      </c>
      <c r="J148" s="102" t="s">
        <v>10</v>
      </c>
      <c r="K148" s="102" t="s">
        <v>10</v>
      </c>
      <c r="L148" s="102" t="s">
        <v>10</v>
      </c>
      <c r="M148" s="102" t="s">
        <v>10</v>
      </c>
      <c r="N148" s="102" t="s">
        <v>10</v>
      </c>
      <c r="O148" s="102" t="s">
        <v>10</v>
      </c>
      <c r="P148" s="102" t="s">
        <v>10</v>
      </c>
      <c r="Q148" s="102" t="s">
        <v>10</v>
      </c>
      <c r="R148" s="102" t="s">
        <v>164</v>
      </c>
    </row>
    <row r="149" spans="1:18" x14ac:dyDescent="0.25">
      <c r="A149" s="102">
        <v>175</v>
      </c>
      <c r="B149" s="102" t="s">
        <v>105</v>
      </c>
      <c r="C149" s="102" t="s">
        <v>10</v>
      </c>
      <c r="D149" s="102">
        <v>21</v>
      </c>
      <c r="E149" s="102">
        <v>199</v>
      </c>
      <c r="F149" s="102">
        <v>23522</v>
      </c>
      <c r="G149" s="102" t="s">
        <v>11</v>
      </c>
      <c r="H149" s="102" t="s">
        <v>10</v>
      </c>
      <c r="I149" s="102" t="s">
        <v>10</v>
      </c>
      <c r="J149" s="102" t="s">
        <v>10</v>
      </c>
      <c r="K149" s="102" t="s">
        <v>10</v>
      </c>
      <c r="L149" s="102" t="s">
        <v>10</v>
      </c>
      <c r="M149" s="102" t="s">
        <v>10</v>
      </c>
      <c r="N149" s="102" t="s">
        <v>10</v>
      </c>
      <c r="O149" s="102" t="s">
        <v>10</v>
      </c>
      <c r="P149" s="102" t="s">
        <v>10</v>
      </c>
      <c r="Q149" s="102" t="s">
        <v>10</v>
      </c>
      <c r="R149" s="102" t="s">
        <v>10</v>
      </c>
    </row>
    <row r="150" spans="1:18" x14ac:dyDescent="0.25">
      <c r="A150" s="102">
        <v>185</v>
      </c>
      <c r="B150" s="102" t="s">
        <v>111</v>
      </c>
      <c r="C150" s="102" t="s">
        <v>176</v>
      </c>
      <c r="D150" s="102">
        <v>21</v>
      </c>
      <c r="E150" s="102">
        <v>209</v>
      </c>
      <c r="F150" s="102">
        <v>6317</v>
      </c>
      <c r="G150" s="102" t="s">
        <v>11</v>
      </c>
      <c r="H150" s="102" t="s">
        <v>10</v>
      </c>
      <c r="I150" s="102" t="s">
        <v>10</v>
      </c>
      <c r="J150" s="102" t="s">
        <v>10</v>
      </c>
      <c r="K150" s="102" t="s">
        <v>10</v>
      </c>
      <c r="L150" s="102" t="s">
        <v>176</v>
      </c>
      <c r="M150" s="102" t="s">
        <v>617</v>
      </c>
      <c r="N150" s="102" t="s">
        <v>10</v>
      </c>
      <c r="O150" s="102" t="s">
        <v>10</v>
      </c>
      <c r="P150" s="102" t="s">
        <v>176</v>
      </c>
      <c r="Q150" s="102" t="s">
        <v>617</v>
      </c>
      <c r="R150" s="102" t="s">
        <v>10</v>
      </c>
    </row>
    <row r="151" spans="1:18" x14ac:dyDescent="0.25">
      <c r="A151" s="102">
        <v>186</v>
      </c>
      <c r="B151" s="102" t="s">
        <v>112</v>
      </c>
      <c r="C151" s="102" t="s">
        <v>307</v>
      </c>
      <c r="D151" s="102">
        <v>21</v>
      </c>
      <c r="E151" s="102">
        <v>210</v>
      </c>
      <c r="F151" s="102">
        <v>12375</v>
      </c>
      <c r="G151" s="102" t="s">
        <v>11</v>
      </c>
      <c r="H151" s="102" t="s">
        <v>10</v>
      </c>
      <c r="I151" s="102" t="s">
        <v>10</v>
      </c>
      <c r="J151" s="102" t="s">
        <v>10</v>
      </c>
      <c r="K151" s="102" t="s">
        <v>10</v>
      </c>
      <c r="L151" s="102" t="s">
        <v>10</v>
      </c>
      <c r="M151" s="102" t="s">
        <v>10</v>
      </c>
      <c r="N151" s="102" t="s">
        <v>10</v>
      </c>
      <c r="O151" s="102" t="s">
        <v>10</v>
      </c>
      <c r="P151" s="102" t="s">
        <v>10</v>
      </c>
      <c r="Q151" s="102" t="s">
        <v>10</v>
      </c>
      <c r="R151" s="102" t="s">
        <v>307</v>
      </c>
    </row>
    <row r="152" spans="1:18" x14ac:dyDescent="0.25">
      <c r="A152" s="102">
        <v>187</v>
      </c>
      <c r="B152" s="102" t="s">
        <v>113</v>
      </c>
      <c r="C152" s="102" t="s">
        <v>541</v>
      </c>
      <c r="D152" s="102">
        <v>21</v>
      </c>
      <c r="E152" s="102">
        <v>212</v>
      </c>
      <c r="F152" s="102">
        <v>2395</v>
      </c>
      <c r="G152" s="102" t="s">
        <v>11</v>
      </c>
      <c r="H152" s="102" t="s">
        <v>10</v>
      </c>
      <c r="I152" s="102" t="s">
        <v>10</v>
      </c>
      <c r="J152" s="102" t="s">
        <v>10</v>
      </c>
      <c r="K152" s="102" t="s">
        <v>10</v>
      </c>
      <c r="L152" s="102" t="s">
        <v>10</v>
      </c>
      <c r="M152" s="102" t="s">
        <v>10</v>
      </c>
      <c r="N152" s="102" t="s">
        <v>10</v>
      </c>
      <c r="O152" s="102" t="s">
        <v>10</v>
      </c>
      <c r="P152" s="102" t="s">
        <v>10</v>
      </c>
      <c r="Q152" s="102" t="s">
        <v>10</v>
      </c>
      <c r="R152" s="102" t="s">
        <v>541</v>
      </c>
    </row>
    <row r="153" spans="1:18" x14ac:dyDescent="0.25">
      <c r="A153" s="102">
        <v>188</v>
      </c>
      <c r="B153" s="102" t="s">
        <v>114</v>
      </c>
      <c r="C153" s="102" t="s">
        <v>407</v>
      </c>
      <c r="D153" s="102">
        <v>32</v>
      </c>
      <c r="E153" s="102">
        <v>207</v>
      </c>
      <c r="F153" s="102">
        <v>7778</v>
      </c>
      <c r="G153" s="102" t="s">
        <v>11</v>
      </c>
      <c r="H153" s="102" t="s">
        <v>10</v>
      </c>
      <c r="I153" s="102" t="s">
        <v>10</v>
      </c>
      <c r="J153" s="102" t="s">
        <v>10</v>
      </c>
      <c r="K153" s="102" t="s">
        <v>10</v>
      </c>
      <c r="L153" s="102" t="s">
        <v>10</v>
      </c>
      <c r="M153" s="102" t="s">
        <v>10</v>
      </c>
      <c r="N153" s="102" t="s">
        <v>10</v>
      </c>
      <c r="O153" s="102" t="s">
        <v>10</v>
      </c>
      <c r="P153" s="102" t="s">
        <v>10</v>
      </c>
      <c r="Q153" s="102" t="s">
        <v>10</v>
      </c>
      <c r="R153" s="102" t="s">
        <v>407</v>
      </c>
    </row>
    <row r="154" spans="1:18" x14ac:dyDescent="0.25">
      <c r="A154" s="102">
        <v>189</v>
      </c>
      <c r="B154" s="102" t="s">
        <v>114</v>
      </c>
      <c r="C154" s="102" t="s">
        <v>10</v>
      </c>
      <c r="D154" s="102">
        <v>21</v>
      </c>
      <c r="E154" s="102">
        <v>213</v>
      </c>
      <c r="F154" s="102">
        <v>11400</v>
      </c>
      <c r="G154" s="102" t="s">
        <v>11</v>
      </c>
      <c r="H154" s="102" t="s">
        <v>10</v>
      </c>
      <c r="I154" s="102" t="s">
        <v>10</v>
      </c>
      <c r="J154" s="102" t="s">
        <v>10</v>
      </c>
      <c r="K154" s="102" t="s">
        <v>10</v>
      </c>
      <c r="L154" s="102" t="s">
        <v>10</v>
      </c>
      <c r="M154" s="102" t="s">
        <v>10</v>
      </c>
      <c r="N154" s="102" t="s">
        <v>10</v>
      </c>
      <c r="O154" s="102" t="s">
        <v>10</v>
      </c>
      <c r="P154" s="102" t="s">
        <v>10</v>
      </c>
      <c r="Q154" s="102" t="s">
        <v>10</v>
      </c>
      <c r="R154" s="102" t="s">
        <v>10</v>
      </c>
    </row>
    <row r="155" spans="1:18" x14ac:dyDescent="0.25">
      <c r="A155" s="102">
        <v>193</v>
      </c>
      <c r="B155" s="102" t="s">
        <v>116</v>
      </c>
      <c r="C155" s="102" t="s">
        <v>10</v>
      </c>
      <c r="D155" s="102">
        <v>33</v>
      </c>
      <c r="E155" s="102">
        <v>20</v>
      </c>
      <c r="F155" s="102">
        <v>12388</v>
      </c>
      <c r="G155" s="102" t="s">
        <v>11</v>
      </c>
      <c r="H155" s="102" t="s">
        <v>10</v>
      </c>
      <c r="I155" s="102" t="s">
        <v>10</v>
      </c>
      <c r="J155" s="102" t="s">
        <v>10</v>
      </c>
      <c r="K155" s="102" t="s">
        <v>10</v>
      </c>
      <c r="L155" s="102" t="s">
        <v>10</v>
      </c>
      <c r="M155" s="102" t="s">
        <v>10</v>
      </c>
      <c r="N155" s="102" t="s">
        <v>10</v>
      </c>
      <c r="O155" s="102" t="s">
        <v>10</v>
      </c>
      <c r="P155" s="102" t="s">
        <v>10</v>
      </c>
      <c r="Q155" s="102" t="s">
        <v>10</v>
      </c>
      <c r="R155" s="102" t="s">
        <v>10</v>
      </c>
    </row>
    <row r="156" spans="1:18" x14ac:dyDescent="0.25">
      <c r="A156" s="102">
        <v>194</v>
      </c>
      <c r="B156" s="102" t="s">
        <v>117</v>
      </c>
      <c r="C156" s="102" t="s">
        <v>10</v>
      </c>
      <c r="D156" s="102">
        <v>1</v>
      </c>
      <c r="E156" s="102">
        <v>173</v>
      </c>
      <c r="F156" s="102">
        <v>3359</v>
      </c>
      <c r="G156" s="102" t="s">
        <v>11</v>
      </c>
      <c r="H156" s="102" t="s">
        <v>10</v>
      </c>
      <c r="I156" s="102" t="s">
        <v>10</v>
      </c>
      <c r="J156" s="102" t="s">
        <v>10</v>
      </c>
      <c r="K156" s="102" t="s">
        <v>10</v>
      </c>
      <c r="L156" s="102" t="s">
        <v>10</v>
      </c>
      <c r="M156" s="102" t="s">
        <v>10</v>
      </c>
      <c r="N156" s="102" t="s">
        <v>10</v>
      </c>
      <c r="O156" s="102" t="s">
        <v>10</v>
      </c>
      <c r="P156" s="102" t="s">
        <v>10</v>
      </c>
      <c r="Q156" s="102" t="s">
        <v>10</v>
      </c>
      <c r="R156" s="102" t="s">
        <v>10</v>
      </c>
    </row>
    <row r="157" spans="1:18" x14ac:dyDescent="0.25">
      <c r="A157" s="102">
        <v>210</v>
      </c>
      <c r="B157" s="102" t="s">
        <v>124</v>
      </c>
      <c r="C157" s="102" t="s">
        <v>472</v>
      </c>
      <c r="D157" s="102">
        <v>8</v>
      </c>
      <c r="E157" s="102">
        <v>221</v>
      </c>
      <c r="F157" s="102">
        <v>2972</v>
      </c>
      <c r="G157" s="102" t="s">
        <v>11</v>
      </c>
      <c r="H157" s="102" t="s">
        <v>10</v>
      </c>
      <c r="I157" s="102" t="s">
        <v>10</v>
      </c>
      <c r="J157" s="102" t="s">
        <v>10</v>
      </c>
      <c r="K157" s="102" t="s">
        <v>10</v>
      </c>
      <c r="L157" s="102" t="s">
        <v>10</v>
      </c>
      <c r="M157" s="102" t="s">
        <v>10</v>
      </c>
      <c r="N157" s="102" t="s">
        <v>10</v>
      </c>
      <c r="O157" s="102" t="s">
        <v>10</v>
      </c>
      <c r="P157" s="102" t="s">
        <v>10</v>
      </c>
      <c r="Q157" s="102" t="s">
        <v>10</v>
      </c>
      <c r="R157" s="102" t="s">
        <v>472</v>
      </c>
    </row>
    <row r="158" spans="1:18" x14ac:dyDescent="0.25">
      <c r="A158" s="102">
        <v>211</v>
      </c>
      <c r="B158" s="102" t="s">
        <v>125</v>
      </c>
      <c r="C158" s="102" t="s">
        <v>307</v>
      </c>
      <c r="D158" s="102">
        <v>21</v>
      </c>
      <c r="E158" s="102">
        <v>230</v>
      </c>
      <c r="F158" s="102">
        <v>16129</v>
      </c>
      <c r="G158" s="102" t="s">
        <v>11</v>
      </c>
      <c r="H158" s="102" t="s">
        <v>10</v>
      </c>
      <c r="I158" s="102" t="s">
        <v>10</v>
      </c>
      <c r="J158" s="102" t="s">
        <v>10</v>
      </c>
      <c r="K158" s="102" t="s">
        <v>10</v>
      </c>
      <c r="L158" s="102" t="s">
        <v>10</v>
      </c>
      <c r="M158" s="102" t="s">
        <v>10</v>
      </c>
      <c r="N158" s="102" t="s">
        <v>10</v>
      </c>
      <c r="O158" s="102" t="s">
        <v>10</v>
      </c>
      <c r="P158" s="102" t="s">
        <v>10</v>
      </c>
      <c r="Q158" s="102" t="s">
        <v>10</v>
      </c>
      <c r="R158" s="102" t="s">
        <v>307</v>
      </c>
    </row>
    <row r="159" spans="1:18" x14ac:dyDescent="0.25">
      <c r="A159" s="102">
        <v>212</v>
      </c>
      <c r="B159" s="102" t="s">
        <v>126</v>
      </c>
      <c r="C159" s="102" t="s">
        <v>307</v>
      </c>
      <c r="D159" s="102">
        <v>21</v>
      </c>
      <c r="E159" s="102">
        <v>231</v>
      </c>
      <c r="F159" s="102">
        <v>13586</v>
      </c>
      <c r="G159" s="102" t="s">
        <v>11</v>
      </c>
      <c r="H159" s="102" t="s">
        <v>10</v>
      </c>
      <c r="I159" s="102" t="s">
        <v>10</v>
      </c>
      <c r="J159" s="102" t="s">
        <v>10</v>
      </c>
      <c r="K159" s="102" t="s">
        <v>10</v>
      </c>
      <c r="L159" s="102" t="s">
        <v>10</v>
      </c>
      <c r="M159" s="102" t="s">
        <v>10</v>
      </c>
      <c r="N159" s="102" t="s">
        <v>10</v>
      </c>
      <c r="O159" s="102" t="s">
        <v>10</v>
      </c>
      <c r="P159" s="102" t="s">
        <v>10</v>
      </c>
      <c r="Q159" s="102" t="s">
        <v>10</v>
      </c>
      <c r="R159" s="102" t="s">
        <v>307</v>
      </c>
    </row>
    <row r="160" spans="1:18" x14ac:dyDescent="0.25">
      <c r="A160" s="102">
        <v>213</v>
      </c>
      <c r="B160" s="102" t="s">
        <v>126</v>
      </c>
      <c r="C160" s="102" t="s">
        <v>10</v>
      </c>
      <c r="D160" s="102">
        <v>33</v>
      </c>
      <c r="E160" s="102">
        <v>37</v>
      </c>
      <c r="F160" s="102">
        <v>14098</v>
      </c>
      <c r="G160" s="102" t="s">
        <v>11</v>
      </c>
      <c r="H160" s="102" t="s">
        <v>10</v>
      </c>
      <c r="I160" s="102" t="s">
        <v>10</v>
      </c>
      <c r="J160" s="102" t="s">
        <v>10</v>
      </c>
      <c r="K160" s="102" t="s">
        <v>10</v>
      </c>
      <c r="L160" s="102" t="s">
        <v>10</v>
      </c>
      <c r="M160" s="102" t="s">
        <v>10</v>
      </c>
      <c r="N160" s="102" t="s">
        <v>10</v>
      </c>
      <c r="O160" s="102" t="s">
        <v>10</v>
      </c>
      <c r="P160" s="102" t="s">
        <v>10</v>
      </c>
      <c r="Q160" s="102" t="s">
        <v>10</v>
      </c>
      <c r="R160" s="102" t="s">
        <v>10</v>
      </c>
    </row>
    <row r="161" spans="1:18" x14ac:dyDescent="0.25">
      <c r="A161" s="102">
        <v>214</v>
      </c>
      <c r="B161" s="102" t="s">
        <v>127</v>
      </c>
      <c r="C161" s="102" t="s">
        <v>307</v>
      </c>
      <c r="D161" s="102">
        <v>21</v>
      </c>
      <c r="E161" s="102">
        <v>232</v>
      </c>
      <c r="F161" s="102">
        <v>19463</v>
      </c>
      <c r="G161" s="102" t="s">
        <v>11</v>
      </c>
      <c r="H161" s="102" t="s">
        <v>10</v>
      </c>
      <c r="I161" s="102" t="s">
        <v>10</v>
      </c>
      <c r="J161" s="102" t="s">
        <v>10</v>
      </c>
      <c r="K161" s="102" t="s">
        <v>10</v>
      </c>
      <c r="L161" s="102" t="s">
        <v>10</v>
      </c>
      <c r="M161" s="102" t="s">
        <v>10</v>
      </c>
      <c r="N161" s="102" t="s">
        <v>10</v>
      </c>
      <c r="O161" s="102" t="s">
        <v>10</v>
      </c>
      <c r="P161" s="102" t="s">
        <v>10</v>
      </c>
      <c r="Q161" s="102" t="s">
        <v>10</v>
      </c>
      <c r="R161" s="102" t="s">
        <v>307</v>
      </c>
    </row>
    <row r="162" spans="1:18" x14ac:dyDescent="0.25">
      <c r="A162" s="102">
        <v>215</v>
      </c>
      <c r="B162" s="102" t="s">
        <v>128</v>
      </c>
      <c r="C162" s="102" t="s">
        <v>164</v>
      </c>
      <c r="D162" s="102">
        <v>9</v>
      </c>
      <c r="E162" s="102">
        <v>10</v>
      </c>
      <c r="F162" s="102">
        <v>3850</v>
      </c>
      <c r="G162" s="102" t="s">
        <v>11</v>
      </c>
      <c r="H162" s="102" t="s">
        <v>10</v>
      </c>
      <c r="I162" s="102" t="s">
        <v>10</v>
      </c>
      <c r="J162" s="102" t="s">
        <v>10</v>
      </c>
      <c r="K162" s="102" t="s">
        <v>10</v>
      </c>
      <c r="L162" s="102" t="s">
        <v>10</v>
      </c>
      <c r="M162" s="102" t="s">
        <v>10</v>
      </c>
      <c r="N162" s="102" t="s">
        <v>10</v>
      </c>
      <c r="O162" s="102" t="s">
        <v>10</v>
      </c>
      <c r="P162" s="102" t="s">
        <v>10</v>
      </c>
      <c r="Q162" s="102" t="s">
        <v>10</v>
      </c>
      <c r="R162" s="102" t="s">
        <v>164</v>
      </c>
    </row>
    <row r="163" spans="1:18" x14ac:dyDescent="0.25">
      <c r="A163" s="102">
        <v>218</v>
      </c>
      <c r="B163" s="102" t="s">
        <v>131</v>
      </c>
      <c r="C163" s="102" t="s">
        <v>407</v>
      </c>
      <c r="D163" s="102">
        <v>7</v>
      </c>
      <c r="E163" s="102">
        <v>8</v>
      </c>
      <c r="F163" s="102">
        <v>5865</v>
      </c>
      <c r="G163" s="102" t="s">
        <v>11</v>
      </c>
      <c r="H163" s="102" t="s">
        <v>10</v>
      </c>
      <c r="I163" s="102" t="s">
        <v>10</v>
      </c>
      <c r="J163" s="102" t="s">
        <v>10</v>
      </c>
      <c r="K163" s="102" t="s">
        <v>10</v>
      </c>
      <c r="L163" s="102" t="s">
        <v>10</v>
      </c>
      <c r="M163" s="102" t="s">
        <v>10</v>
      </c>
      <c r="N163" s="102" t="s">
        <v>10</v>
      </c>
      <c r="O163" s="102" t="s">
        <v>10</v>
      </c>
      <c r="P163" s="102" t="s">
        <v>10</v>
      </c>
      <c r="Q163" s="102" t="s">
        <v>10</v>
      </c>
      <c r="R163" s="102" t="s">
        <v>407</v>
      </c>
    </row>
    <row r="164" spans="1:18" x14ac:dyDescent="0.25">
      <c r="A164" s="102">
        <v>219</v>
      </c>
      <c r="B164" s="102" t="s">
        <v>132</v>
      </c>
      <c r="C164" s="102" t="s">
        <v>10</v>
      </c>
      <c r="D164" s="102">
        <v>21</v>
      </c>
      <c r="E164" s="102">
        <v>234</v>
      </c>
      <c r="F164" s="102">
        <v>21135</v>
      </c>
      <c r="G164" s="102" t="s">
        <v>11</v>
      </c>
      <c r="H164" s="102" t="s">
        <v>10</v>
      </c>
      <c r="I164" s="102" t="s">
        <v>10</v>
      </c>
      <c r="J164" s="102" t="s">
        <v>10</v>
      </c>
      <c r="K164" s="102" t="s">
        <v>10</v>
      </c>
      <c r="L164" s="102" t="s">
        <v>10</v>
      </c>
      <c r="M164" s="102" t="s">
        <v>10</v>
      </c>
      <c r="N164" s="102" t="s">
        <v>10</v>
      </c>
      <c r="O164" s="102" t="s">
        <v>10</v>
      </c>
      <c r="P164" s="102" t="s">
        <v>10</v>
      </c>
      <c r="Q164" s="102" t="s">
        <v>10</v>
      </c>
      <c r="R164" s="102" t="s">
        <v>10</v>
      </c>
    </row>
    <row r="165" spans="1:18" x14ac:dyDescent="0.25">
      <c r="A165" s="102">
        <v>221</v>
      </c>
      <c r="B165" s="102" t="s">
        <v>134</v>
      </c>
      <c r="C165" s="102" t="s">
        <v>10</v>
      </c>
      <c r="D165" s="102">
        <v>21</v>
      </c>
      <c r="E165" s="102">
        <v>235</v>
      </c>
      <c r="F165" s="102">
        <v>2839</v>
      </c>
      <c r="G165" s="102" t="s">
        <v>11</v>
      </c>
      <c r="H165" s="102" t="s">
        <v>10</v>
      </c>
      <c r="I165" s="102" t="s">
        <v>10</v>
      </c>
      <c r="J165" s="102" t="s">
        <v>10</v>
      </c>
      <c r="K165" s="102" t="s">
        <v>10</v>
      </c>
      <c r="L165" s="102" t="s">
        <v>10</v>
      </c>
      <c r="M165" s="102" t="s">
        <v>10</v>
      </c>
      <c r="N165" s="102" t="s">
        <v>10</v>
      </c>
      <c r="O165" s="102" t="s">
        <v>10</v>
      </c>
      <c r="P165" s="102" t="s">
        <v>10</v>
      </c>
      <c r="Q165" s="102" t="s">
        <v>10</v>
      </c>
      <c r="R165" s="102" t="s">
        <v>10</v>
      </c>
    </row>
    <row r="166" spans="1:18" x14ac:dyDescent="0.25">
      <c r="A166" s="102">
        <v>224</v>
      </c>
      <c r="B166" s="102" t="s">
        <v>136</v>
      </c>
      <c r="C166" s="102" t="s">
        <v>407</v>
      </c>
      <c r="D166" s="102">
        <v>38</v>
      </c>
      <c r="E166" s="102">
        <v>109</v>
      </c>
      <c r="F166" s="102">
        <v>1026</v>
      </c>
      <c r="G166" s="102" t="s">
        <v>11</v>
      </c>
      <c r="H166" s="102" t="s">
        <v>10</v>
      </c>
      <c r="I166" s="102" t="s">
        <v>10</v>
      </c>
      <c r="J166" s="102" t="s">
        <v>10</v>
      </c>
      <c r="K166" s="102" t="s">
        <v>10</v>
      </c>
      <c r="L166" s="102" t="s">
        <v>10</v>
      </c>
      <c r="M166" s="102" t="s">
        <v>10</v>
      </c>
      <c r="N166" s="102" t="s">
        <v>10</v>
      </c>
      <c r="O166" s="102" t="s">
        <v>10</v>
      </c>
      <c r="P166" s="102" t="s">
        <v>10</v>
      </c>
      <c r="Q166" s="102" t="s">
        <v>10</v>
      </c>
      <c r="R166" s="102" t="s">
        <v>407</v>
      </c>
    </row>
    <row r="167" spans="1:18" x14ac:dyDescent="0.25">
      <c r="A167" s="102">
        <v>225</v>
      </c>
      <c r="B167" s="102" t="s">
        <v>136</v>
      </c>
      <c r="C167" s="102" t="s">
        <v>10</v>
      </c>
      <c r="D167" s="102">
        <v>36</v>
      </c>
      <c r="E167" s="102">
        <v>74</v>
      </c>
      <c r="F167" s="102">
        <v>3261</v>
      </c>
      <c r="G167" s="102" t="s">
        <v>11</v>
      </c>
      <c r="H167" s="102" t="s">
        <v>10</v>
      </c>
      <c r="I167" s="102" t="s">
        <v>10</v>
      </c>
      <c r="J167" s="102" t="s">
        <v>10</v>
      </c>
      <c r="K167" s="102" t="s">
        <v>10</v>
      </c>
      <c r="L167" s="102" t="s">
        <v>10</v>
      </c>
      <c r="M167" s="102" t="s">
        <v>10</v>
      </c>
      <c r="N167" s="102" t="s">
        <v>10</v>
      </c>
      <c r="O167" s="102" t="s">
        <v>10</v>
      </c>
      <c r="P167" s="102" t="s">
        <v>10</v>
      </c>
      <c r="Q167" s="102" t="s">
        <v>10</v>
      </c>
      <c r="R167" s="102" t="s">
        <v>10</v>
      </c>
    </row>
    <row r="168" spans="1:18" x14ac:dyDescent="0.25">
      <c r="A168" s="102">
        <v>226</v>
      </c>
      <c r="B168" s="102" t="s">
        <v>137</v>
      </c>
      <c r="C168" s="102" t="s">
        <v>10</v>
      </c>
      <c r="D168" s="102">
        <v>21</v>
      </c>
      <c r="E168" s="102">
        <v>238</v>
      </c>
      <c r="F168" s="102">
        <v>7637</v>
      </c>
      <c r="G168" s="102" t="s">
        <v>11</v>
      </c>
      <c r="H168" s="102" t="s">
        <v>10</v>
      </c>
      <c r="I168" s="102" t="s">
        <v>10</v>
      </c>
      <c r="J168" s="102" t="s">
        <v>10</v>
      </c>
      <c r="K168" s="102" t="s">
        <v>10</v>
      </c>
      <c r="L168" s="102" t="s">
        <v>10</v>
      </c>
      <c r="M168" s="102" t="s">
        <v>10</v>
      </c>
      <c r="N168" s="102" t="s">
        <v>10</v>
      </c>
      <c r="O168" s="102" t="s">
        <v>10</v>
      </c>
      <c r="P168" s="102" t="s">
        <v>10</v>
      </c>
      <c r="Q168" s="102" t="s">
        <v>10</v>
      </c>
      <c r="R168" s="102" t="s">
        <v>10</v>
      </c>
    </row>
    <row r="169" spans="1:18" x14ac:dyDescent="0.25">
      <c r="A169" s="102">
        <v>235</v>
      </c>
      <c r="B169" s="102" t="s">
        <v>144</v>
      </c>
      <c r="C169" s="102" t="s">
        <v>10</v>
      </c>
      <c r="D169" s="102">
        <v>21</v>
      </c>
      <c r="E169" s="102">
        <v>245</v>
      </c>
      <c r="F169" s="102">
        <v>9681</v>
      </c>
      <c r="G169" s="102" t="s">
        <v>11</v>
      </c>
      <c r="H169" s="102" t="s">
        <v>10</v>
      </c>
      <c r="I169" s="102" t="s">
        <v>10</v>
      </c>
      <c r="J169" s="102" t="s">
        <v>10</v>
      </c>
      <c r="K169" s="102" t="s">
        <v>10</v>
      </c>
      <c r="L169" s="102" t="s">
        <v>10</v>
      </c>
      <c r="M169" s="102" t="s">
        <v>10</v>
      </c>
      <c r="N169" s="102" t="s">
        <v>10</v>
      </c>
      <c r="O169" s="102" t="s">
        <v>10</v>
      </c>
      <c r="P169" s="102" t="s">
        <v>10</v>
      </c>
      <c r="Q169" s="102" t="s">
        <v>10</v>
      </c>
      <c r="R169" s="102" t="s">
        <v>10</v>
      </c>
    </row>
    <row r="170" spans="1:18" x14ac:dyDescent="0.25">
      <c r="A170" s="102">
        <v>236</v>
      </c>
      <c r="B170" s="102" t="s">
        <v>144</v>
      </c>
      <c r="C170" s="102" t="s">
        <v>176</v>
      </c>
      <c r="D170" s="102">
        <v>21</v>
      </c>
      <c r="E170" s="102">
        <v>246</v>
      </c>
      <c r="F170" s="102">
        <v>39426</v>
      </c>
      <c r="G170" s="102" t="s">
        <v>11</v>
      </c>
      <c r="H170" s="102" t="s">
        <v>10</v>
      </c>
      <c r="I170" s="102" t="s">
        <v>10</v>
      </c>
      <c r="J170" s="102" t="s">
        <v>10</v>
      </c>
      <c r="K170" s="102" t="s">
        <v>10</v>
      </c>
      <c r="L170" s="102" t="s">
        <v>176</v>
      </c>
      <c r="M170" s="102" t="s">
        <v>618</v>
      </c>
      <c r="N170" s="102" t="s">
        <v>10</v>
      </c>
      <c r="O170" s="102" t="s">
        <v>10</v>
      </c>
      <c r="P170" s="102" t="s">
        <v>176</v>
      </c>
      <c r="Q170" s="102" t="s">
        <v>618</v>
      </c>
      <c r="R170" s="102" t="s">
        <v>10</v>
      </c>
    </row>
    <row r="171" spans="1:18" x14ac:dyDescent="0.25">
      <c r="A171" s="102">
        <v>237</v>
      </c>
      <c r="B171" s="102" t="s">
        <v>144</v>
      </c>
      <c r="C171" s="102" t="s">
        <v>176</v>
      </c>
      <c r="D171" s="102">
        <v>21</v>
      </c>
      <c r="E171" s="102">
        <v>247</v>
      </c>
      <c r="F171" s="102">
        <v>20344</v>
      </c>
      <c r="G171" s="102" t="s">
        <v>11</v>
      </c>
      <c r="H171" s="102" t="s">
        <v>10</v>
      </c>
      <c r="I171" s="102" t="s">
        <v>10</v>
      </c>
      <c r="J171" s="102" t="s">
        <v>10</v>
      </c>
      <c r="K171" s="102" t="s">
        <v>10</v>
      </c>
      <c r="L171" s="102" t="s">
        <v>176</v>
      </c>
      <c r="M171" s="102" t="s">
        <v>618</v>
      </c>
      <c r="N171" s="102" t="s">
        <v>10</v>
      </c>
      <c r="O171" s="102" t="s">
        <v>10</v>
      </c>
      <c r="P171" s="102" t="s">
        <v>176</v>
      </c>
      <c r="Q171" s="102" t="s">
        <v>618</v>
      </c>
      <c r="R171" s="102" t="s">
        <v>10</v>
      </c>
    </row>
    <row r="172" spans="1:18" x14ac:dyDescent="0.25">
      <c r="A172" s="102">
        <v>238</v>
      </c>
      <c r="B172" s="102" t="s">
        <v>145</v>
      </c>
      <c r="C172" s="102" t="s">
        <v>307</v>
      </c>
      <c r="D172" s="102">
        <v>21</v>
      </c>
      <c r="E172" s="102">
        <v>248</v>
      </c>
      <c r="F172" s="102">
        <v>13435</v>
      </c>
      <c r="G172" s="102" t="s">
        <v>11</v>
      </c>
      <c r="H172" s="102" t="s">
        <v>10</v>
      </c>
      <c r="I172" s="102" t="s">
        <v>10</v>
      </c>
      <c r="J172" s="102" t="s">
        <v>10</v>
      </c>
      <c r="K172" s="102" t="s">
        <v>10</v>
      </c>
      <c r="L172" s="102" t="s">
        <v>10</v>
      </c>
      <c r="M172" s="102" t="s">
        <v>10</v>
      </c>
      <c r="N172" s="102" t="s">
        <v>10</v>
      </c>
      <c r="O172" s="102" t="s">
        <v>10</v>
      </c>
      <c r="P172" s="102" t="s">
        <v>10</v>
      </c>
      <c r="Q172" s="102" t="s">
        <v>10</v>
      </c>
      <c r="R172" s="102" t="s">
        <v>307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M409"/>
  <sheetViews>
    <sheetView showWhiteSpace="0" topLeftCell="A93" zoomScaleNormal="100" workbookViewId="0">
      <selection activeCell="B93" sqref="B93"/>
    </sheetView>
  </sheetViews>
  <sheetFormatPr defaultColWidth="9.140625" defaultRowHeight="17.25" x14ac:dyDescent="0.3"/>
  <cols>
    <col min="1" max="1" width="6" style="46" customWidth="1"/>
    <col min="2" max="2" width="29.42578125" style="46" customWidth="1"/>
    <col min="3" max="3" width="14.5703125" style="46" customWidth="1"/>
    <col min="4" max="4" width="7.7109375" style="46" customWidth="1"/>
    <col min="5" max="5" width="9.140625" style="46"/>
    <col min="6" max="6" width="15" style="46" customWidth="1"/>
    <col min="7" max="7" width="9.28515625" style="46" customWidth="1"/>
    <col min="8" max="8" width="18" style="46" bestFit="1" customWidth="1"/>
    <col min="9" max="16384" width="9.140625" style="46"/>
  </cols>
  <sheetData>
    <row r="1" spans="1:13" s="65" customFormat="1" ht="18.75" customHeight="1" x14ac:dyDescent="0.25">
      <c r="A1" s="113" t="s">
        <v>336</v>
      </c>
      <c r="B1" s="113"/>
      <c r="C1" s="113" t="s">
        <v>335</v>
      </c>
      <c r="D1" s="113"/>
      <c r="E1" s="113"/>
      <c r="F1" s="113"/>
      <c r="G1" s="113"/>
      <c r="H1" s="66"/>
      <c r="I1" s="66"/>
    </row>
    <row r="2" spans="1:13" s="65" customFormat="1" ht="17.25" customHeight="1" x14ac:dyDescent="0.25">
      <c r="A2" s="113" t="s">
        <v>334</v>
      </c>
      <c r="B2" s="113"/>
      <c r="C2" s="113" t="s">
        <v>333</v>
      </c>
      <c r="D2" s="113"/>
      <c r="E2" s="113"/>
      <c r="F2" s="113"/>
      <c r="G2" s="113"/>
      <c r="H2" s="66"/>
      <c r="I2" s="66"/>
    </row>
    <row r="3" spans="1:13" x14ac:dyDescent="0.3">
      <c r="A3" s="49"/>
      <c r="B3" s="49"/>
      <c r="C3" s="49"/>
      <c r="D3" s="49"/>
      <c r="E3" s="49"/>
      <c r="F3" s="49"/>
      <c r="G3" s="49"/>
      <c r="H3" s="49"/>
      <c r="I3" s="49"/>
    </row>
    <row r="4" spans="1:13" x14ac:dyDescent="0.3">
      <c r="A4" s="114" t="s">
        <v>332</v>
      </c>
      <c r="B4" s="114"/>
      <c r="C4" s="115" t="s">
        <v>331</v>
      </c>
      <c r="D4" s="115"/>
      <c r="E4" s="115"/>
      <c r="F4" s="115"/>
      <c r="G4" s="115"/>
      <c r="H4" s="64"/>
      <c r="I4" s="64"/>
    </row>
    <row r="5" spans="1:13" x14ac:dyDescent="0.3">
      <c r="A5" s="49"/>
      <c r="B5" s="49"/>
      <c r="C5" s="49"/>
      <c r="D5" s="49"/>
      <c r="E5" s="49"/>
      <c r="F5" s="49"/>
      <c r="G5" s="49"/>
      <c r="H5" s="49"/>
      <c r="I5" s="49"/>
    </row>
    <row r="6" spans="1:13" x14ac:dyDescent="0.3">
      <c r="A6" s="112" t="s">
        <v>330</v>
      </c>
      <c r="B6" s="112"/>
      <c r="C6" s="112"/>
      <c r="D6" s="112"/>
      <c r="E6" s="112"/>
      <c r="F6" s="112"/>
      <c r="G6" s="112"/>
      <c r="H6" s="64"/>
      <c r="I6" s="64"/>
    </row>
    <row r="7" spans="1:13" ht="43.5" customHeight="1" x14ac:dyDescent="0.3">
      <c r="A7" s="116" t="s">
        <v>329</v>
      </c>
      <c r="B7" s="116"/>
      <c r="C7" s="116"/>
      <c r="D7" s="116"/>
      <c r="E7" s="116"/>
      <c r="F7" s="116"/>
      <c r="G7" s="116"/>
      <c r="H7" s="63"/>
      <c r="I7" s="63"/>
      <c r="K7" s="60"/>
    </row>
    <row r="8" spans="1:13" ht="33" x14ac:dyDescent="0.3">
      <c r="A8" s="61" t="s">
        <v>149</v>
      </c>
      <c r="B8" s="61" t="s">
        <v>622</v>
      </c>
      <c r="C8" s="61" t="s">
        <v>328</v>
      </c>
      <c r="D8" s="61" t="s">
        <v>1</v>
      </c>
      <c r="E8" s="61" t="s">
        <v>9</v>
      </c>
      <c r="F8" s="62" t="s">
        <v>327</v>
      </c>
      <c r="G8" s="61" t="s">
        <v>6</v>
      </c>
      <c r="H8" s="104" t="s">
        <v>615</v>
      </c>
      <c r="I8" s="49"/>
      <c r="M8" s="60"/>
    </row>
    <row r="9" spans="1:13" x14ac:dyDescent="0.3">
      <c r="A9" s="55">
        <v>1</v>
      </c>
      <c r="B9" s="19" t="s">
        <v>138</v>
      </c>
      <c r="C9" s="14" t="s">
        <v>603</v>
      </c>
      <c r="D9" s="52">
        <v>1</v>
      </c>
      <c r="E9" s="52" t="s">
        <v>229</v>
      </c>
      <c r="F9" s="52" t="s">
        <v>193</v>
      </c>
      <c r="G9" s="55"/>
      <c r="H9" s="49"/>
      <c r="I9" s="49"/>
    </row>
    <row r="10" spans="1:13" x14ac:dyDescent="0.3">
      <c r="A10" s="55">
        <v>2</v>
      </c>
      <c r="B10" s="19" t="s">
        <v>635</v>
      </c>
      <c r="C10" s="14" t="s">
        <v>603</v>
      </c>
      <c r="D10" s="52">
        <v>1</v>
      </c>
      <c r="E10" s="52" t="s">
        <v>229</v>
      </c>
      <c r="F10" s="52" t="s">
        <v>193</v>
      </c>
      <c r="G10" s="55"/>
      <c r="H10" s="49"/>
      <c r="I10" s="49"/>
    </row>
    <row r="11" spans="1:13" x14ac:dyDescent="0.3">
      <c r="A11" s="55">
        <v>3</v>
      </c>
      <c r="B11" s="19" t="s">
        <v>170</v>
      </c>
      <c r="C11" s="14" t="s">
        <v>603</v>
      </c>
      <c r="D11" s="52">
        <v>1</v>
      </c>
      <c r="E11" s="52" t="s">
        <v>229</v>
      </c>
      <c r="F11" s="52" t="s">
        <v>193</v>
      </c>
      <c r="G11" s="55"/>
      <c r="H11" s="49"/>
      <c r="I11" s="49"/>
    </row>
    <row r="12" spans="1:13" x14ac:dyDescent="0.3">
      <c r="A12" s="55">
        <v>4</v>
      </c>
      <c r="B12" s="19" t="s">
        <v>118</v>
      </c>
      <c r="C12" s="14" t="s">
        <v>603</v>
      </c>
      <c r="D12" s="52">
        <v>1</v>
      </c>
      <c r="E12" s="52" t="s">
        <v>229</v>
      </c>
      <c r="F12" s="52" t="s">
        <v>193</v>
      </c>
      <c r="G12" s="55"/>
      <c r="H12" s="49"/>
      <c r="I12" s="49"/>
    </row>
    <row r="13" spans="1:13" x14ac:dyDescent="0.3">
      <c r="A13" s="55">
        <v>5</v>
      </c>
      <c r="B13" s="19" t="s">
        <v>92</v>
      </c>
      <c r="C13" s="14" t="s">
        <v>603</v>
      </c>
      <c r="D13" s="52">
        <v>1</v>
      </c>
      <c r="E13" s="52" t="s">
        <v>229</v>
      </c>
      <c r="F13" s="52" t="s">
        <v>193</v>
      </c>
      <c r="G13" s="55"/>
      <c r="H13" s="49"/>
      <c r="I13" s="49"/>
    </row>
    <row r="14" spans="1:13" x14ac:dyDescent="0.3">
      <c r="A14" s="55">
        <v>6</v>
      </c>
      <c r="B14" s="19" t="s">
        <v>73</v>
      </c>
      <c r="C14" s="14" t="s">
        <v>603</v>
      </c>
      <c r="D14" s="52">
        <v>1</v>
      </c>
      <c r="E14" s="52" t="s">
        <v>229</v>
      </c>
      <c r="F14" s="52" t="s">
        <v>193</v>
      </c>
      <c r="G14" s="55"/>
      <c r="H14" s="49"/>
      <c r="I14" s="49"/>
    </row>
    <row r="15" spans="1:13" x14ac:dyDescent="0.3">
      <c r="A15" s="55">
        <v>7</v>
      </c>
      <c r="B15" s="19" t="s">
        <v>25</v>
      </c>
      <c r="C15" s="14" t="s">
        <v>171</v>
      </c>
      <c r="D15" s="52">
        <v>1</v>
      </c>
      <c r="E15" s="52" t="s">
        <v>229</v>
      </c>
      <c r="F15" s="52" t="s">
        <v>193</v>
      </c>
      <c r="G15" s="55"/>
      <c r="H15" s="49"/>
      <c r="I15" s="49"/>
    </row>
    <row r="16" spans="1:13" x14ac:dyDescent="0.3">
      <c r="A16" s="55">
        <v>8</v>
      </c>
      <c r="B16" s="19" t="s">
        <v>49</v>
      </c>
      <c r="C16" s="14" t="s">
        <v>603</v>
      </c>
      <c r="D16" s="52">
        <v>1</v>
      </c>
      <c r="E16" s="52" t="s">
        <v>229</v>
      </c>
      <c r="F16" s="52" t="s">
        <v>193</v>
      </c>
      <c r="G16" s="55"/>
      <c r="H16" s="49"/>
      <c r="I16" s="49"/>
    </row>
    <row r="17" spans="1:9" x14ac:dyDescent="0.3">
      <c r="A17" s="55">
        <v>9</v>
      </c>
      <c r="B17" s="19" t="s">
        <v>62</v>
      </c>
      <c r="C17" s="14" t="s">
        <v>603</v>
      </c>
      <c r="D17" s="52">
        <v>1</v>
      </c>
      <c r="E17" s="52" t="s">
        <v>229</v>
      </c>
      <c r="F17" s="52" t="s">
        <v>193</v>
      </c>
      <c r="G17" s="55"/>
      <c r="H17" s="49"/>
      <c r="I17" s="49"/>
    </row>
    <row r="18" spans="1:9" x14ac:dyDescent="0.3">
      <c r="A18" s="55">
        <v>10</v>
      </c>
      <c r="B18" s="19" t="s">
        <v>36</v>
      </c>
      <c r="C18" s="14" t="s">
        <v>603</v>
      </c>
      <c r="D18" s="52">
        <v>1</v>
      </c>
      <c r="E18" s="52" t="s">
        <v>229</v>
      </c>
      <c r="F18" s="52" t="s">
        <v>193</v>
      </c>
      <c r="G18" s="55"/>
      <c r="H18" s="49"/>
      <c r="I18" s="49"/>
    </row>
    <row r="19" spans="1:9" x14ac:dyDescent="0.3">
      <c r="A19" s="55">
        <v>11</v>
      </c>
      <c r="B19" s="17" t="s">
        <v>29</v>
      </c>
      <c r="C19" s="14" t="s">
        <v>603</v>
      </c>
      <c r="D19" s="52">
        <v>1</v>
      </c>
      <c r="E19" s="52" t="s">
        <v>229</v>
      </c>
      <c r="F19" s="52" t="s">
        <v>193</v>
      </c>
      <c r="G19" s="55"/>
      <c r="H19" s="49"/>
      <c r="I19" s="49"/>
    </row>
    <row r="20" spans="1:9" x14ac:dyDescent="0.3">
      <c r="A20" s="55">
        <v>12</v>
      </c>
      <c r="B20" s="19" t="s">
        <v>58</v>
      </c>
      <c r="C20" s="14" t="s">
        <v>603</v>
      </c>
      <c r="D20" s="52">
        <v>1</v>
      </c>
      <c r="E20" s="52" t="s">
        <v>229</v>
      </c>
      <c r="F20" s="52" t="s">
        <v>193</v>
      </c>
      <c r="G20" s="55"/>
      <c r="H20" s="49"/>
      <c r="I20" s="49"/>
    </row>
    <row r="21" spans="1:9" x14ac:dyDescent="0.3">
      <c r="A21" s="55">
        <v>13</v>
      </c>
      <c r="B21" s="100" t="s">
        <v>577</v>
      </c>
      <c r="C21" s="14" t="s">
        <v>603</v>
      </c>
      <c r="D21" s="52">
        <v>1</v>
      </c>
      <c r="E21" s="52" t="s">
        <v>229</v>
      </c>
      <c r="F21" s="52" t="s">
        <v>193</v>
      </c>
      <c r="G21" s="55"/>
      <c r="H21" s="49"/>
      <c r="I21" s="49"/>
    </row>
    <row r="22" spans="1:9" x14ac:dyDescent="0.3">
      <c r="A22" s="55">
        <v>14</v>
      </c>
      <c r="B22" s="101" t="s">
        <v>54</v>
      </c>
      <c r="C22" s="14" t="s">
        <v>603</v>
      </c>
      <c r="D22" s="52">
        <v>1</v>
      </c>
      <c r="E22" s="52" t="s">
        <v>229</v>
      </c>
      <c r="F22" s="52" t="s">
        <v>193</v>
      </c>
      <c r="G22" s="55"/>
      <c r="H22" s="49"/>
      <c r="I22" s="49"/>
    </row>
    <row r="23" spans="1:9" x14ac:dyDescent="0.3">
      <c r="A23" s="55">
        <v>15</v>
      </c>
      <c r="B23" s="19" t="s">
        <v>122</v>
      </c>
      <c r="C23" s="14" t="s">
        <v>323</v>
      </c>
      <c r="D23" s="52">
        <v>1</v>
      </c>
      <c r="E23" s="52" t="s">
        <v>215</v>
      </c>
      <c r="F23" s="52" t="s">
        <v>193</v>
      </c>
      <c r="G23" s="55"/>
      <c r="H23" s="49"/>
      <c r="I23" s="49"/>
    </row>
    <row r="24" spans="1:9" x14ac:dyDescent="0.3">
      <c r="A24" s="55">
        <v>16</v>
      </c>
      <c r="B24" s="19" t="s">
        <v>51</v>
      </c>
      <c r="C24" s="14" t="s">
        <v>323</v>
      </c>
      <c r="D24" s="52">
        <v>1</v>
      </c>
      <c r="E24" s="52" t="s">
        <v>215</v>
      </c>
      <c r="F24" s="52" t="s">
        <v>193</v>
      </c>
      <c r="G24" s="55"/>
      <c r="H24" s="49"/>
      <c r="I24" s="49"/>
    </row>
    <row r="25" spans="1:9" x14ac:dyDescent="0.3">
      <c r="A25" s="55">
        <v>17</v>
      </c>
      <c r="B25" s="17" t="s">
        <v>84</v>
      </c>
      <c r="C25" s="14" t="s">
        <v>407</v>
      </c>
      <c r="D25" s="52">
        <v>1</v>
      </c>
      <c r="E25" s="52" t="s">
        <v>215</v>
      </c>
      <c r="F25" s="52" t="s">
        <v>193</v>
      </c>
      <c r="G25" s="55"/>
      <c r="H25" s="49"/>
      <c r="I25" s="49"/>
    </row>
    <row r="26" spans="1:9" x14ac:dyDescent="0.3">
      <c r="A26" s="55">
        <v>18</v>
      </c>
      <c r="B26" s="17" t="s">
        <v>88</v>
      </c>
      <c r="C26" s="14" t="s">
        <v>323</v>
      </c>
      <c r="D26" s="52">
        <v>1</v>
      </c>
      <c r="E26" s="52" t="s">
        <v>215</v>
      </c>
      <c r="F26" s="52" t="s">
        <v>193</v>
      </c>
      <c r="G26" s="55"/>
      <c r="H26" s="49"/>
      <c r="I26" s="49"/>
    </row>
    <row r="27" spans="1:9" x14ac:dyDescent="0.3">
      <c r="A27" s="55">
        <v>19</v>
      </c>
      <c r="B27" s="19" t="s">
        <v>68</v>
      </c>
      <c r="C27" s="14" t="s">
        <v>323</v>
      </c>
      <c r="D27" s="52">
        <v>1</v>
      </c>
      <c r="E27" s="52" t="s">
        <v>215</v>
      </c>
      <c r="F27" s="52" t="s">
        <v>193</v>
      </c>
      <c r="G27" s="55"/>
      <c r="H27" s="49"/>
      <c r="I27" s="49"/>
    </row>
    <row r="28" spans="1:9" x14ac:dyDescent="0.3">
      <c r="A28" s="55">
        <v>20</v>
      </c>
      <c r="B28" s="17" t="s">
        <v>605</v>
      </c>
      <c r="C28" s="14" t="s">
        <v>323</v>
      </c>
      <c r="D28" s="52">
        <v>1</v>
      </c>
      <c r="E28" s="52" t="s">
        <v>215</v>
      </c>
      <c r="F28" s="52" t="s">
        <v>193</v>
      </c>
      <c r="G28" s="55"/>
      <c r="H28" s="49"/>
      <c r="I28" s="49"/>
    </row>
    <row r="29" spans="1:9" x14ac:dyDescent="0.3">
      <c r="A29" s="55">
        <v>21</v>
      </c>
      <c r="B29" s="17" t="s">
        <v>326</v>
      </c>
      <c r="C29" s="14" t="s">
        <v>323</v>
      </c>
      <c r="D29" s="52">
        <v>1</v>
      </c>
      <c r="E29" s="52" t="s">
        <v>215</v>
      </c>
      <c r="F29" s="52" t="s">
        <v>193</v>
      </c>
      <c r="G29" s="55"/>
      <c r="H29" s="49"/>
      <c r="I29" s="49"/>
    </row>
    <row r="30" spans="1:9" x14ac:dyDescent="0.3">
      <c r="A30" s="55">
        <v>22</v>
      </c>
      <c r="B30" s="19" t="s">
        <v>81</v>
      </c>
      <c r="C30" s="14" t="s">
        <v>323</v>
      </c>
      <c r="D30" s="52">
        <v>1</v>
      </c>
      <c r="E30" s="52" t="s">
        <v>215</v>
      </c>
      <c r="F30" s="52" t="s">
        <v>193</v>
      </c>
      <c r="G30" s="55"/>
      <c r="H30" s="49"/>
      <c r="I30" s="49"/>
    </row>
    <row r="31" spans="1:9" x14ac:dyDescent="0.3">
      <c r="A31" s="55">
        <v>23</v>
      </c>
      <c r="B31" s="17" t="s">
        <v>146</v>
      </c>
      <c r="C31" s="14" t="s">
        <v>323</v>
      </c>
      <c r="D31" s="52">
        <v>1</v>
      </c>
      <c r="E31" s="52" t="s">
        <v>229</v>
      </c>
      <c r="F31" s="52" t="s">
        <v>193</v>
      </c>
      <c r="G31" s="55"/>
      <c r="H31" s="49"/>
      <c r="I31" s="49"/>
    </row>
    <row r="32" spans="1:9" x14ac:dyDescent="0.3">
      <c r="A32" s="55">
        <v>24</v>
      </c>
      <c r="B32" s="17" t="s">
        <v>48</v>
      </c>
      <c r="C32" s="14" t="s">
        <v>323</v>
      </c>
      <c r="D32" s="52">
        <v>1</v>
      </c>
      <c r="E32" s="52" t="s">
        <v>229</v>
      </c>
      <c r="F32" s="52" t="s">
        <v>193</v>
      </c>
      <c r="G32" s="55"/>
      <c r="H32" s="49"/>
      <c r="I32" s="49"/>
    </row>
    <row r="33" spans="1:9" x14ac:dyDescent="0.3">
      <c r="A33" s="55">
        <v>25</v>
      </c>
      <c r="B33" s="17" t="s">
        <v>325</v>
      </c>
      <c r="C33" s="14" t="s">
        <v>323</v>
      </c>
      <c r="D33" s="52">
        <v>1</v>
      </c>
      <c r="E33" s="52" t="s">
        <v>229</v>
      </c>
      <c r="F33" s="52" t="s">
        <v>193</v>
      </c>
      <c r="G33" s="55"/>
      <c r="H33" s="49"/>
      <c r="I33" s="49"/>
    </row>
    <row r="34" spans="1:9" x14ac:dyDescent="0.3">
      <c r="A34" s="55">
        <v>26</v>
      </c>
      <c r="B34" s="17" t="s">
        <v>324</v>
      </c>
      <c r="C34" s="14" t="s">
        <v>323</v>
      </c>
      <c r="D34" s="52">
        <v>1</v>
      </c>
      <c r="E34" s="52" t="s">
        <v>229</v>
      </c>
      <c r="F34" s="52" t="s">
        <v>193</v>
      </c>
      <c r="G34" s="55"/>
      <c r="H34" s="49"/>
      <c r="I34" s="49"/>
    </row>
    <row r="35" spans="1:9" x14ac:dyDescent="0.3">
      <c r="A35" s="55">
        <v>27</v>
      </c>
      <c r="B35" s="19" t="s">
        <v>89</v>
      </c>
      <c r="C35" s="14" t="s">
        <v>323</v>
      </c>
      <c r="D35" s="52">
        <v>1</v>
      </c>
      <c r="E35" s="52" t="s">
        <v>229</v>
      </c>
      <c r="F35" s="52" t="s">
        <v>193</v>
      </c>
      <c r="G35" s="55"/>
      <c r="H35" s="49"/>
      <c r="I35" s="49"/>
    </row>
    <row r="36" spans="1:9" x14ac:dyDescent="0.3">
      <c r="A36" s="55">
        <v>28</v>
      </c>
      <c r="B36" s="19" t="s">
        <v>139</v>
      </c>
      <c r="C36" s="14" t="s">
        <v>407</v>
      </c>
      <c r="D36" s="52">
        <v>1</v>
      </c>
      <c r="E36" s="52" t="s">
        <v>229</v>
      </c>
      <c r="F36" s="52" t="s">
        <v>193</v>
      </c>
      <c r="G36" s="55"/>
      <c r="H36" s="49"/>
      <c r="I36" s="49"/>
    </row>
    <row r="37" spans="1:9" x14ac:dyDescent="0.3">
      <c r="A37" s="55">
        <v>29</v>
      </c>
      <c r="B37" s="19" t="s">
        <v>108</v>
      </c>
      <c r="C37" s="14" t="s">
        <v>323</v>
      </c>
      <c r="D37" s="52">
        <v>1</v>
      </c>
      <c r="E37" s="52" t="s">
        <v>229</v>
      </c>
      <c r="F37" s="52" t="s">
        <v>193</v>
      </c>
      <c r="G37" s="55"/>
      <c r="H37" s="49"/>
      <c r="I37" s="49"/>
    </row>
    <row r="38" spans="1:9" x14ac:dyDescent="0.3">
      <c r="A38" s="55">
        <v>30</v>
      </c>
      <c r="B38" s="19" t="s">
        <v>587</v>
      </c>
      <c r="C38" s="14" t="s">
        <v>323</v>
      </c>
      <c r="D38" s="52">
        <v>1</v>
      </c>
      <c r="E38" s="52" t="s">
        <v>229</v>
      </c>
      <c r="F38" s="52" t="s">
        <v>193</v>
      </c>
      <c r="G38" s="55"/>
      <c r="H38" s="49"/>
      <c r="I38" s="49"/>
    </row>
    <row r="39" spans="1:9" x14ac:dyDescent="0.3">
      <c r="A39" s="55">
        <v>31</v>
      </c>
      <c r="B39" s="19" t="s">
        <v>107</v>
      </c>
      <c r="C39" s="14" t="s">
        <v>323</v>
      </c>
      <c r="D39" s="52">
        <v>1</v>
      </c>
      <c r="E39" s="52" t="s">
        <v>229</v>
      </c>
      <c r="F39" s="52" t="s">
        <v>193</v>
      </c>
      <c r="G39" s="55"/>
      <c r="H39" s="49"/>
      <c r="I39" s="49"/>
    </row>
    <row r="40" spans="1:9" x14ac:dyDescent="0.3">
      <c r="A40" s="55">
        <v>32</v>
      </c>
      <c r="B40" s="17" t="s">
        <v>606</v>
      </c>
      <c r="C40" s="14" t="s">
        <v>407</v>
      </c>
      <c r="D40" s="52">
        <v>1</v>
      </c>
      <c r="E40" s="52" t="s">
        <v>229</v>
      </c>
      <c r="F40" s="52" t="s">
        <v>193</v>
      </c>
      <c r="G40" s="55"/>
      <c r="H40" s="49"/>
      <c r="I40" s="49"/>
    </row>
    <row r="41" spans="1:9" x14ac:dyDescent="0.3">
      <c r="A41" s="55">
        <v>33</v>
      </c>
      <c r="B41" s="100" t="s">
        <v>166</v>
      </c>
      <c r="C41" s="14" t="s">
        <v>323</v>
      </c>
      <c r="D41" s="52">
        <v>1</v>
      </c>
      <c r="E41" s="52" t="s">
        <v>229</v>
      </c>
      <c r="F41" s="52" t="s">
        <v>193</v>
      </c>
      <c r="G41" s="55"/>
      <c r="H41" s="49"/>
      <c r="I41" s="49"/>
    </row>
    <row r="42" spans="1:9" x14ac:dyDescent="0.3">
      <c r="A42" s="55">
        <v>34</v>
      </c>
      <c r="B42" s="12" t="s">
        <v>106</v>
      </c>
      <c r="C42" s="14" t="s">
        <v>323</v>
      </c>
      <c r="D42" s="52">
        <v>1</v>
      </c>
      <c r="E42" s="52" t="s">
        <v>229</v>
      </c>
      <c r="F42" s="52" t="s">
        <v>193</v>
      </c>
      <c r="G42" s="55"/>
      <c r="H42" s="49"/>
      <c r="I42" s="49"/>
    </row>
    <row r="43" spans="1:9" x14ac:dyDescent="0.3">
      <c r="A43" s="55">
        <v>35</v>
      </c>
      <c r="B43" s="19" t="s">
        <v>143</v>
      </c>
      <c r="C43" s="14" t="s">
        <v>607</v>
      </c>
      <c r="D43" s="52">
        <v>1</v>
      </c>
      <c r="E43" s="52" t="s">
        <v>194</v>
      </c>
      <c r="F43" s="52" t="s">
        <v>193</v>
      </c>
      <c r="G43" s="55"/>
      <c r="H43" s="49"/>
      <c r="I43" s="49"/>
    </row>
    <row r="44" spans="1:9" x14ac:dyDescent="0.3">
      <c r="A44" s="55">
        <v>36</v>
      </c>
      <c r="B44" s="19" t="s">
        <v>57</v>
      </c>
      <c r="C44" s="14" t="s">
        <v>607</v>
      </c>
      <c r="D44" s="52">
        <v>1</v>
      </c>
      <c r="E44" s="52" t="s">
        <v>194</v>
      </c>
      <c r="F44" s="52" t="s">
        <v>193</v>
      </c>
      <c r="G44" s="55"/>
      <c r="H44" s="49"/>
      <c r="I44" s="49"/>
    </row>
    <row r="45" spans="1:9" x14ac:dyDescent="0.3">
      <c r="A45" s="55">
        <v>37</v>
      </c>
      <c r="B45" s="19" t="s">
        <v>41</v>
      </c>
      <c r="C45" s="14" t="s">
        <v>607</v>
      </c>
      <c r="D45" s="52">
        <v>1</v>
      </c>
      <c r="E45" s="52" t="s">
        <v>194</v>
      </c>
      <c r="F45" s="52" t="s">
        <v>193</v>
      </c>
      <c r="G45" s="55"/>
      <c r="H45" s="49"/>
      <c r="I45" s="49"/>
    </row>
    <row r="46" spans="1:9" x14ac:dyDescent="0.3">
      <c r="A46" s="55">
        <v>38</v>
      </c>
      <c r="B46" s="19" t="s">
        <v>589</v>
      </c>
      <c r="C46" s="14" t="s">
        <v>607</v>
      </c>
      <c r="D46" s="52">
        <v>1</v>
      </c>
      <c r="E46" s="52" t="s">
        <v>194</v>
      </c>
      <c r="F46" s="52" t="s">
        <v>193</v>
      </c>
      <c r="G46" s="55"/>
      <c r="H46" s="49"/>
      <c r="I46" s="49"/>
    </row>
    <row r="47" spans="1:9" x14ac:dyDescent="0.3">
      <c r="A47" s="55">
        <v>39</v>
      </c>
      <c r="B47" s="19" t="s">
        <v>322</v>
      </c>
      <c r="C47" s="14" t="s">
        <v>307</v>
      </c>
      <c r="D47" s="52">
        <v>1</v>
      </c>
      <c r="E47" s="52" t="s">
        <v>229</v>
      </c>
      <c r="F47" s="52" t="s">
        <v>193</v>
      </c>
      <c r="G47" s="55"/>
      <c r="H47" s="49"/>
      <c r="I47" s="49"/>
    </row>
    <row r="48" spans="1:9" x14ac:dyDescent="0.3">
      <c r="A48" s="55">
        <v>40</v>
      </c>
      <c r="B48" s="19" t="s">
        <v>321</v>
      </c>
      <c r="C48" s="14" t="s">
        <v>307</v>
      </c>
      <c r="D48" s="52">
        <v>1</v>
      </c>
      <c r="E48" s="52" t="s">
        <v>229</v>
      </c>
      <c r="F48" s="52" t="s">
        <v>193</v>
      </c>
      <c r="G48" s="55"/>
      <c r="H48" s="49"/>
      <c r="I48" s="49"/>
    </row>
    <row r="49" spans="1:9" x14ac:dyDescent="0.3">
      <c r="A49" s="55">
        <v>41</v>
      </c>
      <c r="B49" s="19" t="s">
        <v>77</v>
      </c>
      <c r="C49" s="14" t="s">
        <v>307</v>
      </c>
      <c r="D49" s="52">
        <v>1</v>
      </c>
      <c r="E49" s="52" t="s">
        <v>229</v>
      </c>
      <c r="F49" s="52" t="s">
        <v>193</v>
      </c>
      <c r="G49" s="55"/>
      <c r="H49" s="49"/>
      <c r="I49" s="49"/>
    </row>
    <row r="50" spans="1:9" x14ac:dyDescent="0.3">
      <c r="A50" s="55">
        <v>42</v>
      </c>
      <c r="B50" s="19" t="s">
        <v>320</v>
      </c>
      <c r="C50" s="14" t="s">
        <v>307</v>
      </c>
      <c r="D50" s="52">
        <v>1</v>
      </c>
      <c r="E50" s="52" t="s">
        <v>229</v>
      </c>
      <c r="F50" s="52" t="s">
        <v>193</v>
      </c>
      <c r="G50" s="55"/>
      <c r="H50" s="49"/>
      <c r="I50" s="49"/>
    </row>
    <row r="51" spans="1:9" x14ac:dyDescent="0.3">
      <c r="A51" s="55">
        <v>43</v>
      </c>
      <c r="B51" s="19" t="s">
        <v>319</v>
      </c>
      <c r="C51" s="14" t="s">
        <v>307</v>
      </c>
      <c r="D51" s="52">
        <v>1</v>
      </c>
      <c r="E51" s="52" t="s">
        <v>229</v>
      </c>
      <c r="F51" s="52" t="s">
        <v>193</v>
      </c>
      <c r="G51" s="55"/>
      <c r="H51" s="49"/>
      <c r="I51" s="49"/>
    </row>
    <row r="52" spans="1:9" x14ac:dyDescent="0.3">
      <c r="A52" s="55">
        <v>44</v>
      </c>
      <c r="B52" s="19" t="s">
        <v>318</v>
      </c>
      <c r="C52" s="14" t="s">
        <v>307</v>
      </c>
      <c r="D52" s="52">
        <v>1</v>
      </c>
      <c r="E52" s="52" t="s">
        <v>229</v>
      </c>
      <c r="F52" s="52" t="s">
        <v>193</v>
      </c>
      <c r="G52" s="55"/>
      <c r="H52" s="49"/>
      <c r="I52" s="49"/>
    </row>
    <row r="53" spans="1:9" x14ac:dyDescent="0.3">
      <c r="A53" s="55">
        <v>45</v>
      </c>
      <c r="B53" s="19" t="s">
        <v>63</v>
      </c>
      <c r="C53" s="14" t="s">
        <v>307</v>
      </c>
      <c r="D53" s="52">
        <v>1</v>
      </c>
      <c r="E53" s="52" t="s">
        <v>194</v>
      </c>
      <c r="F53" s="52" t="s">
        <v>193</v>
      </c>
      <c r="G53" s="55"/>
      <c r="H53" s="49"/>
      <c r="I53" s="49"/>
    </row>
    <row r="54" spans="1:9" x14ac:dyDescent="0.3">
      <c r="A54" s="55">
        <v>46</v>
      </c>
      <c r="B54" s="19" t="s">
        <v>317</v>
      </c>
      <c r="C54" s="14" t="s">
        <v>307</v>
      </c>
      <c r="D54" s="52">
        <v>1</v>
      </c>
      <c r="E54" s="52" t="s">
        <v>194</v>
      </c>
      <c r="F54" s="52" t="s">
        <v>193</v>
      </c>
      <c r="G54" s="55"/>
      <c r="H54" s="49"/>
      <c r="I54" s="49"/>
    </row>
    <row r="55" spans="1:9" x14ac:dyDescent="0.3">
      <c r="A55" s="55">
        <v>47</v>
      </c>
      <c r="B55" s="19" t="s">
        <v>316</v>
      </c>
      <c r="C55" s="14" t="s">
        <v>307</v>
      </c>
      <c r="D55" s="52">
        <v>1</v>
      </c>
      <c r="E55" s="52" t="s">
        <v>194</v>
      </c>
      <c r="F55" s="52" t="s">
        <v>193</v>
      </c>
      <c r="G55" s="55"/>
      <c r="H55" s="49"/>
      <c r="I55" s="49"/>
    </row>
    <row r="56" spans="1:9" x14ac:dyDescent="0.3">
      <c r="A56" s="55">
        <v>48</v>
      </c>
      <c r="B56" s="19" t="s">
        <v>315</v>
      </c>
      <c r="C56" s="14" t="s">
        <v>307</v>
      </c>
      <c r="D56" s="52">
        <v>1</v>
      </c>
      <c r="E56" s="52" t="s">
        <v>194</v>
      </c>
      <c r="F56" s="52" t="s">
        <v>193</v>
      </c>
      <c r="G56" s="55"/>
      <c r="H56" s="49"/>
      <c r="I56" s="49"/>
    </row>
    <row r="57" spans="1:9" x14ac:dyDescent="0.3">
      <c r="A57" s="55">
        <v>49</v>
      </c>
      <c r="B57" s="19" t="s">
        <v>314</v>
      </c>
      <c r="C57" s="14" t="s">
        <v>307</v>
      </c>
      <c r="D57" s="52">
        <v>1</v>
      </c>
      <c r="E57" s="52" t="s">
        <v>194</v>
      </c>
      <c r="F57" s="52" t="s">
        <v>193</v>
      </c>
      <c r="G57" s="55"/>
      <c r="H57" s="49"/>
      <c r="I57" s="49"/>
    </row>
    <row r="58" spans="1:9" x14ac:dyDescent="0.3">
      <c r="A58" s="55">
        <v>50</v>
      </c>
      <c r="B58" s="19" t="s">
        <v>313</v>
      </c>
      <c r="C58" s="14" t="s">
        <v>307</v>
      </c>
      <c r="D58" s="52">
        <v>1</v>
      </c>
      <c r="E58" s="52" t="s">
        <v>194</v>
      </c>
      <c r="F58" s="52" t="s">
        <v>193</v>
      </c>
      <c r="G58" s="55"/>
      <c r="H58" s="49"/>
      <c r="I58" s="49"/>
    </row>
    <row r="59" spans="1:9" x14ac:dyDescent="0.3">
      <c r="A59" s="55">
        <v>51</v>
      </c>
      <c r="B59" s="19" t="s">
        <v>312</v>
      </c>
      <c r="C59" s="14" t="s">
        <v>307</v>
      </c>
      <c r="D59" s="52">
        <v>1</v>
      </c>
      <c r="E59" s="52" t="s">
        <v>194</v>
      </c>
      <c r="F59" s="52" t="s">
        <v>193</v>
      </c>
      <c r="G59" s="55"/>
      <c r="H59" s="49"/>
      <c r="I59" s="49"/>
    </row>
    <row r="60" spans="1:9" x14ac:dyDescent="0.3">
      <c r="A60" s="55">
        <v>52</v>
      </c>
      <c r="B60" s="19" t="s">
        <v>311</v>
      </c>
      <c r="C60" s="14" t="s">
        <v>307</v>
      </c>
      <c r="D60" s="52">
        <v>1</v>
      </c>
      <c r="E60" s="52" t="s">
        <v>194</v>
      </c>
      <c r="F60" s="52" t="s">
        <v>193</v>
      </c>
      <c r="G60" s="55"/>
      <c r="H60" s="49"/>
      <c r="I60" s="49"/>
    </row>
    <row r="61" spans="1:9" x14ac:dyDescent="0.3">
      <c r="A61" s="55">
        <v>53</v>
      </c>
      <c r="B61" s="19" t="s">
        <v>244</v>
      </c>
      <c r="C61" s="14" t="s">
        <v>307</v>
      </c>
      <c r="D61" s="52">
        <v>1</v>
      </c>
      <c r="E61" s="52" t="s">
        <v>194</v>
      </c>
      <c r="F61" s="52" t="s">
        <v>193</v>
      </c>
      <c r="G61" s="55"/>
      <c r="H61" s="49"/>
      <c r="I61" s="49"/>
    </row>
    <row r="62" spans="1:9" x14ac:dyDescent="0.3">
      <c r="A62" s="55">
        <v>54</v>
      </c>
      <c r="B62" s="19" t="s">
        <v>310</v>
      </c>
      <c r="C62" s="14" t="s">
        <v>307</v>
      </c>
      <c r="D62" s="52">
        <v>1</v>
      </c>
      <c r="E62" s="52" t="s">
        <v>194</v>
      </c>
      <c r="F62" s="52" t="s">
        <v>193</v>
      </c>
      <c r="G62" s="55"/>
      <c r="H62" s="49"/>
      <c r="I62" s="49"/>
    </row>
    <row r="63" spans="1:9" x14ac:dyDescent="0.3">
      <c r="A63" s="55">
        <v>55</v>
      </c>
      <c r="B63" s="19" t="s">
        <v>309</v>
      </c>
      <c r="C63" s="14" t="s">
        <v>307</v>
      </c>
      <c r="D63" s="52">
        <v>1</v>
      </c>
      <c r="E63" s="52" t="s">
        <v>194</v>
      </c>
      <c r="F63" s="52" t="s">
        <v>193</v>
      </c>
      <c r="G63" s="55"/>
      <c r="H63" s="49"/>
      <c r="I63" s="49"/>
    </row>
    <row r="64" spans="1:9" x14ac:dyDescent="0.3">
      <c r="A64" s="55">
        <v>56</v>
      </c>
      <c r="B64" s="19" t="s">
        <v>308</v>
      </c>
      <c r="C64" s="14" t="s">
        <v>307</v>
      </c>
      <c r="D64" s="52">
        <v>1</v>
      </c>
      <c r="E64" s="52" t="s">
        <v>194</v>
      </c>
      <c r="F64" s="52" t="s">
        <v>193</v>
      </c>
      <c r="G64" s="55"/>
      <c r="H64" s="49"/>
      <c r="I64" s="49"/>
    </row>
    <row r="65" spans="1:9" x14ac:dyDescent="0.3">
      <c r="A65" s="55">
        <v>57</v>
      </c>
      <c r="B65" s="19" t="s">
        <v>148</v>
      </c>
      <c r="C65" s="14" t="s">
        <v>306</v>
      </c>
      <c r="D65" s="52">
        <v>1</v>
      </c>
      <c r="E65" s="52" t="s">
        <v>229</v>
      </c>
      <c r="F65" s="52" t="s">
        <v>193</v>
      </c>
      <c r="G65" s="55"/>
      <c r="H65" s="49"/>
      <c r="I65" s="49"/>
    </row>
    <row r="66" spans="1:9" x14ac:dyDescent="0.3">
      <c r="A66" s="55">
        <v>58</v>
      </c>
      <c r="B66" s="19" t="s">
        <v>45</v>
      </c>
      <c r="C66" s="14" t="s">
        <v>306</v>
      </c>
      <c r="D66" s="52">
        <v>1</v>
      </c>
      <c r="E66" s="52" t="s">
        <v>229</v>
      </c>
      <c r="F66" s="52" t="s">
        <v>193</v>
      </c>
      <c r="G66" s="55"/>
      <c r="H66" s="49"/>
      <c r="I66" s="49"/>
    </row>
    <row r="67" spans="1:9" x14ac:dyDescent="0.3">
      <c r="A67" s="55">
        <v>59</v>
      </c>
      <c r="B67" s="19" t="s">
        <v>244</v>
      </c>
      <c r="C67" s="14" t="s">
        <v>285</v>
      </c>
      <c r="D67" s="52">
        <v>2</v>
      </c>
      <c r="E67" s="52" t="s">
        <v>215</v>
      </c>
      <c r="F67" s="52" t="s">
        <v>193</v>
      </c>
      <c r="G67" s="55"/>
      <c r="H67" s="49"/>
      <c r="I67" s="49"/>
    </row>
    <row r="68" spans="1:9" x14ac:dyDescent="0.3">
      <c r="A68" s="55">
        <v>60</v>
      </c>
      <c r="B68" s="19" t="s">
        <v>305</v>
      </c>
      <c r="C68" s="14" t="s">
        <v>285</v>
      </c>
      <c r="D68" s="52">
        <v>1</v>
      </c>
      <c r="E68" s="52" t="s">
        <v>215</v>
      </c>
      <c r="F68" s="52" t="s">
        <v>193</v>
      </c>
      <c r="G68" s="55"/>
      <c r="H68" s="49"/>
      <c r="I68" s="49"/>
    </row>
    <row r="69" spans="1:9" x14ac:dyDescent="0.3">
      <c r="A69" s="55">
        <v>61</v>
      </c>
      <c r="B69" s="19" t="s">
        <v>304</v>
      </c>
      <c r="C69" s="14" t="s">
        <v>285</v>
      </c>
      <c r="D69" s="52">
        <v>1</v>
      </c>
      <c r="E69" s="52" t="s">
        <v>215</v>
      </c>
      <c r="F69" s="52" t="s">
        <v>193</v>
      </c>
      <c r="G69" s="55"/>
      <c r="H69" s="49"/>
      <c r="I69" s="49"/>
    </row>
    <row r="70" spans="1:9" x14ac:dyDescent="0.3">
      <c r="A70" s="55">
        <v>62</v>
      </c>
      <c r="B70" s="19" t="s">
        <v>303</v>
      </c>
      <c r="C70" s="14" t="s">
        <v>285</v>
      </c>
      <c r="D70" s="52">
        <v>1</v>
      </c>
      <c r="E70" s="52" t="s">
        <v>215</v>
      </c>
      <c r="F70" s="52" t="s">
        <v>193</v>
      </c>
      <c r="G70" s="55"/>
      <c r="H70" s="49"/>
      <c r="I70" s="49"/>
    </row>
    <row r="71" spans="1:9" x14ac:dyDescent="0.3">
      <c r="A71" s="55">
        <v>63</v>
      </c>
      <c r="B71" s="19" t="s">
        <v>302</v>
      </c>
      <c r="C71" s="14" t="s">
        <v>285</v>
      </c>
      <c r="D71" s="52">
        <v>1</v>
      </c>
      <c r="E71" s="52" t="s">
        <v>215</v>
      </c>
      <c r="F71" s="52" t="s">
        <v>193</v>
      </c>
      <c r="G71" s="55"/>
      <c r="H71" s="49"/>
      <c r="I71" s="49"/>
    </row>
    <row r="72" spans="1:9" x14ac:dyDescent="0.3">
      <c r="A72" s="55">
        <v>64</v>
      </c>
      <c r="B72" s="19" t="s">
        <v>86</v>
      </c>
      <c r="C72" s="14" t="s">
        <v>285</v>
      </c>
      <c r="D72" s="52">
        <v>1</v>
      </c>
      <c r="E72" s="52" t="s">
        <v>215</v>
      </c>
      <c r="F72" s="52" t="s">
        <v>193</v>
      </c>
      <c r="G72" s="55"/>
      <c r="H72" s="49"/>
      <c r="I72" s="49"/>
    </row>
    <row r="73" spans="1:9" x14ac:dyDescent="0.3">
      <c r="A73" s="55">
        <v>65</v>
      </c>
      <c r="B73" s="19" t="s">
        <v>301</v>
      </c>
      <c r="C73" s="14" t="s">
        <v>285</v>
      </c>
      <c r="D73" s="52">
        <v>1</v>
      </c>
      <c r="E73" s="52" t="s">
        <v>215</v>
      </c>
      <c r="F73" s="52" t="s">
        <v>193</v>
      </c>
      <c r="G73" s="55"/>
      <c r="H73" s="49"/>
      <c r="I73" s="49"/>
    </row>
    <row r="74" spans="1:9" x14ac:dyDescent="0.3">
      <c r="A74" s="55">
        <v>66</v>
      </c>
      <c r="B74" s="19" t="s">
        <v>300</v>
      </c>
      <c r="C74" s="14" t="s">
        <v>285</v>
      </c>
      <c r="D74" s="52">
        <v>1</v>
      </c>
      <c r="E74" s="52" t="s">
        <v>215</v>
      </c>
      <c r="F74" s="52" t="s">
        <v>193</v>
      </c>
      <c r="G74" s="55"/>
      <c r="H74" s="49"/>
      <c r="I74" s="49"/>
    </row>
    <row r="75" spans="1:9" x14ac:dyDescent="0.3">
      <c r="A75" s="55">
        <v>67</v>
      </c>
      <c r="B75" s="19" t="s">
        <v>299</v>
      </c>
      <c r="C75" s="14" t="s">
        <v>285</v>
      </c>
      <c r="D75" s="52">
        <v>2</v>
      </c>
      <c r="E75" s="52" t="s">
        <v>215</v>
      </c>
      <c r="F75" s="52" t="s">
        <v>193</v>
      </c>
      <c r="G75" s="55"/>
      <c r="H75" s="49"/>
      <c r="I75" s="49"/>
    </row>
    <row r="76" spans="1:9" x14ac:dyDescent="0.3">
      <c r="A76" s="55">
        <v>68</v>
      </c>
      <c r="B76" s="19" t="s">
        <v>298</v>
      </c>
      <c r="C76" s="14" t="s">
        <v>285</v>
      </c>
      <c r="D76" s="52">
        <v>1</v>
      </c>
      <c r="E76" s="52" t="s">
        <v>215</v>
      </c>
      <c r="F76" s="52" t="s">
        <v>193</v>
      </c>
      <c r="G76" s="55"/>
      <c r="H76" s="49"/>
      <c r="I76" s="49"/>
    </row>
    <row r="77" spans="1:9" x14ac:dyDescent="0.3">
      <c r="A77" s="55">
        <v>69</v>
      </c>
      <c r="B77" s="19" t="s">
        <v>297</v>
      </c>
      <c r="C77" s="14" t="s">
        <v>285</v>
      </c>
      <c r="D77" s="52">
        <v>1</v>
      </c>
      <c r="E77" s="52" t="s">
        <v>215</v>
      </c>
      <c r="F77" s="52" t="s">
        <v>193</v>
      </c>
      <c r="G77" s="55"/>
      <c r="H77" s="49"/>
      <c r="I77" s="49"/>
    </row>
    <row r="78" spans="1:9" x14ac:dyDescent="0.3">
      <c r="A78" s="55">
        <v>70</v>
      </c>
      <c r="B78" s="19" t="s">
        <v>296</v>
      </c>
      <c r="C78" s="14" t="s">
        <v>285</v>
      </c>
      <c r="D78" s="52">
        <v>1</v>
      </c>
      <c r="E78" s="52" t="s">
        <v>215</v>
      </c>
      <c r="F78" s="52" t="s">
        <v>193</v>
      </c>
      <c r="G78" s="55"/>
      <c r="H78" s="49"/>
      <c r="I78" s="49"/>
    </row>
    <row r="79" spans="1:9" x14ac:dyDescent="0.3">
      <c r="A79" s="55">
        <v>71</v>
      </c>
      <c r="B79" s="19" t="s">
        <v>295</v>
      </c>
      <c r="C79" s="14" t="s">
        <v>285</v>
      </c>
      <c r="D79" s="52">
        <v>1</v>
      </c>
      <c r="E79" s="52" t="s">
        <v>215</v>
      </c>
      <c r="F79" s="52" t="s">
        <v>193</v>
      </c>
      <c r="G79" s="55"/>
      <c r="H79" s="49"/>
      <c r="I79" s="49"/>
    </row>
    <row r="80" spans="1:9" x14ac:dyDescent="0.3">
      <c r="A80" s="55">
        <v>72</v>
      </c>
      <c r="B80" s="19" t="s">
        <v>294</v>
      </c>
      <c r="C80" s="14" t="s">
        <v>285</v>
      </c>
      <c r="D80" s="52">
        <v>2</v>
      </c>
      <c r="E80" s="52" t="s">
        <v>229</v>
      </c>
      <c r="F80" s="52" t="s">
        <v>193</v>
      </c>
      <c r="G80" s="55"/>
      <c r="H80" s="49"/>
      <c r="I80" s="49"/>
    </row>
    <row r="81" spans="1:9" x14ac:dyDescent="0.3">
      <c r="A81" s="55">
        <v>73</v>
      </c>
      <c r="B81" s="19" t="s">
        <v>293</v>
      </c>
      <c r="C81" s="14" t="s">
        <v>285</v>
      </c>
      <c r="D81" s="52">
        <v>2</v>
      </c>
      <c r="E81" s="52" t="s">
        <v>229</v>
      </c>
      <c r="F81" s="52" t="s">
        <v>193</v>
      </c>
      <c r="G81" s="55"/>
      <c r="H81" s="49"/>
      <c r="I81" s="49"/>
    </row>
    <row r="82" spans="1:9" x14ac:dyDescent="0.3">
      <c r="A82" s="55">
        <v>74</v>
      </c>
      <c r="B82" s="19" t="s">
        <v>292</v>
      </c>
      <c r="C82" s="14" t="s">
        <v>285</v>
      </c>
      <c r="D82" s="52">
        <v>1</v>
      </c>
      <c r="E82" s="52" t="s">
        <v>229</v>
      </c>
      <c r="F82" s="52" t="s">
        <v>193</v>
      </c>
      <c r="G82" s="55"/>
      <c r="H82" s="49"/>
      <c r="I82" s="49"/>
    </row>
    <row r="83" spans="1:9" x14ac:dyDescent="0.3">
      <c r="A83" s="55">
        <v>75</v>
      </c>
      <c r="B83" s="19" t="s">
        <v>291</v>
      </c>
      <c r="C83" s="14" t="s">
        <v>285</v>
      </c>
      <c r="D83" s="52">
        <v>3</v>
      </c>
      <c r="E83" s="52" t="s">
        <v>229</v>
      </c>
      <c r="F83" s="52" t="s">
        <v>193</v>
      </c>
      <c r="G83" s="55"/>
      <c r="H83" s="49"/>
      <c r="I83" s="49"/>
    </row>
    <row r="84" spans="1:9" x14ac:dyDescent="0.3">
      <c r="A84" s="55">
        <v>76</v>
      </c>
      <c r="B84" s="19" t="s">
        <v>290</v>
      </c>
      <c r="C84" s="14" t="s">
        <v>285</v>
      </c>
      <c r="D84" s="52">
        <v>1</v>
      </c>
      <c r="E84" s="52" t="s">
        <v>229</v>
      </c>
      <c r="F84" s="52" t="s">
        <v>193</v>
      </c>
      <c r="G84" s="55"/>
      <c r="H84" s="49"/>
      <c r="I84" s="49"/>
    </row>
    <row r="85" spans="1:9" x14ac:dyDescent="0.3">
      <c r="A85" s="55">
        <v>77</v>
      </c>
      <c r="B85" s="19" t="s">
        <v>289</v>
      </c>
      <c r="C85" s="14" t="s">
        <v>285</v>
      </c>
      <c r="D85" s="52">
        <v>1</v>
      </c>
      <c r="E85" s="52" t="s">
        <v>229</v>
      </c>
      <c r="F85" s="52" t="s">
        <v>193</v>
      </c>
      <c r="G85" s="55"/>
      <c r="H85" s="49"/>
      <c r="I85" s="49"/>
    </row>
    <row r="86" spans="1:9" x14ac:dyDescent="0.3">
      <c r="A86" s="55">
        <v>78</v>
      </c>
      <c r="B86" s="19" t="s">
        <v>288</v>
      </c>
      <c r="C86" s="14" t="s">
        <v>285</v>
      </c>
      <c r="D86" s="52">
        <v>1</v>
      </c>
      <c r="E86" s="52" t="s">
        <v>229</v>
      </c>
      <c r="F86" s="52" t="s">
        <v>193</v>
      </c>
      <c r="G86" s="55"/>
      <c r="H86" s="49"/>
      <c r="I86" s="49"/>
    </row>
    <row r="87" spans="1:9" x14ac:dyDescent="0.3">
      <c r="A87" s="55">
        <v>79</v>
      </c>
      <c r="B87" s="19" t="s">
        <v>287</v>
      </c>
      <c r="C87" s="14" t="s">
        <v>285</v>
      </c>
      <c r="D87" s="52">
        <v>1</v>
      </c>
      <c r="E87" s="52" t="s">
        <v>229</v>
      </c>
      <c r="F87" s="52" t="s">
        <v>193</v>
      </c>
      <c r="G87" s="55"/>
      <c r="H87" s="49"/>
      <c r="I87" s="49"/>
    </row>
    <row r="88" spans="1:9" x14ac:dyDescent="0.3">
      <c r="A88" s="55">
        <v>80</v>
      </c>
      <c r="B88" s="19" t="s">
        <v>109</v>
      </c>
      <c r="C88" s="14" t="s">
        <v>285</v>
      </c>
      <c r="D88" s="52">
        <v>1</v>
      </c>
      <c r="E88" s="52" t="s">
        <v>229</v>
      </c>
      <c r="F88" s="52" t="s">
        <v>193</v>
      </c>
      <c r="G88" s="55"/>
      <c r="H88" s="49"/>
      <c r="I88" s="49"/>
    </row>
    <row r="89" spans="1:9" x14ac:dyDescent="0.3">
      <c r="A89" s="55">
        <v>81</v>
      </c>
      <c r="B89" s="19" t="s">
        <v>286</v>
      </c>
      <c r="C89" s="14" t="s">
        <v>285</v>
      </c>
      <c r="D89" s="52">
        <v>1</v>
      </c>
      <c r="E89" s="52" t="s">
        <v>229</v>
      </c>
      <c r="F89" s="52" t="s">
        <v>193</v>
      </c>
      <c r="G89" s="55"/>
      <c r="H89" s="49"/>
      <c r="I89" s="49"/>
    </row>
    <row r="90" spans="1:9" x14ac:dyDescent="0.3">
      <c r="A90" s="55">
        <v>82</v>
      </c>
      <c r="B90" s="19" t="s">
        <v>121</v>
      </c>
      <c r="C90" s="14" t="s">
        <v>608</v>
      </c>
      <c r="D90" s="52">
        <v>1</v>
      </c>
      <c r="E90" s="52" t="s">
        <v>229</v>
      </c>
      <c r="F90" s="52" t="s">
        <v>193</v>
      </c>
      <c r="G90" s="55"/>
      <c r="H90" s="49"/>
      <c r="I90" s="49"/>
    </row>
    <row r="91" spans="1:9" x14ac:dyDescent="0.3">
      <c r="A91" s="55">
        <v>83</v>
      </c>
      <c r="B91" s="19" t="s">
        <v>76</v>
      </c>
      <c r="C91" s="14" t="s">
        <v>608</v>
      </c>
      <c r="D91" s="52">
        <v>1</v>
      </c>
      <c r="E91" s="52" t="s">
        <v>229</v>
      </c>
      <c r="F91" s="52" t="s">
        <v>193</v>
      </c>
      <c r="G91" s="55"/>
      <c r="H91" s="49"/>
      <c r="I91" s="49"/>
    </row>
    <row r="92" spans="1:9" x14ac:dyDescent="0.3">
      <c r="A92" s="55">
        <v>84</v>
      </c>
      <c r="B92" s="19" t="s">
        <v>147</v>
      </c>
      <c r="C92" s="14" t="s">
        <v>608</v>
      </c>
      <c r="D92" s="52">
        <v>1</v>
      </c>
      <c r="E92" s="52" t="s">
        <v>229</v>
      </c>
      <c r="F92" s="52" t="s">
        <v>193</v>
      </c>
      <c r="G92" s="55"/>
      <c r="H92" s="49"/>
      <c r="I92" s="49"/>
    </row>
    <row r="93" spans="1:9" x14ac:dyDescent="0.3">
      <c r="A93" s="55">
        <v>85</v>
      </c>
      <c r="B93" s="17" t="s">
        <v>115</v>
      </c>
      <c r="C93" s="14" t="s">
        <v>163</v>
      </c>
      <c r="D93" s="52">
        <v>1</v>
      </c>
      <c r="E93" s="52" t="s">
        <v>229</v>
      </c>
      <c r="F93" s="52" t="s">
        <v>193</v>
      </c>
      <c r="G93" s="55"/>
      <c r="H93" s="49"/>
      <c r="I93" s="49"/>
    </row>
    <row r="94" spans="1:9" x14ac:dyDescent="0.3">
      <c r="A94" s="55">
        <v>86</v>
      </c>
      <c r="B94" s="19" t="s">
        <v>181</v>
      </c>
      <c r="C94" s="14" t="s">
        <v>608</v>
      </c>
      <c r="D94" s="52">
        <v>1</v>
      </c>
      <c r="E94" s="52" t="s">
        <v>229</v>
      </c>
      <c r="F94" s="52" t="s">
        <v>193</v>
      </c>
      <c r="G94" s="55"/>
      <c r="H94" s="49"/>
      <c r="I94" s="49"/>
    </row>
    <row r="95" spans="1:9" x14ac:dyDescent="0.3">
      <c r="A95" s="55">
        <v>87</v>
      </c>
      <c r="B95" s="19" t="s">
        <v>609</v>
      </c>
      <c r="C95" s="14" t="s">
        <v>608</v>
      </c>
      <c r="D95" s="52">
        <v>1</v>
      </c>
      <c r="E95" s="52" t="s">
        <v>229</v>
      </c>
      <c r="F95" s="52" t="s">
        <v>193</v>
      </c>
      <c r="G95" s="55"/>
      <c r="H95" s="49"/>
      <c r="I95" s="49"/>
    </row>
    <row r="96" spans="1:9" x14ac:dyDescent="0.3">
      <c r="A96" s="55">
        <v>88</v>
      </c>
      <c r="B96" s="19" t="s">
        <v>119</v>
      </c>
      <c r="C96" s="14" t="s">
        <v>608</v>
      </c>
      <c r="D96" s="52">
        <v>1</v>
      </c>
      <c r="E96" s="52" t="s">
        <v>229</v>
      </c>
      <c r="F96" s="52" t="s">
        <v>193</v>
      </c>
      <c r="G96" s="55"/>
      <c r="H96" s="49"/>
      <c r="I96" s="49"/>
    </row>
    <row r="97" spans="1:9" x14ac:dyDescent="0.3">
      <c r="A97" s="55">
        <v>89</v>
      </c>
      <c r="B97" s="19" t="s">
        <v>80</v>
      </c>
      <c r="C97" s="14" t="s">
        <v>608</v>
      </c>
      <c r="D97" s="52">
        <v>1</v>
      </c>
      <c r="E97" s="52" t="s">
        <v>229</v>
      </c>
      <c r="F97" s="52" t="s">
        <v>193</v>
      </c>
      <c r="G97" s="55"/>
      <c r="H97" s="49"/>
      <c r="I97" s="49"/>
    </row>
    <row r="98" spans="1:9" x14ac:dyDescent="0.3">
      <c r="A98" s="55">
        <v>90</v>
      </c>
      <c r="B98" s="19" t="s">
        <v>102</v>
      </c>
      <c r="C98" s="14" t="s">
        <v>608</v>
      </c>
      <c r="D98" s="52">
        <v>1</v>
      </c>
      <c r="E98" s="52" t="s">
        <v>229</v>
      </c>
      <c r="F98" s="52" t="s">
        <v>193</v>
      </c>
      <c r="G98" s="55"/>
      <c r="H98" s="49"/>
      <c r="I98" s="49"/>
    </row>
    <row r="99" spans="1:9" x14ac:dyDescent="0.3">
      <c r="A99" s="55">
        <v>91</v>
      </c>
      <c r="B99" s="19" t="s">
        <v>85</v>
      </c>
      <c r="C99" s="14" t="s">
        <v>608</v>
      </c>
      <c r="D99" s="52">
        <v>1</v>
      </c>
      <c r="E99" s="52" t="s">
        <v>229</v>
      </c>
      <c r="F99" s="52" t="s">
        <v>193</v>
      </c>
      <c r="G99" s="55"/>
      <c r="H99" s="49"/>
      <c r="I99" s="49"/>
    </row>
    <row r="100" spans="1:9" x14ac:dyDescent="0.3">
      <c r="A100" s="55">
        <v>92</v>
      </c>
      <c r="B100" s="19" t="s">
        <v>28</v>
      </c>
      <c r="C100" s="14" t="s">
        <v>608</v>
      </c>
      <c r="D100" s="52">
        <v>1</v>
      </c>
      <c r="E100" s="52" t="s">
        <v>229</v>
      </c>
      <c r="F100" s="52" t="s">
        <v>193</v>
      </c>
      <c r="G100" s="55"/>
      <c r="H100" s="49"/>
      <c r="I100" s="49"/>
    </row>
    <row r="101" spans="1:9" x14ac:dyDescent="0.3">
      <c r="A101" s="55">
        <v>93</v>
      </c>
      <c r="B101" s="100" t="s">
        <v>52</v>
      </c>
      <c r="C101" s="14" t="s">
        <v>163</v>
      </c>
      <c r="D101" s="52">
        <v>1</v>
      </c>
      <c r="E101" s="52" t="s">
        <v>229</v>
      </c>
      <c r="F101" s="52" t="s">
        <v>193</v>
      </c>
      <c r="G101" s="55"/>
      <c r="H101" s="49"/>
      <c r="I101" s="49"/>
    </row>
    <row r="102" spans="1:9" x14ac:dyDescent="0.3">
      <c r="A102" s="55">
        <v>94</v>
      </c>
      <c r="B102" s="100" t="s">
        <v>110</v>
      </c>
      <c r="C102" s="14" t="s">
        <v>608</v>
      </c>
      <c r="D102" s="52">
        <v>1</v>
      </c>
      <c r="E102" s="52" t="s">
        <v>229</v>
      </c>
      <c r="F102" s="52" t="s">
        <v>193</v>
      </c>
      <c r="G102" s="55"/>
      <c r="H102" s="49"/>
      <c r="I102" s="49"/>
    </row>
    <row r="103" spans="1:9" x14ac:dyDescent="0.3">
      <c r="A103" s="55">
        <v>95</v>
      </c>
      <c r="B103" s="100" t="s">
        <v>99</v>
      </c>
      <c r="C103" s="14" t="s">
        <v>608</v>
      </c>
      <c r="D103" s="52">
        <v>1</v>
      </c>
      <c r="E103" s="52" t="s">
        <v>229</v>
      </c>
      <c r="F103" s="52" t="s">
        <v>193</v>
      </c>
      <c r="G103" s="55"/>
      <c r="H103" s="49"/>
      <c r="I103" s="49"/>
    </row>
    <row r="104" spans="1:9" x14ac:dyDescent="0.3">
      <c r="A104" s="55">
        <v>96</v>
      </c>
      <c r="B104" s="100" t="s">
        <v>86</v>
      </c>
      <c r="C104" s="14" t="s">
        <v>163</v>
      </c>
      <c r="D104" s="52">
        <v>1</v>
      </c>
      <c r="E104" s="52" t="s">
        <v>229</v>
      </c>
      <c r="F104" s="52" t="s">
        <v>193</v>
      </c>
      <c r="G104" s="55"/>
      <c r="H104" s="49"/>
      <c r="I104" s="49"/>
    </row>
    <row r="105" spans="1:9" x14ac:dyDescent="0.3">
      <c r="A105" s="55">
        <v>97</v>
      </c>
      <c r="B105" s="100" t="s">
        <v>78</v>
      </c>
      <c r="C105" s="14" t="s">
        <v>163</v>
      </c>
      <c r="D105" s="52">
        <v>1</v>
      </c>
      <c r="E105" s="52" t="s">
        <v>229</v>
      </c>
      <c r="F105" s="52" t="s">
        <v>193</v>
      </c>
      <c r="G105" s="55"/>
      <c r="H105" s="49"/>
      <c r="I105" s="49"/>
    </row>
    <row r="106" spans="1:9" x14ac:dyDescent="0.3">
      <c r="A106" s="55">
        <v>98</v>
      </c>
      <c r="B106" s="17" t="s">
        <v>88</v>
      </c>
      <c r="C106" s="14" t="s">
        <v>608</v>
      </c>
      <c r="D106" s="52">
        <v>1</v>
      </c>
      <c r="E106" s="52" t="s">
        <v>229</v>
      </c>
      <c r="F106" s="52" t="s">
        <v>193</v>
      </c>
      <c r="G106" s="55"/>
      <c r="H106" s="49"/>
      <c r="I106" s="49"/>
    </row>
    <row r="107" spans="1:9" x14ac:dyDescent="0.3">
      <c r="A107" s="55">
        <v>99</v>
      </c>
      <c r="B107" s="17" t="s">
        <v>90</v>
      </c>
      <c r="C107" s="14" t="s">
        <v>163</v>
      </c>
      <c r="D107" s="52">
        <v>1</v>
      </c>
      <c r="E107" s="52" t="s">
        <v>229</v>
      </c>
      <c r="F107" s="52" t="s">
        <v>193</v>
      </c>
      <c r="G107" s="55"/>
      <c r="H107" s="49"/>
      <c r="I107" s="49"/>
    </row>
    <row r="108" spans="1:9" x14ac:dyDescent="0.3">
      <c r="A108" s="55">
        <v>100</v>
      </c>
      <c r="B108" s="12" t="s">
        <v>20</v>
      </c>
      <c r="C108" s="14" t="s">
        <v>608</v>
      </c>
      <c r="D108" s="52">
        <v>1</v>
      </c>
      <c r="E108" s="52" t="s">
        <v>229</v>
      </c>
      <c r="F108" s="52" t="s">
        <v>193</v>
      </c>
      <c r="G108" s="55"/>
      <c r="H108" s="49"/>
      <c r="I108" s="49"/>
    </row>
    <row r="109" spans="1:9" x14ac:dyDescent="0.3">
      <c r="A109" s="55">
        <v>101</v>
      </c>
      <c r="B109" s="17" t="s">
        <v>180</v>
      </c>
      <c r="C109" s="14" t="s">
        <v>608</v>
      </c>
      <c r="D109" s="52">
        <v>1</v>
      </c>
      <c r="E109" s="52" t="s">
        <v>229</v>
      </c>
      <c r="F109" s="52" t="s">
        <v>193</v>
      </c>
      <c r="G109" s="55"/>
      <c r="H109" s="49"/>
      <c r="I109" s="49"/>
    </row>
    <row r="110" spans="1:9" ht="17.25" customHeight="1" x14ac:dyDescent="0.3">
      <c r="A110" s="55">
        <v>102</v>
      </c>
      <c r="B110" s="54" t="s">
        <v>284</v>
      </c>
      <c r="C110" s="59" t="s">
        <v>274</v>
      </c>
      <c r="D110" s="52">
        <v>1</v>
      </c>
      <c r="E110" s="57" t="s">
        <v>215</v>
      </c>
      <c r="F110" s="57" t="s">
        <v>193</v>
      </c>
      <c r="G110" s="57"/>
      <c r="H110" s="49"/>
      <c r="I110" s="49"/>
    </row>
    <row r="111" spans="1:9" ht="17.25" customHeight="1" x14ac:dyDescent="0.3">
      <c r="A111" s="55">
        <v>103</v>
      </c>
      <c r="B111" s="54" t="s">
        <v>283</v>
      </c>
      <c r="C111" s="59" t="s">
        <v>274</v>
      </c>
      <c r="D111" s="52">
        <v>1</v>
      </c>
      <c r="E111" s="57" t="s">
        <v>215</v>
      </c>
      <c r="F111" s="57" t="s">
        <v>193</v>
      </c>
      <c r="G111" s="57"/>
      <c r="H111" s="49"/>
      <c r="I111" s="49"/>
    </row>
    <row r="112" spans="1:9" ht="17.25" customHeight="1" x14ac:dyDescent="0.3">
      <c r="A112" s="55">
        <v>104</v>
      </c>
      <c r="B112" s="54" t="s">
        <v>596</v>
      </c>
      <c r="C112" s="59" t="s">
        <v>274</v>
      </c>
      <c r="D112" s="52">
        <v>2</v>
      </c>
      <c r="E112" s="57" t="s">
        <v>215</v>
      </c>
      <c r="F112" s="57" t="s">
        <v>193</v>
      </c>
      <c r="G112" s="57"/>
      <c r="H112" s="49"/>
      <c r="I112" s="49"/>
    </row>
    <row r="113" spans="1:9" ht="18" customHeight="1" x14ac:dyDescent="0.3">
      <c r="A113" s="55">
        <v>105</v>
      </c>
      <c r="B113" s="54" t="s">
        <v>610</v>
      </c>
      <c r="C113" s="59" t="s">
        <v>274</v>
      </c>
      <c r="D113" s="52">
        <v>1</v>
      </c>
      <c r="E113" s="57" t="s">
        <v>215</v>
      </c>
      <c r="F113" s="57" t="s">
        <v>193</v>
      </c>
      <c r="G113" s="57"/>
      <c r="H113" s="49"/>
      <c r="I113" s="49"/>
    </row>
    <row r="114" spans="1:9" x14ac:dyDescent="0.3">
      <c r="A114" s="55">
        <v>106</v>
      </c>
      <c r="B114" s="54" t="s">
        <v>282</v>
      </c>
      <c r="C114" s="59" t="s">
        <v>274</v>
      </c>
      <c r="D114" s="52">
        <v>1</v>
      </c>
      <c r="E114" s="57" t="s">
        <v>215</v>
      </c>
      <c r="F114" s="57" t="s">
        <v>193</v>
      </c>
      <c r="G114" s="57"/>
      <c r="H114" s="49"/>
      <c r="I114" s="49"/>
    </row>
    <row r="115" spans="1:9" x14ac:dyDescent="0.3">
      <c r="A115" s="55">
        <v>107</v>
      </c>
      <c r="B115" s="54" t="s">
        <v>281</v>
      </c>
      <c r="C115" s="59" t="s">
        <v>274</v>
      </c>
      <c r="D115" s="52">
        <v>1</v>
      </c>
      <c r="E115" s="57" t="s">
        <v>215</v>
      </c>
      <c r="F115" s="57" t="s">
        <v>193</v>
      </c>
      <c r="G115" s="57"/>
      <c r="H115" s="49"/>
      <c r="I115" s="49"/>
    </row>
    <row r="116" spans="1:9" x14ac:dyDescent="0.3">
      <c r="A116" s="55">
        <v>108</v>
      </c>
      <c r="B116" s="54" t="s">
        <v>280</v>
      </c>
      <c r="C116" s="59" t="s">
        <v>274</v>
      </c>
      <c r="D116" s="52">
        <v>1</v>
      </c>
      <c r="E116" s="57" t="s">
        <v>215</v>
      </c>
      <c r="F116" s="57" t="s">
        <v>193</v>
      </c>
      <c r="G116" s="57"/>
      <c r="H116" s="49"/>
      <c r="I116" s="49"/>
    </row>
    <row r="117" spans="1:9" x14ac:dyDescent="0.3">
      <c r="A117" s="55">
        <v>109</v>
      </c>
      <c r="B117" s="54" t="s">
        <v>279</v>
      </c>
      <c r="C117" s="59" t="s">
        <v>274</v>
      </c>
      <c r="D117" s="52">
        <v>1</v>
      </c>
      <c r="E117" s="57" t="s">
        <v>215</v>
      </c>
      <c r="F117" s="57" t="s">
        <v>193</v>
      </c>
      <c r="G117" s="57"/>
      <c r="H117" s="49"/>
      <c r="I117" s="49"/>
    </row>
    <row r="118" spans="1:9" x14ac:dyDescent="0.3">
      <c r="A118" s="55">
        <v>110</v>
      </c>
      <c r="B118" s="54" t="s">
        <v>278</v>
      </c>
      <c r="C118" s="59" t="s">
        <v>274</v>
      </c>
      <c r="D118" s="52">
        <v>1</v>
      </c>
      <c r="E118" s="57" t="s">
        <v>215</v>
      </c>
      <c r="F118" s="57" t="s">
        <v>193</v>
      </c>
      <c r="G118" s="57"/>
      <c r="H118" s="49"/>
      <c r="I118" s="49"/>
    </row>
    <row r="119" spans="1:9" x14ac:dyDescent="0.3">
      <c r="A119" s="55">
        <v>111</v>
      </c>
      <c r="B119" s="54" t="s">
        <v>277</v>
      </c>
      <c r="C119" s="59" t="s">
        <v>274</v>
      </c>
      <c r="D119" s="52">
        <v>1</v>
      </c>
      <c r="E119" s="57" t="s">
        <v>215</v>
      </c>
      <c r="F119" s="57" t="s">
        <v>193</v>
      </c>
      <c r="G119" s="57"/>
      <c r="H119" s="49"/>
      <c r="I119" s="49"/>
    </row>
    <row r="120" spans="1:9" x14ac:dyDescent="0.3">
      <c r="A120" s="55">
        <v>112</v>
      </c>
      <c r="B120" s="54" t="s">
        <v>276</v>
      </c>
      <c r="C120" s="59" t="s">
        <v>274</v>
      </c>
      <c r="D120" s="52">
        <v>1</v>
      </c>
      <c r="E120" s="57" t="s">
        <v>215</v>
      </c>
      <c r="F120" s="57" t="s">
        <v>193</v>
      </c>
      <c r="G120" s="57"/>
      <c r="H120" s="49"/>
      <c r="I120" s="49"/>
    </row>
    <row r="121" spans="1:9" x14ac:dyDescent="0.3">
      <c r="A121" s="55">
        <v>113</v>
      </c>
      <c r="B121" s="54" t="s">
        <v>509</v>
      </c>
      <c r="C121" s="59" t="s">
        <v>274</v>
      </c>
      <c r="D121" s="52">
        <v>1</v>
      </c>
      <c r="E121" s="57" t="s">
        <v>215</v>
      </c>
      <c r="F121" s="57" t="s">
        <v>193</v>
      </c>
      <c r="G121" s="57"/>
      <c r="H121" s="49"/>
      <c r="I121" s="49"/>
    </row>
    <row r="122" spans="1:9" x14ac:dyDescent="0.3">
      <c r="A122" s="55">
        <v>114</v>
      </c>
      <c r="B122" s="54" t="s">
        <v>275</v>
      </c>
      <c r="C122" s="59" t="s">
        <v>274</v>
      </c>
      <c r="D122" s="52">
        <v>1</v>
      </c>
      <c r="E122" s="57" t="s">
        <v>215</v>
      </c>
      <c r="F122" s="57" t="s">
        <v>193</v>
      </c>
      <c r="G122" s="57"/>
      <c r="H122" s="49"/>
      <c r="I122" s="49"/>
    </row>
    <row r="123" spans="1:9" x14ac:dyDescent="0.3">
      <c r="A123" s="55">
        <v>115</v>
      </c>
      <c r="B123" s="54" t="s">
        <v>519</v>
      </c>
      <c r="C123" s="59" t="s">
        <v>274</v>
      </c>
      <c r="D123" s="52">
        <v>1</v>
      </c>
      <c r="E123" s="57" t="s">
        <v>215</v>
      </c>
      <c r="F123" s="57" t="s">
        <v>193</v>
      </c>
      <c r="G123" s="57"/>
      <c r="H123" s="49"/>
      <c r="I123" s="49"/>
    </row>
    <row r="124" spans="1:9" x14ac:dyDescent="0.3">
      <c r="A124" s="55">
        <v>116</v>
      </c>
      <c r="B124" s="19" t="s">
        <v>273</v>
      </c>
      <c r="C124" s="14" t="s">
        <v>269</v>
      </c>
      <c r="D124" s="52">
        <v>1</v>
      </c>
      <c r="E124" s="52" t="s">
        <v>229</v>
      </c>
      <c r="F124" s="52" t="s">
        <v>193</v>
      </c>
      <c r="G124" s="55"/>
      <c r="H124" s="49"/>
      <c r="I124" s="49"/>
    </row>
    <row r="125" spans="1:9" x14ac:dyDescent="0.3">
      <c r="A125" s="55">
        <v>117</v>
      </c>
      <c r="B125" s="19" t="s">
        <v>611</v>
      </c>
      <c r="C125" s="14" t="s">
        <v>269</v>
      </c>
      <c r="D125" s="52">
        <v>1</v>
      </c>
      <c r="E125" s="52" t="s">
        <v>229</v>
      </c>
      <c r="F125" s="52" t="s">
        <v>193</v>
      </c>
      <c r="G125" s="55"/>
      <c r="H125" s="49"/>
      <c r="I125" s="49"/>
    </row>
    <row r="126" spans="1:9" x14ac:dyDescent="0.3">
      <c r="A126" s="55">
        <v>118</v>
      </c>
      <c r="B126" s="19" t="s">
        <v>272</v>
      </c>
      <c r="C126" s="14" t="s">
        <v>173</v>
      </c>
      <c r="D126" s="52">
        <v>1</v>
      </c>
      <c r="E126" s="52" t="s">
        <v>229</v>
      </c>
      <c r="F126" s="52" t="s">
        <v>193</v>
      </c>
      <c r="G126" s="55"/>
      <c r="H126" s="49"/>
      <c r="I126" s="49"/>
    </row>
    <row r="127" spans="1:9" x14ac:dyDescent="0.3">
      <c r="A127" s="55">
        <v>119</v>
      </c>
      <c r="B127" s="19" t="s">
        <v>271</v>
      </c>
      <c r="C127" s="14" t="s">
        <v>269</v>
      </c>
      <c r="D127" s="52">
        <v>1</v>
      </c>
      <c r="E127" s="52" t="s">
        <v>229</v>
      </c>
      <c r="F127" s="52" t="s">
        <v>193</v>
      </c>
      <c r="G127" s="55"/>
      <c r="H127" s="49"/>
      <c r="I127" s="49"/>
    </row>
    <row r="128" spans="1:9" x14ac:dyDescent="0.3">
      <c r="A128" s="55">
        <v>120</v>
      </c>
      <c r="B128" s="19" t="s">
        <v>270</v>
      </c>
      <c r="C128" s="14" t="s">
        <v>269</v>
      </c>
      <c r="D128" s="52">
        <v>1</v>
      </c>
      <c r="E128" s="52" t="s">
        <v>229</v>
      </c>
      <c r="F128" s="52" t="s">
        <v>193</v>
      </c>
      <c r="G128" s="55"/>
      <c r="H128" s="49"/>
      <c r="I128" s="49"/>
    </row>
    <row r="129" spans="1:9" x14ac:dyDescent="0.3">
      <c r="A129" s="55">
        <v>121</v>
      </c>
      <c r="B129" s="19" t="s">
        <v>140</v>
      </c>
      <c r="C129" s="14" t="s">
        <v>173</v>
      </c>
      <c r="D129" s="52">
        <v>1</v>
      </c>
      <c r="E129" s="52" t="s">
        <v>229</v>
      </c>
      <c r="F129" s="52" t="s">
        <v>193</v>
      </c>
      <c r="G129" s="55"/>
      <c r="H129" s="49"/>
      <c r="I129" s="49"/>
    </row>
    <row r="130" spans="1:9" x14ac:dyDescent="0.3">
      <c r="A130" s="55">
        <v>122</v>
      </c>
      <c r="B130" s="19" t="s">
        <v>129</v>
      </c>
      <c r="C130" s="14" t="s">
        <v>173</v>
      </c>
      <c r="D130" s="52">
        <v>1</v>
      </c>
      <c r="E130" s="52" t="s">
        <v>229</v>
      </c>
      <c r="F130" s="52" t="s">
        <v>193</v>
      </c>
      <c r="G130" s="55"/>
      <c r="H130" s="49"/>
      <c r="I130" s="49"/>
    </row>
    <row r="131" spans="1:9" x14ac:dyDescent="0.3">
      <c r="A131" s="55">
        <v>123</v>
      </c>
      <c r="B131" s="19" t="s">
        <v>100</v>
      </c>
      <c r="C131" s="14" t="s">
        <v>269</v>
      </c>
      <c r="D131" s="52">
        <v>1</v>
      </c>
      <c r="E131" s="52" t="s">
        <v>229</v>
      </c>
      <c r="F131" s="52" t="s">
        <v>193</v>
      </c>
      <c r="G131" s="55"/>
      <c r="H131" s="49"/>
      <c r="I131" s="49"/>
    </row>
    <row r="132" spans="1:9" x14ac:dyDescent="0.3">
      <c r="A132" s="55">
        <v>124</v>
      </c>
      <c r="B132" s="19" t="s">
        <v>612</v>
      </c>
      <c r="C132" s="14" t="s">
        <v>269</v>
      </c>
      <c r="D132" s="52">
        <v>1</v>
      </c>
      <c r="E132" s="52" t="s">
        <v>229</v>
      </c>
      <c r="F132" s="52" t="s">
        <v>193</v>
      </c>
      <c r="G132" s="55"/>
      <c r="H132" s="49"/>
      <c r="I132" s="49"/>
    </row>
    <row r="133" spans="1:9" x14ac:dyDescent="0.3">
      <c r="A133" s="55">
        <v>125</v>
      </c>
      <c r="B133" s="101" t="s">
        <v>133</v>
      </c>
      <c r="C133" s="14" t="s">
        <v>269</v>
      </c>
      <c r="D133" s="52">
        <v>1</v>
      </c>
      <c r="E133" s="52" t="s">
        <v>229</v>
      </c>
      <c r="F133" s="52" t="s">
        <v>193</v>
      </c>
      <c r="G133" s="55"/>
      <c r="H133" s="49"/>
      <c r="I133" s="49"/>
    </row>
    <row r="134" spans="1:9" x14ac:dyDescent="0.3">
      <c r="A134" s="55">
        <v>126</v>
      </c>
      <c r="B134" s="101" t="s">
        <v>638</v>
      </c>
      <c r="C134" s="14" t="s">
        <v>269</v>
      </c>
      <c r="D134" s="52">
        <v>1</v>
      </c>
      <c r="E134" s="52" t="s">
        <v>229</v>
      </c>
      <c r="F134" s="52" t="s">
        <v>193</v>
      </c>
      <c r="G134" s="55"/>
      <c r="H134" s="49"/>
      <c r="I134" s="49"/>
    </row>
    <row r="135" spans="1:9" x14ac:dyDescent="0.3">
      <c r="A135" s="55">
        <v>127</v>
      </c>
      <c r="B135" s="54" t="s">
        <v>268</v>
      </c>
      <c r="C135" s="58" t="s">
        <v>173</v>
      </c>
      <c r="D135" s="52">
        <v>1</v>
      </c>
      <c r="E135" s="57" t="s">
        <v>215</v>
      </c>
      <c r="F135" s="57" t="s">
        <v>193</v>
      </c>
      <c r="G135" s="57"/>
      <c r="H135" s="49"/>
      <c r="I135" s="49"/>
    </row>
    <row r="136" spans="1:9" x14ac:dyDescent="0.3">
      <c r="A136" s="55">
        <v>128</v>
      </c>
      <c r="B136" s="54" t="s">
        <v>267</v>
      </c>
      <c r="C136" s="58" t="s">
        <v>173</v>
      </c>
      <c r="D136" s="52">
        <v>1</v>
      </c>
      <c r="E136" s="57" t="s">
        <v>215</v>
      </c>
      <c r="F136" s="57" t="s">
        <v>193</v>
      </c>
      <c r="G136" s="57"/>
      <c r="H136" s="49"/>
      <c r="I136" s="49"/>
    </row>
    <row r="137" spans="1:9" x14ac:dyDescent="0.3">
      <c r="A137" s="55">
        <v>129</v>
      </c>
      <c r="B137" s="54" t="s">
        <v>266</v>
      </c>
      <c r="C137" s="58" t="s">
        <v>173</v>
      </c>
      <c r="D137" s="52">
        <v>1</v>
      </c>
      <c r="E137" s="57" t="s">
        <v>215</v>
      </c>
      <c r="F137" s="57" t="s">
        <v>193</v>
      </c>
      <c r="G137" s="57"/>
      <c r="H137" s="49"/>
      <c r="I137" s="49"/>
    </row>
    <row r="138" spans="1:9" x14ac:dyDescent="0.3">
      <c r="A138" s="55">
        <v>130</v>
      </c>
      <c r="B138" s="54" t="s">
        <v>265</v>
      </c>
      <c r="C138" s="58" t="s">
        <v>173</v>
      </c>
      <c r="D138" s="52">
        <v>1</v>
      </c>
      <c r="E138" s="57" t="s">
        <v>215</v>
      </c>
      <c r="F138" s="57" t="s">
        <v>193</v>
      </c>
      <c r="G138" s="57"/>
      <c r="H138" s="49"/>
      <c r="I138" s="49"/>
    </row>
    <row r="139" spans="1:9" x14ac:dyDescent="0.3">
      <c r="A139" s="55">
        <v>131</v>
      </c>
      <c r="B139" s="54" t="s">
        <v>264</v>
      </c>
      <c r="C139" s="58" t="s">
        <v>173</v>
      </c>
      <c r="D139" s="52">
        <v>1</v>
      </c>
      <c r="E139" s="57" t="s">
        <v>215</v>
      </c>
      <c r="F139" s="57" t="s">
        <v>193</v>
      </c>
      <c r="G139" s="57"/>
      <c r="H139" s="49"/>
      <c r="I139" s="49"/>
    </row>
    <row r="140" spans="1:9" x14ac:dyDescent="0.3">
      <c r="A140" s="55">
        <v>132</v>
      </c>
      <c r="B140" s="54" t="s">
        <v>263</v>
      </c>
      <c r="C140" s="58" t="s">
        <v>173</v>
      </c>
      <c r="D140" s="52">
        <v>1</v>
      </c>
      <c r="E140" s="57" t="s">
        <v>215</v>
      </c>
      <c r="F140" s="57" t="s">
        <v>193</v>
      </c>
      <c r="G140" s="57"/>
      <c r="H140" s="49"/>
      <c r="I140" s="49"/>
    </row>
    <row r="141" spans="1:9" x14ac:dyDescent="0.3">
      <c r="A141" s="55">
        <v>133</v>
      </c>
      <c r="B141" s="54" t="s">
        <v>262</v>
      </c>
      <c r="C141" s="58" t="s">
        <v>173</v>
      </c>
      <c r="D141" s="52">
        <v>1</v>
      </c>
      <c r="E141" s="57" t="s">
        <v>215</v>
      </c>
      <c r="F141" s="57" t="s">
        <v>193</v>
      </c>
      <c r="G141" s="57"/>
      <c r="H141" s="49"/>
      <c r="I141" s="49"/>
    </row>
    <row r="142" spans="1:9" x14ac:dyDescent="0.3">
      <c r="A142" s="55">
        <v>134</v>
      </c>
      <c r="B142" s="17" t="s">
        <v>261</v>
      </c>
      <c r="C142" s="14" t="s">
        <v>260</v>
      </c>
      <c r="D142" s="52">
        <v>1</v>
      </c>
      <c r="E142" s="52" t="s">
        <v>229</v>
      </c>
      <c r="F142" s="52" t="s">
        <v>193</v>
      </c>
      <c r="G142" s="55"/>
      <c r="H142" s="49"/>
      <c r="I142" s="49"/>
    </row>
    <row r="143" spans="1:9" x14ac:dyDescent="0.3">
      <c r="A143" s="55">
        <v>135</v>
      </c>
      <c r="B143" s="19" t="s">
        <v>77</v>
      </c>
      <c r="C143" s="14" t="s">
        <v>260</v>
      </c>
      <c r="D143" s="52">
        <v>1</v>
      </c>
      <c r="E143" s="52" t="s">
        <v>229</v>
      </c>
      <c r="F143" s="52" t="s">
        <v>193</v>
      </c>
      <c r="G143" s="55"/>
      <c r="H143" s="49"/>
      <c r="I143" s="49"/>
    </row>
    <row r="144" spans="1:9" x14ac:dyDescent="0.3">
      <c r="A144" s="55">
        <v>136</v>
      </c>
      <c r="B144" s="54" t="s">
        <v>259</v>
      </c>
      <c r="C144" s="53" t="s">
        <v>164</v>
      </c>
      <c r="D144" s="52">
        <v>1</v>
      </c>
      <c r="E144" s="52" t="s">
        <v>215</v>
      </c>
      <c r="F144" s="52" t="s">
        <v>193</v>
      </c>
      <c r="G144" s="55"/>
      <c r="H144" s="49"/>
      <c r="I144" s="49"/>
    </row>
    <row r="145" spans="1:9" x14ac:dyDescent="0.3">
      <c r="A145" s="55">
        <v>137</v>
      </c>
      <c r="B145" s="54" t="s">
        <v>258</v>
      </c>
      <c r="C145" s="53" t="s">
        <v>164</v>
      </c>
      <c r="D145" s="52">
        <v>1</v>
      </c>
      <c r="E145" s="52" t="s">
        <v>215</v>
      </c>
      <c r="F145" s="52" t="s">
        <v>193</v>
      </c>
      <c r="G145" s="55"/>
      <c r="H145" s="49"/>
      <c r="I145" s="49"/>
    </row>
    <row r="146" spans="1:9" x14ac:dyDescent="0.3">
      <c r="A146" s="55">
        <v>138</v>
      </c>
      <c r="B146" s="54" t="s">
        <v>257</v>
      </c>
      <c r="C146" s="53" t="s">
        <v>164</v>
      </c>
      <c r="D146" s="52">
        <v>1</v>
      </c>
      <c r="E146" s="52" t="s">
        <v>215</v>
      </c>
      <c r="F146" s="52" t="s">
        <v>193</v>
      </c>
      <c r="G146" s="55"/>
      <c r="H146" s="49"/>
      <c r="I146" s="49"/>
    </row>
    <row r="147" spans="1:9" x14ac:dyDescent="0.3">
      <c r="A147" s="55">
        <v>139</v>
      </c>
      <c r="B147" s="54" t="s">
        <v>256</v>
      </c>
      <c r="C147" s="53" t="s">
        <v>164</v>
      </c>
      <c r="D147" s="52">
        <v>1</v>
      </c>
      <c r="E147" s="52" t="s">
        <v>215</v>
      </c>
      <c r="F147" s="52" t="s">
        <v>193</v>
      </c>
      <c r="G147" s="55"/>
      <c r="H147" s="49"/>
      <c r="I147" s="49"/>
    </row>
    <row r="148" spans="1:9" x14ac:dyDescent="0.3">
      <c r="A148" s="55">
        <v>140</v>
      </c>
      <c r="B148" s="54" t="s">
        <v>142</v>
      </c>
      <c r="C148" s="53" t="s">
        <v>164</v>
      </c>
      <c r="D148" s="52">
        <v>1</v>
      </c>
      <c r="E148" s="52" t="s">
        <v>215</v>
      </c>
      <c r="F148" s="52" t="s">
        <v>193</v>
      </c>
      <c r="G148" s="55"/>
      <c r="H148" s="49"/>
      <c r="I148" s="49"/>
    </row>
    <row r="149" spans="1:9" x14ac:dyDescent="0.3">
      <c r="A149" s="55">
        <v>141</v>
      </c>
      <c r="B149" s="54" t="s">
        <v>255</v>
      </c>
      <c r="C149" s="53" t="s">
        <v>164</v>
      </c>
      <c r="D149" s="52">
        <v>1</v>
      </c>
      <c r="E149" s="52" t="s">
        <v>215</v>
      </c>
      <c r="F149" s="52" t="s">
        <v>193</v>
      </c>
      <c r="G149" s="55"/>
      <c r="H149" s="49"/>
      <c r="I149" s="49"/>
    </row>
    <row r="150" spans="1:9" x14ac:dyDescent="0.3">
      <c r="A150" s="55">
        <v>142</v>
      </c>
      <c r="B150" s="54" t="s">
        <v>254</v>
      </c>
      <c r="C150" s="53" t="s">
        <v>164</v>
      </c>
      <c r="D150" s="52">
        <v>1</v>
      </c>
      <c r="E150" s="52" t="s">
        <v>215</v>
      </c>
      <c r="F150" s="52" t="s">
        <v>193</v>
      </c>
      <c r="G150" s="55"/>
      <c r="H150" s="49"/>
      <c r="I150" s="49"/>
    </row>
    <row r="151" spans="1:9" x14ac:dyDescent="0.3">
      <c r="A151" s="55">
        <v>143</v>
      </c>
      <c r="B151" s="54" t="s">
        <v>253</v>
      </c>
      <c r="C151" s="53" t="s">
        <v>164</v>
      </c>
      <c r="D151" s="52">
        <v>1</v>
      </c>
      <c r="E151" s="52" t="s">
        <v>215</v>
      </c>
      <c r="F151" s="52" t="s">
        <v>193</v>
      </c>
      <c r="G151" s="55"/>
      <c r="H151" s="49"/>
      <c r="I151" s="49"/>
    </row>
    <row r="152" spans="1:9" x14ac:dyDescent="0.3">
      <c r="A152" s="55">
        <v>144</v>
      </c>
      <c r="B152" s="54" t="s">
        <v>252</v>
      </c>
      <c r="C152" s="53" t="s">
        <v>164</v>
      </c>
      <c r="D152" s="52">
        <v>1</v>
      </c>
      <c r="E152" s="52" t="s">
        <v>215</v>
      </c>
      <c r="F152" s="52" t="s">
        <v>193</v>
      </c>
      <c r="G152" s="55"/>
      <c r="H152" s="49"/>
      <c r="I152" s="49"/>
    </row>
    <row r="153" spans="1:9" x14ac:dyDescent="0.3">
      <c r="A153" s="55">
        <v>145</v>
      </c>
      <c r="B153" s="54" t="s">
        <v>21</v>
      </c>
      <c r="C153" s="53" t="s">
        <v>164</v>
      </c>
      <c r="D153" s="52">
        <v>1</v>
      </c>
      <c r="E153" s="52" t="s">
        <v>215</v>
      </c>
      <c r="F153" s="52" t="s">
        <v>193</v>
      </c>
      <c r="G153" s="55"/>
      <c r="H153" s="49"/>
      <c r="I153" s="49"/>
    </row>
    <row r="154" spans="1:9" x14ac:dyDescent="0.3">
      <c r="A154" s="55">
        <v>146</v>
      </c>
      <c r="B154" s="54" t="s">
        <v>250</v>
      </c>
      <c r="C154" s="53" t="s">
        <v>164</v>
      </c>
      <c r="D154" s="52">
        <v>1</v>
      </c>
      <c r="E154" s="52" t="s">
        <v>215</v>
      </c>
      <c r="F154" s="52" t="s">
        <v>193</v>
      </c>
      <c r="G154" s="55"/>
      <c r="H154" s="49"/>
      <c r="I154" s="49"/>
    </row>
    <row r="155" spans="1:9" x14ac:dyDescent="0.3">
      <c r="A155" s="55">
        <v>147</v>
      </c>
      <c r="B155" s="54" t="s">
        <v>251</v>
      </c>
      <c r="C155" s="53" t="s">
        <v>164</v>
      </c>
      <c r="D155" s="52">
        <v>1</v>
      </c>
      <c r="E155" s="52" t="s">
        <v>215</v>
      </c>
      <c r="F155" s="52" t="s">
        <v>193</v>
      </c>
      <c r="G155" s="55"/>
      <c r="H155" s="49"/>
      <c r="I155" s="49"/>
    </row>
    <row r="156" spans="1:9" x14ac:dyDescent="0.3">
      <c r="A156" s="55">
        <v>148</v>
      </c>
      <c r="B156" s="54" t="s">
        <v>318</v>
      </c>
      <c r="C156" s="53" t="s">
        <v>164</v>
      </c>
      <c r="D156" s="52">
        <v>1</v>
      </c>
      <c r="E156" s="52" t="s">
        <v>215</v>
      </c>
      <c r="F156" s="52" t="s">
        <v>193</v>
      </c>
      <c r="G156" s="55"/>
      <c r="H156" s="49"/>
      <c r="I156" s="49"/>
    </row>
    <row r="157" spans="1:9" x14ac:dyDescent="0.3">
      <c r="A157" s="55">
        <v>149</v>
      </c>
      <c r="B157" s="54" t="s">
        <v>249</v>
      </c>
      <c r="C157" s="53" t="s">
        <v>164</v>
      </c>
      <c r="D157" s="52">
        <v>1</v>
      </c>
      <c r="E157" s="52" t="s">
        <v>215</v>
      </c>
      <c r="F157" s="52" t="s">
        <v>193</v>
      </c>
      <c r="G157" s="55"/>
      <c r="H157" s="49"/>
      <c r="I157" s="49"/>
    </row>
    <row r="158" spans="1:9" x14ac:dyDescent="0.3">
      <c r="A158" s="55">
        <v>150</v>
      </c>
      <c r="B158" s="54" t="s">
        <v>182</v>
      </c>
      <c r="C158" s="53" t="s">
        <v>164</v>
      </c>
      <c r="D158" s="52">
        <v>1</v>
      </c>
      <c r="E158" s="52" t="s">
        <v>215</v>
      </c>
      <c r="F158" s="52" t="s">
        <v>193</v>
      </c>
      <c r="G158" s="55"/>
      <c r="H158" s="49"/>
      <c r="I158" s="49"/>
    </row>
    <row r="159" spans="1:9" x14ac:dyDescent="0.3">
      <c r="A159" s="55">
        <v>151</v>
      </c>
      <c r="B159" s="54" t="s">
        <v>248</v>
      </c>
      <c r="C159" s="53" t="s">
        <v>164</v>
      </c>
      <c r="D159" s="52">
        <v>1</v>
      </c>
      <c r="E159" s="52" t="s">
        <v>215</v>
      </c>
      <c r="F159" s="52" t="s">
        <v>193</v>
      </c>
      <c r="G159" s="55"/>
      <c r="H159" s="49"/>
      <c r="I159" s="49"/>
    </row>
    <row r="160" spans="1:9" x14ac:dyDescent="0.3">
      <c r="A160" s="55">
        <v>152</v>
      </c>
      <c r="B160" s="54" t="s">
        <v>247</v>
      </c>
      <c r="C160" s="53" t="s">
        <v>164</v>
      </c>
      <c r="D160" s="52">
        <v>1</v>
      </c>
      <c r="E160" s="52" t="s">
        <v>215</v>
      </c>
      <c r="F160" s="52" t="s">
        <v>193</v>
      </c>
      <c r="G160" s="55"/>
      <c r="H160" s="49"/>
      <c r="I160" s="49"/>
    </row>
    <row r="161" spans="1:9" x14ac:dyDescent="0.3">
      <c r="A161" s="55">
        <v>153</v>
      </c>
      <c r="B161" s="55" t="s">
        <v>246</v>
      </c>
      <c r="C161" s="52" t="s">
        <v>164</v>
      </c>
      <c r="D161" s="52">
        <v>1</v>
      </c>
      <c r="E161" s="52" t="s">
        <v>215</v>
      </c>
      <c r="F161" s="52" t="s">
        <v>193</v>
      </c>
      <c r="G161" s="55"/>
      <c r="H161" s="49"/>
      <c r="I161" s="49"/>
    </row>
    <row r="162" spans="1:9" x14ac:dyDescent="0.3">
      <c r="A162" s="55">
        <v>154</v>
      </c>
      <c r="B162" s="55" t="s">
        <v>245</v>
      </c>
      <c r="C162" s="52" t="s">
        <v>164</v>
      </c>
      <c r="D162" s="52">
        <v>1</v>
      </c>
      <c r="E162" s="52" t="s">
        <v>215</v>
      </c>
      <c r="F162" s="52" t="s">
        <v>193</v>
      </c>
      <c r="G162" s="55"/>
      <c r="H162" s="49"/>
      <c r="I162" s="49"/>
    </row>
    <row r="163" spans="1:9" x14ac:dyDescent="0.3">
      <c r="A163" s="55">
        <v>155</v>
      </c>
      <c r="B163" s="55" t="s">
        <v>244</v>
      </c>
      <c r="C163" s="52" t="s">
        <v>164</v>
      </c>
      <c r="D163" s="52">
        <v>1</v>
      </c>
      <c r="E163" s="52" t="s">
        <v>215</v>
      </c>
      <c r="F163" s="52" t="s">
        <v>193</v>
      </c>
      <c r="G163" s="55"/>
      <c r="H163" s="49"/>
      <c r="I163" s="49"/>
    </row>
    <row r="164" spans="1:9" x14ac:dyDescent="0.3">
      <c r="A164" s="55">
        <v>156</v>
      </c>
      <c r="B164" s="55" t="s">
        <v>138</v>
      </c>
      <c r="C164" s="52" t="s">
        <v>164</v>
      </c>
      <c r="D164" s="52">
        <v>1</v>
      </c>
      <c r="E164" s="52" t="s">
        <v>215</v>
      </c>
      <c r="F164" s="52" t="s">
        <v>193</v>
      </c>
      <c r="G164" s="55"/>
      <c r="H164" s="49"/>
      <c r="I164" s="49"/>
    </row>
    <row r="165" spans="1:9" x14ac:dyDescent="0.3">
      <c r="A165" s="55">
        <v>157</v>
      </c>
      <c r="B165" s="55" t="s">
        <v>243</v>
      </c>
      <c r="C165" s="52" t="s">
        <v>164</v>
      </c>
      <c r="D165" s="52">
        <v>1</v>
      </c>
      <c r="E165" s="52" t="s">
        <v>215</v>
      </c>
      <c r="F165" s="52" t="s">
        <v>193</v>
      </c>
      <c r="G165" s="55"/>
      <c r="H165" s="49"/>
      <c r="I165" s="49"/>
    </row>
    <row r="166" spans="1:9" x14ac:dyDescent="0.3">
      <c r="A166" s="55">
        <v>158</v>
      </c>
      <c r="B166" s="19" t="s">
        <v>67</v>
      </c>
      <c r="C166" s="14" t="s">
        <v>241</v>
      </c>
      <c r="D166" s="52">
        <v>1</v>
      </c>
      <c r="E166" s="52" t="s">
        <v>229</v>
      </c>
      <c r="F166" s="52" t="s">
        <v>193</v>
      </c>
      <c r="G166" s="55"/>
      <c r="H166" s="49"/>
      <c r="I166" s="49"/>
    </row>
    <row r="167" spans="1:9" x14ac:dyDescent="0.3">
      <c r="A167" s="55">
        <v>159</v>
      </c>
      <c r="B167" s="17" t="s">
        <v>242</v>
      </c>
      <c r="C167" s="14" t="s">
        <v>241</v>
      </c>
      <c r="D167" s="52">
        <v>1</v>
      </c>
      <c r="E167" s="52" t="s">
        <v>229</v>
      </c>
      <c r="F167" s="52" t="s">
        <v>193</v>
      </c>
      <c r="G167" s="55"/>
      <c r="H167" s="49"/>
      <c r="I167" s="49"/>
    </row>
    <row r="168" spans="1:9" x14ac:dyDescent="0.3">
      <c r="A168" s="55">
        <v>160</v>
      </c>
      <c r="B168" s="19" t="s">
        <v>637</v>
      </c>
      <c r="C168" s="14" t="s">
        <v>241</v>
      </c>
      <c r="D168" s="52">
        <v>1</v>
      </c>
      <c r="E168" s="52" t="s">
        <v>229</v>
      </c>
      <c r="F168" s="52" t="s">
        <v>193</v>
      </c>
      <c r="G168" s="55"/>
      <c r="H168" s="49"/>
      <c r="I168" s="49"/>
    </row>
    <row r="169" spans="1:9" x14ac:dyDescent="0.3">
      <c r="A169" s="55">
        <v>161</v>
      </c>
      <c r="B169" s="19" t="s">
        <v>75</v>
      </c>
      <c r="C169" s="14" t="s">
        <v>241</v>
      </c>
      <c r="D169" s="52">
        <v>1</v>
      </c>
      <c r="E169" s="52" t="s">
        <v>229</v>
      </c>
      <c r="F169" s="52" t="s">
        <v>193</v>
      </c>
      <c r="G169" s="55"/>
      <c r="H169" s="49"/>
      <c r="I169" s="49"/>
    </row>
    <row r="170" spans="1:9" x14ac:dyDescent="0.3">
      <c r="A170" s="55">
        <v>162</v>
      </c>
      <c r="B170" s="55" t="s">
        <v>240</v>
      </c>
      <c r="C170" s="52" t="s">
        <v>216</v>
      </c>
      <c r="D170" s="52">
        <v>1</v>
      </c>
      <c r="E170" s="52" t="s">
        <v>215</v>
      </c>
      <c r="F170" s="52" t="s">
        <v>193</v>
      </c>
      <c r="G170" s="55"/>
      <c r="H170" s="49"/>
      <c r="I170" s="49"/>
    </row>
    <row r="171" spans="1:9" x14ac:dyDescent="0.3">
      <c r="A171" s="55">
        <v>163</v>
      </c>
      <c r="B171" s="55" t="s">
        <v>239</v>
      </c>
      <c r="C171" s="52" t="s">
        <v>216</v>
      </c>
      <c r="D171" s="52">
        <v>1</v>
      </c>
      <c r="E171" s="52" t="s">
        <v>215</v>
      </c>
      <c r="F171" s="52" t="s">
        <v>193</v>
      </c>
      <c r="G171" s="55"/>
      <c r="H171" s="49"/>
      <c r="I171" s="49"/>
    </row>
    <row r="172" spans="1:9" x14ac:dyDescent="0.3">
      <c r="A172" s="55">
        <v>164</v>
      </c>
      <c r="B172" s="55" t="s">
        <v>50</v>
      </c>
      <c r="C172" s="52" t="s">
        <v>216</v>
      </c>
      <c r="D172" s="52">
        <v>1</v>
      </c>
      <c r="E172" s="52" t="s">
        <v>215</v>
      </c>
      <c r="F172" s="52" t="s">
        <v>193</v>
      </c>
      <c r="G172" s="55"/>
      <c r="H172" s="49"/>
      <c r="I172" s="49"/>
    </row>
    <row r="173" spans="1:9" x14ac:dyDescent="0.3">
      <c r="A173" s="55">
        <v>165</v>
      </c>
      <c r="B173" s="55" t="s">
        <v>238</v>
      </c>
      <c r="C173" s="52" t="s">
        <v>216</v>
      </c>
      <c r="D173" s="52">
        <v>1</v>
      </c>
      <c r="E173" s="52" t="s">
        <v>215</v>
      </c>
      <c r="F173" s="52" t="s">
        <v>193</v>
      </c>
      <c r="G173" s="55"/>
      <c r="H173" s="49"/>
      <c r="I173" s="49"/>
    </row>
    <row r="174" spans="1:9" x14ac:dyDescent="0.3">
      <c r="A174" s="55">
        <v>166</v>
      </c>
      <c r="B174" s="55" t="s">
        <v>237</v>
      </c>
      <c r="C174" s="52" t="s">
        <v>216</v>
      </c>
      <c r="D174" s="52">
        <v>1</v>
      </c>
      <c r="E174" s="52" t="s">
        <v>215</v>
      </c>
      <c r="F174" s="52" t="s">
        <v>193</v>
      </c>
      <c r="G174" s="55"/>
      <c r="H174" s="49"/>
      <c r="I174" s="49"/>
    </row>
    <row r="175" spans="1:9" x14ac:dyDescent="0.3">
      <c r="A175" s="55">
        <v>167</v>
      </c>
      <c r="B175" s="55" t="s">
        <v>38</v>
      </c>
      <c r="C175" s="52" t="s">
        <v>216</v>
      </c>
      <c r="D175" s="52">
        <v>1</v>
      </c>
      <c r="E175" s="52" t="s">
        <v>215</v>
      </c>
      <c r="F175" s="52" t="s">
        <v>193</v>
      </c>
      <c r="G175" s="55"/>
      <c r="H175" s="49"/>
      <c r="I175" s="49"/>
    </row>
    <row r="176" spans="1:9" x14ac:dyDescent="0.3">
      <c r="A176" s="55">
        <v>168</v>
      </c>
      <c r="B176" s="54" t="s">
        <v>236</v>
      </c>
      <c r="C176" s="53" t="s">
        <v>216</v>
      </c>
      <c r="D176" s="52">
        <v>1</v>
      </c>
      <c r="E176" s="52" t="s">
        <v>215</v>
      </c>
      <c r="F176" s="52" t="s">
        <v>193</v>
      </c>
      <c r="G176" s="55"/>
      <c r="H176" s="49"/>
      <c r="I176" s="49"/>
    </row>
    <row r="177" spans="1:9" x14ac:dyDescent="0.3">
      <c r="A177" s="55">
        <v>169</v>
      </c>
      <c r="B177" s="54" t="s">
        <v>235</v>
      </c>
      <c r="C177" s="53" t="s">
        <v>216</v>
      </c>
      <c r="D177" s="52">
        <v>1</v>
      </c>
      <c r="E177" s="52" t="s">
        <v>215</v>
      </c>
      <c r="F177" s="52" t="s">
        <v>193</v>
      </c>
      <c r="G177" s="55"/>
      <c r="H177" s="49"/>
      <c r="I177" s="49"/>
    </row>
    <row r="178" spans="1:9" x14ac:dyDescent="0.3">
      <c r="A178" s="55">
        <v>170</v>
      </c>
      <c r="B178" s="54" t="s">
        <v>234</v>
      </c>
      <c r="C178" s="53" t="s">
        <v>216</v>
      </c>
      <c r="D178" s="52">
        <v>1</v>
      </c>
      <c r="E178" s="52" t="s">
        <v>215</v>
      </c>
      <c r="F178" s="52" t="s">
        <v>193</v>
      </c>
      <c r="G178" s="55"/>
      <c r="H178" s="49"/>
      <c r="I178" s="49"/>
    </row>
    <row r="179" spans="1:9" x14ac:dyDescent="0.3">
      <c r="A179" s="55">
        <v>171</v>
      </c>
      <c r="B179" s="54" t="s">
        <v>233</v>
      </c>
      <c r="C179" s="53" t="s">
        <v>216</v>
      </c>
      <c r="D179" s="52">
        <v>1</v>
      </c>
      <c r="E179" s="52" t="s">
        <v>215</v>
      </c>
      <c r="F179" s="52" t="s">
        <v>193</v>
      </c>
      <c r="G179" s="55"/>
      <c r="H179" s="49"/>
      <c r="I179" s="49"/>
    </row>
    <row r="180" spans="1:9" x14ac:dyDescent="0.3">
      <c r="A180" s="55">
        <v>172</v>
      </c>
      <c r="B180" s="54" t="s">
        <v>232</v>
      </c>
      <c r="C180" s="53" t="s">
        <v>216</v>
      </c>
      <c r="D180" s="52">
        <v>1</v>
      </c>
      <c r="E180" s="52" t="s">
        <v>215</v>
      </c>
      <c r="F180" s="52" t="s">
        <v>193</v>
      </c>
      <c r="G180" s="55"/>
      <c r="H180" s="49"/>
      <c r="I180" s="49"/>
    </row>
    <row r="181" spans="1:9" x14ac:dyDescent="0.3">
      <c r="A181" s="55">
        <v>173</v>
      </c>
      <c r="B181" s="54" t="s">
        <v>231</v>
      </c>
      <c r="C181" s="53" t="s">
        <v>216</v>
      </c>
      <c r="D181" s="52">
        <v>1</v>
      </c>
      <c r="E181" s="52" t="s">
        <v>215</v>
      </c>
      <c r="F181" s="52" t="s">
        <v>193</v>
      </c>
      <c r="G181" s="55"/>
      <c r="H181" s="49"/>
      <c r="I181" s="49"/>
    </row>
    <row r="182" spans="1:9" x14ac:dyDescent="0.3">
      <c r="A182" s="55">
        <v>174</v>
      </c>
      <c r="B182" s="54" t="s">
        <v>613</v>
      </c>
      <c r="C182" s="53" t="s">
        <v>216</v>
      </c>
      <c r="D182" s="52">
        <v>1</v>
      </c>
      <c r="E182" s="52" t="s">
        <v>215</v>
      </c>
      <c r="F182" s="52" t="s">
        <v>193</v>
      </c>
      <c r="G182" s="55"/>
      <c r="H182" s="49"/>
      <c r="I182" s="49"/>
    </row>
    <row r="183" spans="1:9" x14ac:dyDescent="0.3">
      <c r="A183" s="55">
        <v>175</v>
      </c>
      <c r="B183" s="56" t="s">
        <v>230</v>
      </c>
      <c r="C183" s="52" t="s">
        <v>216</v>
      </c>
      <c r="D183" s="52">
        <v>1</v>
      </c>
      <c r="E183" s="52" t="s">
        <v>229</v>
      </c>
      <c r="F183" s="52" t="s">
        <v>228</v>
      </c>
      <c r="G183" s="55"/>
      <c r="H183" s="49"/>
      <c r="I183" s="49"/>
    </row>
    <row r="184" spans="1:9" x14ac:dyDescent="0.3">
      <c r="A184" s="55">
        <v>176</v>
      </c>
      <c r="B184" s="54" t="s">
        <v>227</v>
      </c>
      <c r="C184" s="53" t="s">
        <v>216</v>
      </c>
      <c r="D184" s="52">
        <v>1</v>
      </c>
      <c r="E184" s="52" t="s">
        <v>215</v>
      </c>
      <c r="F184" s="52" t="s">
        <v>193</v>
      </c>
      <c r="G184" s="55"/>
      <c r="H184" s="49"/>
      <c r="I184" s="49"/>
    </row>
    <row r="185" spans="1:9" x14ac:dyDescent="0.3">
      <c r="A185" s="55">
        <v>177</v>
      </c>
      <c r="B185" s="54" t="s">
        <v>226</v>
      </c>
      <c r="C185" s="53" t="s">
        <v>216</v>
      </c>
      <c r="D185" s="52">
        <v>1</v>
      </c>
      <c r="E185" s="52" t="s">
        <v>215</v>
      </c>
      <c r="F185" s="52" t="s">
        <v>193</v>
      </c>
      <c r="G185" s="55"/>
      <c r="H185" s="49"/>
      <c r="I185" s="49"/>
    </row>
    <row r="186" spans="1:9" x14ac:dyDescent="0.3">
      <c r="A186" s="55">
        <v>178</v>
      </c>
      <c r="B186" s="54" t="s">
        <v>225</v>
      </c>
      <c r="C186" s="53" t="s">
        <v>216</v>
      </c>
      <c r="D186" s="52">
        <v>1</v>
      </c>
      <c r="E186" s="52" t="s">
        <v>215</v>
      </c>
      <c r="F186" s="52" t="s">
        <v>193</v>
      </c>
      <c r="G186" s="55"/>
      <c r="H186" s="49"/>
      <c r="I186" s="49"/>
    </row>
    <row r="187" spans="1:9" x14ac:dyDescent="0.3">
      <c r="A187" s="55">
        <v>179</v>
      </c>
      <c r="B187" s="54" t="s">
        <v>224</v>
      </c>
      <c r="C187" s="53" t="s">
        <v>216</v>
      </c>
      <c r="D187" s="52">
        <v>1</v>
      </c>
      <c r="E187" s="52" t="s">
        <v>215</v>
      </c>
      <c r="F187" s="52" t="s">
        <v>193</v>
      </c>
      <c r="G187" s="55"/>
      <c r="H187" s="49"/>
      <c r="I187" s="49"/>
    </row>
    <row r="188" spans="1:9" x14ac:dyDescent="0.3">
      <c r="A188" s="55">
        <v>180</v>
      </c>
      <c r="B188" s="54" t="s">
        <v>223</v>
      </c>
      <c r="C188" s="53" t="s">
        <v>216</v>
      </c>
      <c r="D188" s="52">
        <v>1</v>
      </c>
      <c r="E188" s="52" t="s">
        <v>215</v>
      </c>
      <c r="F188" s="52" t="s">
        <v>193</v>
      </c>
      <c r="G188" s="55"/>
      <c r="H188" s="49"/>
      <c r="I188" s="49"/>
    </row>
    <row r="189" spans="1:9" x14ac:dyDescent="0.3">
      <c r="A189" s="55">
        <v>181</v>
      </c>
      <c r="B189" s="54" t="s">
        <v>222</v>
      </c>
      <c r="C189" s="53" t="s">
        <v>216</v>
      </c>
      <c r="D189" s="52">
        <v>1</v>
      </c>
      <c r="E189" s="52" t="s">
        <v>215</v>
      </c>
      <c r="F189" s="52" t="s">
        <v>193</v>
      </c>
      <c r="G189" s="55"/>
      <c r="H189" s="49"/>
      <c r="I189" s="49"/>
    </row>
    <row r="190" spans="1:9" x14ac:dyDescent="0.3">
      <c r="A190" s="55">
        <v>182</v>
      </c>
      <c r="B190" s="54" t="s">
        <v>221</v>
      </c>
      <c r="C190" s="53" t="s">
        <v>216</v>
      </c>
      <c r="D190" s="52">
        <v>1</v>
      </c>
      <c r="E190" s="52" t="s">
        <v>215</v>
      </c>
      <c r="F190" s="52" t="s">
        <v>193</v>
      </c>
      <c r="G190" s="55"/>
      <c r="H190" s="49"/>
      <c r="I190" s="49"/>
    </row>
    <row r="191" spans="1:9" x14ac:dyDescent="0.3">
      <c r="A191" s="55">
        <v>183</v>
      </c>
      <c r="B191" s="54" t="s">
        <v>220</v>
      </c>
      <c r="C191" s="53" t="s">
        <v>216</v>
      </c>
      <c r="D191" s="52">
        <v>1</v>
      </c>
      <c r="E191" s="52" t="s">
        <v>215</v>
      </c>
      <c r="F191" s="52" t="s">
        <v>193</v>
      </c>
      <c r="G191" s="55"/>
      <c r="H191" s="49"/>
      <c r="I191" s="49"/>
    </row>
    <row r="192" spans="1:9" x14ac:dyDescent="0.3">
      <c r="A192" s="55">
        <v>184</v>
      </c>
      <c r="B192" s="54" t="s">
        <v>219</v>
      </c>
      <c r="C192" s="53" t="s">
        <v>216</v>
      </c>
      <c r="D192" s="52">
        <v>1</v>
      </c>
      <c r="E192" s="52" t="s">
        <v>215</v>
      </c>
      <c r="F192" s="52" t="s">
        <v>193</v>
      </c>
      <c r="G192" s="55"/>
      <c r="H192" s="49"/>
      <c r="I192" s="49"/>
    </row>
    <row r="193" spans="1:9" x14ac:dyDescent="0.3">
      <c r="A193" s="55">
        <v>185</v>
      </c>
      <c r="B193" s="54" t="s">
        <v>218</v>
      </c>
      <c r="C193" s="53" t="s">
        <v>216</v>
      </c>
      <c r="D193" s="52">
        <v>1</v>
      </c>
      <c r="E193" s="52" t="s">
        <v>215</v>
      </c>
      <c r="F193" s="52" t="s">
        <v>193</v>
      </c>
      <c r="G193" s="55"/>
      <c r="H193" s="49"/>
      <c r="I193" s="49"/>
    </row>
    <row r="194" spans="1:9" x14ac:dyDescent="0.3">
      <c r="A194" s="55">
        <v>186</v>
      </c>
      <c r="B194" s="54" t="s">
        <v>59</v>
      </c>
      <c r="C194" s="53" t="s">
        <v>216</v>
      </c>
      <c r="D194" s="52">
        <v>1</v>
      </c>
      <c r="E194" s="52" t="s">
        <v>215</v>
      </c>
      <c r="F194" s="52" t="s">
        <v>193</v>
      </c>
      <c r="G194" s="55"/>
      <c r="H194" s="49"/>
      <c r="I194" s="49"/>
    </row>
    <row r="195" spans="1:9" x14ac:dyDescent="0.3">
      <c r="A195" s="55">
        <v>187</v>
      </c>
      <c r="B195" s="54" t="s">
        <v>217</v>
      </c>
      <c r="C195" s="53" t="s">
        <v>216</v>
      </c>
      <c r="D195" s="52">
        <v>1</v>
      </c>
      <c r="E195" s="52" t="s">
        <v>215</v>
      </c>
      <c r="F195" s="52" t="s">
        <v>193</v>
      </c>
      <c r="G195" s="55"/>
      <c r="H195" s="49"/>
      <c r="I195" s="49"/>
    </row>
    <row r="196" spans="1:9" x14ac:dyDescent="0.3">
      <c r="A196" s="55">
        <v>188</v>
      </c>
      <c r="B196" s="54" t="s">
        <v>214</v>
      </c>
      <c r="C196" s="53" t="s">
        <v>195</v>
      </c>
      <c r="D196" s="52">
        <v>1</v>
      </c>
      <c r="E196" s="52" t="s">
        <v>194</v>
      </c>
      <c r="F196" s="52" t="s">
        <v>193</v>
      </c>
      <c r="G196" s="52"/>
      <c r="H196" s="49"/>
      <c r="I196" s="49"/>
    </row>
    <row r="197" spans="1:9" x14ac:dyDescent="0.3">
      <c r="A197" s="55">
        <v>189</v>
      </c>
      <c r="B197" s="54" t="s">
        <v>213</v>
      </c>
      <c r="C197" s="53" t="s">
        <v>195</v>
      </c>
      <c r="D197" s="52">
        <v>1</v>
      </c>
      <c r="E197" s="52" t="s">
        <v>194</v>
      </c>
      <c r="F197" s="52" t="s">
        <v>193</v>
      </c>
      <c r="G197" s="52"/>
      <c r="H197" s="49"/>
      <c r="I197" s="49"/>
    </row>
    <row r="198" spans="1:9" x14ac:dyDescent="0.3">
      <c r="A198" s="55">
        <v>190</v>
      </c>
      <c r="B198" s="54" t="s">
        <v>212</v>
      </c>
      <c r="C198" s="53" t="s">
        <v>195</v>
      </c>
      <c r="D198" s="52">
        <v>1</v>
      </c>
      <c r="E198" s="52" t="s">
        <v>194</v>
      </c>
      <c r="F198" s="52" t="s">
        <v>193</v>
      </c>
      <c r="G198" s="52"/>
      <c r="H198" s="49"/>
      <c r="I198" s="49"/>
    </row>
    <row r="199" spans="1:9" x14ac:dyDescent="0.3">
      <c r="A199" s="55">
        <v>191</v>
      </c>
      <c r="B199" s="54" t="s">
        <v>211</v>
      </c>
      <c r="C199" s="53" t="s">
        <v>195</v>
      </c>
      <c r="D199" s="52">
        <v>1</v>
      </c>
      <c r="E199" s="52" t="s">
        <v>194</v>
      </c>
      <c r="F199" s="52" t="s">
        <v>193</v>
      </c>
      <c r="G199" s="52"/>
      <c r="H199" s="49"/>
      <c r="I199" s="49"/>
    </row>
    <row r="200" spans="1:9" x14ac:dyDescent="0.3">
      <c r="A200" s="55">
        <v>192</v>
      </c>
      <c r="B200" s="54" t="s">
        <v>210</v>
      </c>
      <c r="C200" s="53" t="s">
        <v>195</v>
      </c>
      <c r="D200" s="52">
        <v>1</v>
      </c>
      <c r="E200" s="52" t="s">
        <v>194</v>
      </c>
      <c r="F200" s="52" t="s">
        <v>193</v>
      </c>
      <c r="G200" s="52"/>
      <c r="H200" s="49"/>
      <c r="I200" s="49"/>
    </row>
    <row r="201" spans="1:9" x14ac:dyDescent="0.3">
      <c r="A201" s="55">
        <v>193</v>
      </c>
      <c r="B201" s="54" t="s">
        <v>209</v>
      </c>
      <c r="C201" s="53" t="s">
        <v>195</v>
      </c>
      <c r="D201" s="52">
        <v>1</v>
      </c>
      <c r="E201" s="52" t="s">
        <v>194</v>
      </c>
      <c r="F201" s="52" t="s">
        <v>193</v>
      </c>
      <c r="G201" s="52"/>
      <c r="H201" s="49"/>
      <c r="I201" s="49"/>
    </row>
    <row r="202" spans="1:9" x14ac:dyDescent="0.3">
      <c r="A202" s="55">
        <v>194</v>
      </c>
      <c r="B202" s="54" t="s">
        <v>208</v>
      </c>
      <c r="C202" s="53" t="s">
        <v>195</v>
      </c>
      <c r="D202" s="52">
        <v>1</v>
      </c>
      <c r="E202" s="52" t="s">
        <v>194</v>
      </c>
      <c r="F202" s="52" t="s">
        <v>193</v>
      </c>
      <c r="G202" s="52"/>
      <c r="H202" s="49"/>
      <c r="I202" s="49"/>
    </row>
    <row r="203" spans="1:9" x14ac:dyDescent="0.3">
      <c r="A203" s="55">
        <v>195</v>
      </c>
      <c r="B203" s="54" t="s">
        <v>207</v>
      </c>
      <c r="C203" s="53" t="s">
        <v>195</v>
      </c>
      <c r="D203" s="52">
        <v>1</v>
      </c>
      <c r="E203" s="52" t="s">
        <v>194</v>
      </c>
      <c r="F203" s="52" t="s">
        <v>193</v>
      </c>
      <c r="G203" s="52"/>
      <c r="H203" s="49"/>
      <c r="I203" s="49"/>
    </row>
    <row r="204" spans="1:9" x14ac:dyDescent="0.3">
      <c r="A204" s="55">
        <v>196</v>
      </c>
      <c r="B204" s="54" t="s">
        <v>206</v>
      </c>
      <c r="C204" s="53" t="s">
        <v>195</v>
      </c>
      <c r="D204" s="52">
        <v>1</v>
      </c>
      <c r="E204" s="52" t="s">
        <v>194</v>
      </c>
      <c r="F204" s="52" t="s">
        <v>193</v>
      </c>
      <c r="G204" s="52"/>
      <c r="H204" s="49"/>
      <c r="I204" s="49"/>
    </row>
    <row r="205" spans="1:9" x14ac:dyDescent="0.3">
      <c r="A205" s="55">
        <v>197</v>
      </c>
      <c r="B205" s="54" t="s">
        <v>205</v>
      </c>
      <c r="C205" s="53" t="s">
        <v>195</v>
      </c>
      <c r="D205" s="52">
        <v>1</v>
      </c>
      <c r="E205" s="52" t="s">
        <v>194</v>
      </c>
      <c r="F205" s="52" t="s">
        <v>193</v>
      </c>
      <c r="G205" s="52"/>
      <c r="H205" s="49"/>
      <c r="I205" s="49"/>
    </row>
    <row r="206" spans="1:9" x14ac:dyDescent="0.3">
      <c r="A206" s="55">
        <v>198</v>
      </c>
      <c r="B206" s="54" t="s">
        <v>67</v>
      </c>
      <c r="C206" s="53" t="s">
        <v>195</v>
      </c>
      <c r="D206" s="52">
        <v>1</v>
      </c>
      <c r="E206" s="52" t="s">
        <v>194</v>
      </c>
      <c r="F206" s="52" t="s">
        <v>193</v>
      </c>
      <c r="G206" s="52"/>
      <c r="H206" s="49"/>
      <c r="I206" s="49"/>
    </row>
    <row r="207" spans="1:9" x14ac:dyDescent="0.3">
      <c r="A207" s="55">
        <v>199</v>
      </c>
      <c r="B207" s="54" t="s">
        <v>101</v>
      </c>
      <c r="C207" s="53" t="s">
        <v>195</v>
      </c>
      <c r="D207" s="52">
        <v>1</v>
      </c>
      <c r="E207" s="52" t="s">
        <v>194</v>
      </c>
      <c r="F207" s="52" t="s">
        <v>193</v>
      </c>
      <c r="G207" s="52"/>
      <c r="H207" s="49"/>
      <c r="I207" s="49"/>
    </row>
    <row r="208" spans="1:9" x14ac:dyDescent="0.3">
      <c r="A208" s="55">
        <v>200</v>
      </c>
      <c r="B208" s="54" t="s">
        <v>204</v>
      </c>
      <c r="C208" s="53" t="s">
        <v>195</v>
      </c>
      <c r="D208" s="52">
        <v>1</v>
      </c>
      <c r="E208" s="52" t="s">
        <v>194</v>
      </c>
      <c r="F208" s="52" t="s">
        <v>193</v>
      </c>
      <c r="G208" s="52"/>
      <c r="H208" s="49"/>
      <c r="I208" s="49"/>
    </row>
    <row r="209" spans="1:9" x14ac:dyDescent="0.3">
      <c r="A209" s="55">
        <v>201</v>
      </c>
      <c r="B209" s="54" t="s">
        <v>203</v>
      </c>
      <c r="C209" s="53" t="s">
        <v>195</v>
      </c>
      <c r="D209" s="52">
        <v>1</v>
      </c>
      <c r="E209" s="52" t="s">
        <v>194</v>
      </c>
      <c r="F209" s="52" t="s">
        <v>193</v>
      </c>
      <c r="G209" s="52"/>
      <c r="H209" s="49"/>
      <c r="I209" s="49"/>
    </row>
    <row r="210" spans="1:9" x14ac:dyDescent="0.3">
      <c r="A210" s="55">
        <v>202</v>
      </c>
      <c r="B210" s="54" t="s">
        <v>202</v>
      </c>
      <c r="C210" s="53" t="s">
        <v>195</v>
      </c>
      <c r="D210" s="52">
        <v>1</v>
      </c>
      <c r="E210" s="52" t="s">
        <v>194</v>
      </c>
      <c r="F210" s="52" t="s">
        <v>193</v>
      </c>
      <c r="G210" s="52"/>
      <c r="H210" s="49"/>
      <c r="I210" s="49"/>
    </row>
    <row r="211" spans="1:9" x14ac:dyDescent="0.3">
      <c r="A211" s="55">
        <v>203</v>
      </c>
      <c r="B211" s="54" t="s">
        <v>201</v>
      </c>
      <c r="C211" s="53" t="s">
        <v>195</v>
      </c>
      <c r="D211" s="52">
        <v>1</v>
      </c>
      <c r="E211" s="52" t="s">
        <v>194</v>
      </c>
      <c r="F211" s="52" t="s">
        <v>193</v>
      </c>
      <c r="G211" s="52"/>
      <c r="H211" s="49"/>
      <c r="I211" s="49"/>
    </row>
    <row r="212" spans="1:9" x14ac:dyDescent="0.3">
      <c r="A212" s="55">
        <v>204</v>
      </c>
      <c r="B212" s="54" t="s">
        <v>200</v>
      </c>
      <c r="C212" s="53" t="s">
        <v>195</v>
      </c>
      <c r="D212" s="52">
        <v>1</v>
      </c>
      <c r="E212" s="52" t="s">
        <v>194</v>
      </c>
      <c r="F212" s="52" t="s">
        <v>193</v>
      </c>
      <c r="G212" s="52"/>
      <c r="H212" s="49"/>
      <c r="I212" s="49"/>
    </row>
    <row r="213" spans="1:9" x14ac:dyDescent="0.3">
      <c r="A213" s="55">
        <v>205</v>
      </c>
      <c r="B213" s="54" t="s">
        <v>199</v>
      </c>
      <c r="C213" s="53" t="s">
        <v>195</v>
      </c>
      <c r="D213" s="52">
        <v>1</v>
      </c>
      <c r="E213" s="52" t="s">
        <v>194</v>
      </c>
      <c r="F213" s="52" t="s">
        <v>193</v>
      </c>
      <c r="G213" s="52"/>
      <c r="H213" s="49"/>
      <c r="I213" s="49"/>
    </row>
    <row r="214" spans="1:9" x14ac:dyDescent="0.3">
      <c r="A214" s="55">
        <v>206</v>
      </c>
      <c r="B214" s="54" t="s">
        <v>198</v>
      </c>
      <c r="C214" s="53" t="s">
        <v>195</v>
      </c>
      <c r="D214" s="52">
        <v>1</v>
      </c>
      <c r="E214" s="52" t="s">
        <v>194</v>
      </c>
      <c r="F214" s="52" t="s">
        <v>193</v>
      </c>
      <c r="G214" s="52"/>
      <c r="H214" s="49"/>
      <c r="I214" s="49"/>
    </row>
    <row r="215" spans="1:9" x14ac:dyDescent="0.3">
      <c r="A215" s="55">
        <v>207</v>
      </c>
      <c r="B215" s="54" t="s">
        <v>197</v>
      </c>
      <c r="C215" s="53" t="s">
        <v>195</v>
      </c>
      <c r="D215" s="52">
        <v>1</v>
      </c>
      <c r="E215" s="52" t="s">
        <v>194</v>
      </c>
      <c r="F215" s="52" t="s">
        <v>193</v>
      </c>
      <c r="G215" s="52"/>
      <c r="H215" s="49"/>
      <c r="I215" s="49"/>
    </row>
    <row r="216" spans="1:9" x14ac:dyDescent="0.3">
      <c r="A216" s="55">
        <v>208</v>
      </c>
      <c r="B216" s="54" t="s">
        <v>196</v>
      </c>
      <c r="C216" s="53" t="s">
        <v>195</v>
      </c>
      <c r="D216" s="52">
        <v>1</v>
      </c>
      <c r="E216" s="52" t="s">
        <v>194</v>
      </c>
      <c r="F216" s="52" t="s">
        <v>193</v>
      </c>
      <c r="G216" s="52"/>
      <c r="H216" s="49"/>
      <c r="I216" s="49"/>
    </row>
    <row r="217" spans="1:9" x14ac:dyDescent="0.3">
      <c r="A217" s="118" t="s">
        <v>192</v>
      </c>
      <c r="B217" s="119"/>
      <c r="C217" s="50"/>
      <c r="D217" s="51">
        <f>SUM(D9:D216)</f>
        <v>215</v>
      </c>
      <c r="E217" s="50"/>
      <c r="F217" s="50"/>
      <c r="G217" s="50"/>
      <c r="H217" s="49"/>
      <c r="I217" s="49"/>
    </row>
    <row r="218" spans="1:9" x14ac:dyDescent="0.3">
      <c r="A218" s="47"/>
      <c r="B218" s="47"/>
      <c r="C218" s="47"/>
      <c r="D218" s="47"/>
      <c r="H218" s="49"/>
      <c r="I218" s="49"/>
    </row>
    <row r="219" spans="1:9" x14ac:dyDescent="0.3">
      <c r="A219" s="47"/>
      <c r="B219" s="47"/>
      <c r="C219" s="47"/>
      <c r="D219" s="47"/>
      <c r="E219" s="112" t="s">
        <v>191</v>
      </c>
      <c r="F219" s="112"/>
      <c r="G219" s="112"/>
    </row>
    <row r="220" spans="1:9" x14ac:dyDescent="0.3">
      <c r="A220" s="47"/>
      <c r="B220" s="47"/>
      <c r="C220" s="47"/>
      <c r="D220" s="47"/>
      <c r="E220" s="112" t="s">
        <v>190</v>
      </c>
      <c r="F220" s="112"/>
      <c r="G220" s="112"/>
      <c r="H220" s="48"/>
    </row>
    <row r="221" spans="1:9" x14ac:dyDescent="0.3">
      <c r="A221" s="47"/>
      <c r="B221" s="47"/>
      <c r="C221" s="47"/>
      <c r="D221" s="47"/>
      <c r="E221" s="47"/>
      <c r="F221" s="49"/>
      <c r="G221" s="49"/>
      <c r="H221" s="48"/>
    </row>
    <row r="222" spans="1:9" x14ac:dyDescent="0.3">
      <c r="A222" s="47"/>
      <c r="B222" s="47"/>
      <c r="C222" s="47"/>
      <c r="D222" s="47"/>
      <c r="E222" s="47"/>
      <c r="F222" s="49"/>
      <c r="G222" s="49"/>
      <c r="H222" s="48"/>
    </row>
    <row r="223" spans="1:9" x14ac:dyDescent="0.3">
      <c r="A223" s="47"/>
      <c r="B223" s="47"/>
      <c r="C223" s="47"/>
      <c r="D223" s="47"/>
      <c r="E223" s="47"/>
      <c r="F223" s="49"/>
      <c r="G223" s="49"/>
      <c r="H223" s="49"/>
    </row>
    <row r="224" spans="1:9" x14ac:dyDescent="0.3">
      <c r="A224" s="47"/>
      <c r="B224" s="47"/>
      <c r="C224" s="47"/>
      <c r="D224" s="47"/>
      <c r="E224" s="47"/>
      <c r="F224" s="49"/>
      <c r="G224" s="49"/>
      <c r="H224" s="49"/>
    </row>
    <row r="225" spans="1:8" x14ac:dyDescent="0.3">
      <c r="A225" s="47"/>
      <c r="B225" s="47"/>
      <c r="C225" s="47"/>
      <c r="D225" s="47"/>
      <c r="E225" s="112"/>
      <c r="F225" s="112"/>
      <c r="G225" s="112"/>
      <c r="H225" s="49"/>
    </row>
    <row r="226" spans="1:8" x14ac:dyDescent="0.3">
      <c r="A226" s="47"/>
      <c r="B226" s="47"/>
      <c r="C226" s="47"/>
      <c r="D226" s="47"/>
      <c r="E226" s="47"/>
      <c r="F226" s="47"/>
      <c r="G226" s="47"/>
      <c r="H226" s="49"/>
    </row>
    <row r="227" spans="1:8" x14ac:dyDescent="0.3">
      <c r="A227" s="47"/>
      <c r="B227" s="47"/>
      <c r="C227" s="47"/>
      <c r="D227" s="47"/>
      <c r="E227" s="47"/>
      <c r="F227" s="47"/>
      <c r="G227" s="47"/>
      <c r="H227" s="48"/>
    </row>
    <row r="228" spans="1:8" x14ac:dyDescent="0.3">
      <c r="A228" s="47"/>
      <c r="B228" s="47"/>
      <c r="C228" s="47"/>
      <c r="D228" s="47"/>
      <c r="E228" s="47"/>
      <c r="F228" s="47"/>
      <c r="G228" s="47"/>
    </row>
    <row r="229" spans="1:8" x14ac:dyDescent="0.3">
      <c r="A229" s="47"/>
      <c r="B229" s="47"/>
      <c r="C229" s="47"/>
      <c r="D229" s="47"/>
      <c r="E229" s="47"/>
      <c r="F229" s="47"/>
      <c r="G229" s="47"/>
    </row>
    <row r="230" spans="1:8" x14ac:dyDescent="0.3">
      <c r="A230" s="47"/>
      <c r="B230" s="47"/>
      <c r="C230" s="47"/>
      <c r="D230" s="47"/>
      <c r="E230" s="47"/>
      <c r="F230" s="47"/>
      <c r="G230" s="47"/>
    </row>
    <row r="231" spans="1:8" x14ac:dyDescent="0.3">
      <c r="A231" s="47"/>
      <c r="B231" s="47"/>
      <c r="C231" s="47"/>
      <c r="D231" s="47"/>
      <c r="E231" s="47"/>
      <c r="F231" s="47"/>
      <c r="G231" s="47"/>
    </row>
    <row r="232" spans="1:8" x14ac:dyDescent="0.3">
      <c r="A232" s="47"/>
      <c r="B232" s="47"/>
      <c r="C232" s="47"/>
      <c r="D232" s="47"/>
      <c r="E232" s="47"/>
      <c r="F232" s="47"/>
      <c r="G232" s="47"/>
    </row>
    <row r="233" spans="1:8" x14ac:dyDescent="0.3">
      <c r="A233" s="47"/>
      <c r="B233" s="47"/>
      <c r="C233" s="47"/>
      <c r="D233" s="47"/>
      <c r="E233" s="47"/>
      <c r="F233" s="47"/>
      <c r="G233" s="47"/>
    </row>
    <row r="234" spans="1:8" x14ac:dyDescent="0.3">
      <c r="A234" s="47"/>
      <c r="B234" s="47"/>
      <c r="C234" s="47"/>
      <c r="D234" s="47"/>
      <c r="E234" s="47"/>
      <c r="F234" s="47"/>
      <c r="G234" s="47"/>
    </row>
    <row r="235" spans="1:8" x14ac:dyDescent="0.3">
      <c r="A235" s="47"/>
      <c r="B235" s="47"/>
      <c r="C235" s="47"/>
      <c r="D235" s="47"/>
      <c r="E235" s="47"/>
      <c r="F235" s="47"/>
      <c r="G235" s="47"/>
    </row>
    <row r="236" spans="1:8" x14ac:dyDescent="0.3">
      <c r="A236" s="47"/>
      <c r="B236" s="47"/>
      <c r="C236" s="47"/>
      <c r="D236" s="47"/>
      <c r="E236" s="47"/>
      <c r="F236" s="47"/>
      <c r="G236" s="47"/>
    </row>
    <row r="237" spans="1:8" x14ac:dyDescent="0.3">
      <c r="A237" s="47"/>
      <c r="B237" s="47"/>
      <c r="C237" s="47"/>
      <c r="D237" s="47"/>
      <c r="E237" s="47"/>
      <c r="F237" s="47"/>
      <c r="G237" s="47"/>
    </row>
    <row r="238" spans="1:8" x14ac:dyDescent="0.3">
      <c r="A238" s="47"/>
      <c r="B238" s="47"/>
      <c r="C238" s="47"/>
      <c r="D238" s="47"/>
      <c r="E238" s="47"/>
      <c r="F238" s="47"/>
      <c r="G238" s="47"/>
    </row>
    <row r="239" spans="1:8" x14ac:dyDescent="0.3">
      <c r="A239" s="47"/>
      <c r="B239" s="47"/>
      <c r="C239" s="47"/>
      <c r="D239" s="47"/>
      <c r="E239" s="47"/>
      <c r="F239" s="47"/>
      <c r="G239" s="47"/>
    </row>
    <row r="240" spans="1:8" x14ac:dyDescent="0.3">
      <c r="A240" s="47"/>
      <c r="B240" s="47"/>
      <c r="C240" s="47"/>
      <c r="D240" s="47"/>
      <c r="E240" s="47"/>
      <c r="F240" s="47"/>
      <c r="G240" s="47"/>
    </row>
    <row r="241" spans="1:7" x14ac:dyDescent="0.3">
      <c r="A241" s="47"/>
      <c r="B241" s="47"/>
      <c r="C241" s="47"/>
      <c r="D241" s="47"/>
      <c r="E241" s="47"/>
      <c r="F241" s="47"/>
      <c r="G241" s="47"/>
    </row>
    <row r="242" spans="1:7" x14ac:dyDescent="0.3">
      <c r="A242" s="47"/>
      <c r="B242" s="47"/>
      <c r="C242" s="47"/>
      <c r="D242" s="47"/>
      <c r="E242" s="47"/>
      <c r="F242" s="47"/>
      <c r="G242" s="47"/>
    </row>
    <row r="243" spans="1:7" x14ac:dyDescent="0.3">
      <c r="A243" s="47"/>
      <c r="B243" s="47"/>
      <c r="C243" s="47"/>
      <c r="D243" s="47"/>
      <c r="E243" s="47"/>
      <c r="F243" s="47"/>
      <c r="G243" s="47"/>
    </row>
    <row r="244" spans="1:7" x14ac:dyDescent="0.3">
      <c r="A244" s="47"/>
      <c r="B244" s="47"/>
      <c r="C244" s="47"/>
      <c r="D244" s="47"/>
      <c r="E244" s="47"/>
      <c r="F244" s="47"/>
      <c r="G244" s="47"/>
    </row>
    <row r="245" spans="1:7" x14ac:dyDescent="0.3">
      <c r="A245" s="47"/>
      <c r="B245" s="47"/>
      <c r="C245" s="47"/>
      <c r="D245" s="47"/>
      <c r="E245" s="47"/>
      <c r="F245" s="47"/>
      <c r="G245" s="47"/>
    </row>
    <row r="246" spans="1:7" x14ac:dyDescent="0.3">
      <c r="A246" s="47"/>
      <c r="B246" s="47"/>
      <c r="C246" s="47"/>
      <c r="D246" s="47"/>
      <c r="E246" s="47"/>
      <c r="F246" s="47"/>
      <c r="G246" s="47"/>
    </row>
    <row r="247" spans="1:7" x14ac:dyDescent="0.3">
      <c r="A247" s="47"/>
      <c r="B247" s="47"/>
      <c r="C247" s="47"/>
      <c r="D247" s="47"/>
      <c r="E247" s="47"/>
      <c r="F247" s="47"/>
      <c r="G247" s="47"/>
    </row>
    <row r="248" spans="1:7" x14ac:dyDescent="0.3">
      <c r="A248" s="47"/>
      <c r="B248" s="47"/>
      <c r="C248" s="47"/>
      <c r="D248" s="47"/>
      <c r="E248" s="47"/>
      <c r="F248" s="47"/>
      <c r="G248" s="47"/>
    </row>
    <row r="249" spans="1:7" x14ac:dyDescent="0.3">
      <c r="A249" s="47"/>
      <c r="B249" s="47"/>
      <c r="C249" s="47"/>
      <c r="D249" s="47"/>
      <c r="E249" s="47"/>
      <c r="F249" s="47"/>
      <c r="G249" s="47"/>
    </row>
    <row r="250" spans="1:7" x14ac:dyDescent="0.3">
      <c r="A250" s="47"/>
      <c r="B250" s="47"/>
      <c r="C250" s="47"/>
      <c r="D250" s="47"/>
      <c r="E250" s="47"/>
      <c r="F250" s="47"/>
      <c r="G250" s="47"/>
    </row>
    <row r="251" spans="1:7" x14ac:dyDescent="0.3">
      <c r="A251" s="47"/>
      <c r="B251" s="47"/>
      <c r="C251" s="47"/>
      <c r="D251" s="47"/>
      <c r="E251" s="47"/>
      <c r="F251" s="47"/>
      <c r="G251" s="47"/>
    </row>
    <row r="252" spans="1:7" x14ac:dyDescent="0.3">
      <c r="A252" s="47"/>
      <c r="B252" s="47"/>
      <c r="C252" s="47"/>
      <c r="D252" s="47"/>
      <c r="E252" s="47"/>
      <c r="F252" s="47"/>
      <c r="G252" s="47"/>
    </row>
    <row r="253" spans="1:7" x14ac:dyDescent="0.3">
      <c r="A253" s="47"/>
      <c r="B253" s="47"/>
      <c r="C253" s="47"/>
      <c r="D253" s="47"/>
      <c r="E253" s="47"/>
      <c r="F253" s="47"/>
      <c r="G253" s="47"/>
    </row>
    <row r="254" spans="1:7" x14ac:dyDescent="0.3">
      <c r="A254" s="47"/>
      <c r="B254" s="47"/>
      <c r="C254" s="47"/>
      <c r="D254" s="47"/>
      <c r="E254" s="47"/>
      <c r="F254" s="47"/>
      <c r="G254" s="47"/>
    </row>
    <row r="255" spans="1:7" x14ac:dyDescent="0.3">
      <c r="A255" s="47"/>
      <c r="B255" s="47"/>
      <c r="C255" s="47"/>
      <c r="D255" s="47"/>
      <c r="E255" s="47"/>
      <c r="F255" s="47"/>
      <c r="G255" s="47"/>
    </row>
    <row r="256" spans="1:7" x14ac:dyDescent="0.3">
      <c r="A256" s="47"/>
      <c r="B256" s="47"/>
      <c r="C256" s="47"/>
      <c r="D256" s="47"/>
      <c r="E256" s="47"/>
      <c r="F256" s="47"/>
      <c r="G256" s="47"/>
    </row>
    <row r="257" spans="1:7" x14ac:dyDescent="0.3">
      <c r="A257" s="47"/>
      <c r="B257" s="47"/>
      <c r="C257" s="47"/>
      <c r="D257" s="47"/>
      <c r="E257" s="47"/>
      <c r="F257" s="47"/>
      <c r="G257" s="47"/>
    </row>
    <row r="258" spans="1:7" x14ac:dyDescent="0.3">
      <c r="A258" s="47"/>
      <c r="B258" s="47"/>
      <c r="C258" s="47"/>
      <c r="D258" s="47"/>
      <c r="E258" s="47"/>
      <c r="F258" s="47"/>
      <c r="G258" s="47"/>
    </row>
    <row r="259" spans="1:7" x14ac:dyDescent="0.3">
      <c r="A259" s="47"/>
      <c r="B259" s="47"/>
      <c r="C259" s="47"/>
      <c r="D259" s="47"/>
      <c r="E259" s="47"/>
      <c r="F259" s="47"/>
      <c r="G259" s="47"/>
    </row>
    <row r="260" spans="1:7" x14ac:dyDescent="0.3">
      <c r="A260" s="47"/>
      <c r="B260" s="47"/>
      <c r="C260" s="47"/>
      <c r="D260" s="47"/>
      <c r="E260" s="47"/>
      <c r="F260" s="47"/>
      <c r="G260" s="47"/>
    </row>
    <row r="261" spans="1:7" x14ac:dyDescent="0.3">
      <c r="A261" s="47"/>
      <c r="B261" s="47"/>
      <c r="C261" s="47"/>
      <c r="D261" s="47"/>
      <c r="E261" s="47"/>
      <c r="F261" s="47"/>
      <c r="G261" s="47"/>
    </row>
    <row r="262" spans="1:7" x14ac:dyDescent="0.3">
      <c r="A262" s="47"/>
      <c r="B262" s="47"/>
      <c r="C262" s="47"/>
      <c r="D262" s="47"/>
      <c r="E262" s="47"/>
      <c r="F262" s="47"/>
      <c r="G262" s="47"/>
    </row>
    <row r="263" spans="1:7" x14ac:dyDescent="0.3">
      <c r="A263" s="47"/>
      <c r="B263" s="47"/>
      <c r="C263" s="47"/>
      <c r="D263" s="47"/>
      <c r="E263" s="47"/>
      <c r="F263" s="47"/>
      <c r="G263" s="47"/>
    </row>
    <row r="264" spans="1:7" x14ac:dyDescent="0.3">
      <c r="A264" s="47"/>
      <c r="B264" s="47"/>
      <c r="C264" s="47"/>
      <c r="D264" s="47"/>
      <c r="E264" s="47"/>
      <c r="F264" s="47"/>
      <c r="G264" s="47"/>
    </row>
    <row r="265" spans="1:7" x14ac:dyDescent="0.3">
      <c r="A265" s="47"/>
      <c r="B265" s="47"/>
      <c r="C265" s="47"/>
      <c r="D265" s="47"/>
      <c r="E265" s="47"/>
      <c r="F265" s="47"/>
      <c r="G265" s="47"/>
    </row>
    <row r="266" spans="1:7" x14ac:dyDescent="0.3">
      <c r="A266" s="47"/>
      <c r="B266" s="47"/>
      <c r="C266" s="47"/>
      <c r="D266" s="47"/>
      <c r="E266" s="47"/>
      <c r="F266" s="47"/>
      <c r="G266" s="47"/>
    </row>
    <row r="267" spans="1:7" x14ac:dyDescent="0.3">
      <c r="A267" s="47"/>
      <c r="B267" s="47"/>
      <c r="C267" s="47"/>
      <c r="D267" s="47"/>
      <c r="E267" s="47"/>
      <c r="F267" s="47"/>
      <c r="G267" s="47"/>
    </row>
    <row r="268" spans="1:7" x14ac:dyDescent="0.3">
      <c r="A268" s="47"/>
      <c r="B268" s="47"/>
      <c r="C268" s="47"/>
      <c r="D268" s="47"/>
      <c r="E268" s="47"/>
      <c r="F268" s="47"/>
      <c r="G268" s="47"/>
    </row>
    <row r="269" spans="1:7" x14ac:dyDescent="0.3">
      <c r="A269" s="47"/>
      <c r="B269" s="47"/>
      <c r="C269" s="47"/>
      <c r="D269" s="47"/>
      <c r="E269" s="47"/>
      <c r="F269" s="47"/>
      <c r="G269" s="47"/>
    </row>
    <row r="270" spans="1:7" x14ac:dyDescent="0.3">
      <c r="A270" s="47"/>
      <c r="B270" s="47"/>
      <c r="C270" s="47"/>
      <c r="D270" s="47"/>
      <c r="E270" s="47"/>
      <c r="F270" s="47"/>
      <c r="G270" s="47"/>
    </row>
    <row r="271" spans="1:7" x14ac:dyDescent="0.3">
      <c r="A271" s="47"/>
      <c r="B271" s="47"/>
      <c r="C271" s="47"/>
      <c r="D271" s="47"/>
      <c r="E271" s="47"/>
      <c r="F271" s="47"/>
      <c r="G271" s="47"/>
    </row>
    <row r="272" spans="1:7" x14ac:dyDescent="0.3">
      <c r="A272" s="47"/>
      <c r="B272" s="47"/>
      <c r="C272" s="47"/>
      <c r="D272" s="47"/>
      <c r="E272" s="47"/>
      <c r="F272" s="47"/>
      <c r="G272" s="47"/>
    </row>
    <row r="273" spans="1:7" x14ac:dyDescent="0.3">
      <c r="A273" s="47"/>
      <c r="B273" s="47"/>
      <c r="C273" s="47"/>
      <c r="D273" s="47"/>
      <c r="E273" s="47"/>
      <c r="F273" s="47"/>
      <c r="G273" s="47"/>
    </row>
    <row r="274" spans="1:7" x14ac:dyDescent="0.3">
      <c r="A274" s="47"/>
      <c r="B274" s="47"/>
      <c r="C274" s="47"/>
      <c r="D274" s="47"/>
      <c r="E274" s="47"/>
      <c r="F274" s="47"/>
      <c r="G274" s="47"/>
    </row>
    <row r="275" spans="1:7" x14ac:dyDescent="0.3">
      <c r="A275" s="47"/>
      <c r="B275" s="47"/>
      <c r="C275" s="47"/>
      <c r="D275" s="47"/>
      <c r="E275" s="47"/>
      <c r="F275" s="47"/>
      <c r="G275" s="47"/>
    </row>
    <row r="276" spans="1:7" x14ac:dyDescent="0.3">
      <c r="A276" s="47"/>
      <c r="B276" s="47"/>
      <c r="C276" s="47"/>
      <c r="D276" s="47"/>
      <c r="E276" s="47"/>
      <c r="F276" s="47"/>
      <c r="G276" s="47"/>
    </row>
    <row r="277" spans="1:7" x14ac:dyDescent="0.3">
      <c r="A277" s="47"/>
      <c r="B277" s="47"/>
      <c r="C277" s="47"/>
      <c r="D277" s="47"/>
      <c r="E277" s="47"/>
      <c r="F277" s="47"/>
      <c r="G277" s="47"/>
    </row>
    <row r="278" spans="1:7" x14ac:dyDescent="0.3">
      <c r="A278" s="47"/>
      <c r="B278" s="47"/>
      <c r="C278" s="47"/>
      <c r="D278" s="47"/>
      <c r="E278" s="47"/>
      <c r="F278" s="47"/>
      <c r="G278" s="47"/>
    </row>
    <row r="279" spans="1:7" x14ac:dyDescent="0.3">
      <c r="A279" s="47"/>
      <c r="B279" s="47"/>
      <c r="C279" s="47"/>
      <c r="D279" s="47"/>
      <c r="E279" s="47"/>
      <c r="F279" s="47"/>
      <c r="G279" s="47"/>
    </row>
    <row r="280" spans="1:7" x14ac:dyDescent="0.3">
      <c r="A280" s="47"/>
      <c r="B280" s="47"/>
      <c r="C280" s="47"/>
      <c r="D280" s="47"/>
      <c r="E280" s="47"/>
      <c r="F280" s="47"/>
      <c r="G280" s="47"/>
    </row>
    <row r="281" spans="1:7" x14ac:dyDescent="0.3">
      <c r="A281" s="47"/>
      <c r="B281" s="47"/>
      <c r="C281" s="47"/>
      <c r="D281" s="47"/>
      <c r="E281" s="47"/>
      <c r="F281" s="47"/>
      <c r="G281" s="47"/>
    </row>
    <row r="282" spans="1:7" x14ac:dyDescent="0.3">
      <c r="A282" s="47"/>
      <c r="B282" s="47"/>
      <c r="C282" s="47"/>
      <c r="D282" s="47"/>
      <c r="E282" s="47"/>
      <c r="F282" s="47"/>
      <c r="G282" s="47"/>
    </row>
    <row r="283" spans="1:7" x14ac:dyDescent="0.3">
      <c r="A283" s="47"/>
      <c r="B283" s="47"/>
      <c r="C283" s="47"/>
      <c r="D283" s="47"/>
      <c r="E283" s="47"/>
      <c r="F283" s="47"/>
      <c r="G283" s="47"/>
    </row>
    <row r="284" spans="1:7" x14ac:dyDescent="0.3">
      <c r="A284" s="47"/>
      <c r="B284" s="47"/>
      <c r="C284" s="47"/>
      <c r="D284" s="47"/>
      <c r="E284" s="47"/>
      <c r="F284" s="47"/>
      <c r="G284" s="47"/>
    </row>
    <row r="285" spans="1:7" x14ac:dyDescent="0.3">
      <c r="A285" s="47"/>
      <c r="B285" s="47"/>
      <c r="C285" s="47"/>
      <c r="D285" s="47"/>
      <c r="E285" s="47"/>
      <c r="F285" s="47"/>
      <c r="G285" s="47"/>
    </row>
    <row r="286" spans="1:7" x14ac:dyDescent="0.3">
      <c r="A286" s="47"/>
      <c r="B286" s="47"/>
      <c r="C286" s="47"/>
      <c r="D286" s="47"/>
      <c r="E286" s="47"/>
      <c r="F286" s="47"/>
      <c r="G286" s="47"/>
    </row>
    <row r="287" spans="1:7" x14ac:dyDescent="0.3">
      <c r="A287" s="47"/>
      <c r="B287" s="47"/>
      <c r="C287" s="47"/>
      <c r="D287" s="47"/>
      <c r="E287" s="47"/>
      <c r="F287" s="47"/>
      <c r="G287" s="47"/>
    </row>
    <row r="288" spans="1:7" x14ac:dyDescent="0.3">
      <c r="A288" s="47"/>
      <c r="B288" s="47"/>
      <c r="C288" s="47"/>
      <c r="D288" s="47"/>
      <c r="E288" s="47"/>
      <c r="F288" s="47"/>
      <c r="G288" s="47"/>
    </row>
    <row r="289" spans="1:7" x14ac:dyDescent="0.3">
      <c r="A289" s="47"/>
      <c r="B289" s="47"/>
      <c r="C289" s="47"/>
      <c r="D289" s="47"/>
      <c r="E289" s="47"/>
      <c r="F289" s="47"/>
      <c r="G289" s="47"/>
    </row>
    <row r="290" spans="1:7" x14ac:dyDescent="0.3">
      <c r="A290" s="47"/>
      <c r="B290" s="47"/>
      <c r="C290" s="47"/>
      <c r="D290" s="47"/>
      <c r="E290" s="47"/>
      <c r="F290" s="47"/>
      <c r="G290" s="47"/>
    </row>
    <row r="291" spans="1:7" x14ac:dyDescent="0.3">
      <c r="A291" s="47"/>
      <c r="B291" s="47"/>
      <c r="C291" s="47"/>
      <c r="D291" s="47"/>
      <c r="E291" s="47"/>
      <c r="F291" s="47"/>
      <c r="G291" s="47"/>
    </row>
    <row r="292" spans="1:7" x14ac:dyDescent="0.3">
      <c r="A292" s="47"/>
      <c r="B292" s="47"/>
      <c r="C292" s="47"/>
      <c r="D292" s="47"/>
      <c r="E292" s="47"/>
      <c r="F292" s="47"/>
      <c r="G292" s="47"/>
    </row>
    <row r="293" spans="1:7" x14ac:dyDescent="0.3">
      <c r="A293" s="47"/>
      <c r="B293" s="47"/>
      <c r="C293" s="47"/>
      <c r="D293" s="47"/>
      <c r="E293" s="47"/>
      <c r="F293" s="47"/>
      <c r="G293" s="47"/>
    </row>
    <row r="294" spans="1:7" x14ac:dyDescent="0.3">
      <c r="A294" s="47"/>
      <c r="B294" s="47"/>
      <c r="C294" s="47"/>
      <c r="D294" s="47"/>
      <c r="E294" s="47"/>
      <c r="F294" s="47"/>
      <c r="G294" s="47"/>
    </row>
    <row r="295" spans="1:7" x14ac:dyDescent="0.3">
      <c r="A295" s="47"/>
      <c r="B295" s="47"/>
      <c r="C295" s="47"/>
      <c r="D295" s="47"/>
      <c r="E295" s="47"/>
      <c r="F295" s="47"/>
      <c r="G295" s="47"/>
    </row>
    <row r="296" spans="1:7" x14ac:dyDescent="0.3">
      <c r="A296" s="47"/>
      <c r="B296" s="47"/>
      <c r="C296" s="47"/>
      <c r="D296" s="47"/>
      <c r="E296" s="47"/>
      <c r="F296" s="47"/>
      <c r="G296" s="47"/>
    </row>
    <row r="297" spans="1:7" x14ac:dyDescent="0.3">
      <c r="A297" s="47"/>
      <c r="B297" s="47"/>
      <c r="C297" s="47"/>
      <c r="D297" s="47"/>
      <c r="E297" s="47"/>
      <c r="F297" s="47"/>
      <c r="G297" s="47"/>
    </row>
    <row r="298" spans="1:7" x14ac:dyDescent="0.3">
      <c r="A298" s="47"/>
      <c r="B298" s="47"/>
      <c r="C298" s="47"/>
      <c r="D298" s="47"/>
      <c r="E298" s="47"/>
      <c r="F298" s="47"/>
      <c r="G298" s="47"/>
    </row>
    <row r="299" spans="1:7" x14ac:dyDescent="0.3">
      <c r="A299" s="47"/>
      <c r="B299" s="47"/>
      <c r="C299" s="47"/>
      <c r="D299" s="47"/>
      <c r="E299" s="47"/>
      <c r="F299" s="47"/>
      <c r="G299" s="47"/>
    </row>
    <row r="300" spans="1:7" x14ac:dyDescent="0.3">
      <c r="A300" s="47"/>
      <c r="B300" s="47"/>
      <c r="C300" s="47"/>
      <c r="D300" s="47"/>
      <c r="E300" s="47"/>
      <c r="F300" s="47"/>
      <c r="G300" s="47"/>
    </row>
    <row r="301" spans="1:7" x14ac:dyDescent="0.3">
      <c r="A301" s="47"/>
      <c r="B301" s="47"/>
      <c r="C301" s="47"/>
      <c r="D301" s="47"/>
      <c r="E301" s="47"/>
      <c r="F301" s="47"/>
      <c r="G301" s="47"/>
    </row>
    <row r="302" spans="1:7" x14ac:dyDescent="0.3">
      <c r="A302" s="47"/>
      <c r="B302" s="47"/>
      <c r="C302" s="47"/>
      <c r="D302" s="47"/>
      <c r="E302" s="47"/>
      <c r="F302" s="47"/>
      <c r="G302" s="47"/>
    </row>
    <row r="303" spans="1:7" x14ac:dyDescent="0.3">
      <c r="A303" s="47"/>
      <c r="B303" s="47"/>
      <c r="C303" s="47"/>
      <c r="D303" s="47"/>
      <c r="E303" s="47"/>
      <c r="F303" s="47"/>
      <c r="G303" s="47"/>
    </row>
    <row r="304" spans="1:7" x14ac:dyDescent="0.3">
      <c r="A304" s="47"/>
      <c r="B304" s="47"/>
      <c r="C304" s="47"/>
      <c r="D304" s="47"/>
      <c r="E304" s="47"/>
      <c r="F304" s="47"/>
      <c r="G304" s="47"/>
    </row>
    <row r="305" spans="1:7" x14ac:dyDescent="0.3">
      <c r="A305" s="47"/>
      <c r="B305" s="47"/>
      <c r="C305" s="47"/>
      <c r="D305" s="47"/>
      <c r="E305" s="47"/>
      <c r="F305" s="47"/>
      <c r="G305" s="47"/>
    </row>
    <row r="306" spans="1:7" x14ac:dyDescent="0.3">
      <c r="A306" s="47"/>
      <c r="B306" s="47"/>
      <c r="C306" s="47"/>
      <c r="D306" s="47"/>
      <c r="E306" s="47"/>
      <c r="F306" s="47"/>
      <c r="G306" s="47"/>
    </row>
    <row r="307" spans="1:7" x14ac:dyDescent="0.3">
      <c r="A307" s="47"/>
      <c r="B307" s="47"/>
      <c r="C307" s="47"/>
      <c r="D307" s="47"/>
      <c r="E307" s="47"/>
      <c r="F307" s="47"/>
      <c r="G307" s="47"/>
    </row>
    <row r="308" spans="1:7" x14ac:dyDescent="0.3">
      <c r="A308" s="47"/>
      <c r="B308" s="47"/>
      <c r="C308" s="47"/>
      <c r="D308" s="47"/>
      <c r="E308" s="47"/>
      <c r="F308" s="47"/>
      <c r="G308" s="47"/>
    </row>
    <row r="309" spans="1:7" x14ac:dyDescent="0.3">
      <c r="A309" s="47"/>
      <c r="B309" s="47"/>
      <c r="C309" s="47"/>
      <c r="D309" s="47"/>
      <c r="E309" s="47"/>
      <c r="F309" s="47"/>
      <c r="G309" s="47"/>
    </row>
    <row r="310" spans="1:7" x14ac:dyDescent="0.3">
      <c r="A310" s="47"/>
      <c r="B310" s="47"/>
      <c r="C310" s="47"/>
      <c r="D310" s="47"/>
      <c r="E310" s="47"/>
      <c r="F310" s="47"/>
      <c r="G310" s="47"/>
    </row>
    <row r="311" spans="1:7" x14ac:dyDescent="0.3">
      <c r="A311" s="47"/>
      <c r="B311" s="47"/>
      <c r="C311" s="47"/>
      <c r="D311" s="47"/>
      <c r="E311" s="47"/>
      <c r="F311" s="47"/>
      <c r="G311" s="47"/>
    </row>
    <row r="312" spans="1:7" x14ac:dyDescent="0.3">
      <c r="A312" s="47"/>
      <c r="B312" s="47"/>
      <c r="C312" s="47"/>
      <c r="D312" s="47"/>
      <c r="E312" s="47"/>
      <c r="F312" s="47"/>
      <c r="G312" s="47"/>
    </row>
    <row r="313" spans="1:7" x14ac:dyDescent="0.3">
      <c r="A313" s="47"/>
      <c r="B313" s="47"/>
      <c r="C313" s="47"/>
      <c r="D313" s="47"/>
      <c r="E313" s="47"/>
      <c r="F313" s="47"/>
      <c r="G313" s="47"/>
    </row>
    <row r="314" spans="1:7" x14ac:dyDescent="0.3">
      <c r="A314" s="47"/>
      <c r="B314" s="47"/>
      <c r="C314" s="47"/>
      <c r="D314" s="47"/>
      <c r="E314" s="47"/>
      <c r="F314" s="47"/>
      <c r="G314" s="47"/>
    </row>
    <row r="315" spans="1:7" x14ac:dyDescent="0.3">
      <c r="A315" s="47"/>
      <c r="B315" s="47"/>
      <c r="C315" s="47"/>
      <c r="D315" s="47"/>
      <c r="E315" s="47"/>
      <c r="F315" s="47"/>
      <c r="G315" s="47"/>
    </row>
    <row r="316" spans="1:7" x14ac:dyDescent="0.3">
      <c r="A316" s="47"/>
      <c r="B316" s="47"/>
      <c r="C316" s="47"/>
      <c r="D316" s="47"/>
      <c r="E316" s="47"/>
      <c r="F316" s="47"/>
      <c r="G316" s="47"/>
    </row>
    <row r="317" spans="1:7" x14ac:dyDescent="0.3">
      <c r="A317" s="47"/>
      <c r="B317" s="47"/>
      <c r="C317" s="47"/>
      <c r="D317" s="47"/>
      <c r="E317" s="47"/>
      <c r="F317" s="47"/>
      <c r="G317" s="47"/>
    </row>
    <row r="318" spans="1:7" x14ac:dyDescent="0.3">
      <c r="A318" s="47"/>
      <c r="B318" s="47"/>
      <c r="C318" s="47"/>
      <c r="D318" s="47"/>
      <c r="E318" s="47"/>
      <c r="F318" s="47"/>
      <c r="G318" s="47"/>
    </row>
    <row r="319" spans="1:7" x14ac:dyDescent="0.3">
      <c r="A319" s="47"/>
      <c r="B319" s="47"/>
      <c r="C319" s="47"/>
      <c r="D319" s="47"/>
      <c r="E319" s="47"/>
      <c r="F319" s="47"/>
      <c r="G319" s="47"/>
    </row>
    <row r="320" spans="1:7" x14ac:dyDescent="0.3">
      <c r="A320" s="47"/>
      <c r="B320" s="47"/>
      <c r="C320" s="47"/>
      <c r="D320" s="47"/>
      <c r="E320" s="47"/>
      <c r="F320" s="47"/>
      <c r="G320" s="47"/>
    </row>
    <row r="321" spans="1:7" x14ac:dyDescent="0.3">
      <c r="A321" s="47"/>
      <c r="B321" s="47"/>
      <c r="C321" s="47"/>
      <c r="D321" s="47"/>
      <c r="E321" s="47"/>
      <c r="F321" s="47"/>
      <c r="G321" s="47"/>
    </row>
    <row r="322" spans="1:7" x14ac:dyDescent="0.3">
      <c r="A322" s="47"/>
      <c r="B322" s="47"/>
      <c r="C322" s="47"/>
      <c r="D322" s="47"/>
      <c r="E322" s="47"/>
      <c r="F322" s="47"/>
      <c r="G322" s="47"/>
    </row>
    <row r="323" spans="1:7" x14ac:dyDescent="0.3">
      <c r="A323" s="47"/>
      <c r="B323" s="47"/>
      <c r="C323" s="47"/>
      <c r="D323" s="47"/>
      <c r="E323" s="47"/>
      <c r="F323" s="47"/>
      <c r="G323" s="47"/>
    </row>
    <row r="324" spans="1:7" x14ac:dyDescent="0.3">
      <c r="A324" s="47"/>
      <c r="B324" s="47"/>
      <c r="C324" s="47"/>
      <c r="D324" s="47"/>
      <c r="E324" s="47"/>
      <c r="F324" s="47"/>
      <c r="G324" s="47"/>
    </row>
    <row r="325" spans="1:7" x14ac:dyDescent="0.3">
      <c r="A325" s="47"/>
      <c r="B325" s="47"/>
      <c r="C325" s="47"/>
      <c r="D325" s="47"/>
      <c r="E325" s="47"/>
      <c r="F325" s="47"/>
      <c r="G325" s="47"/>
    </row>
    <row r="326" spans="1:7" x14ac:dyDescent="0.3">
      <c r="A326" s="47"/>
      <c r="B326" s="47"/>
      <c r="C326" s="47"/>
      <c r="D326" s="47"/>
      <c r="E326" s="47"/>
      <c r="F326" s="47"/>
      <c r="G326" s="47"/>
    </row>
    <row r="327" spans="1:7" x14ac:dyDescent="0.3">
      <c r="A327" s="47"/>
      <c r="B327" s="47"/>
      <c r="C327" s="47"/>
      <c r="D327" s="47"/>
      <c r="E327" s="47"/>
      <c r="F327" s="47"/>
      <c r="G327" s="47"/>
    </row>
    <row r="328" spans="1:7" x14ac:dyDescent="0.3">
      <c r="A328" s="47"/>
      <c r="B328" s="47"/>
      <c r="C328" s="47"/>
      <c r="D328" s="47"/>
      <c r="E328" s="47"/>
      <c r="F328" s="47"/>
      <c r="G328" s="47"/>
    </row>
    <row r="329" spans="1:7" x14ac:dyDescent="0.3">
      <c r="A329" s="47"/>
      <c r="B329" s="47"/>
      <c r="C329" s="47"/>
      <c r="D329" s="47"/>
      <c r="E329" s="47"/>
      <c r="F329" s="47"/>
      <c r="G329" s="47"/>
    </row>
    <row r="330" spans="1:7" x14ac:dyDescent="0.3">
      <c r="A330" s="47"/>
      <c r="B330" s="47"/>
      <c r="C330" s="47"/>
      <c r="D330" s="47"/>
      <c r="E330" s="47"/>
      <c r="F330" s="47"/>
      <c r="G330" s="47"/>
    </row>
    <row r="331" spans="1:7" x14ac:dyDescent="0.3">
      <c r="A331" s="47"/>
      <c r="B331" s="47"/>
      <c r="C331" s="47"/>
      <c r="D331" s="47"/>
      <c r="E331" s="47"/>
      <c r="F331" s="47"/>
      <c r="G331" s="47"/>
    </row>
    <row r="332" spans="1:7" x14ac:dyDescent="0.3">
      <c r="A332" s="47"/>
      <c r="B332" s="47"/>
      <c r="C332" s="47"/>
      <c r="D332" s="47"/>
      <c r="E332" s="47"/>
      <c r="F332" s="47"/>
      <c r="G332" s="47"/>
    </row>
    <row r="333" spans="1:7" x14ac:dyDescent="0.3">
      <c r="A333" s="47"/>
      <c r="B333" s="47"/>
      <c r="C333" s="47"/>
      <c r="D333" s="47"/>
      <c r="E333" s="47"/>
      <c r="F333" s="47"/>
      <c r="G333" s="47"/>
    </row>
    <row r="334" spans="1:7" x14ac:dyDescent="0.3">
      <c r="A334" s="47"/>
      <c r="B334" s="47"/>
      <c r="C334" s="47"/>
      <c r="D334" s="47"/>
      <c r="E334" s="47"/>
      <c r="F334" s="47"/>
      <c r="G334" s="47"/>
    </row>
    <row r="335" spans="1:7" x14ac:dyDescent="0.3">
      <c r="A335" s="47"/>
      <c r="B335" s="47"/>
      <c r="C335" s="47"/>
      <c r="D335" s="47"/>
      <c r="E335" s="47"/>
      <c r="F335" s="47"/>
      <c r="G335" s="47"/>
    </row>
    <row r="336" spans="1:7" x14ac:dyDescent="0.3">
      <c r="A336" s="47"/>
      <c r="B336" s="47"/>
      <c r="C336" s="47"/>
      <c r="D336" s="47"/>
      <c r="E336" s="47"/>
      <c r="F336" s="47"/>
      <c r="G336" s="47"/>
    </row>
    <row r="337" spans="1:7" x14ac:dyDescent="0.3">
      <c r="A337" s="47"/>
      <c r="B337" s="47"/>
      <c r="C337" s="47"/>
      <c r="D337" s="47"/>
      <c r="E337" s="47"/>
      <c r="F337" s="47"/>
      <c r="G337" s="47"/>
    </row>
    <row r="338" spans="1:7" x14ac:dyDescent="0.3">
      <c r="A338" s="47"/>
      <c r="B338" s="47"/>
      <c r="C338" s="47"/>
      <c r="D338" s="47"/>
      <c r="E338" s="47"/>
      <c r="F338" s="47"/>
      <c r="G338" s="47"/>
    </row>
    <row r="339" spans="1:7" x14ac:dyDescent="0.3">
      <c r="A339" s="47"/>
      <c r="B339" s="47"/>
      <c r="C339" s="47"/>
      <c r="D339" s="47"/>
      <c r="E339" s="47"/>
      <c r="F339" s="47"/>
      <c r="G339" s="47"/>
    </row>
    <row r="340" spans="1:7" x14ac:dyDescent="0.3">
      <c r="A340" s="47"/>
      <c r="B340" s="47"/>
      <c r="C340" s="47"/>
      <c r="D340" s="47"/>
      <c r="E340" s="47"/>
      <c r="F340" s="47"/>
      <c r="G340" s="47"/>
    </row>
    <row r="341" spans="1:7" x14ac:dyDescent="0.3">
      <c r="A341" s="47"/>
      <c r="B341" s="47"/>
      <c r="C341" s="47"/>
      <c r="D341" s="47"/>
      <c r="E341" s="47"/>
      <c r="F341" s="47"/>
      <c r="G341" s="47"/>
    </row>
    <row r="342" spans="1:7" x14ac:dyDescent="0.3">
      <c r="A342" s="47"/>
      <c r="B342" s="47"/>
      <c r="C342" s="47"/>
      <c r="D342" s="47"/>
      <c r="E342" s="47"/>
      <c r="F342" s="47"/>
      <c r="G342" s="47"/>
    </row>
    <row r="343" spans="1:7" x14ac:dyDescent="0.3">
      <c r="A343" s="47"/>
      <c r="B343" s="47"/>
      <c r="C343" s="47"/>
      <c r="D343" s="47"/>
      <c r="E343" s="47"/>
      <c r="F343" s="47"/>
      <c r="G343" s="47"/>
    </row>
    <row r="344" spans="1:7" x14ac:dyDescent="0.3">
      <c r="A344" s="47"/>
      <c r="B344" s="47"/>
      <c r="C344" s="47"/>
      <c r="D344" s="47"/>
      <c r="E344" s="47"/>
      <c r="F344" s="47"/>
      <c r="G344" s="47"/>
    </row>
    <row r="345" spans="1:7" x14ac:dyDescent="0.3">
      <c r="A345" s="47"/>
      <c r="B345" s="47"/>
      <c r="C345" s="47"/>
      <c r="D345" s="47"/>
      <c r="E345" s="47"/>
      <c r="F345" s="47"/>
      <c r="G345" s="47"/>
    </row>
    <row r="346" spans="1:7" x14ac:dyDescent="0.3">
      <c r="A346" s="47"/>
      <c r="B346" s="47"/>
      <c r="C346" s="47"/>
      <c r="D346" s="47"/>
      <c r="E346" s="47"/>
      <c r="F346" s="47"/>
      <c r="G346" s="47"/>
    </row>
    <row r="347" spans="1:7" x14ac:dyDescent="0.3">
      <c r="A347" s="47"/>
      <c r="B347" s="47"/>
      <c r="C347" s="47"/>
      <c r="D347" s="47"/>
      <c r="E347" s="47"/>
      <c r="F347" s="47"/>
      <c r="G347" s="47"/>
    </row>
    <row r="348" spans="1:7" x14ac:dyDescent="0.3">
      <c r="A348" s="47"/>
      <c r="B348" s="47"/>
      <c r="C348" s="47"/>
      <c r="D348" s="47"/>
      <c r="E348" s="47"/>
      <c r="F348" s="47"/>
      <c r="G348" s="47"/>
    </row>
    <row r="349" spans="1:7" x14ac:dyDescent="0.3">
      <c r="A349" s="47"/>
      <c r="B349" s="47"/>
      <c r="C349" s="47"/>
      <c r="D349" s="47"/>
      <c r="E349" s="47"/>
      <c r="F349" s="47"/>
      <c r="G349" s="47"/>
    </row>
    <row r="350" spans="1:7" x14ac:dyDescent="0.3">
      <c r="A350" s="47"/>
      <c r="B350" s="47"/>
      <c r="C350" s="47"/>
      <c r="D350" s="47"/>
      <c r="E350" s="47"/>
      <c r="F350" s="47"/>
      <c r="G350" s="47"/>
    </row>
    <row r="351" spans="1:7" x14ac:dyDescent="0.3">
      <c r="A351" s="47"/>
      <c r="B351" s="47"/>
      <c r="C351" s="47"/>
      <c r="D351" s="47"/>
      <c r="E351" s="47"/>
      <c r="F351" s="47"/>
      <c r="G351" s="47"/>
    </row>
    <row r="352" spans="1:7" x14ac:dyDescent="0.3">
      <c r="A352" s="47"/>
      <c r="B352" s="47"/>
      <c r="C352" s="47"/>
      <c r="D352" s="47"/>
      <c r="E352" s="47"/>
      <c r="F352" s="47"/>
      <c r="G352" s="47"/>
    </row>
    <row r="353" spans="1:7" x14ac:dyDescent="0.3">
      <c r="A353" s="47"/>
      <c r="B353" s="47"/>
      <c r="C353" s="47"/>
      <c r="D353" s="47"/>
      <c r="E353" s="47"/>
      <c r="F353" s="47"/>
      <c r="G353" s="47"/>
    </row>
    <row r="354" spans="1:7" x14ac:dyDescent="0.3">
      <c r="A354" s="47"/>
      <c r="B354" s="47"/>
      <c r="C354" s="47"/>
      <c r="D354" s="47"/>
      <c r="E354" s="47"/>
      <c r="F354" s="47"/>
      <c r="G354" s="47"/>
    </row>
    <row r="355" spans="1:7" x14ac:dyDescent="0.3">
      <c r="A355" s="47"/>
      <c r="B355" s="47"/>
      <c r="C355" s="47"/>
      <c r="D355" s="47"/>
      <c r="E355" s="47"/>
      <c r="F355" s="47"/>
      <c r="G355" s="47"/>
    </row>
    <row r="356" spans="1:7" x14ac:dyDescent="0.3">
      <c r="A356" s="47"/>
      <c r="B356" s="47"/>
      <c r="C356" s="47"/>
      <c r="D356" s="47"/>
      <c r="E356" s="47"/>
      <c r="F356" s="47"/>
      <c r="G356" s="47"/>
    </row>
    <row r="357" spans="1:7" x14ac:dyDescent="0.3">
      <c r="A357" s="47"/>
      <c r="B357" s="47"/>
      <c r="C357" s="47"/>
      <c r="D357" s="47"/>
      <c r="E357" s="47"/>
      <c r="F357" s="47"/>
      <c r="G357" s="47"/>
    </row>
    <row r="358" spans="1:7" x14ac:dyDescent="0.3">
      <c r="A358" s="47"/>
      <c r="B358" s="47"/>
      <c r="C358" s="47"/>
      <c r="D358" s="47"/>
      <c r="E358" s="47"/>
      <c r="F358" s="47"/>
      <c r="G358" s="47"/>
    </row>
    <row r="359" spans="1:7" x14ac:dyDescent="0.3">
      <c r="A359" s="47"/>
      <c r="B359" s="47"/>
      <c r="C359" s="47"/>
      <c r="D359" s="47"/>
      <c r="E359" s="47"/>
      <c r="F359" s="47"/>
      <c r="G359" s="47"/>
    </row>
    <row r="360" spans="1:7" x14ac:dyDescent="0.3">
      <c r="A360" s="47"/>
      <c r="B360" s="47"/>
      <c r="C360" s="47"/>
      <c r="D360" s="47"/>
      <c r="E360" s="47"/>
      <c r="F360" s="47"/>
      <c r="G360" s="47"/>
    </row>
    <row r="361" spans="1:7" x14ac:dyDescent="0.3">
      <c r="A361" s="47"/>
      <c r="B361" s="47"/>
      <c r="C361" s="47"/>
      <c r="D361" s="47"/>
      <c r="E361" s="47"/>
      <c r="F361" s="47"/>
      <c r="G361" s="47"/>
    </row>
    <row r="362" spans="1:7" x14ac:dyDescent="0.3">
      <c r="A362" s="47"/>
      <c r="B362" s="47"/>
      <c r="C362" s="47"/>
      <c r="D362" s="47"/>
      <c r="E362" s="47"/>
      <c r="F362" s="47"/>
      <c r="G362" s="47"/>
    </row>
    <row r="363" spans="1:7" x14ac:dyDescent="0.3">
      <c r="A363" s="47"/>
      <c r="B363" s="47"/>
      <c r="C363" s="47"/>
      <c r="D363" s="47"/>
      <c r="E363" s="47"/>
      <c r="F363" s="47"/>
      <c r="G363" s="47"/>
    </row>
    <row r="364" spans="1:7" x14ac:dyDescent="0.3">
      <c r="A364" s="47"/>
      <c r="B364" s="47"/>
      <c r="C364" s="47"/>
      <c r="D364" s="47"/>
      <c r="E364" s="47"/>
      <c r="F364" s="47"/>
      <c r="G364" s="47"/>
    </row>
    <row r="365" spans="1:7" x14ac:dyDescent="0.3">
      <c r="A365" s="47"/>
      <c r="B365" s="47"/>
      <c r="C365" s="47"/>
      <c r="D365" s="47"/>
      <c r="E365" s="47"/>
      <c r="F365" s="47"/>
      <c r="G365" s="47"/>
    </row>
    <row r="366" spans="1:7" x14ac:dyDescent="0.3">
      <c r="A366" s="47"/>
      <c r="B366" s="47"/>
      <c r="C366" s="47"/>
      <c r="D366" s="47"/>
      <c r="E366" s="47"/>
      <c r="F366" s="47"/>
      <c r="G366" s="47"/>
    </row>
    <row r="367" spans="1:7" x14ac:dyDescent="0.3">
      <c r="A367" s="47"/>
      <c r="B367" s="47"/>
      <c r="C367" s="47"/>
      <c r="D367" s="47"/>
      <c r="E367" s="47"/>
      <c r="F367" s="47"/>
      <c r="G367" s="47"/>
    </row>
    <row r="368" spans="1:7" x14ac:dyDescent="0.3">
      <c r="A368" s="47"/>
      <c r="B368" s="47"/>
      <c r="C368" s="47"/>
      <c r="D368" s="47"/>
      <c r="E368" s="47"/>
      <c r="F368" s="47"/>
      <c r="G368" s="47"/>
    </row>
    <row r="369" spans="1:7" x14ac:dyDescent="0.3">
      <c r="A369" s="47"/>
      <c r="B369" s="47"/>
      <c r="C369" s="47"/>
      <c r="D369" s="47"/>
      <c r="E369" s="47"/>
      <c r="F369" s="47"/>
      <c r="G369" s="47"/>
    </row>
    <row r="370" spans="1:7" x14ac:dyDescent="0.3">
      <c r="A370" s="47"/>
      <c r="B370" s="47"/>
      <c r="C370" s="47"/>
      <c r="D370" s="47"/>
      <c r="E370" s="47"/>
      <c r="F370" s="47"/>
      <c r="G370" s="47"/>
    </row>
    <row r="371" spans="1:7" x14ac:dyDescent="0.3">
      <c r="A371" s="47"/>
      <c r="B371" s="47"/>
      <c r="C371" s="47"/>
      <c r="D371" s="47"/>
      <c r="E371" s="47"/>
      <c r="F371" s="47"/>
      <c r="G371" s="47"/>
    </row>
    <row r="372" spans="1:7" x14ac:dyDescent="0.3">
      <c r="A372" s="47"/>
      <c r="B372" s="47"/>
      <c r="C372" s="47"/>
      <c r="D372" s="47"/>
      <c r="E372" s="47"/>
      <c r="F372" s="47"/>
      <c r="G372" s="47"/>
    </row>
    <row r="373" spans="1:7" x14ac:dyDescent="0.3">
      <c r="A373" s="47"/>
      <c r="B373" s="47"/>
      <c r="C373" s="47"/>
      <c r="D373" s="47"/>
      <c r="E373" s="47"/>
      <c r="F373" s="47"/>
      <c r="G373" s="47"/>
    </row>
    <row r="374" spans="1:7" x14ac:dyDescent="0.3">
      <c r="A374" s="47"/>
      <c r="B374" s="47"/>
      <c r="C374" s="47"/>
      <c r="D374" s="47"/>
      <c r="E374" s="47"/>
      <c r="F374" s="47"/>
      <c r="G374" s="47"/>
    </row>
    <row r="375" spans="1:7" x14ac:dyDescent="0.3">
      <c r="A375" s="47"/>
      <c r="B375" s="47"/>
      <c r="C375" s="47"/>
      <c r="D375" s="47"/>
      <c r="E375" s="47"/>
      <c r="F375" s="47"/>
      <c r="G375" s="47"/>
    </row>
    <row r="376" spans="1:7" x14ac:dyDescent="0.3">
      <c r="A376" s="47"/>
      <c r="B376" s="47"/>
      <c r="C376" s="47"/>
      <c r="D376" s="47"/>
      <c r="E376" s="47"/>
      <c r="F376" s="47"/>
      <c r="G376" s="47"/>
    </row>
    <row r="377" spans="1:7" x14ac:dyDescent="0.3">
      <c r="A377" s="47"/>
      <c r="B377" s="47"/>
      <c r="C377" s="47"/>
      <c r="D377" s="47"/>
      <c r="E377" s="47"/>
      <c r="F377" s="47"/>
      <c r="G377" s="47"/>
    </row>
    <row r="378" spans="1:7" x14ac:dyDescent="0.3">
      <c r="A378" s="47"/>
      <c r="B378" s="47"/>
      <c r="C378" s="47"/>
      <c r="D378" s="47"/>
      <c r="E378" s="47"/>
      <c r="F378" s="47"/>
      <c r="G378" s="47"/>
    </row>
    <row r="379" spans="1:7" x14ac:dyDescent="0.3">
      <c r="A379" s="47"/>
      <c r="B379" s="47"/>
      <c r="C379" s="47"/>
      <c r="D379" s="47"/>
      <c r="E379" s="47"/>
      <c r="F379" s="47"/>
      <c r="G379" s="47"/>
    </row>
    <row r="380" spans="1:7" x14ac:dyDescent="0.3">
      <c r="A380" s="47"/>
      <c r="B380" s="47"/>
      <c r="C380" s="47"/>
      <c r="D380" s="47"/>
      <c r="E380" s="47"/>
      <c r="F380" s="47"/>
      <c r="G380" s="47"/>
    </row>
    <row r="381" spans="1:7" x14ac:dyDescent="0.3">
      <c r="A381" s="47"/>
      <c r="B381" s="47"/>
      <c r="C381" s="47"/>
      <c r="D381" s="47"/>
      <c r="E381" s="47"/>
      <c r="F381" s="47"/>
      <c r="G381" s="47"/>
    </row>
    <row r="382" spans="1:7" x14ac:dyDescent="0.3">
      <c r="A382" s="47"/>
      <c r="B382" s="47"/>
      <c r="C382" s="47"/>
      <c r="D382" s="47"/>
      <c r="E382" s="47"/>
      <c r="F382" s="47"/>
      <c r="G382" s="47"/>
    </row>
    <row r="383" spans="1:7" x14ac:dyDescent="0.3">
      <c r="A383" s="47"/>
      <c r="B383" s="47"/>
      <c r="C383" s="47"/>
      <c r="D383" s="47"/>
      <c r="E383" s="47"/>
      <c r="F383" s="47"/>
      <c r="G383" s="47"/>
    </row>
    <row r="384" spans="1:7" x14ac:dyDescent="0.3">
      <c r="A384" s="47"/>
      <c r="B384" s="47"/>
      <c r="C384" s="47"/>
      <c r="D384" s="47"/>
      <c r="E384" s="47"/>
      <c r="F384" s="47"/>
      <c r="G384" s="47"/>
    </row>
    <row r="385" spans="1:7" x14ac:dyDescent="0.3">
      <c r="A385" s="47"/>
      <c r="B385" s="47"/>
      <c r="C385" s="47"/>
      <c r="D385" s="47"/>
      <c r="E385" s="47"/>
      <c r="F385" s="47"/>
      <c r="G385" s="47"/>
    </row>
    <row r="386" spans="1:7" x14ac:dyDescent="0.3">
      <c r="A386" s="47"/>
      <c r="B386" s="47"/>
      <c r="C386" s="47"/>
      <c r="D386" s="47"/>
      <c r="E386" s="47"/>
      <c r="F386" s="47"/>
      <c r="G386" s="47"/>
    </row>
    <row r="387" spans="1:7" x14ac:dyDescent="0.3">
      <c r="A387" s="47"/>
      <c r="B387" s="47"/>
      <c r="C387" s="47"/>
      <c r="D387" s="47"/>
      <c r="E387" s="47"/>
      <c r="F387" s="47"/>
      <c r="G387" s="47"/>
    </row>
    <row r="388" spans="1:7" x14ac:dyDescent="0.3">
      <c r="A388" s="47"/>
      <c r="B388" s="47"/>
      <c r="C388" s="47"/>
      <c r="D388" s="47"/>
      <c r="E388" s="47"/>
      <c r="F388" s="47"/>
      <c r="G388" s="47"/>
    </row>
    <row r="389" spans="1:7" x14ac:dyDescent="0.3">
      <c r="A389" s="47"/>
      <c r="B389" s="47"/>
      <c r="C389" s="47"/>
      <c r="D389" s="47"/>
      <c r="E389" s="47"/>
      <c r="F389" s="47"/>
      <c r="G389" s="47"/>
    </row>
    <row r="390" spans="1:7" x14ac:dyDescent="0.3">
      <c r="A390" s="47"/>
      <c r="B390" s="47"/>
      <c r="C390" s="47"/>
      <c r="D390" s="47"/>
      <c r="E390" s="47"/>
      <c r="F390" s="47"/>
      <c r="G390" s="47"/>
    </row>
    <row r="391" spans="1:7" x14ac:dyDescent="0.3">
      <c r="A391" s="47"/>
      <c r="B391" s="47"/>
      <c r="C391" s="47"/>
      <c r="D391" s="47"/>
      <c r="E391" s="47"/>
      <c r="F391" s="47"/>
      <c r="G391" s="47"/>
    </row>
    <row r="392" spans="1:7" x14ac:dyDescent="0.3">
      <c r="A392" s="47"/>
      <c r="B392" s="47"/>
      <c r="C392" s="47"/>
      <c r="D392" s="47"/>
      <c r="E392" s="47"/>
      <c r="F392" s="47"/>
      <c r="G392" s="47"/>
    </row>
    <row r="393" spans="1:7" x14ac:dyDescent="0.3">
      <c r="A393" s="47"/>
      <c r="B393" s="47"/>
      <c r="C393" s="47"/>
      <c r="D393" s="47"/>
      <c r="E393" s="47"/>
      <c r="F393" s="47"/>
      <c r="G393" s="47"/>
    </row>
    <row r="394" spans="1:7" x14ac:dyDescent="0.3">
      <c r="A394" s="47"/>
      <c r="B394" s="47"/>
      <c r="C394" s="47"/>
      <c r="D394" s="47"/>
      <c r="E394" s="47"/>
      <c r="F394" s="47"/>
      <c r="G394" s="47"/>
    </row>
    <row r="395" spans="1:7" x14ac:dyDescent="0.3">
      <c r="A395" s="47"/>
      <c r="B395" s="47"/>
      <c r="C395" s="47"/>
      <c r="D395" s="47"/>
      <c r="E395" s="47"/>
      <c r="F395" s="47"/>
      <c r="G395" s="47"/>
    </row>
    <row r="396" spans="1:7" x14ac:dyDescent="0.3">
      <c r="A396" s="47"/>
      <c r="B396" s="47"/>
      <c r="C396" s="47"/>
      <c r="D396" s="47"/>
      <c r="E396" s="47"/>
      <c r="F396" s="47"/>
      <c r="G396" s="47"/>
    </row>
    <row r="397" spans="1:7" x14ac:dyDescent="0.3">
      <c r="A397" s="47"/>
      <c r="B397" s="47"/>
      <c r="C397" s="47"/>
      <c r="D397" s="47"/>
      <c r="E397" s="47"/>
      <c r="F397" s="47"/>
      <c r="G397" s="47"/>
    </row>
    <row r="398" spans="1:7" x14ac:dyDescent="0.3">
      <c r="A398" s="47"/>
      <c r="B398" s="47"/>
      <c r="C398" s="47"/>
      <c r="D398" s="47"/>
      <c r="E398" s="47"/>
      <c r="F398" s="47"/>
      <c r="G398" s="47"/>
    </row>
    <row r="399" spans="1:7" x14ac:dyDescent="0.3">
      <c r="A399" s="47"/>
      <c r="B399" s="47"/>
      <c r="C399" s="47"/>
      <c r="D399" s="47"/>
      <c r="E399" s="47"/>
      <c r="F399" s="47"/>
      <c r="G399" s="47"/>
    </row>
    <row r="400" spans="1:7" x14ac:dyDescent="0.3">
      <c r="A400" s="47"/>
      <c r="B400" s="47"/>
      <c r="C400" s="47"/>
      <c r="D400" s="47"/>
      <c r="E400" s="47"/>
      <c r="F400" s="47"/>
      <c r="G400" s="47"/>
    </row>
    <row r="401" spans="1:7" x14ac:dyDescent="0.3">
      <c r="A401" s="47"/>
      <c r="B401" s="47"/>
      <c r="C401" s="47"/>
      <c r="D401" s="47"/>
      <c r="E401" s="47"/>
      <c r="F401" s="47"/>
      <c r="G401" s="47"/>
    </row>
    <row r="402" spans="1:7" x14ac:dyDescent="0.3">
      <c r="A402" s="47"/>
      <c r="B402" s="47"/>
      <c r="C402" s="47"/>
      <c r="D402" s="47"/>
      <c r="E402" s="47"/>
      <c r="F402" s="47"/>
      <c r="G402" s="47"/>
    </row>
    <row r="403" spans="1:7" x14ac:dyDescent="0.3">
      <c r="A403" s="47"/>
      <c r="B403" s="47"/>
      <c r="C403" s="47"/>
      <c r="D403" s="47"/>
      <c r="E403" s="47"/>
      <c r="F403" s="47"/>
      <c r="G403" s="47"/>
    </row>
    <row r="404" spans="1:7" x14ac:dyDescent="0.3">
      <c r="A404" s="47"/>
      <c r="B404" s="47"/>
      <c r="C404" s="47"/>
      <c r="D404" s="47"/>
      <c r="E404" s="47"/>
      <c r="F404" s="47"/>
      <c r="G404" s="47"/>
    </row>
    <row r="405" spans="1:7" x14ac:dyDescent="0.3">
      <c r="A405" s="47"/>
      <c r="B405" s="47"/>
      <c r="C405" s="47"/>
      <c r="D405" s="47"/>
      <c r="E405" s="47"/>
      <c r="F405" s="47"/>
      <c r="G405" s="47"/>
    </row>
    <row r="406" spans="1:7" x14ac:dyDescent="0.3">
      <c r="A406" s="47"/>
      <c r="B406" s="47"/>
      <c r="C406" s="47"/>
      <c r="D406" s="47"/>
      <c r="E406" s="47"/>
      <c r="F406" s="47"/>
      <c r="G406" s="47"/>
    </row>
    <row r="407" spans="1:7" x14ac:dyDescent="0.3">
      <c r="A407" s="47"/>
      <c r="B407" s="47"/>
      <c r="C407" s="47"/>
      <c r="D407" s="47"/>
      <c r="E407" s="47"/>
      <c r="F407" s="47"/>
      <c r="G407" s="47"/>
    </row>
    <row r="408" spans="1:7" x14ac:dyDescent="0.3">
      <c r="A408" s="47"/>
      <c r="B408" s="47"/>
      <c r="C408" s="47"/>
      <c r="D408" s="47"/>
      <c r="E408" s="47"/>
      <c r="F408" s="47"/>
      <c r="G408" s="47"/>
    </row>
    <row r="409" spans="1:7" x14ac:dyDescent="0.3">
      <c r="A409" s="47"/>
      <c r="B409" s="47"/>
      <c r="C409" s="47"/>
      <c r="D409" s="47"/>
      <c r="E409" s="47"/>
      <c r="F409" s="47"/>
      <c r="G409" s="47"/>
    </row>
  </sheetData>
  <mergeCells count="12">
    <mergeCell ref="E225:G225"/>
    <mergeCell ref="A1:B1"/>
    <mergeCell ref="C1:G1"/>
    <mergeCell ref="A2:B2"/>
    <mergeCell ref="C2:G2"/>
    <mergeCell ref="A4:B4"/>
    <mergeCell ref="C4:G4"/>
    <mergeCell ref="A6:G6"/>
    <mergeCell ref="A7:G7"/>
    <mergeCell ref="A217:B217"/>
    <mergeCell ref="E219:G219"/>
    <mergeCell ref="E220:G220"/>
  </mergeCells>
  <pageMargins left="0.25" right="0.25" top="0.75" bottom="0.75" header="0.3" footer="0.3"/>
  <pageSetup paperSize="9" scale="9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73"/>
  <sheetViews>
    <sheetView topLeftCell="A32" workbookViewId="0">
      <selection activeCell="B56" sqref="B56"/>
    </sheetView>
  </sheetViews>
  <sheetFormatPr defaultRowHeight="15" x14ac:dyDescent="0.25"/>
  <cols>
    <col min="1" max="1" width="5.42578125" style="76" bestFit="1" customWidth="1"/>
    <col min="2" max="2" width="17" style="76" bestFit="1" customWidth="1"/>
    <col min="3" max="3" width="21.140625" style="76" bestFit="1" customWidth="1"/>
    <col min="4" max="4" width="8" style="76" bestFit="1" customWidth="1"/>
    <col min="5" max="5" width="6.7109375" style="76" bestFit="1" customWidth="1"/>
    <col min="6" max="6" width="9.5703125" style="76" bestFit="1" customWidth="1"/>
    <col min="7" max="7" width="7.85546875" style="76" bestFit="1" customWidth="1"/>
    <col min="8" max="8" width="9.140625" style="76"/>
    <col min="9" max="9" width="10.5703125" style="76" bestFit="1" customWidth="1"/>
    <col min="10" max="10" width="8.42578125" style="76" bestFit="1" customWidth="1"/>
    <col min="11" max="11" width="6.5703125" style="76" bestFit="1" customWidth="1"/>
    <col min="12" max="16384" width="9.140625" style="76"/>
  </cols>
  <sheetData>
    <row r="1" spans="1:11" x14ac:dyDescent="0.25">
      <c r="A1" s="120" t="s">
        <v>149</v>
      </c>
      <c r="B1" s="120" t="s">
        <v>563</v>
      </c>
      <c r="C1" s="120" t="s">
        <v>564</v>
      </c>
      <c r="D1" s="120" t="s">
        <v>565</v>
      </c>
      <c r="E1" s="120" t="s">
        <v>566</v>
      </c>
      <c r="F1" s="120" t="s">
        <v>567</v>
      </c>
      <c r="G1" s="121" t="s">
        <v>568</v>
      </c>
      <c r="H1" s="122" t="s">
        <v>569</v>
      </c>
      <c r="I1" s="123" t="s">
        <v>570</v>
      </c>
      <c r="J1" s="124" t="s">
        <v>571</v>
      </c>
      <c r="K1" s="124" t="s">
        <v>572</v>
      </c>
    </row>
    <row r="2" spans="1:11" x14ac:dyDescent="0.25">
      <c r="A2" s="120"/>
      <c r="B2" s="120"/>
      <c r="C2" s="120"/>
      <c r="D2" s="120"/>
      <c r="E2" s="120"/>
      <c r="F2" s="120"/>
      <c r="G2" s="121"/>
      <c r="H2" s="122"/>
      <c r="I2" s="123"/>
      <c r="J2" s="124"/>
      <c r="K2" s="124"/>
    </row>
    <row r="3" spans="1:11" ht="16.5" x14ac:dyDescent="0.25">
      <c r="A3" s="77">
        <v>1</v>
      </c>
      <c r="B3" s="78" t="s">
        <v>138</v>
      </c>
      <c r="C3" s="79" t="s">
        <v>573</v>
      </c>
      <c r="D3" s="80">
        <v>21</v>
      </c>
      <c r="E3" s="80">
        <v>239</v>
      </c>
      <c r="F3" s="80">
        <v>7251</v>
      </c>
      <c r="G3" s="79" t="s">
        <v>11</v>
      </c>
      <c r="H3" s="81">
        <v>2006</v>
      </c>
      <c r="I3" s="82" t="s">
        <v>574</v>
      </c>
      <c r="J3" s="82"/>
      <c r="K3" s="82" t="s">
        <v>575</v>
      </c>
    </row>
    <row r="4" spans="1:11" ht="16.5" x14ac:dyDescent="0.25">
      <c r="A4" s="77">
        <v>2</v>
      </c>
      <c r="B4" s="78" t="s">
        <v>576</v>
      </c>
      <c r="C4" s="79" t="s">
        <v>573</v>
      </c>
      <c r="D4" s="80">
        <v>21</v>
      </c>
      <c r="E4" s="80">
        <v>120</v>
      </c>
      <c r="F4" s="80">
        <v>20497</v>
      </c>
      <c r="G4" s="79" t="s">
        <v>11</v>
      </c>
      <c r="H4" s="81">
        <v>2001</v>
      </c>
      <c r="I4" s="82" t="s">
        <v>574</v>
      </c>
      <c r="J4" s="82"/>
      <c r="K4" s="82" t="s">
        <v>575</v>
      </c>
    </row>
    <row r="5" spans="1:11" ht="16.5" x14ac:dyDescent="0.25">
      <c r="A5" s="77">
        <v>3</v>
      </c>
      <c r="B5" s="78" t="s">
        <v>170</v>
      </c>
      <c r="C5" s="79" t="s">
        <v>573</v>
      </c>
      <c r="D5" s="80">
        <v>21</v>
      </c>
      <c r="E5" s="80">
        <v>237</v>
      </c>
      <c r="F5" s="80">
        <v>10258</v>
      </c>
      <c r="G5" s="79" t="s">
        <v>11</v>
      </c>
      <c r="H5" s="81">
        <v>2005</v>
      </c>
      <c r="I5" s="82" t="s">
        <v>574</v>
      </c>
      <c r="J5" s="82"/>
      <c r="K5" s="82" t="s">
        <v>575</v>
      </c>
    </row>
    <row r="6" spans="1:11" ht="16.5" x14ac:dyDescent="0.25">
      <c r="A6" s="77">
        <v>4</v>
      </c>
      <c r="B6" s="78" t="s">
        <v>118</v>
      </c>
      <c r="C6" s="79" t="s">
        <v>573</v>
      </c>
      <c r="D6" s="80">
        <v>21</v>
      </c>
      <c r="E6" s="80">
        <v>219</v>
      </c>
      <c r="F6" s="80">
        <v>5502</v>
      </c>
      <c r="G6" s="79" t="s">
        <v>11</v>
      </c>
      <c r="H6" s="81">
        <v>2005</v>
      </c>
      <c r="I6" s="82" t="s">
        <v>574</v>
      </c>
      <c r="J6" s="82"/>
      <c r="K6" s="82" t="s">
        <v>575</v>
      </c>
    </row>
    <row r="7" spans="1:11" ht="16.5" x14ac:dyDescent="0.25">
      <c r="A7" s="77">
        <v>5</v>
      </c>
      <c r="B7" s="78" t="s">
        <v>92</v>
      </c>
      <c r="C7" s="79" t="s">
        <v>573</v>
      </c>
      <c r="D7" s="80">
        <v>21</v>
      </c>
      <c r="E7" s="80">
        <v>185</v>
      </c>
      <c r="F7" s="80">
        <v>6193</v>
      </c>
      <c r="G7" s="79" t="s">
        <v>11</v>
      </c>
      <c r="H7" s="81">
        <v>2012</v>
      </c>
      <c r="I7" s="82" t="s">
        <v>574</v>
      </c>
      <c r="J7" s="82"/>
      <c r="K7" s="82" t="s">
        <v>575</v>
      </c>
    </row>
    <row r="8" spans="1:11" ht="16.5" x14ac:dyDescent="0.25">
      <c r="A8" s="77">
        <v>6</v>
      </c>
      <c r="B8" s="78" t="s">
        <v>73</v>
      </c>
      <c r="C8" s="79" t="s">
        <v>573</v>
      </c>
      <c r="D8" s="80">
        <v>21</v>
      </c>
      <c r="E8" s="80">
        <v>73</v>
      </c>
      <c r="F8" s="80">
        <v>10414</v>
      </c>
      <c r="G8" s="79" t="s">
        <v>11</v>
      </c>
      <c r="H8" s="81">
        <v>2002</v>
      </c>
      <c r="I8" s="82" t="s">
        <v>574</v>
      </c>
      <c r="J8" s="82"/>
      <c r="K8" s="82" t="s">
        <v>575</v>
      </c>
    </row>
    <row r="9" spans="1:11" ht="16.5" x14ac:dyDescent="0.25">
      <c r="A9" s="77">
        <v>7</v>
      </c>
      <c r="B9" s="78" t="s">
        <v>25</v>
      </c>
      <c r="C9" s="79" t="s">
        <v>573</v>
      </c>
      <c r="D9" s="80">
        <v>21</v>
      </c>
      <c r="E9" s="80">
        <v>75</v>
      </c>
      <c r="F9" s="80">
        <v>7880</v>
      </c>
      <c r="G9" s="79" t="s">
        <v>11</v>
      </c>
      <c r="H9" s="81">
        <v>2000</v>
      </c>
      <c r="I9" s="82" t="s">
        <v>574</v>
      </c>
      <c r="J9" s="82"/>
      <c r="K9" s="82" t="s">
        <v>575</v>
      </c>
    </row>
    <row r="10" spans="1:11" ht="16.5" x14ac:dyDescent="0.25">
      <c r="A10" s="77">
        <v>8</v>
      </c>
      <c r="B10" s="78" t="s">
        <v>49</v>
      </c>
      <c r="C10" s="79" t="s">
        <v>573</v>
      </c>
      <c r="D10" s="80">
        <v>21</v>
      </c>
      <c r="E10" s="80">
        <v>103</v>
      </c>
      <c r="F10" s="80">
        <v>15109</v>
      </c>
      <c r="G10" s="79" t="s">
        <v>11</v>
      </c>
      <c r="H10" s="81">
        <v>2006</v>
      </c>
      <c r="I10" s="82" t="s">
        <v>574</v>
      </c>
      <c r="J10" s="82"/>
      <c r="K10" s="82" t="s">
        <v>575</v>
      </c>
    </row>
    <row r="11" spans="1:11" ht="16.5" x14ac:dyDescent="0.25">
      <c r="A11" s="77">
        <v>9</v>
      </c>
      <c r="B11" s="78" t="s">
        <v>62</v>
      </c>
      <c r="C11" s="79" t="s">
        <v>573</v>
      </c>
      <c r="D11" s="80">
        <v>21</v>
      </c>
      <c r="E11" s="80">
        <v>128</v>
      </c>
      <c r="F11" s="80">
        <v>7919</v>
      </c>
      <c r="G11" s="79" t="s">
        <v>11</v>
      </c>
      <c r="H11" s="81">
        <v>2008</v>
      </c>
      <c r="I11" s="82" t="s">
        <v>574</v>
      </c>
      <c r="J11" s="82"/>
      <c r="K11" s="82" t="s">
        <v>575</v>
      </c>
    </row>
    <row r="12" spans="1:11" ht="16.5" x14ac:dyDescent="0.25">
      <c r="A12" s="77">
        <v>10</v>
      </c>
      <c r="B12" s="78" t="s">
        <v>36</v>
      </c>
      <c r="C12" s="79" t="s">
        <v>573</v>
      </c>
      <c r="D12" s="80">
        <v>21</v>
      </c>
      <c r="E12" s="80">
        <v>93</v>
      </c>
      <c r="F12" s="80">
        <v>9498</v>
      </c>
      <c r="G12" s="79" t="s">
        <v>11</v>
      </c>
      <c r="H12" s="81">
        <v>2000</v>
      </c>
      <c r="I12" s="82" t="s">
        <v>574</v>
      </c>
      <c r="J12" s="82"/>
      <c r="K12" s="82" t="s">
        <v>575</v>
      </c>
    </row>
    <row r="13" spans="1:11" ht="16.5" x14ac:dyDescent="0.25">
      <c r="A13" s="77">
        <v>11</v>
      </c>
      <c r="B13" s="78" t="s">
        <v>29</v>
      </c>
      <c r="C13" s="79" t="s">
        <v>573</v>
      </c>
      <c r="D13" s="80">
        <v>21</v>
      </c>
      <c r="E13" s="80">
        <v>81</v>
      </c>
      <c r="F13" s="80">
        <v>17133</v>
      </c>
      <c r="G13" s="79" t="s">
        <v>11</v>
      </c>
      <c r="H13" s="81">
        <v>2000</v>
      </c>
      <c r="I13" s="82" t="s">
        <v>574</v>
      </c>
      <c r="J13" s="82"/>
      <c r="K13" s="82" t="s">
        <v>575</v>
      </c>
    </row>
    <row r="14" spans="1:11" ht="16.5" x14ac:dyDescent="0.25">
      <c r="A14" s="77">
        <v>12</v>
      </c>
      <c r="B14" s="78" t="s">
        <v>431</v>
      </c>
      <c r="C14" s="79" t="s">
        <v>573</v>
      </c>
      <c r="D14" s="80">
        <v>21</v>
      </c>
      <c r="E14" s="80">
        <v>204</v>
      </c>
      <c r="F14" s="80">
        <v>27683</v>
      </c>
      <c r="G14" s="79" t="s">
        <v>11</v>
      </c>
      <c r="H14" s="81">
        <v>1999</v>
      </c>
      <c r="I14" s="82" t="s">
        <v>574</v>
      </c>
      <c r="J14" s="82"/>
      <c r="K14" s="82" t="s">
        <v>575</v>
      </c>
    </row>
    <row r="15" spans="1:11" ht="16.5" x14ac:dyDescent="0.25">
      <c r="A15" s="77">
        <v>13</v>
      </c>
      <c r="B15" s="78" t="s">
        <v>58</v>
      </c>
      <c r="C15" s="79" t="s">
        <v>573</v>
      </c>
      <c r="D15" s="80">
        <v>21</v>
      </c>
      <c r="E15" s="80">
        <v>119</v>
      </c>
      <c r="F15" s="80">
        <v>19050</v>
      </c>
      <c r="G15" s="79" t="s">
        <v>11</v>
      </c>
      <c r="H15" s="81">
        <v>2007</v>
      </c>
      <c r="I15" s="82" t="s">
        <v>574</v>
      </c>
      <c r="J15" s="82"/>
      <c r="K15" s="82" t="s">
        <v>575</v>
      </c>
    </row>
    <row r="16" spans="1:11" ht="16.5" x14ac:dyDescent="0.25">
      <c r="A16" s="77">
        <v>14</v>
      </c>
      <c r="B16" s="83" t="s">
        <v>577</v>
      </c>
      <c r="C16" s="79" t="s">
        <v>573</v>
      </c>
      <c r="D16" s="84">
        <v>21</v>
      </c>
      <c r="E16" s="84">
        <v>188</v>
      </c>
      <c r="F16" s="84">
        <v>4307</v>
      </c>
      <c r="G16" s="79" t="s">
        <v>11</v>
      </c>
      <c r="H16" s="81">
        <v>2011</v>
      </c>
      <c r="I16" s="82" t="s">
        <v>574</v>
      </c>
      <c r="J16" s="82"/>
      <c r="K16" s="82" t="s">
        <v>575</v>
      </c>
    </row>
    <row r="17" spans="1:11" ht="16.5" x14ac:dyDescent="0.25">
      <c r="A17" s="85">
        <v>15</v>
      </c>
      <c r="B17" s="86" t="s">
        <v>430</v>
      </c>
      <c r="C17" s="79" t="s">
        <v>573</v>
      </c>
      <c r="D17" s="85">
        <v>32</v>
      </c>
      <c r="E17" s="85">
        <v>208</v>
      </c>
      <c r="F17" s="85">
        <v>7778</v>
      </c>
      <c r="G17" s="79" t="s">
        <v>11</v>
      </c>
      <c r="H17" s="81">
        <v>2012</v>
      </c>
      <c r="I17" s="82" t="s">
        <v>574</v>
      </c>
      <c r="J17" s="82"/>
      <c r="K17" s="82" t="s">
        <v>575</v>
      </c>
    </row>
    <row r="18" spans="1:11" ht="16.5" x14ac:dyDescent="0.25">
      <c r="A18" s="87">
        <v>16</v>
      </c>
      <c r="B18" s="87" t="s">
        <v>54</v>
      </c>
      <c r="C18" s="79" t="s">
        <v>573</v>
      </c>
      <c r="D18" s="85">
        <v>21</v>
      </c>
      <c r="E18" s="85">
        <v>113</v>
      </c>
      <c r="F18" s="85">
        <v>5482</v>
      </c>
      <c r="G18" s="79" t="s">
        <v>11</v>
      </c>
      <c r="H18" s="81">
        <v>2009</v>
      </c>
      <c r="I18" s="82" t="s">
        <v>574</v>
      </c>
      <c r="J18" s="82"/>
      <c r="K18" s="82" t="s">
        <v>575</v>
      </c>
    </row>
    <row r="19" spans="1:11" ht="16.5" x14ac:dyDescent="0.25">
      <c r="A19" s="77">
        <v>1</v>
      </c>
      <c r="B19" s="78" t="s">
        <v>122</v>
      </c>
      <c r="C19" s="79" t="s">
        <v>578</v>
      </c>
      <c r="D19" s="80">
        <v>21</v>
      </c>
      <c r="E19" s="80">
        <v>228</v>
      </c>
      <c r="F19" s="80" t="s">
        <v>579</v>
      </c>
      <c r="G19" s="79" t="s">
        <v>11</v>
      </c>
      <c r="H19" s="81">
        <v>2009</v>
      </c>
      <c r="I19" s="82" t="s">
        <v>574</v>
      </c>
      <c r="J19" s="82"/>
      <c r="K19" s="82" t="s">
        <v>575</v>
      </c>
    </row>
    <row r="20" spans="1:11" ht="16.5" x14ac:dyDescent="0.25">
      <c r="A20" s="77">
        <v>2</v>
      </c>
      <c r="B20" s="78" t="s">
        <v>51</v>
      </c>
      <c r="C20" s="79" t="s">
        <v>578</v>
      </c>
      <c r="D20" s="80">
        <v>21</v>
      </c>
      <c r="E20" s="80">
        <v>108</v>
      </c>
      <c r="F20" s="80" t="s">
        <v>580</v>
      </c>
      <c r="G20" s="79" t="s">
        <v>11</v>
      </c>
      <c r="H20" s="81">
        <v>2013</v>
      </c>
      <c r="I20" s="82" t="s">
        <v>574</v>
      </c>
      <c r="J20" s="82"/>
      <c r="K20" s="82" t="s">
        <v>575</v>
      </c>
    </row>
    <row r="21" spans="1:11" ht="16.5" x14ac:dyDescent="0.25">
      <c r="A21" s="77">
        <v>3</v>
      </c>
      <c r="B21" s="78" t="s">
        <v>84</v>
      </c>
      <c r="C21" s="79" t="s">
        <v>578</v>
      </c>
      <c r="D21" s="80">
        <v>21</v>
      </c>
      <c r="E21" s="80">
        <v>164</v>
      </c>
      <c r="F21" s="80" t="s">
        <v>581</v>
      </c>
      <c r="G21" s="79" t="s">
        <v>11</v>
      </c>
      <c r="H21" s="81">
        <v>2010</v>
      </c>
      <c r="I21" s="82" t="s">
        <v>574</v>
      </c>
      <c r="J21" s="82"/>
      <c r="K21" s="82" t="s">
        <v>575</v>
      </c>
    </row>
    <row r="22" spans="1:11" ht="16.5" x14ac:dyDescent="0.25">
      <c r="A22" s="77">
        <v>4</v>
      </c>
      <c r="B22" s="78" t="s">
        <v>88</v>
      </c>
      <c r="C22" s="79" t="s">
        <v>578</v>
      </c>
      <c r="D22" s="80">
        <v>21</v>
      </c>
      <c r="E22" s="80">
        <v>172</v>
      </c>
      <c r="F22" s="80" t="s">
        <v>582</v>
      </c>
      <c r="G22" s="79" t="s">
        <v>11</v>
      </c>
      <c r="H22" s="81">
        <v>2013</v>
      </c>
      <c r="I22" s="82" t="s">
        <v>574</v>
      </c>
      <c r="J22" s="82"/>
      <c r="K22" s="82" t="s">
        <v>575</v>
      </c>
    </row>
    <row r="23" spans="1:11" ht="16.5" x14ac:dyDescent="0.25">
      <c r="A23" s="77">
        <v>5</v>
      </c>
      <c r="B23" s="78" t="s">
        <v>68</v>
      </c>
      <c r="C23" s="79" t="s">
        <v>578</v>
      </c>
      <c r="D23" s="80">
        <v>21</v>
      </c>
      <c r="E23" s="80">
        <v>136</v>
      </c>
      <c r="F23" s="80" t="s">
        <v>583</v>
      </c>
      <c r="G23" s="79" t="s">
        <v>11</v>
      </c>
      <c r="H23" s="81">
        <v>2010</v>
      </c>
      <c r="I23" s="82" t="s">
        <v>574</v>
      </c>
      <c r="J23" s="82"/>
      <c r="K23" s="82" t="s">
        <v>575</v>
      </c>
    </row>
    <row r="24" spans="1:11" ht="16.5" x14ac:dyDescent="0.25">
      <c r="A24" s="77">
        <v>6</v>
      </c>
      <c r="B24" s="78" t="s">
        <v>81</v>
      </c>
      <c r="C24" s="79" t="s">
        <v>578</v>
      </c>
      <c r="D24" s="80">
        <v>21</v>
      </c>
      <c r="E24" s="80">
        <v>156</v>
      </c>
      <c r="F24" s="80" t="s">
        <v>584</v>
      </c>
      <c r="G24" s="79" t="s">
        <v>11</v>
      </c>
      <c r="H24" s="81">
        <v>2013</v>
      </c>
      <c r="I24" s="82" t="s">
        <v>574</v>
      </c>
      <c r="J24" s="82"/>
      <c r="K24" s="82" t="s">
        <v>575</v>
      </c>
    </row>
    <row r="25" spans="1:11" ht="16.5" x14ac:dyDescent="0.25">
      <c r="A25" s="77">
        <v>7</v>
      </c>
      <c r="B25" s="78" t="s">
        <v>89</v>
      </c>
      <c r="C25" s="79" t="s">
        <v>578</v>
      </c>
      <c r="D25" s="80">
        <v>21</v>
      </c>
      <c r="E25" s="80">
        <v>177</v>
      </c>
      <c r="F25" s="80" t="s">
        <v>585</v>
      </c>
      <c r="G25" s="79" t="s">
        <v>11</v>
      </c>
      <c r="H25" s="81">
        <v>2010</v>
      </c>
      <c r="I25" s="82" t="s">
        <v>574</v>
      </c>
      <c r="J25" s="82"/>
      <c r="K25" s="82" t="s">
        <v>575</v>
      </c>
    </row>
    <row r="26" spans="1:11" ht="16.5" x14ac:dyDescent="0.25">
      <c r="A26" s="77">
        <v>8</v>
      </c>
      <c r="B26" s="78" t="s">
        <v>139</v>
      </c>
      <c r="C26" s="79" t="s">
        <v>578</v>
      </c>
      <c r="D26" s="80">
        <v>21</v>
      </c>
      <c r="E26" s="80">
        <v>241</v>
      </c>
      <c r="F26" s="80" t="s">
        <v>586</v>
      </c>
      <c r="G26" s="79" t="s">
        <v>11</v>
      </c>
      <c r="H26" s="81">
        <v>2010</v>
      </c>
      <c r="I26" s="82" t="s">
        <v>574</v>
      </c>
      <c r="J26" s="82"/>
      <c r="K26" s="82" t="s">
        <v>575</v>
      </c>
    </row>
    <row r="27" spans="1:11" ht="16.5" x14ac:dyDescent="0.25">
      <c r="A27" s="77">
        <v>9</v>
      </c>
      <c r="B27" s="78" t="s">
        <v>108</v>
      </c>
      <c r="C27" s="79" t="s">
        <v>578</v>
      </c>
      <c r="D27" s="80">
        <v>21</v>
      </c>
      <c r="E27" s="80">
        <v>203</v>
      </c>
      <c r="F27" s="80">
        <v>11193</v>
      </c>
      <c r="G27" s="79" t="s">
        <v>11</v>
      </c>
      <c r="H27" s="81">
        <v>2010</v>
      </c>
      <c r="I27" s="82" t="s">
        <v>574</v>
      </c>
      <c r="J27" s="82"/>
      <c r="K27" s="82" t="s">
        <v>575</v>
      </c>
    </row>
    <row r="28" spans="1:11" ht="16.5" x14ac:dyDescent="0.25">
      <c r="A28" s="77">
        <v>10</v>
      </c>
      <c r="B28" s="78" t="s">
        <v>68</v>
      </c>
      <c r="C28" s="79" t="s">
        <v>578</v>
      </c>
      <c r="D28" s="80">
        <v>21</v>
      </c>
      <c r="E28" s="80">
        <v>137</v>
      </c>
      <c r="F28" s="80">
        <v>28947</v>
      </c>
      <c r="G28" s="79" t="s">
        <v>11</v>
      </c>
      <c r="H28" s="81">
        <v>2010</v>
      </c>
      <c r="I28" s="82" t="s">
        <v>574</v>
      </c>
      <c r="J28" s="82"/>
      <c r="K28" s="82" t="s">
        <v>575</v>
      </c>
    </row>
    <row r="29" spans="1:11" ht="16.5" x14ac:dyDescent="0.25">
      <c r="A29" s="77">
        <v>11</v>
      </c>
      <c r="B29" s="78" t="s">
        <v>587</v>
      </c>
      <c r="C29" s="79" t="s">
        <v>578</v>
      </c>
      <c r="D29" s="80">
        <v>21</v>
      </c>
      <c r="E29" s="80">
        <v>56</v>
      </c>
      <c r="F29" s="80">
        <v>19329</v>
      </c>
      <c r="G29" s="79" t="s">
        <v>11</v>
      </c>
      <c r="H29" s="81">
        <v>2010</v>
      </c>
      <c r="I29" s="82" t="s">
        <v>574</v>
      </c>
      <c r="J29" s="82"/>
      <c r="K29" s="82" t="s">
        <v>575</v>
      </c>
    </row>
    <row r="30" spans="1:11" ht="16.5" x14ac:dyDescent="0.25">
      <c r="A30" s="77">
        <v>12</v>
      </c>
      <c r="B30" s="78" t="s">
        <v>107</v>
      </c>
      <c r="C30" s="79" t="s">
        <v>578</v>
      </c>
      <c r="D30" s="80">
        <v>21</v>
      </c>
      <c r="E30" s="80">
        <v>202</v>
      </c>
      <c r="F30" s="80">
        <v>25707</v>
      </c>
      <c r="G30" s="79" t="s">
        <v>11</v>
      </c>
      <c r="H30" s="81">
        <v>2007</v>
      </c>
      <c r="I30" s="82" t="s">
        <v>574</v>
      </c>
      <c r="J30" s="82"/>
      <c r="K30" s="82" t="s">
        <v>575</v>
      </c>
    </row>
    <row r="31" spans="1:11" ht="16.5" x14ac:dyDescent="0.25">
      <c r="A31" s="77">
        <v>13</v>
      </c>
      <c r="B31" s="78" t="s">
        <v>408</v>
      </c>
      <c r="C31" s="79" t="s">
        <v>578</v>
      </c>
      <c r="D31" s="80">
        <v>21</v>
      </c>
      <c r="E31" s="80">
        <v>58</v>
      </c>
      <c r="F31" s="80">
        <v>24514</v>
      </c>
      <c r="G31" s="79" t="s">
        <v>11</v>
      </c>
      <c r="H31" s="81">
        <v>2012</v>
      </c>
      <c r="I31" s="82" t="s">
        <v>574</v>
      </c>
      <c r="J31" s="82"/>
      <c r="K31" s="82" t="s">
        <v>575</v>
      </c>
    </row>
    <row r="32" spans="1:11" ht="16.5" x14ac:dyDescent="0.25">
      <c r="A32" s="77">
        <v>14</v>
      </c>
      <c r="B32" s="83" t="s">
        <v>166</v>
      </c>
      <c r="C32" s="79" t="s">
        <v>578</v>
      </c>
      <c r="D32" s="84">
        <v>21</v>
      </c>
      <c r="E32" s="84">
        <v>100</v>
      </c>
      <c r="F32" s="84">
        <v>6385</v>
      </c>
      <c r="G32" s="79" t="s">
        <v>11</v>
      </c>
      <c r="H32" s="81">
        <v>2010</v>
      </c>
      <c r="I32" s="82" t="s">
        <v>574</v>
      </c>
      <c r="J32" s="82"/>
      <c r="K32" s="82" t="s">
        <v>575</v>
      </c>
    </row>
    <row r="33" spans="1:11" ht="16.5" x14ac:dyDescent="0.25">
      <c r="A33" s="85">
        <v>15</v>
      </c>
      <c r="B33" s="86" t="s">
        <v>106</v>
      </c>
      <c r="C33" s="79" t="s">
        <v>578</v>
      </c>
      <c r="D33" s="85">
        <v>21</v>
      </c>
      <c r="E33" s="85">
        <v>200</v>
      </c>
      <c r="F33" s="85">
        <v>24876</v>
      </c>
      <c r="G33" s="79" t="s">
        <v>11</v>
      </c>
      <c r="H33" s="81">
        <v>2006</v>
      </c>
      <c r="I33" s="82" t="s">
        <v>574</v>
      </c>
      <c r="J33" s="82"/>
      <c r="K33" s="82" t="s">
        <v>575</v>
      </c>
    </row>
    <row r="34" spans="1:11" ht="16.5" x14ac:dyDescent="0.25">
      <c r="A34" s="88">
        <v>1</v>
      </c>
      <c r="B34" s="89" t="s">
        <v>143</v>
      </c>
      <c r="C34" s="90" t="s">
        <v>588</v>
      </c>
      <c r="D34" s="91">
        <v>21</v>
      </c>
      <c r="E34" s="91">
        <v>244</v>
      </c>
      <c r="F34" s="91">
        <v>16683</v>
      </c>
      <c r="G34" s="90" t="s">
        <v>11</v>
      </c>
      <c r="H34" s="81">
        <v>2004</v>
      </c>
      <c r="I34" s="82" t="s">
        <v>574</v>
      </c>
      <c r="J34" s="82"/>
      <c r="K34" s="82" t="s">
        <v>575</v>
      </c>
    </row>
    <row r="35" spans="1:11" ht="16.5" x14ac:dyDescent="0.25">
      <c r="A35" s="92">
        <v>2</v>
      </c>
      <c r="B35" s="93" t="s">
        <v>57</v>
      </c>
      <c r="C35" s="90" t="s">
        <v>588</v>
      </c>
      <c r="D35" s="94">
        <v>21</v>
      </c>
      <c r="E35" s="94">
        <v>118</v>
      </c>
      <c r="F35" s="94">
        <v>8810</v>
      </c>
      <c r="G35" s="95" t="s">
        <v>11</v>
      </c>
      <c r="H35" s="81">
        <v>2000</v>
      </c>
      <c r="I35" s="82" t="s">
        <v>574</v>
      </c>
      <c r="J35" s="82"/>
      <c r="K35" s="82" t="s">
        <v>575</v>
      </c>
    </row>
    <row r="36" spans="1:11" ht="16.5" x14ac:dyDescent="0.25">
      <c r="A36" s="77">
        <v>3</v>
      </c>
      <c r="B36" s="78" t="s">
        <v>41</v>
      </c>
      <c r="C36" s="90" t="s">
        <v>588</v>
      </c>
      <c r="D36" s="80">
        <v>21</v>
      </c>
      <c r="E36" s="80">
        <v>96</v>
      </c>
      <c r="F36" s="80">
        <v>9894</v>
      </c>
      <c r="G36" s="79" t="s">
        <v>11</v>
      </c>
      <c r="H36" s="81">
        <v>2010</v>
      </c>
      <c r="I36" s="82" t="s">
        <v>574</v>
      </c>
      <c r="J36" s="82"/>
      <c r="K36" s="82" t="s">
        <v>575</v>
      </c>
    </row>
    <row r="37" spans="1:11" ht="16.5" x14ac:dyDescent="0.25">
      <c r="A37" s="77">
        <v>4</v>
      </c>
      <c r="B37" s="78" t="s">
        <v>589</v>
      </c>
      <c r="C37" s="90" t="s">
        <v>588</v>
      </c>
      <c r="D37" s="80">
        <v>21</v>
      </c>
      <c r="E37" s="80">
        <v>88</v>
      </c>
      <c r="F37" s="80">
        <v>13070</v>
      </c>
      <c r="G37" s="79" t="s">
        <v>11</v>
      </c>
      <c r="H37" s="81">
        <v>2007</v>
      </c>
      <c r="I37" s="82" t="s">
        <v>574</v>
      </c>
      <c r="J37" s="82"/>
      <c r="K37" s="82" t="s">
        <v>575</v>
      </c>
    </row>
    <row r="38" spans="1:11" ht="16.5" x14ac:dyDescent="0.25">
      <c r="A38" s="88">
        <v>1</v>
      </c>
      <c r="B38" s="89" t="s">
        <v>140</v>
      </c>
      <c r="C38" s="90" t="s">
        <v>590</v>
      </c>
      <c r="D38" s="91">
        <v>8</v>
      </c>
      <c r="E38" s="91">
        <v>190</v>
      </c>
      <c r="F38" s="91">
        <v>7991</v>
      </c>
      <c r="G38" s="90" t="s">
        <v>11</v>
      </c>
      <c r="H38" s="81">
        <v>2010</v>
      </c>
      <c r="I38" s="82" t="s">
        <v>574</v>
      </c>
      <c r="J38" s="82"/>
      <c r="K38" s="82" t="s">
        <v>575</v>
      </c>
    </row>
    <row r="39" spans="1:11" ht="16.5" x14ac:dyDescent="0.25">
      <c r="A39" s="92">
        <v>2</v>
      </c>
      <c r="B39" s="93" t="s">
        <v>129</v>
      </c>
      <c r="C39" s="90" t="s">
        <v>590</v>
      </c>
      <c r="D39" s="94">
        <v>18</v>
      </c>
      <c r="E39" s="94">
        <v>224</v>
      </c>
      <c r="F39" s="94">
        <v>5076</v>
      </c>
      <c r="G39" s="95" t="s">
        <v>11</v>
      </c>
      <c r="H39" s="81">
        <v>2006</v>
      </c>
      <c r="I39" s="82" t="s">
        <v>574</v>
      </c>
      <c r="J39" s="82"/>
      <c r="K39" s="82" t="s">
        <v>575</v>
      </c>
    </row>
    <row r="40" spans="1:11" ht="16.5" x14ac:dyDescent="0.25">
      <c r="A40" s="77">
        <v>3</v>
      </c>
      <c r="B40" s="78" t="s">
        <v>100</v>
      </c>
      <c r="C40" s="90" t="s">
        <v>590</v>
      </c>
      <c r="D40" s="80">
        <v>18</v>
      </c>
      <c r="E40" s="80">
        <v>225</v>
      </c>
      <c r="F40" s="80">
        <v>7397</v>
      </c>
      <c r="G40" s="79" t="s">
        <v>11</v>
      </c>
      <c r="H40" s="81">
        <v>2007</v>
      </c>
      <c r="I40" s="82" t="s">
        <v>574</v>
      </c>
      <c r="J40" s="82"/>
      <c r="K40" s="82" t="s">
        <v>575</v>
      </c>
    </row>
    <row r="41" spans="1:11" ht="16.5" x14ac:dyDescent="0.25">
      <c r="A41" s="77">
        <v>4</v>
      </c>
      <c r="B41" s="78" t="s">
        <v>400</v>
      </c>
      <c r="C41" s="90" t="s">
        <v>590</v>
      </c>
      <c r="D41" s="80">
        <v>8</v>
      </c>
      <c r="E41" s="80">
        <v>207</v>
      </c>
      <c r="F41" s="80">
        <v>2612</v>
      </c>
      <c r="G41" s="79" t="s">
        <v>11</v>
      </c>
      <c r="H41" s="81">
        <v>2008</v>
      </c>
      <c r="I41" s="82" t="s">
        <v>574</v>
      </c>
      <c r="J41" s="82"/>
      <c r="K41" s="82" t="s">
        <v>575</v>
      </c>
    </row>
    <row r="42" spans="1:11" ht="16.5" x14ac:dyDescent="0.25">
      <c r="A42" s="88">
        <v>5</v>
      </c>
      <c r="B42" s="87" t="s">
        <v>133</v>
      </c>
      <c r="C42" s="90" t="s">
        <v>590</v>
      </c>
      <c r="D42" s="85">
        <v>3</v>
      </c>
      <c r="E42" s="85">
        <v>265</v>
      </c>
      <c r="F42" s="85">
        <v>6068</v>
      </c>
      <c r="G42" s="79" t="s">
        <v>11</v>
      </c>
      <c r="H42" s="81">
        <v>2000</v>
      </c>
      <c r="I42" s="82" t="s">
        <v>574</v>
      </c>
      <c r="J42" s="82"/>
      <c r="K42" s="82" t="s">
        <v>575</v>
      </c>
    </row>
    <row r="43" spans="1:11" ht="16.5" x14ac:dyDescent="0.25">
      <c r="A43" s="92">
        <v>6</v>
      </c>
      <c r="B43" s="87" t="s">
        <v>591</v>
      </c>
      <c r="C43" s="90" t="s">
        <v>590</v>
      </c>
      <c r="D43" s="85">
        <v>8</v>
      </c>
      <c r="E43" s="85">
        <v>203</v>
      </c>
      <c r="F43" s="85">
        <v>2670</v>
      </c>
      <c r="G43" s="79" t="s">
        <v>11</v>
      </c>
      <c r="H43" s="81">
        <v>2007</v>
      </c>
      <c r="I43" s="82" t="s">
        <v>574</v>
      </c>
      <c r="J43" s="82"/>
      <c r="K43" s="82" t="s">
        <v>575</v>
      </c>
    </row>
    <row r="44" spans="1:11" ht="16.5" x14ac:dyDescent="0.25">
      <c r="A44" s="77">
        <v>1</v>
      </c>
      <c r="B44" s="78" t="s">
        <v>67</v>
      </c>
      <c r="C44" s="79" t="s">
        <v>592</v>
      </c>
      <c r="D44" s="80">
        <v>6</v>
      </c>
      <c r="E44" s="80">
        <v>42</v>
      </c>
      <c r="F44" s="80">
        <v>3867</v>
      </c>
      <c r="G44" s="79" t="s">
        <v>11</v>
      </c>
      <c r="H44" s="81">
        <v>2013</v>
      </c>
      <c r="I44" s="82" t="s">
        <v>574</v>
      </c>
      <c r="J44" s="82"/>
      <c r="K44" s="82" t="s">
        <v>575</v>
      </c>
    </row>
    <row r="45" spans="1:11" ht="16.5" x14ac:dyDescent="0.25">
      <c r="A45" s="77">
        <v>2</v>
      </c>
      <c r="B45" s="78" t="s">
        <v>593</v>
      </c>
      <c r="C45" s="79" t="s">
        <v>592</v>
      </c>
      <c r="D45" s="80">
        <v>7</v>
      </c>
      <c r="E45" s="80">
        <v>280</v>
      </c>
      <c r="F45" s="80">
        <v>3256</v>
      </c>
      <c r="G45" s="79" t="s">
        <v>11</v>
      </c>
      <c r="H45" s="81">
        <v>2009</v>
      </c>
      <c r="I45" s="82" t="s">
        <v>574</v>
      </c>
      <c r="J45" s="82"/>
      <c r="K45" s="82" t="s">
        <v>575</v>
      </c>
    </row>
    <row r="46" spans="1:11" ht="16.5" x14ac:dyDescent="0.25">
      <c r="A46" s="77">
        <v>3</v>
      </c>
      <c r="B46" s="78" t="s">
        <v>15</v>
      </c>
      <c r="C46" s="79" t="s">
        <v>592</v>
      </c>
      <c r="D46" s="80">
        <v>5</v>
      </c>
      <c r="E46" s="80">
        <v>23</v>
      </c>
      <c r="F46" s="80">
        <v>3744</v>
      </c>
      <c r="G46" s="79" t="s">
        <v>11</v>
      </c>
      <c r="H46" s="81">
        <v>2011</v>
      </c>
      <c r="I46" s="82" t="s">
        <v>574</v>
      </c>
      <c r="J46" s="82"/>
      <c r="K46" s="82" t="s">
        <v>575</v>
      </c>
    </row>
    <row r="47" spans="1:11" ht="16.5" x14ac:dyDescent="0.25">
      <c r="A47" s="77">
        <v>4</v>
      </c>
      <c r="B47" s="78" t="s">
        <v>75</v>
      </c>
      <c r="C47" s="79" t="s">
        <v>592</v>
      </c>
      <c r="D47" s="80">
        <v>3</v>
      </c>
      <c r="E47" s="80">
        <v>10</v>
      </c>
      <c r="F47" s="80">
        <v>2390</v>
      </c>
      <c r="G47" s="79" t="s">
        <v>11</v>
      </c>
      <c r="H47" s="81">
        <v>2013</v>
      </c>
      <c r="I47" s="82" t="s">
        <v>574</v>
      </c>
      <c r="J47" s="82"/>
      <c r="K47" s="82" t="s">
        <v>575</v>
      </c>
    </row>
    <row r="48" spans="1:11" ht="16.5" x14ac:dyDescent="0.25">
      <c r="A48" s="77">
        <v>1</v>
      </c>
      <c r="B48" s="78" t="s">
        <v>77</v>
      </c>
      <c r="C48" s="79" t="s">
        <v>594</v>
      </c>
      <c r="D48" s="80">
        <v>1</v>
      </c>
      <c r="E48" s="80">
        <v>529</v>
      </c>
      <c r="F48" s="80">
        <v>6204</v>
      </c>
      <c r="G48" s="79" t="s">
        <v>11</v>
      </c>
      <c r="H48" s="81">
        <v>2000</v>
      </c>
      <c r="I48" s="82" t="s">
        <v>574</v>
      </c>
      <c r="J48" s="82"/>
      <c r="K48" s="82" t="s">
        <v>575</v>
      </c>
    </row>
    <row r="49" spans="1:11" ht="16.5" x14ac:dyDescent="0.25">
      <c r="A49" s="88">
        <v>1</v>
      </c>
      <c r="B49" s="89" t="s">
        <v>45</v>
      </c>
      <c r="C49" s="90" t="s">
        <v>595</v>
      </c>
      <c r="D49" s="91">
        <v>21</v>
      </c>
      <c r="E49" s="91">
        <v>101</v>
      </c>
      <c r="F49" s="91">
        <v>5676</v>
      </c>
      <c r="G49" s="90" t="s">
        <v>11</v>
      </c>
      <c r="H49" s="81">
        <v>2006</v>
      </c>
      <c r="I49" s="82" t="s">
        <v>574</v>
      </c>
      <c r="J49" s="82"/>
      <c r="K49" s="82" t="s">
        <v>575</v>
      </c>
    </row>
    <row r="50" spans="1:11" ht="16.5" x14ac:dyDescent="0.25">
      <c r="A50" s="77">
        <v>1</v>
      </c>
      <c r="B50" s="78" t="s">
        <v>613</v>
      </c>
      <c r="C50" s="79" t="s">
        <v>176</v>
      </c>
      <c r="D50" s="80">
        <v>21</v>
      </c>
      <c r="E50" s="80">
        <v>5195</v>
      </c>
      <c r="F50" s="80">
        <v>10616</v>
      </c>
      <c r="G50" s="79" t="s">
        <v>11</v>
      </c>
      <c r="H50" s="81">
        <v>2015</v>
      </c>
      <c r="I50" s="82" t="s">
        <v>574</v>
      </c>
      <c r="J50" s="82"/>
      <c r="K50" s="82" t="s">
        <v>575</v>
      </c>
    </row>
    <row r="51" spans="1:11" ht="16.5" x14ac:dyDescent="0.25">
      <c r="A51" s="77">
        <v>1</v>
      </c>
      <c r="B51" s="78" t="s">
        <v>596</v>
      </c>
      <c r="C51" s="79" t="s">
        <v>597</v>
      </c>
      <c r="D51" s="80">
        <v>1</v>
      </c>
      <c r="E51" s="80">
        <v>5</v>
      </c>
      <c r="F51" s="80">
        <v>4218</v>
      </c>
      <c r="G51" s="79" t="s">
        <v>11</v>
      </c>
      <c r="H51" s="81">
        <v>2011</v>
      </c>
      <c r="I51" s="82" t="s">
        <v>574</v>
      </c>
      <c r="J51" s="82"/>
      <c r="K51" s="82" t="s">
        <v>575</v>
      </c>
    </row>
    <row r="52" spans="1:11" ht="16.5" x14ac:dyDescent="0.25">
      <c r="A52" s="77">
        <v>1</v>
      </c>
      <c r="B52" s="78" t="s">
        <v>121</v>
      </c>
      <c r="C52" s="79" t="s">
        <v>176</v>
      </c>
      <c r="D52" s="80">
        <v>21</v>
      </c>
      <c r="E52" s="80">
        <v>225</v>
      </c>
      <c r="F52" s="80">
        <v>8882</v>
      </c>
      <c r="G52" s="79" t="s">
        <v>11</v>
      </c>
      <c r="H52" s="81">
        <v>2007</v>
      </c>
      <c r="I52" s="82" t="s">
        <v>574</v>
      </c>
      <c r="J52" s="82"/>
      <c r="K52" s="82" t="s">
        <v>575</v>
      </c>
    </row>
    <row r="53" spans="1:11" ht="16.5" x14ac:dyDescent="0.25">
      <c r="A53" s="77">
        <v>2</v>
      </c>
      <c r="B53" s="78" t="s">
        <v>76</v>
      </c>
      <c r="C53" s="79" t="s">
        <v>176</v>
      </c>
      <c r="D53" s="80">
        <v>21</v>
      </c>
      <c r="E53" s="80">
        <v>148</v>
      </c>
      <c r="F53" s="80">
        <v>9342</v>
      </c>
      <c r="G53" s="79" t="s">
        <v>11</v>
      </c>
      <c r="H53" s="81">
        <v>2010</v>
      </c>
      <c r="I53" s="82" t="s">
        <v>574</v>
      </c>
      <c r="J53" s="82"/>
      <c r="K53" s="82" t="s">
        <v>575</v>
      </c>
    </row>
    <row r="54" spans="1:11" ht="16.5" x14ac:dyDescent="0.25">
      <c r="A54" s="77">
        <v>3</v>
      </c>
      <c r="B54" s="78" t="s">
        <v>147</v>
      </c>
      <c r="C54" s="79" t="s">
        <v>176</v>
      </c>
      <c r="D54" s="80">
        <v>21</v>
      </c>
      <c r="E54" s="80">
        <v>250</v>
      </c>
      <c r="F54" s="80">
        <v>48535</v>
      </c>
      <c r="G54" s="79" t="s">
        <v>11</v>
      </c>
      <c r="H54" s="81">
        <v>2000</v>
      </c>
      <c r="I54" s="82" t="s">
        <v>574</v>
      </c>
      <c r="J54" s="82"/>
      <c r="K54" s="82" t="s">
        <v>575</v>
      </c>
    </row>
    <row r="55" spans="1:11" ht="16.5" x14ac:dyDescent="0.25">
      <c r="A55" s="77">
        <v>4</v>
      </c>
      <c r="B55" s="78" t="s">
        <v>40</v>
      </c>
      <c r="C55" s="79" t="s">
        <v>176</v>
      </c>
      <c r="D55" s="80">
        <v>21</v>
      </c>
      <c r="E55" s="80">
        <v>95</v>
      </c>
      <c r="F55" s="80">
        <v>11950</v>
      </c>
      <c r="G55" s="79" t="s">
        <v>11</v>
      </c>
      <c r="H55" s="81">
        <v>2006</v>
      </c>
      <c r="I55" s="82" t="s">
        <v>574</v>
      </c>
      <c r="J55" s="82"/>
      <c r="K55" s="82" t="s">
        <v>575</v>
      </c>
    </row>
    <row r="56" spans="1:11" ht="16.5" x14ac:dyDescent="0.25">
      <c r="A56" s="77">
        <v>5</v>
      </c>
      <c r="B56" s="78" t="s">
        <v>115</v>
      </c>
      <c r="C56" s="79" t="s">
        <v>176</v>
      </c>
      <c r="D56" s="80">
        <v>21</v>
      </c>
      <c r="E56" s="80">
        <v>215</v>
      </c>
      <c r="F56" s="80">
        <v>15445</v>
      </c>
      <c r="G56" s="79" t="s">
        <v>11</v>
      </c>
      <c r="H56" s="81">
        <v>1990</v>
      </c>
      <c r="I56" s="82" t="s">
        <v>574</v>
      </c>
      <c r="J56" s="82"/>
      <c r="K56" s="82" t="s">
        <v>575</v>
      </c>
    </row>
    <row r="57" spans="1:11" ht="16.5" x14ac:dyDescent="0.25">
      <c r="A57" s="77">
        <v>6</v>
      </c>
      <c r="B57" s="78" t="s">
        <v>181</v>
      </c>
      <c r="C57" s="79" t="s">
        <v>176</v>
      </c>
      <c r="D57" s="80">
        <v>21</v>
      </c>
      <c r="E57" s="80">
        <v>67</v>
      </c>
      <c r="F57" s="80">
        <v>15079</v>
      </c>
      <c r="G57" s="79" t="s">
        <v>11</v>
      </c>
      <c r="H57" s="81">
        <v>2000</v>
      </c>
      <c r="I57" s="82" t="s">
        <v>574</v>
      </c>
      <c r="J57" s="82"/>
      <c r="K57" s="82" t="s">
        <v>575</v>
      </c>
    </row>
    <row r="58" spans="1:11" ht="16.5" x14ac:dyDescent="0.25">
      <c r="A58" s="77">
        <v>7</v>
      </c>
      <c r="B58" s="78" t="s">
        <v>598</v>
      </c>
      <c r="C58" s="79" t="s">
        <v>176</v>
      </c>
      <c r="D58" s="80">
        <v>21</v>
      </c>
      <c r="E58" s="80">
        <v>97</v>
      </c>
      <c r="F58" s="80">
        <v>11284</v>
      </c>
      <c r="G58" s="79" t="s">
        <v>11</v>
      </c>
      <c r="H58" s="81">
        <v>1999</v>
      </c>
      <c r="I58" s="82" t="s">
        <v>574</v>
      </c>
      <c r="J58" s="82"/>
      <c r="K58" s="82" t="s">
        <v>575</v>
      </c>
    </row>
    <row r="59" spans="1:11" ht="16.5" x14ac:dyDescent="0.25">
      <c r="A59" s="77">
        <v>8</v>
      </c>
      <c r="B59" s="78" t="s">
        <v>119</v>
      </c>
      <c r="C59" s="79" t="s">
        <v>176</v>
      </c>
      <c r="D59" s="80">
        <v>21</v>
      </c>
      <c r="E59" s="80">
        <v>222</v>
      </c>
      <c r="F59" s="80">
        <v>15748</v>
      </c>
      <c r="G59" s="79" t="s">
        <v>11</v>
      </c>
      <c r="H59" s="81">
        <v>2000</v>
      </c>
      <c r="I59" s="82" t="s">
        <v>574</v>
      </c>
      <c r="J59" s="82"/>
      <c r="K59" s="82" t="s">
        <v>575</v>
      </c>
    </row>
    <row r="60" spans="1:11" ht="16.5" x14ac:dyDescent="0.25">
      <c r="A60" s="77">
        <v>9</v>
      </c>
      <c r="B60" s="78" t="s">
        <v>80</v>
      </c>
      <c r="C60" s="79" t="s">
        <v>176</v>
      </c>
      <c r="D60" s="80">
        <v>21</v>
      </c>
      <c r="E60" s="80">
        <v>154</v>
      </c>
      <c r="F60" s="80">
        <v>12952</v>
      </c>
      <c r="G60" s="79" t="s">
        <v>11</v>
      </c>
      <c r="H60" s="81">
        <v>2006</v>
      </c>
      <c r="I60" s="82" t="s">
        <v>574</v>
      </c>
      <c r="J60" s="82"/>
      <c r="K60" s="82" t="s">
        <v>575</v>
      </c>
    </row>
    <row r="61" spans="1:11" ht="16.5" x14ac:dyDescent="0.25">
      <c r="A61" s="77">
        <v>10</v>
      </c>
      <c r="B61" s="78" t="s">
        <v>82</v>
      </c>
      <c r="C61" s="79" t="s">
        <v>176</v>
      </c>
      <c r="D61" s="80">
        <v>21</v>
      </c>
      <c r="E61" s="80">
        <v>158</v>
      </c>
      <c r="F61" s="80">
        <v>8768</v>
      </c>
      <c r="G61" s="79" t="s">
        <v>11</v>
      </c>
      <c r="H61" s="81">
        <v>2012</v>
      </c>
      <c r="I61" s="82" t="s">
        <v>574</v>
      </c>
      <c r="J61" s="82"/>
      <c r="K61" s="82" t="s">
        <v>575</v>
      </c>
    </row>
    <row r="62" spans="1:11" ht="16.5" x14ac:dyDescent="0.25">
      <c r="A62" s="77">
        <v>11</v>
      </c>
      <c r="B62" s="78" t="s">
        <v>102</v>
      </c>
      <c r="C62" s="79" t="s">
        <v>176</v>
      </c>
      <c r="D62" s="80">
        <v>21</v>
      </c>
      <c r="E62" s="80">
        <v>196</v>
      </c>
      <c r="F62" s="80">
        <v>6110</v>
      </c>
      <c r="G62" s="79" t="s">
        <v>11</v>
      </c>
      <c r="H62" s="81">
        <v>2011</v>
      </c>
      <c r="I62" s="82" t="s">
        <v>574</v>
      </c>
      <c r="J62" s="82"/>
      <c r="K62" s="82" t="s">
        <v>575</v>
      </c>
    </row>
    <row r="63" spans="1:11" ht="16.5" x14ac:dyDescent="0.25">
      <c r="A63" s="77">
        <v>12</v>
      </c>
      <c r="B63" s="78" t="s">
        <v>85</v>
      </c>
      <c r="C63" s="79" t="s">
        <v>176</v>
      </c>
      <c r="D63" s="80">
        <v>21</v>
      </c>
      <c r="E63" s="80">
        <v>166</v>
      </c>
      <c r="F63" s="80">
        <v>15614</v>
      </c>
      <c r="G63" s="79" t="s">
        <v>11</v>
      </c>
      <c r="H63" s="81">
        <v>2005</v>
      </c>
      <c r="I63" s="82" t="s">
        <v>574</v>
      </c>
      <c r="J63" s="82"/>
      <c r="K63" s="82" t="s">
        <v>575</v>
      </c>
    </row>
    <row r="64" spans="1:11" ht="16.5" x14ac:dyDescent="0.25">
      <c r="A64" s="77">
        <v>13</v>
      </c>
      <c r="B64" s="78" t="s">
        <v>28</v>
      </c>
      <c r="C64" s="79" t="s">
        <v>176</v>
      </c>
      <c r="D64" s="80">
        <v>21</v>
      </c>
      <c r="E64" s="80">
        <v>78</v>
      </c>
      <c r="F64" s="80">
        <v>18415</v>
      </c>
      <c r="G64" s="79" t="s">
        <v>11</v>
      </c>
      <c r="H64" s="81">
        <v>2006</v>
      </c>
      <c r="I64" s="82" t="s">
        <v>574</v>
      </c>
      <c r="J64" s="82"/>
      <c r="K64" s="82" t="s">
        <v>575</v>
      </c>
    </row>
    <row r="65" spans="1:11" ht="16.5" x14ac:dyDescent="0.25">
      <c r="A65" s="77">
        <v>14</v>
      </c>
      <c r="B65" s="83" t="s">
        <v>52</v>
      </c>
      <c r="C65" s="79" t="s">
        <v>176</v>
      </c>
      <c r="D65" s="84">
        <v>21</v>
      </c>
      <c r="E65" s="84">
        <v>111</v>
      </c>
      <c r="F65" s="84">
        <v>5678</v>
      </c>
      <c r="G65" s="79" t="s">
        <v>11</v>
      </c>
      <c r="H65" s="81">
        <v>2006</v>
      </c>
      <c r="I65" s="82" t="s">
        <v>574</v>
      </c>
      <c r="J65" s="82"/>
      <c r="K65" s="82" t="s">
        <v>575</v>
      </c>
    </row>
    <row r="66" spans="1:11" ht="16.5" x14ac:dyDescent="0.25">
      <c r="A66" s="77">
        <v>15</v>
      </c>
      <c r="B66" s="83" t="s">
        <v>110</v>
      </c>
      <c r="C66" s="79" t="s">
        <v>176</v>
      </c>
      <c r="D66" s="84">
        <v>21</v>
      </c>
      <c r="E66" s="84">
        <v>206</v>
      </c>
      <c r="F66" s="84">
        <v>38824</v>
      </c>
      <c r="G66" s="79" t="s">
        <v>11</v>
      </c>
      <c r="H66" s="81">
        <v>2008</v>
      </c>
      <c r="I66" s="82" t="s">
        <v>574</v>
      </c>
      <c r="J66" s="82"/>
      <c r="K66" s="82" t="s">
        <v>575</v>
      </c>
    </row>
    <row r="67" spans="1:11" ht="16.5" x14ac:dyDescent="0.25">
      <c r="A67" s="77">
        <v>16</v>
      </c>
      <c r="B67" s="83" t="s">
        <v>99</v>
      </c>
      <c r="C67" s="79" t="s">
        <v>176</v>
      </c>
      <c r="D67" s="84">
        <v>21</v>
      </c>
      <c r="E67" s="84">
        <v>194</v>
      </c>
      <c r="F67" s="84">
        <v>13244</v>
      </c>
      <c r="G67" s="79" t="s">
        <v>11</v>
      </c>
      <c r="H67" s="81">
        <v>2012</v>
      </c>
      <c r="I67" s="82" t="s">
        <v>574</v>
      </c>
      <c r="J67" s="82"/>
      <c r="K67" s="82" t="s">
        <v>575</v>
      </c>
    </row>
    <row r="68" spans="1:11" ht="16.5" x14ac:dyDescent="0.25">
      <c r="A68" s="77">
        <v>17</v>
      </c>
      <c r="B68" s="83" t="s">
        <v>86</v>
      </c>
      <c r="C68" s="79" t="s">
        <v>176</v>
      </c>
      <c r="D68" s="84">
        <v>21</v>
      </c>
      <c r="E68" s="84">
        <v>168</v>
      </c>
      <c r="F68" s="84">
        <v>7328</v>
      </c>
      <c r="G68" s="79" t="s">
        <v>11</v>
      </c>
      <c r="H68" s="81">
        <v>2008</v>
      </c>
      <c r="I68" s="82" t="s">
        <v>574</v>
      </c>
      <c r="J68" s="82"/>
      <c r="K68" s="82" t="s">
        <v>575</v>
      </c>
    </row>
    <row r="69" spans="1:11" ht="16.5" x14ac:dyDescent="0.25">
      <c r="A69" s="77">
        <v>18</v>
      </c>
      <c r="B69" s="83" t="s">
        <v>78</v>
      </c>
      <c r="C69" s="79" t="s">
        <v>176</v>
      </c>
      <c r="D69" s="84">
        <v>21</v>
      </c>
      <c r="E69" s="84">
        <v>149</v>
      </c>
      <c r="F69" s="84">
        <v>6275</v>
      </c>
      <c r="G69" s="79" t="s">
        <v>11</v>
      </c>
      <c r="H69" s="81">
        <v>2007</v>
      </c>
      <c r="I69" s="82" t="s">
        <v>574</v>
      </c>
      <c r="J69" s="82"/>
      <c r="K69" s="82" t="s">
        <v>575</v>
      </c>
    </row>
    <row r="70" spans="1:11" ht="16.5" x14ac:dyDescent="0.25">
      <c r="A70" s="77">
        <v>19</v>
      </c>
      <c r="B70" s="83" t="s">
        <v>88</v>
      </c>
      <c r="C70" s="79" t="s">
        <v>176</v>
      </c>
      <c r="D70" s="84">
        <v>21</v>
      </c>
      <c r="E70" s="84">
        <v>175</v>
      </c>
      <c r="F70" s="84">
        <v>19372</v>
      </c>
      <c r="G70" s="79" t="s">
        <v>11</v>
      </c>
      <c r="H70" s="81">
        <v>2007</v>
      </c>
      <c r="I70" s="82" t="s">
        <v>574</v>
      </c>
      <c r="J70" s="82"/>
      <c r="K70" s="82" t="s">
        <v>575</v>
      </c>
    </row>
    <row r="71" spans="1:11" ht="16.5" x14ac:dyDescent="0.25">
      <c r="A71" s="77">
        <v>20</v>
      </c>
      <c r="B71" s="83" t="s">
        <v>90</v>
      </c>
      <c r="C71" s="79" t="s">
        <v>176</v>
      </c>
      <c r="D71" s="84">
        <v>21</v>
      </c>
      <c r="E71" s="84">
        <v>181</v>
      </c>
      <c r="F71" s="84">
        <v>26159</v>
      </c>
      <c r="G71" s="79" t="s">
        <v>11</v>
      </c>
      <c r="H71" s="81">
        <v>2010</v>
      </c>
      <c r="I71" s="82" t="s">
        <v>574</v>
      </c>
      <c r="J71" s="82"/>
      <c r="K71" s="82" t="s">
        <v>575</v>
      </c>
    </row>
    <row r="72" spans="1:11" ht="16.5" x14ac:dyDescent="0.25">
      <c r="A72" s="77">
        <v>21</v>
      </c>
      <c r="B72" s="86" t="s">
        <v>20</v>
      </c>
      <c r="C72" s="79" t="s">
        <v>176</v>
      </c>
      <c r="D72" s="85">
        <v>21</v>
      </c>
      <c r="E72" s="85">
        <v>65</v>
      </c>
      <c r="F72" s="85">
        <v>14272</v>
      </c>
      <c r="G72" s="79" t="s">
        <v>11</v>
      </c>
      <c r="H72" s="81">
        <v>2010</v>
      </c>
      <c r="I72" s="82" t="s">
        <v>574</v>
      </c>
      <c r="J72" s="82"/>
      <c r="K72" s="82" t="s">
        <v>575</v>
      </c>
    </row>
    <row r="73" spans="1:11" ht="16.5" x14ac:dyDescent="0.25">
      <c r="A73" s="77">
        <v>22</v>
      </c>
      <c r="B73" s="87" t="s">
        <v>180</v>
      </c>
      <c r="C73" s="79" t="s">
        <v>176</v>
      </c>
      <c r="D73" s="85">
        <v>21</v>
      </c>
      <c r="E73" s="85">
        <v>60</v>
      </c>
      <c r="F73" s="85">
        <v>23170</v>
      </c>
      <c r="G73" s="79" t="s">
        <v>11</v>
      </c>
      <c r="H73" s="81">
        <v>1998</v>
      </c>
      <c r="I73" s="82" t="s">
        <v>574</v>
      </c>
      <c r="J73" s="82"/>
      <c r="K73" s="82" t="s">
        <v>575</v>
      </c>
    </row>
  </sheetData>
  <mergeCells count="11">
    <mergeCell ref="G1:G2"/>
    <mergeCell ref="H1:H2"/>
    <mergeCell ref="I1:I2"/>
    <mergeCell ref="J1:J2"/>
    <mergeCell ref="K1:K2"/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4889"/>
  <sheetViews>
    <sheetView topLeftCell="A7" zoomScaleNormal="100" workbookViewId="0">
      <selection activeCell="J7" sqref="J7"/>
    </sheetView>
  </sheetViews>
  <sheetFormatPr defaultColWidth="9.140625" defaultRowHeight="15" customHeight="1" x14ac:dyDescent="0.25"/>
  <cols>
    <col min="1" max="9" width="9.140625" style="75"/>
    <col min="10" max="10" width="17.85546875" style="75" bestFit="1" customWidth="1"/>
    <col min="11" max="254" width="9.140625" style="75"/>
    <col min="255" max="255" width="9.28515625" style="75" customWidth="1"/>
    <col min="256" max="510" width="9.140625" style="75"/>
    <col min="511" max="511" width="9.28515625" style="75" customWidth="1"/>
    <col min="512" max="766" width="9.140625" style="75"/>
    <col min="767" max="767" width="9.28515625" style="75" customWidth="1"/>
    <col min="768" max="1022" width="9.140625" style="75"/>
    <col min="1023" max="1023" width="9.28515625" style="75" customWidth="1"/>
    <col min="1024" max="1278" width="9.140625" style="75"/>
    <col min="1279" max="1279" width="9.28515625" style="75" customWidth="1"/>
    <col min="1280" max="1534" width="9.140625" style="75"/>
    <col min="1535" max="1535" width="9.28515625" style="75" customWidth="1"/>
    <col min="1536" max="1790" width="9.140625" style="75"/>
    <col min="1791" max="1791" width="9.28515625" style="75" customWidth="1"/>
    <col min="1792" max="2046" width="9.140625" style="75"/>
    <col min="2047" max="2047" width="9.28515625" style="75" customWidth="1"/>
    <col min="2048" max="2302" width="9.140625" style="75"/>
    <col min="2303" max="2303" width="9.28515625" style="75" customWidth="1"/>
    <col min="2304" max="2558" width="9.140625" style="75"/>
    <col min="2559" max="2559" width="9.28515625" style="75" customWidth="1"/>
    <col min="2560" max="2814" width="9.140625" style="75"/>
    <col min="2815" max="2815" width="9.28515625" style="75" customWidth="1"/>
    <col min="2816" max="3070" width="9.140625" style="75"/>
    <col min="3071" max="3071" width="9.28515625" style="75" customWidth="1"/>
    <col min="3072" max="3326" width="9.140625" style="75"/>
    <col min="3327" max="3327" width="9.28515625" style="75" customWidth="1"/>
    <col min="3328" max="3582" width="9.140625" style="75"/>
    <col min="3583" max="3583" width="9.28515625" style="75" customWidth="1"/>
    <col min="3584" max="3838" width="9.140625" style="75"/>
    <col min="3839" max="3839" width="9.28515625" style="75" customWidth="1"/>
    <col min="3840" max="4094" width="9.140625" style="75"/>
    <col min="4095" max="4095" width="9.28515625" style="75" customWidth="1"/>
    <col min="4096" max="4350" width="9.140625" style="75"/>
    <col min="4351" max="4351" width="9.28515625" style="75" customWidth="1"/>
    <col min="4352" max="4606" width="9.140625" style="75"/>
    <col min="4607" max="4607" width="9.28515625" style="75" customWidth="1"/>
    <col min="4608" max="4862" width="9.140625" style="75"/>
    <col min="4863" max="4863" width="9.28515625" style="75" customWidth="1"/>
    <col min="4864" max="5118" width="9.140625" style="75"/>
    <col min="5119" max="5119" width="9.28515625" style="75" customWidth="1"/>
    <col min="5120" max="5374" width="9.140625" style="75"/>
    <col min="5375" max="5375" width="9.28515625" style="75" customWidth="1"/>
    <col min="5376" max="5630" width="9.140625" style="75"/>
    <col min="5631" max="5631" width="9.28515625" style="75" customWidth="1"/>
    <col min="5632" max="5886" width="9.140625" style="75"/>
    <col min="5887" max="5887" width="9.28515625" style="75" customWidth="1"/>
    <col min="5888" max="6142" width="9.140625" style="75"/>
    <col min="6143" max="6143" width="9.28515625" style="75" customWidth="1"/>
    <col min="6144" max="6398" width="9.140625" style="75"/>
    <col min="6399" max="6399" width="9.28515625" style="75" customWidth="1"/>
    <col min="6400" max="6654" width="9.140625" style="75"/>
    <col min="6655" max="6655" width="9.28515625" style="75" customWidth="1"/>
    <col min="6656" max="6910" width="9.140625" style="75"/>
    <col min="6911" max="6911" width="9.28515625" style="75" customWidth="1"/>
    <col min="6912" max="7166" width="9.140625" style="75"/>
    <col min="7167" max="7167" width="9.28515625" style="75" customWidth="1"/>
    <col min="7168" max="7422" width="9.140625" style="75"/>
    <col min="7423" max="7423" width="9.28515625" style="75" customWidth="1"/>
    <col min="7424" max="7678" width="9.140625" style="75"/>
    <col min="7679" max="7679" width="9.28515625" style="75" customWidth="1"/>
    <col min="7680" max="7934" width="9.140625" style="75"/>
    <col min="7935" max="7935" width="9.28515625" style="75" customWidth="1"/>
    <col min="7936" max="8190" width="9.140625" style="75"/>
    <col min="8191" max="8191" width="9.28515625" style="75" customWidth="1"/>
    <col min="8192" max="8446" width="9.140625" style="75"/>
    <col min="8447" max="8447" width="9.28515625" style="75" customWidth="1"/>
    <col min="8448" max="8702" width="9.140625" style="75"/>
    <col min="8703" max="8703" width="9.28515625" style="75" customWidth="1"/>
    <col min="8704" max="8958" width="9.140625" style="75"/>
    <col min="8959" max="8959" width="9.28515625" style="75" customWidth="1"/>
    <col min="8960" max="9214" width="9.140625" style="75"/>
    <col min="9215" max="9215" width="9.28515625" style="75" customWidth="1"/>
    <col min="9216" max="9470" width="9.140625" style="75"/>
    <col min="9471" max="9471" width="9.28515625" style="75" customWidth="1"/>
    <col min="9472" max="9726" width="9.140625" style="75"/>
    <col min="9727" max="9727" width="9.28515625" style="75" customWidth="1"/>
    <col min="9728" max="9982" width="9.140625" style="75"/>
    <col min="9983" max="9983" width="9.28515625" style="75" customWidth="1"/>
    <col min="9984" max="10238" width="9.140625" style="75"/>
    <col min="10239" max="10239" width="9.28515625" style="75" customWidth="1"/>
    <col min="10240" max="10494" width="9.140625" style="75"/>
    <col min="10495" max="10495" width="9.28515625" style="75" customWidth="1"/>
    <col min="10496" max="10750" width="9.140625" style="75"/>
    <col min="10751" max="10751" width="9.28515625" style="75" customWidth="1"/>
    <col min="10752" max="11006" width="9.140625" style="75"/>
    <col min="11007" max="11007" width="9.28515625" style="75" customWidth="1"/>
    <col min="11008" max="11262" width="9.140625" style="75"/>
    <col min="11263" max="11263" width="9.28515625" style="75" customWidth="1"/>
    <col min="11264" max="11518" width="9.140625" style="75"/>
    <col min="11519" max="11519" width="9.28515625" style="75" customWidth="1"/>
    <col min="11520" max="11774" width="9.140625" style="75"/>
    <col min="11775" max="11775" width="9.28515625" style="75" customWidth="1"/>
    <col min="11776" max="12030" width="9.140625" style="75"/>
    <col min="12031" max="12031" width="9.28515625" style="75" customWidth="1"/>
    <col min="12032" max="12286" width="9.140625" style="75"/>
    <col min="12287" max="12287" width="9.28515625" style="75" customWidth="1"/>
    <col min="12288" max="12542" width="9.140625" style="75"/>
    <col min="12543" max="12543" width="9.28515625" style="75" customWidth="1"/>
    <col min="12544" max="12798" width="9.140625" style="75"/>
    <col min="12799" max="12799" width="9.28515625" style="75" customWidth="1"/>
    <col min="12800" max="13054" width="9.140625" style="75"/>
    <col min="13055" max="13055" width="9.28515625" style="75" customWidth="1"/>
    <col min="13056" max="13310" width="9.140625" style="75"/>
    <col min="13311" max="13311" width="9.28515625" style="75" customWidth="1"/>
    <col min="13312" max="13566" width="9.140625" style="75"/>
    <col min="13567" max="13567" width="9.28515625" style="75" customWidth="1"/>
    <col min="13568" max="13822" width="9.140625" style="75"/>
    <col min="13823" max="13823" width="9.28515625" style="75" customWidth="1"/>
    <col min="13824" max="14078" width="9.140625" style="75"/>
    <col min="14079" max="14079" width="9.28515625" style="75" customWidth="1"/>
    <col min="14080" max="14334" width="9.140625" style="75"/>
    <col min="14335" max="14335" width="9.28515625" style="75" customWidth="1"/>
    <col min="14336" max="14590" width="9.140625" style="75"/>
    <col min="14591" max="14591" width="9.28515625" style="75" customWidth="1"/>
    <col min="14592" max="14846" width="9.140625" style="75"/>
    <col min="14847" max="14847" width="9.28515625" style="75" customWidth="1"/>
    <col min="14848" max="15102" width="9.140625" style="75"/>
    <col min="15103" max="15103" width="9.28515625" style="75" customWidth="1"/>
    <col min="15104" max="15358" width="9.140625" style="75"/>
    <col min="15359" max="15359" width="9.28515625" style="75" customWidth="1"/>
    <col min="15360" max="15614" width="9.140625" style="75"/>
    <col min="15615" max="15615" width="9.28515625" style="75" customWidth="1"/>
    <col min="15616" max="15870" width="9.140625" style="75"/>
    <col min="15871" max="15871" width="9.28515625" style="75" customWidth="1"/>
    <col min="15872" max="16126" width="9.140625" style="75"/>
    <col min="16127" max="16127" width="9.28515625" style="75" customWidth="1"/>
    <col min="16128" max="16384" width="9.140625" style="75"/>
  </cols>
  <sheetData>
    <row r="1" spans="1:11" s="72" customFormat="1" ht="141.75" x14ac:dyDescent="0.25">
      <c r="A1" s="73" t="s">
        <v>0</v>
      </c>
      <c r="B1" s="73" t="s">
        <v>1</v>
      </c>
      <c r="C1" s="73" t="s">
        <v>2</v>
      </c>
      <c r="D1" s="73" t="s">
        <v>3</v>
      </c>
      <c r="E1" s="73" t="s">
        <v>4</v>
      </c>
      <c r="F1" s="73" t="s">
        <v>470</v>
      </c>
      <c r="G1" s="73" t="s">
        <v>471</v>
      </c>
      <c r="H1" s="73" t="s">
        <v>5</v>
      </c>
      <c r="I1" s="74" t="s">
        <v>8</v>
      </c>
      <c r="J1" s="74" t="s">
        <v>623</v>
      </c>
    </row>
    <row r="2" spans="1:11" ht="15" customHeight="1" x14ac:dyDescent="0.25">
      <c r="A2" s="75">
        <v>1</v>
      </c>
      <c r="C2" s="75" t="s">
        <v>10</v>
      </c>
      <c r="D2" s="75">
        <v>12161</v>
      </c>
      <c r="F2" s="75" t="s">
        <v>10</v>
      </c>
      <c r="H2" s="75" t="s">
        <v>472</v>
      </c>
      <c r="I2" s="75">
        <v>19489</v>
      </c>
      <c r="J2" s="75" t="s">
        <v>506</v>
      </c>
      <c r="K2" s="75" t="str">
        <f>IFERROR(VLOOKUP(J2,'NQ10'!$B$9:$C$145,2,0),"")</f>
        <v/>
      </c>
    </row>
    <row r="3" spans="1:11" ht="15" customHeight="1" x14ac:dyDescent="0.25">
      <c r="A3" s="75">
        <v>21</v>
      </c>
      <c r="B3" s="75">
        <v>57</v>
      </c>
      <c r="C3" s="75" t="s">
        <v>10</v>
      </c>
      <c r="D3" s="75">
        <v>13074</v>
      </c>
      <c r="F3" s="75" t="s">
        <v>10</v>
      </c>
      <c r="H3" s="75" t="s">
        <v>407</v>
      </c>
      <c r="I3" s="75">
        <v>19489</v>
      </c>
      <c r="J3" s="75" t="s">
        <v>12</v>
      </c>
      <c r="K3" s="75" t="str">
        <f>IFERROR(VLOOKUP(J3,'NQ10'!$B$9:$C$145,2,0),"")</f>
        <v/>
      </c>
    </row>
    <row r="4" spans="1:11" ht="15" customHeight="1" x14ac:dyDescent="0.25">
      <c r="A4" s="75">
        <v>36</v>
      </c>
      <c r="B4" s="75">
        <v>132</v>
      </c>
      <c r="C4" s="75" t="s">
        <v>10</v>
      </c>
      <c r="D4" s="75">
        <v>6967</v>
      </c>
      <c r="F4" s="75" t="s">
        <v>10</v>
      </c>
      <c r="H4" s="75" t="s">
        <v>407</v>
      </c>
      <c r="I4" s="75">
        <v>19489</v>
      </c>
      <c r="J4" s="75" t="s">
        <v>558</v>
      </c>
      <c r="K4" s="75" t="str">
        <f>IFERROR(VLOOKUP(J4,'NQ10'!$B$9:$C$145,2,0),"")</f>
        <v/>
      </c>
    </row>
    <row r="5" spans="1:11" ht="15" customHeight="1" x14ac:dyDescent="0.25">
      <c r="A5" s="75">
        <v>0</v>
      </c>
      <c r="C5" s="75" t="s">
        <v>10</v>
      </c>
      <c r="D5" s="75">
        <v>8133</v>
      </c>
      <c r="F5" s="75" t="s">
        <v>10</v>
      </c>
      <c r="H5" s="75" t="s">
        <v>307</v>
      </c>
      <c r="I5" s="75">
        <v>19489</v>
      </c>
      <c r="J5" s="75" t="s">
        <v>502</v>
      </c>
      <c r="K5" s="75" t="str">
        <f>IFERROR(VLOOKUP(J5,'NQ10'!$B$9:$C$145,2,0),"")</f>
        <v/>
      </c>
    </row>
    <row r="6" spans="1:11" ht="15" customHeight="1" x14ac:dyDescent="0.25">
      <c r="A6" s="75">
        <v>38</v>
      </c>
      <c r="C6" s="75" t="s">
        <v>10</v>
      </c>
      <c r="D6" s="75">
        <v>12665</v>
      </c>
      <c r="F6" s="75" t="s">
        <v>10</v>
      </c>
      <c r="H6" s="75" t="s">
        <v>171</v>
      </c>
      <c r="I6" s="75">
        <v>19489</v>
      </c>
      <c r="J6" s="75" t="s">
        <v>433</v>
      </c>
      <c r="K6" s="75" t="str">
        <f>IFERROR(VLOOKUP(J6,'NQ10'!$B$9:$C$145,2,0),"")</f>
        <v/>
      </c>
    </row>
    <row r="7" spans="1:11" ht="15" customHeight="1" x14ac:dyDescent="0.25">
      <c r="A7" s="75">
        <v>21</v>
      </c>
      <c r="B7" s="75">
        <v>58</v>
      </c>
      <c r="C7" s="75" t="s">
        <v>10</v>
      </c>
      <c r="D7" s="75">
        <v>24514</v>
      </c>
      <c r="F7" s="75" t="s">
        <v>10</v>
      </c>
      <c r="H7" s="75" t="s">
        <v>10</v>
      </c>
      <c r="I7" s="75">
        <v>19489</v>
      </c>
      <c r="J7" s="75" t="s">
        <v>13</v>
      </c>
      <c r="K7" s="75" t="str">
        <f>IFERROR(VLOOKUP(J7,'NQ10'!$B$9:$C$145,2,0),"")</f>
        <v/>
      </c>
    </row>
    <row r="8" spans="1:11" ht="15" customHeight="1" x14ac:dyDescent="0.25">
      <c r="A8" s="75">
        <v>0</v>
      </c>
      <c r="C8" s="75" t="s">
        <v>10</v>
      </c>
      <c r="D8" s="75">
        <v>3353</v>
      </c>
      <c r="F8" s="75" t="s">
        <v>10</v>
      </c>
      <c r="H8" s="75" t="s">
        <v>216</v>
      </c>
      <c r="I8" s="75">
        <v>19489</v>
      </c>
      <c r="J8" s="75" t="s">
        <v>491</v>
      </c>
      <c r="K8" s="75" t="str">
        <f>IFERROR(VLOOKUP(J8,'NQ10'!$B$9:$C$145,2,0),"")</f>
        <v/>
      </c>
    </row>
    <row r="9" spans="1:11" ht="15" customHeight="1" x14ac:dyDescent="0.25">
      <c r="A9" s="75">
        <v>33</v>
      </c>
      <c r="B9" s="75">
        <v>34</v>
      </c>
      <c r="C9" s="75" t="s">
        <v>10</v>
      </c>
      <c r="D9" s="75">
        <v>4986</v>
      </c>
      <c r="F9" s="75" t="s">
        <v>10</v>
      </c>
      <c r="H9" s="75" t="s">
        <v>407</v>
      </c>
      <c r="I9" s="75">
        <v>19489</v>
      </c>
      <c r="J9" s="75" t="s">
        <v>14</v>
      </c>
      <c r="K9" s="75" t="str">
        <f>IFERROR(VLOOKUP(J9,'NQ10'!$B$9:$C$145,2,0),"")</f>
        <v/>
      </c>
    </row>
    <row r="10" spans="1:11" ht="15" customHeight="1" x14ac:dyDescent="0.25">
      <c r="A10" s="75">
        <v>0</v>
      </c>
      <c r="C10" s="75" t="s">
        <v>10</v>
      </c>
      <c r="D10" s="75">
        <v>4774</v>
      </c>
      <c r="F10" s="75" t="s">
        <v>10</v>
      </c>
      <c r="H10" s="75" t="s">
        <v>164</v>
      </c>
      <c r="I10" s="75">
        <v>19489</v>
      </c>
      <c r="J10" s="75" t="s">
        <v>249</v>
      </c>
      <c r="K10" s="75" t="str">
        <f>IFERROR(VLOOKUP(J10,'NQ10'!$B$9:$C$145,2,0),"")</f>
        <v>Kỳ Nơi</v>
      </c>
    </row>
    <row r="11" spans="1:11" ht="15" customHeight="1" x14ac:dyDescent="0.25">
      <c r="A11" s="75">
        <v>0</v>
      </c>
      <c r="C11" s="75" t="s">
        <v>10</v>
      </c>
      <c r="D11" s="75">
        <v>3492</v>
      </c>
      <c r="F11" s="75" t="s">
        <v>10</v>
      </c>
      <c r="H11" s="75" t="s">
        <v>216</v>
      </c>
      <c r="I11" s="75">
        <v>19489</v>
      </c>
      <c r="J11" s="75" t="s">
        <v>15</v>
      </c>
      <c r="K11" s="75" t="str">
        <f>IFERROR(VLOOKUP(J11,'NQ10'!$B$9:$C$145,2,0),"")</f>
        <v/>
      </c>
    </row>
    <row r="12" spans="1:11" ht="15" customHeight="1" x14ac:dyDescent="0.25">
      <c r="A12" s="75">
        <v>0</v>
      </c>
      <c r="C12" s="75" t="s">
        <v>10</v>
      </c>
      <c r="D12" s="75">
        <v>3744</v>
      </c>
      <c r="F12" s="75" t="s">
        <v>10</v>
      </c>
      <c r="H12" s="75" t="s">
        <v>10</v>
      </c>
      <c r="I12" s="75">
        <v>19489</v>
      </c>
      <c r="J12" s="75" t="s">
        <v>15</v>
      </c>
      <c r="K12" s="75" t="str">
        <f>IFERROR(VLOOKUP(J12,'NQ10'!$B$9:$C$145,2,0),"")</f>
        <v/>
      </c>
    </row>
    <row r="13" spans="1:11" ht="15" customHeight="1" x14ac:dyDescent="0.25">
      <c r="A13" s="75">
        <v>0</v>
      </c>
      <c r="C13" s="75" t="s">
        <v>10</v>
      </c>
      <c r="D13" s="75">
        <v>3223</v>
      </c>
      <c r="F13" s="75" t="s">
        <v>10</v>
      </c>
      <c r="H13" s="75" t="s">
        <v>216</v>
      </c>
      <c r="I13" s="75">
        <v>19489</v>
      </c>
      <c r="J13" s="75" t="s">
        <v>15</v>
      </c>
      <c r="K13" s="75" t="str">
        <f>IFERROR(VLOOKUP(J13,'NQ10'!$B$9:$C$145,2,0),"")</f>
        <v/>
      </c>
    </row>
    <row r="14" spans="1:11" ht="15" customHeight="1" x14ac:dyDescent="0.25">
      <c r="A14" s="75">
        <v>21</v>
      </c>
      <c r="B14" s="75">
        <v>59</v>
      </c>
      <c r="C14" s="75" t="s">
        <v>10</v>
      </c>
      <c r="D14" s="75">
        <v>8712</v>
      </c>
      <c r="F14" s="75" t="s">
        <v>10</v>
      </c>
      <c r="H14" s="75" t="s">
        <v>10</v>
      </c>
      <c r="I14" s="75">
        <v>19489</v>
      </c>
      <c r="J14" s="75" t="s">
        <v>16</v>
      </c>
      <c r="K14" s="75" t="str">
        <f>IFERROR(VLOOKUP(J14,'NQ10'!$B$9:$C$145,2,0),"")</f>
        <v/>
      </c>
    </row>
    <row r="15" spans="1:11" ht="15" customHeight="1" x14ac:dyDescent="0.25">
      <c r="A15" s="75">
        <v>7</v>
      </c>
      <c r="C15" s="75" t="s">
        <v>10</v>
      </c>
      <c r="D15" s="75">
        <v>2834</v>
      </c>
      <c r="F15" s="75" t="s">
        <v>10</v>
      </c>
      <c r="H15" s="75" t="s">
        <v>216</v>
      </c>
      <c r="I15" s="75">
        <v>19489</v>
      </c>
      <c r="J15" s="75" t="s">
        <v>523</v>
      </c>
      <c r="K15" s="75" t="str">
        <f>IFERROR(VLOOKUP(J15,'NQ10'!$B$9:$C$145,2,0),"")</f>
        <v/>
      </c>
    </row>
    <row r="16" spans="1:11" ht="15" customHeight="1" x14ac:dyDescent="0.25">
      <c r="A16" s="75">
        <v>18</v>
      </c>
      <c r="C16" s="75" t="s">
        <v>10</v>
      </c>
      <c r="D16" s="75">
        <v>10477</v>
      </c>
      <c r="F16" s="75" t="s">
        <v>10</v>
      </c>
      <c r="H16" s="75" t="s">
        <v>173</v>
      </c>
      <c r="I16" s="75">
        <v>19489</v>
      </c>
      <c r="J16" s="75" t="s">
        <v>266</v>
      </c>
      <c r="K16" s="75" t="str">
        <f>IFERROR(VLOOKUP(J16,'NQ10'!$B$9:$C$145,2,0),"")</f>
        <v>A Xói Hang</v>
      </c>
    </row>
    <row r="17" spans="1:11" ht="15" customHeight="1" x14ac:dyDescent="0.25">
      <c r="A17" s="75">
        <v>22</v>
      </c>
      <c r="B17" s="75">
        <v>22</v>
      </c>
      <c r="C17" s="75" t="s">
        <v>10</v>
      </c>
      <c r="D17" s="75">
        <v>5636</v>
      </c>
      <c r="F17" s="75" t="s">
        <v>10</v>
      </c>
      <c r="H17" s="75" t="s">
        <v>10</v>
      </c>
      <c r="I17" s="75">
        <v>19489</v>
      </c>
      <c r="J17" s="75" t="s">
        <v>17</v>
      </c>
      <c r="K17" s="75" t="str">
        <f>IFERROR(VLOOKUP(J17,'NQ10'!$B$9:$C$145,2,0),"")</f>
        <v/>
      </c>
    </row>
    <row r="18" spans="1:11" ht="15" customHeight="1" x14ac:dyDescent="0.25">
      <c r="A18" s="75">
        <v>6</v>
      </c>
      <c r="C18" s="75" t="s">
        <v>10</v>
      </c>
      <c r="D18" s="75">
        <v>2714</v>
      </c>
      <c r="F18" s="75" t="s">
        <v>10</v>
      </c>
      <c r="H18" s="75" t="s">
        <v>216</v>
      </c>
      <c r="I18" s="75">
        <v>19489</v>
      </c>
      <c r="J18" s="75" t="s">
        <v>240</v>
      </c>
      <c r="K18" s="75" t="str">
        <f>IFERROR(VLOOKUP(J18,'NQ10'!$B$9:$C$145,2,0),"")</f>
        <v>A Xau</v>
      </c>
    </row>
    <row r="19" spans="1:11" ht="15" customHeight="1" x14ac:dyDescent="0.25">
      <c r="A19" s="75">
        <v>0</v>
      </c>
      <c r="C19" s="75" t="s">
        <v>10</v>
      </c>
      <c r="D19" s="75">
        <v>15423</v>
      </c>
      <c r="F19" s="75" t="s">
        <v>10</v>
      </c>
      <c r="H19" s="75" t="s">
        <v>216</v>
      </c>
      <c r="I19" s="75">
        <v>19489</v>
      </c>
      <c r="J19" s="75" t="s">
        <v>481</v>
      </c>
      <c r="K19" s="75" t="str">
        <f>IFERROR(VLOOKUP(J19,'NQ10'!$B$9:$C$145,2,0),"")</f>
        <v/>
      </c>
    </row>
    <row r="20" spans="1:11" ht="15" customHeight="1" x14ac:dyDescent="0.25">
      <c r="A20" s="75">
        <v>0</v>
      </c>
      <c r="C20" s="75" t="s">
        <v>10</v>
      </c>
      <c r="D20" s="75">
        <v>2755</v>
      </c>
      <c r="F20" s="75" t="s">
        <v>10</v>
      </c>
      <c r="H20" s="75" t="s">
        <v>216</v>
      </c>
      <c r="I20" s="75">
        <v>19489</v>
      </c>
      <c r="J20" s="75" t="s">
        <v>481</v>
      </c>
      <c r="K20" s="75" t="str">
        <f>IFERROR(VLOOKUP(J20,'NQ10'!$B$9:$C$145,2,0),"")</f>
        <v/>
      </c>
    </row>
    <row r="21" spans="1:11" ht="15" customHeight="1" x14ac:dyDescent="0.25">
      <c r="A21" s="75">
        <v>21</v>
      </c>
      <c r="B21" s="75">
        <v>60</v>
      </c>
      <c r="C21" s="75" t="s">
        <v>10</v>
      </c>
      <c r="D21" s="75">
        <v>23170</v>
      </c>
      <c r="F21" s="75" t="s">
        <v>10</v>
      </c>
      <c r="H21" s="75" t="s">
        <v>10</v>
      </c>
      <c r="I21" s="75">
        <v>19489</v>
      </c>
      <c r="J21" s="75" t="s">
        <v>180</v>
      </c>
      <c r="K21" s="75" t="str">
        <f>IFERROR(VLOOKUP(J21,'NQ10'!$B$9:$C$145,2,0),"")</f>
        <v/>
      </c>
    </row>
    <row r="22" spans="1:11" ht="15" customHeight="1" x14ac:dyDescent="0.25">
      <c r="A22" s="75">
        <v>21</v>
      </c>
      <c r="B22" s="75">
        <v>61</v>
      </c>
      <c r="C22" s="75" t="s">
        <v>10</v>
      </c>
      <c r="D22" s="75">
        <v>14713</v>
      </c>
      <c r="F22" s="75" t="s">
        <v>10</v>
      </c>
      <c r="H22" s="75" t="s">
        <v>10</v>
      </c>
      <c r="I22" s="75">
        <v>19489</v>
      </c>
      <c r="J22" s="75" t="s">
        <v>18</v>
      </c>
      <c r="K22" s="75" t="str">
        <f>IFERROR(VLOOKUP(J22,'NQ10'!$B$9:$C$145,2,0),"")</f>
        <v/>
      </c>
    </row>
    <row r="23" spans="1:11" ht="15" customHeight="1" x14ac:dyDescent="0.25">
      <c r="A23" s="75">
        <v>21</v>
      </c>
      <c r="B23" s="75">
        <v>62</v>
      </c>
      <c r="C23" s="75" t="s">
        <v>10</v>
      </c>
      <c r="D23" s="75">
        <v>12240</v>
      </c>
      <c r="F23" s="75" t="s">
        <v>10</v>
      </c>
      <c r="H23" s="75" t="s">
        <v>10</v>
      </c>
      <c r="I23" s="75">
        <v>19489</v>
      </c>
      <c r="J23" s="75" t="s">
        <v>18</v>
      </c>
      <c r="K23" s="75" t="str">
        <f>IFERROR(VLOOKUP(J23,'NQ10'!$B$9:$C$145,2,0),"")</f>
        <v/>
      </c>
    </row>
    <row r="24" spans="1:11" ht="15" customHeight="1" x14ac:dyDescent="0.25">
      <c r="A24" s="75">
        <v>32</v>
      </c>
      <c r="C24" s="75" t="s">
        <v>10</v>
      </c>
      <c r="D24" s="75">
        <v>2704</v>
      </c>
      <c r="F24" s="75" t="s">
        <v>10</v>
      </c>
      <c r="H24" s="75" t="s">
        <v>10</v>
      </c>
      <c r="I24" s="75">
        <v>19489</v>
      </c>
      <c r="J24" s="75" t="s">
        <v>18</v>
      </c>
      <c r="K24" s="75" t="str">
        <f>IFERROR(VLOOKUP(J24,'NQ10'!$B$9:$C$145,2,0),"")</f>
        <v/>
      </c>
    </row>
    <row r="25" spans="1:11" ht="15" customHeight="1" x14ac:dyDescent="0.25">
      <c r="A25" s="75">
        <v>36</v>
      </c>
      <c r="C25" s="75" t="s">
        <v>10</v>
      </c>
      <c r="D25" s="75">
        <v>4004</v>
      </c>
      <c r="F25" s="75" t="s">
        <v>10</v>
      </c>
      <c r="H25" s="75" t="s">
        <v>10</v>
      </c>
      <c r="I25" s="75">
        <v>19489</v>
      </c>
      <c r="J25" s="75" t="s">
        <v>18</v>
      </c>
      <c r="K25" s="75" t="str">
        <f>IFERROR(VLOOKUP(J25,'NQ10'!$B$9:$C$145,2,0),"")</f>
        <v/>
      </c>
    </row>
    <row r="26" spans="1:11" ht="15" customHeight="1" x14ac:dyDescent="0.25">
      <c r="A26" s="75">
        <v>1</v>
      </c>
      <c r="C26" s="75" t="s">
        <v>10</v>
      </c>
      <c r="D26" s="75">
        <v>2475</v>
      </c>
      <c r="F26" s="75" t="s">
        <v>10</v>
      </c>
      <c r="H26" s="75" t="s">
        <v>173</v>
      </c>
      <c r="I26" s="75">
        <v>19489</v>
      </c>
      <c r="J26" s="75" t="s">
        <v>515</v>
      </c>
      <c r="K26" s="75" t="str">
        <f>IFERROR(VLOOKUP(J26,'NQ10'!$B$9:$C$145,2,0),"")</f>
        <v>A Xói Hang</v>
      </c>
    </row>
    <row r="27" spans="1:11" ht="15" customHeight="1" x14ac:dyDescent="0.25">
      <c r="A27" s="75">
        <v>18</v>
      </c>
      <c r="B27" s="75">
        <v>227</v>
      </c>
      <c r="C27" s="75" t="s">
        <v>10</v>
      </c>
      <c r="D27" s="75">
        <v>3568</v>
      </c>
      <c r="F27" s="75" t="s">
        <v>10</v>
      </c>
      <c r="H27" s="75" t="s">
        <v>173</v>
      </c>
      <c r="I27" s="75">
        <v>19489</v>
      </c>
      <c r="J27" s="75" t="s">
        <v>515</v>
      </c>
      <c r="K27" s="75" t="str">
        <f>IFERROR(VLOOKUP(J27,'NQ10'!$B$9:$C$145,2,0),"")</f>
        <v>A Xói Hang</v>
      </c>
    </row>
    <row r="28" spans="1:11" ht="15" customHeight="1" x14ac:dyDescent="0.25">
      <c r="A28" s="75">
        <v>1</v>
      </c>
      <c r="C28" s="75" t="s">
        <v>10</v>
      </c>
      <c r="D28" s="75">
        <v>9877</v>
      </c>
      <c r="F28" s="75" t="s">
        <v>10</v>
      </c>
      <c r="H28" s="75" t="s">
        <v>340</v>
      </c>
      <c r="I28" s="75">
        <v>19489</v>
      </c>
      <c r="J28" s="75" t="s">
        <v>348</v>
      </c>
      <c r="K28" s="75" t="str">
        <f>IFERROR(VLOOKUP(J28,'NQ10'!$B$9:$C$145,2,0),"")</f>
        <v/>
      </c>
    </row>
    <row r="29" spans="1:11" ht="15" customHeight="1" x14ac:dyDescent="0.25">
      <c r="A29" s="75">
        <v>18</v>
      </c>
      <c r="B29" s="75">
        <v>228</v>
      </c>
      <c r="C29" s="75" t="s">
        <v>10</v>
      </c>
      <c r="D29" s="75">
        <v>1906</v>
      </c>
      <c r="F29" s="75" t="s">
        <v>10</v>
      </c>
      <c r="H29" s="75" t="s">
        <v>340</v>
      </c>
      <c r="I29" s="75">
        <v>19489</v>
      </c>
      <c r="J29" s="75" t="s">
        <v>348</v>
      </c>
      <c r="K29" s="75" t="str">
        <f>IFERROR(VLOOKUP(J29,'NQ10'!$B$9:$C$145,2,0),"")</f>
        <v/>
      </c>
    </row>
    <row r="30" spans="1:11" ht="15" customHeight="1" x14ac:dyDescent="0.25">
      <c r="A30" s="75">
        <v>1</v>
      </c>
      <c r="B30" s="75">
        <v>167</v>
      </c>
      <c r="C30" s="75" t="s">
        <v>10</v>
      </c>
      <c r="D30" s="75">
        <v>2273</v>
      </c>
      <c r="F30" s="75" t="s">
        <v>10</v>
      </c>
      <c r="H30" s="75" t="s">
        <v>164</v>
      </c>
      <c r="I30" s="75">
        <v>19489</v>
      </c>
      <c r="J30" s="75" t="s">
        <v>19</v>
      </c>
      <c r="K30" s="75" t="str">
        <f>IFERROR(VLOOKUP(J30,'NQ10'!$B$9:$C$145,2,0),"")</f>
        <v/>
      </c>
    </row>
    <row r="31" spans="1:11" ht="15" customHeight="1" x14ac:dyDescent="0.25">
      <c r="A31" s="75">
        <v>5</v>
      </c>
      <c r="C31" s="75" t="s">
        <v>10</v>
      </c>
      <c r="D31" s="75">
        <v>5248</v>
      </c>
      <c r="F31" s="75" t="s">
        <v>10</v>
      </c>
      <c r="H31" s="75" t="s">
        <v>216</v>
      </c>
      <c r="I31" s="75">
        <v>19489</v>
      </c>
      <c r="J31" s="75" t="s">
        <v>520</v>
      </c>
      <c r="K31" s="75" t="str">
        <f>IFERROR(VLOOKUP(J31,'NQ10'!$B$9:$C$145,2,0),"")</f>
        <v/>
      </c>
    </row>
    <row r="32" spans="1:11" ht="15" customHeight="1" x14ac:dyDescent="0.25">
      <c r="A32" s="75">
        <v>5</v>
      </c>
      <c r="B32" s="75">
        <v>28</v>
      </c>
      <c r="C32" s="75" t="s">
        <v>10</v>
      </c>
      <c r="D32" s="75">
        <v>2848</v>
      </c>
      <c r="F32" s="75" t="s">
        <v>10</v>
      </c>
      <c r="H32" s="75" t="s">
        <v>216</v>
      </c>
      <c r="I32" s="75">
        <v>19489</v>
      </c>
      <c r="J32" s="75" t="s">
        <v>520</v>
      </c>
      <c r="K32" s="75" t="str">
        <f>IFERROR(VLOOKUP(J32,'NQ10'!$B$9:$C$145,2,0),"")</f>
        <v/>
      </c>
    </row>
    <row r="33" spans="1:11" ht="15" customHeight="1" x14ac:dyDescent="0.25">
      <c r="A33" s="75">
        <v>5</v>
      </c>
      <c r="B33" s="75">
        <v>31</v>
      </c>
      <c r="C33" s="75" t="s">
        <v>10</v>
      </c>
      <c r="D33" s="75">
        <v>2232</v>
      </c>
      <c r="F33" s="75" t="s">
        <v>10</v>
      </c>
      <c r="H33" s="75" t="s">
        <v>10</v>
      </c>
      <c r="I33" s="75">
        <v>19489</v>
      </c>
      <c r="J33" s="75" t="s">
        <v>520</v>
      </c>
      <c r="K33" s="75" t="str">
        <f>IFERROR(VLOOKUP(J33,'NQ10'!$B$9:$C$145,2,0),"")</f>
        <v/>
      </c>
    </row>
    <row r="34" spans="1:11" ht="15" customHeight="1" x14ac:dyDescent="0.25">
      <c r="A34" s="75">
        <v>5</v>
      </c>
      <c r="B34" s="75">
        <v>33</v>
      </c>
      <c r="C34" s="75" t="s">
        <v>10</v>
      </c>
      <c r="D34" s="75">
        <v>10373</v>
      </c>
      <c r="F34" s="75" t="s">
        <v>10</v>
      </c>
      <c r="H34" s="75" t="s">
        <v>216</v>
      </c>
      <c r="I34" s="75">
        <v>19489</v>
      </c>
      <c r="J34" s="75" t="s">
        <v>521</v>
      </c>
      <c r="K34" s="75" t="str">
        <f>IFERROR(VLOOKUP(J34,'NQ10'!$B$9:$C$145,2,0),"")</f>
        <v/>
      </c>
    </row>
    <row r="35" spans="1:11" ht="15" customHeight="1" x14ac:dyDescent="0.25">
      <c r="A35" s="75">
        <v>1</v>
      </c>
      <c r="C35" s="75" t="s">
        <v>10</v>
      </c>
      <c r="D35" s="75">
        <v>6565</v>
      </c>
      <c r="F35" s="75" t="s">
        <v>10</v>
      </c>
      <c r="H35" s="75" t="s">
        <v>340</v>
      </c>
      <c r="I35" s="75">
        <v>19489</v>
      </c>
      <c r="J35" s="75" t="s">
        <v>284</v>
      </c>
      <c r="K35" s="75" t="str">
        <f>IFERROR(VLOOKUP(J35,'NQ10'!$B$9:$C$145,2,0),"")</f>
        <v>Tăng cô Hang</v>
      </c>
    </row>
    <row r="36" spans="1:11" ht="15" customHeight="1" x14ac:dyDescent="0.25">
      <c r="A36" s="75">
        <v>0</v>
      </c>
      <c r="C36" s="75" t="s">
        <v>10</v>
      </c>
      <c r="D36" s="75">
        <v>6172</v>
      </c>
      <c r="F36" s="75" t="s">
        <v>10</v>
      </c>
      <c r="H36" s="75" t="s">
        <v>216</v>
      </c>
      <c r="I36" s="75">
        <v>19489</v>
      </c>
      <c r="J36" s="75" t="s">
        <v>483</v>
      </c>
      <c r="K36" s="75" t="str">
        <f>IFERROR(VLOOKUP(J36,'NQ10'!$B$9:$C$145,2,0),"")</f>
        <v/>
      </c>
    </row>
    <row r="37" spans="1:11" ht="15" customHeight="1" x14ac:dyDescent="0.25">
      <c r="A37" s="75">
        <v>32</v>
      </c>
      <c r="C37" s="75" t="s">
        <v>10</v>
      </c>
      <c r="D37" s="75">
        <v>13448</v>
      </c>
      <c r="F37" s="75" t="s">
        <v>10</v>
      </c>
      <c r="H37" s="75" t="s">
        <v>10</v>
      </c>
      <c r="I37" s="75">
        <v>19489</v>
      </c>
      <c r="J37" s="75" t="s">
        <v>180</v>
      </c>
      <c r="K37" s="75" t="str">
        <f>IFERROR(VLOOKUP(J37,'NQ10'!$B$9:$C$145,2,0),"")</f>
        <v/>
      </c>
    </row>
    <row r="38" spans="1:11" ht="15" customHeight="1" x14ac:dyDescent="0.25">
      <c r="A38" s="75">
        <v>21</v>
      </c>
      <c r="B38" s="75">
        <v>63</v>
      </c>
      <c r="C38" s="75" t="s">
        <v>10</v>
      </c>
      <c r="D38" s="75">
        <v>7913</v>
      </c>
      <c r="F38" s="75" t="s">
        <v>10</v>
      </c>
      <c r="H38" s="75" t="s">
        <v>10</v>
      </c>
      <c r="I38" s="75">
        <v>19489</v>
      </c>
      <c r="J38" s="75" t="s">
        <v>20</v>
      </c>
      <c r="K38" s="75" t="str">
        <f>IFERROR(VLOOKUP(J38,'NQ10'!$B$9:$C$145,2,0),"")</f>
        <v/>
      </c>
    </row>
    <row r="39" spans="1:11" ht="15" customHeight="1" x14ac:dyDescent="0.25">
      <c r="A39" s="75">
        <v>21</v>
      </c>
      <c r="B39" s="75">
        <v>64</v>
      </c>
      <c r="C39" s="75" t="s">
        <v>10</v>
      </c>
      <c r="D39" s="75">
        <v>5219</v>
      </c>
      <c r="F39" s="75" t="s">
        <v>10</v>
      </c>
      <c r="H39" s="75" t="s">
        <v>10</v>
      </c>
      <c r="I39" s="75">
        <v>19489</v>
      </c>
      <c r="J39" s="75" t="s">
        <v>20</v>
      </c>
      <c r="K39" s="75" t="str">
        <f>IFERROR(VLOOKUP(J39,'NQ10'!$B$9:$C$145,2,0),"")</f>
        <v/>
      </c>
    </row>
    <row r="40" spans="1:11" ht="15" customHeight="1" x14ac:dyDescent="0.25">
      <c r="A40" s="75">
        <v>21</v>
      </c>
      <c r="B40" s="75">
        <v>65</v>
      </c>
      <c r="C40" s="75" t="s">
        <v>10</v>
      </c>
      <c r="D40" s="75">
        <v>14272</v>
      </c>
      <c r="F40" s="75" t="s">
        <v>10</v>
      </c>
      <c r="H40" s="75" t="s">
        <v>10</v>
      </c>
      <c r="I40" s="75">
        <v>19489</v>
      </c>
      <c r="J40" s="75" t="s">
        <v>20</v>
      </c>
      <c r="K40" s="75" t="str">
        <f>IFERROR(VLOOKUP(J40,'NQ10'!$B$9:$C$145,2,0),"")</f>
        <v/>
      </c>
    </row>
    <row r="41" spans="1:11" ht="15" customHeight="1" x14ac:dyDescent="0.25">
      <c r="A41" s="75">
        <v>21</v>
      </c>
      <c r="B41" s="75">
        <v>66</v>
      </c>
      <c r="C41" s="75" t="s">
        <v>10</v>
      </c>
      <c r="D41" s="75">
        <v>7693</v>
      </c>
      <c r="F41" s="75" t="s">
        <v>10</v>
      </c>
      <c r="H41" s="75" t="s">
        <v>10</v>
      </c>
      <c r="I41" s="75">
        <v>19489</v>
      </c>
      <c r="J41" s="75" t="s">
        <v>181</v>
      </c>
      <c r="K41" s="75" t="str">
        <f>IFERROR(VLOOKUP(J41,'NQ10'!$B$9:$C$145,2,0),"")</f>
        <v/>
      </c>
    </row>
    <row r="42" spans="1:11" ht="15" customHeight="1" x14ac:dyDescent="0.25">
      <c r="A42" s="75">
        <v>21</v>
      </c>
      <c r="B42" s="75">
        <v>67</v>
      </c>
      <c r="C42" s="75" t="s">
        <v>10</v>
      </c>
      <c r="D42" s="75">
        <v>15079</v>
      </c>
      <c r="F42" s="75" t="s">
        <v>10</v>
      </c>
      <c r="H42" s="75" t="s">
        <v>10</v>
      </c>
      <c r="I42" s="75">
        <v>19489</v>
      </c>
      <c r="J42" s="75" t="s">
        <v>181</v>
      </c>
      <c r="K42" s="75" t="str">
        <f>IFERROR(VLOOKUP(J42,'NQ10'!$B$9:$C$145,2,0),"")</f>
        <v/>
      </c>
    </row>
    <row r="43" spans="1:11" ht="15" customHeight="1" x14ac:dyDescent="0.25">
      <c r="A43" s="75">
        <v>32</v>
      </c>
      <c r="C43" s="75" t="s">
        <v>10</v>
      </c>
      <c r="D43" s="75">
        <v>5723</v>
      </c>
      <c r="F43" s="75" t="s">
        <v>10</v>
      </c>
      <c r="H43" s="75" t="s">
        <v>10</v>
      </c>
      <c r="I43" s="75">
        <v>19489</v>
      </c>
      <c r="J43" s="75" t="s">
        <v>181</v>
      </c>
      <c r="K43" s="75" t="str">
        <f>IFERROR(VLOOKUP(J43,'NQ10'!$B$9:$C$145,2,0),"")</f>
        <v/>
      </c>
    </row>
    <row r="44" spans="1:11" ht="15" customHeight="1" x14ac:dyDescent="0.25">
      <c r="A44" s="75">
        <v>1</v>
      </c>
      <c r="C44" s="75" t="s">
        <v>10</v>
      </c>
      <c r="D44" s="75">
        <v>5656</v>
      </c>
      <c r="F44" s="75" t="s">
        <v>10</v>
      </c>
      <c r="H44" s="75" t="s">
        <v>340</v>
      </c>
      <c r="I44" s="75">
        <v>19489</v>
      </c>
      <c r="J44" s="75" t="s">
        <v>508</v>
      </c>
      <c r="K44" s="75" t="str">
        <f>IFERROR(VLOOKUP(J44,'NQ10'!$B$9:$C$145,2,0),"")</f>
        <v/>
      </c>
    </row>
    <row r="45" spans="1:11" ht="15" customHeight="1" x14ac:dyDescent="0.25">
      <c r="A45" s="75">
        <v>1</v>
      </c>
      <c r="C45" s="75" t="s">
        <v>10</v>
      </c>
      <c r="D45" s="75">
        <v>3886</v>
      </c>
      <c r="F45" s="75" t="s">
        <v>10</v>
      </c>
      <c r="H45" s="75" t="s">
        <v>340</v>
      </c>
      <c r="I45" s="75">
        <v>19489</v>
      </c>
      <c r="J45" s="75" t="s">
        <v>508</v>
      </c>
      <c r="K45" s="75" t="str">
        <f>IFERROR(VLOOKUP(J45,'NQ10'!$B$9:$C$145,2,0),"")</f>
        <v/>
      </c>
    </row>
    <row r="46" spans="1:11" ht="15" customHeight="1" x14ac:dyDescent="0.25">
      <c r="A46" s="75">
        <v>1</v>
      </c>
      <c r="B46" s="75">
        <v>457</v>
      </c>
      <c r="C46" s="75" t="s">
        <v>10</v>
      </c>
      <c r="D46" s="75">
        <v>6776</v>
      </c>
      <c r="F46" s="75" t="s">
        <v>10</v>
      </c>
      <c r="H46" s="75" t="s">
        <v>340</v>
      </c>
      <c r="I46" s="75">
        <v>19489</v>
      </c>
      <c r="J46" s="75" t="s">
        <v>508</v>
      </c>
      <c r="K46" s="75" t="str">
        <f>IFERROR(VLOOKUP(J46,'NQ10'!$B$9:$C$145,2,0),"")</f>
        <v/>
      </c>
    </row>
    <row r="47" spans="1:11" ht="15" customHeight="1" x14ac:dyDescent="0.25">
      <c r="A47" s="75">
        <v>1</v>
      </c>
      <c r="C47" s="75" t="s">
        <v>10</v>
      </c>
      <c r="D47" s="75">
        <v>2819</v>
      </c>
      <c r="F47" s="75" t="s">
        <v>10</v>
      </c>
      <c r="H47" s="75" t="s">
        <v>340</v>
      </c>
      <c r="I47" s="75">
        <v>19489</v>
      </c>
      <c r="J47" s="75" t="s">
        <v>513</v>
      </c>
      <c r="K47" s="75" t="str">
        <f>IFERROR(VLOOKUP(J47,'NQ10'!$B$9:$C$145,2,0),"")</f>
        <v/>
      </c>
    </row>
    <row r="48" spans="1:11" ht="15" customHeight="1" x14ac:dyDescent="0.25">
      <c r="A48" s="75">
        <v>0</v>
      </c>
      <c r="C48" s="75" t="s">
        <v>10</v>
      </c>
      <c r="D48" s="75">
        <v>6093</v>
      </c>
      <c r="F48" s="75" t="s">
        <v>10</v>
      </c>
      <c r="H48" s="75" t="s">
        <v>164</v>
      </c>
      <c r="I48" s="75">
        <v>19489</v>
      </c>
      <c r="J48" s="75" t="s">
        <v>487</v>
      </c>
      <c r="K48" s="75" t="str">
        <f>IFERROR(VLOOKUP(J48,'NQ10'!$B$9:$C$145,2,0),"")</f>
        <v/>
      </c>
    </row>
    <row r="49" spans="1:11" ht="15" customHeight="1" x14ac:dyDescent="0.25">
      <c r="A49" s="75">
        <v>1</v>
      </c>
      <c r="B49" s="75">
        <v>88</v>
      </c>
      <c r="C49" s="75" t="s">
        <v>10</v>
      </c>
      <c r="D49" s="75">
        <v>6289</v>
      </c>
      <c r="F49" s="75" t="s">
        <v>10</v>
      </c>
      <c r="H49" s="75" t="s">
        <v>164</v>
      </c>
      <c r="I49" s="75">
        <v>19489</v>
      </c>
      <c r="J49" s="75" t="s">
        <v>21</v>
      </c>
      <c r="K49" s="75" t="str">
        <f>IFERROR(VLOOKUP(J49,'NQ10'!$B$9:$C$145,2,0),"")</f>
        <v/>
      </c>
    </row>
    <row r="50" spans="1:11" ht="15" customHeight="1" x14ac:dyDescent="0.25">
      <c r="A50" s="75">
        <v>3</v>
      </c>
      <c r="B50" s="75">
        <v>400</v>
      </c>
      <c r="C50" s="75" t="s">
        <v>10</v>
      </c>
      <c r="D50" s="75">
        <v>10748</v>
      </c>
      <c r="F50" s="75" t="s">
        <v>10</v>
      </c>
      <c r="H50" s="75" t="s">
        <v>164</v>
      </c>
      <c r="I50" s="75">
        <v>19489</v>
      </c>
      <c r="J50" s="75" t="s">
        <v>21</v>
      </c>
      <c r="K50" s="75" t="str">
        <f>IFERROR(VLOOKUP(J50,'NQ10'!$B$9:$C$145,2,0),"")</f>
        <v/>
      </c>
    </row>
    <row r="51" spans="1:11" ht="15" customHeight="1" x14ac:dyDescent="0.25">
      <c r="A51" s="75">
        <v>31</v>
      </c>
      <c r="C51" s="75" t="s">
        <v>10</v>
      </c>
      <c r="D51" s="75">
        <v>2162</v>
      </c>
      <c r="F51" s="75" t="s">
        <v>10</v>
      </c>
      <c r="H51" s="75" t="s">
        <v>10</v>
      </c>
      <c r="I51" s="75">
        <v>19489</v>
      </c>
      <c r="J51" s="75" t="s">
        <v>547</v>
      </c>
      <c r="K51" s="75" t="str">
        <f>IFERROR(VLOOKUP(J51,'NQ10'!$B$9:$C$145,2,0),"")</f>
        <v/>
      </c>
    </row>
    <row r="52" spans="1:11" ht="15" customHeight="1" x14ac:dyDescent="0.25">
      <c r="A52" s="75">
        <v>31</v>
      </c>
      <c r="C52" s="75" t="s">
        <v>10</v>
      </c>
      <c r="D52" s="75">
        <v>2896</v>
      </c>
      <c r="F52" s="75" t="s">
        <v>10</v>
      </c>
      <c r="H52" s="75" t="s">
        <v>10</v>
      </c>
      <c r="I52" s="75">
        <v>19489</v>
      </c>
      <c r="J52" s="75" t="s">
        <v>547</v>
      </c>
      <c r="K52" s="75" t="str">
        <f>IFERROR(VLOOKUP(J52,'NQ10'!$B$9:$C$145,2,0),"")</f>
        <v/>
      </c>
    </row>
    <row r="53" spans="1:11" ht="15" customHeight="1" x14ac:dyDescent="0.25">
      <c r="A53" s="75">
        <v>32</v>
      </c>
      <c r="C53" s="75" t="s">
        <v>10</v>
      </c>
      <c r="D53" s="75">
        <v>8352</v>
      </c>
      <c r="F53" s="75" t="s">
        <v>10</v>
      </c>
      <c r="H53" s="75" t="s">
        <v>10</v>
      </c>
      <c r="I53" s="75">
        <v>19489</v>
      </c>
      <c r="J53" s="75" t="s">
        <v>552</v>
      </c>
      <c r="K53" s="75" t="str">
        <f>IFERROR(VLOOKUP(J53,'NQ10'!$B$9:$C$145,2,0),"")</f>
        <v/>
      </c>
    </row>
    <row r="54" spans="1:11" ht="15" customHeight="1" x14ac:dyDescent="0.25">
      <c r="A54" s="75">
        <v>8</v>
      </c>
      <c r="B54" s="75">
        <v>29</v>
      </c>
      <c r="C54" s="75" t="s">
        <v>10</v>
      </c>
      <c r="D54" s="75">
        <v>4419</v>
      </c>
      <c r="F54" s="75" t="s">
        <v>10</v>
      </c>
      <c r="H54" s="75" t="s">
        <v>164</v>
      </c>
      <c r="I54" s="75">
        <v>19489</v>
      </c>
      <c r="J54" s="75" t="s">
        <v>533</v>
      </c>
      <c r="K54" s="75" t="str">
        <f>IFERROR(VLOOKUP(J54,'NQ10'!$B$9:$C$145,2,0),"")</f>
        <v/>
      </c>
    </row>
    <row r="55" spans="1:11" ht="15" customHeight="1" x14ac:dyDescent="0.25">
      <c r="A55" s="75">
        <v>32</v>
      </c>
      <c r="C55" s="75" t="s">
        <v>10</v>
      </c>
      <c r="D55" s="75">
        <v>5329</v>
      </c>
      <c r="F55" s="75" t="s">
        <v>10</v>
      </c>
      <c r="H55" s="75" t="s">
        <v>407</v>
      </c>
      <c r="I55" s="75">
        <v>19489</v>
      </c>
      <c r="J55" s="75" t="s">
        <v>553</v>
      </c>
      <c r="K55" s="75" t="str">
        <f>IFERROR(VLOOKUP(J55,'NQ10'!$B$9:$C$145,2,0),"")</f>
        <v/>
      </c>
    </row>
    <row r="56" spans="1:11" ht="15" customHeight="1" x14ac:dyDescent="0.25">
      <c r="A56" s="75">
        <v>39</v>
      </c>
      <c r="C56" s="75" t="s">
        <v>10</v>
      </c>
      <c r="D56" s="75">
        <v>9079</v>
      </c>
      <c r="F56" s="75" t="s">
        <v>10</v>
      </c>
      <c r="H56" s="75" t="s">
        <v>10</v>
      </c>
      <c r="I56" s="75">
        <v>19489</v>
      </c>
      <c r="J56" s="75" t="s">
        <v>201</v>
      </c>
      <c r="K56" s="75" t="str">
        <f>IFERROR(VLOOKUP(J56,'NQ10'!$B$9:$C$145,2,0),"")</f>
        <v>A Xóc Lìa</v>
      </c>
    </row>
    <row r="57" spans="1:11" ht="15" customHeight="1" x14ac:dyDescent="0.25">
      <c r="A57" s="75">
        <v>0</v>
      </c>
      <c r="C57" s="75" t="s">
        <v>10</v>
      </c>
      <c r="D57" s="75">
        <v>14642</v>
      </c>
      <c r="F57" s="75" t="s">
        <v>10</v>
      </c>
      <c r="H57" s="75" t="s">
        <v>10</v>
      </c>
      <c r="I57" s="75">
        <v>19489</v>
      </c>
      <c r="J57" s="75" t="s">
        <v>22</v>
      </c>
      <c r="K57" s="75" t="str">
        <f>IFERROR(VLOOKUP(J57,'NQ10'!$B$9:$C$145,2,0),"")</f>
        <v/>
      </c>
    </row>
    <row r="58" spans="1:11" ht="15" customHeight="1" x14ac:dyDescent="0.25">
      <c r="A58" s="75">
        <v>21</v>
      </c>
      <c r="B58" s="75">
        <v>68</v>
      </c>
      <c r="C58" s="75" t="s">
        <v>10</v>
      </c>
      <c r="D58" s="75">
        <v>15126</v>
      </c>
      <c r="F58" s="75" t="s">
        <v>10</v>
      </c>
      <c r="H58" s="75" t="s">
        <v>10</v>
      </c>
      <c r="I58" s="75">
        <v>19489</v>
      </c>
      <c r="J58" s="75" t="s">
        <v>22</v>
      </c>
      <c r="K58" s="75" t="str">
        <f>IFERROR(VLOOKUP(J58,'NQ10'!$B$9:$C$145,2,0),"")</f>
        <v/>
      </c>
    </row>
    <row r="59" spans="1:11" ht="15" customHeight="1" x14ac:dyDescent="0.25">
      <c r="A59" s="75">
        <v>22</v>
      </c>
      <c r="C59" s="75" t="s">
        <v>10</v>
      </c>
      <c r="D59" s="75">
        <v>6067</v>
      </c>
      <c r="F59" s="75" t="s">
        <v>10</v>
      </c>
      <c r="H59" s="75" t="s">
        <v>10</v>
      </c>
      <c r="I59" s="75">
        <v>19489</v>
      </c>
      <c r="J59" s="75" t="s">
        <v>22</v>
      </c>
      <c r="K59" s="75" t="str">
        <f>IFERROR(VLOOKUP(J59,'NQ10'!$B$9:$C$145,2,0),"")</f>
        <v/>
      </c>
    </row>
    <row r="60" spans="1:11" ht="15" customHeight="1" x14ac:dyDescent="0.25">
      <c r="A60" s="75">
        <v>25</v>
      </c>
      <c r="C60" s="75" t="s">
        <v>10</v>
      </c>
      <c r="D60" s="75">
        <v>7900</v>
      </c>
      <c r="F60" s="75" t="s">
        <v>10</v>
      </c>
      <c r="H60" s="75" t="s">
        <v>10</v>
      </c>
      <c r="I60" s="75">
        <v>19489</v>
      </c>
      <c r="J60" s="75" t="s">
        <v>545</v>
      </c>
      <c r="K60" s="75" t="str">
        <f>IFERROR(VLOOKUP(J60,'NQ10'!$B$9:$C$145,2,0),"")</f>
        <v/>
      </c>
    </row>
    <row r="61" spans="1:11" ht="15" customHeight="1" x14ac:dyDescent="0.25">
      <c r="A61" s="75">
        <v>21</v>
      </c>
      <c r="B61" s="75">
        <v>257</v>
      </c>
      <c r="C61" s="75" t="s">
        <v>10</v>
      </c>
      <c r="D61" s="75">
        <v>3441</v>
      </c>
      <c r="F61" s="75" t="s">
        <v>10</v>
      </c>
      <c r="H61" s="75" t="s">
        <v>171</v>
      </c>
      <c r="I61" s="75">
        <v>19489</v>
      </c>
      <c r="J61" s="75" t="s">
        <v>23</v>
      </c>
      <c r="K61" s="75" t="str">
        <f>IFERROR(VLOOKUP(J61,'NQ10'!$B$9:$C$145,2,0),"")</f>
        <v/>
      </c>
    </row>
    <row r="62" spans="1:11" ht="15" customHeight="1" x14ac:dyDescent="0.25">
      <c r="A62" s="75">
        <v>38</v>
      </c>
      <c r="C62" s="75" t="s">
        <v>10</v>
      </c>
      <c r="D62" s="75">
        <v>11724</v>
      </c>
      <c r="F62" s="75" t="s">
        <v>10</v>
      </c>
      <c r="H62" s="75" t="s">
        <v>407</v>
      </c>
      <c r="I62" s="75">
        <v>19489</v>
      </c>
      <c r="J62" s="75" t="s">
        <v>23</v>
      </c>
      <c r="K62" s="75" t="str">
        <f>IFERROR(VLOOKUP(J62,'NQ10'!$B$9:$C$145,2,0),"")</f>
        <v/>
      </c>
    </row>
    <row r="63" spans="1:11" ht="15" customHeight="1" x14ac:dyDescent="0.25">
      <c r="A63" s="75">
        <v>0</v>
      </c>
      <c r="C63" s="75" t="s">
        <v>10</v>
      </c>
      <c r="D63" s="75">
        <v>11528</v>
      </c>
      <c r="F63" s="75" t="s">
        <v>10</v>
      </c>
      <c r="H63" s="75" t="s">
        <v>307</v>
      </c>
      <c r="I63" s="75">
        <v>19489</v>
      </c>
      <c r="J63" s="75" t="s">
        <v>495</v>
      </c>
      <c r="K63" s="75" t="str">
        <f>IFERROR(VLOOKUP(J63,'NQ10'!$B$9:$C$145,2,0),"")</f>
        <v/>
      </c>
    </row>
    <row r="64" spans="1:11" ht="15" customHeight="1" x14ac:dyDescent="0.25">
      <c r="A64" s="75">
        <v>0</v>
      </c>
      <c r="C64" s="75" t="s">
        <v>10</v>
      </c>
      <c r="D64" s="75">
        <v>2170</v>
      </c>
      <c r="F64" s="75" t="s">
        <v>10</v>
      </c>
      <c r="H64" s="75" t="s">
        <v>216</v>
      </c>
      <c r="I64" s="75">
        <v>19489</v>
      </c>
      <c r="J64" s="75" t="s">
        <v>376</v>
      </c>
      <c r="K64" s="75" t="str">
        <f>IFERROR(VLOOKUP(J64,'NQ10'!$B$9:$C$145,2,0),"")</f>
        <v/>
      </c>
    </row>
    <row r="65" spans="1:11" ht="15" customHeight="1" x14ac:dyDescent="0.25">
      <c r="A65" s="75">
        <v>21</v>
      </c>
      <c r="B65" s="75">
        <v>70</v>
      </c>
      <c r="C65" s="75" t="s">
        <v>10</v>
      </c>
      <c r="D65" s="75">
        <v>12571</v>
      </c>
      <c r="F65" s="75" t="s">
        <v>10</v>
      </c>
      <c r="H65" s="75" t="s">
        <v>407</v>
      </c>
      <c r="I65" s="75">
        <v>19489</v>
      </c>
      <c r="J65" s="75" t="s">
        <v>24</v>
      </c>
      <c r="K65" s="75" t="str">
        <f>IFERROR(VLOOKUP(J65,'NQ10'!$B$9:$C$145,2,0),"")</f>
        <v/>
      </c>
    </row>
    <row r="66" spans="1:11" ht="15" customHeight="1" x14ac:dyDescent="0.25">
      <c r="A66" s="75">
        <v>21</v>
      </c>
      <c r="B66" s="75">
        <v>71</v>
      </c>
      <c r="C66" s="75" t="s">
        <v>10</v>
      </c>
      <c r="D66" s="75">
        <v>7637</v>
      </c>
      <c r="F66" s="75" t="s">
        <v>10</v>
      </c>
      <c r="H66" s="75" t="s">
        <v>407</v>
      </c>
      <c r="I66" s="75">
        <v>19489</v>
      </c>
      <c r="J66" s="75" t="s">
        <v>24</v>
      </c>
      <c r="K66" s="75" t="str">
        <f>IFERROR(VLOOKUP(J66,'NQ10'!$B$9:$C$145,2,0),"")</f>
        <v/>
      </c>
    </row>
    <row r="67" spans="1:11" ht="15" customHeight="1" x14ac:dyDescent="0.25">
      <c r="A67" s="75">
        <v>21</v>
      </c>
      <c r="B67" s="75">
        <v>73</v>
      </c>
      <c r="C67" s="75" t="s">
        <v>10</v>
      </c>
      <c r="D67" s="75">
        <v>1643</v>
      </c>
      <c r="F67" s="75" t="s">
        <v>10</v>
      </c>
      <c r="H67" s="75" t="s">
        <v>10</v>
      </c>
      <c r="I67" s="75">
        <v>19489</v>
      </c>
      <c r="J67" s="75" t="s">
        <v>633</v>
      </c>
      <c r="K67" s="75" t="str">
        <f>IFERROR(VLOOKUP(J67,'NQ10'!$B$9:$C$145,2,0),"")</f>
        <v/>
      </c>
    </row>
    <row r="68" spans="1:11" ht="15" customHeight="1" x14ac:dyDescent="0.25">
      <c r="A68" s="75">
        <v>21</v>
      </c>
      <c r="B68" s="75">
        <v>253</v>
      </c>
      <c r="C68" s="75" t="s">
        <v>10</v>
      </c>
      <c r="D68" s="75">
        <v>17247</v>
      </c>
      <c r="F68" s="75" t="s">
        <v>10</v>
      </c>
      <c r="H68" s="75" t="s">
        <v>10</v>
      </c>
      <c r="I68" s="75">
        <v>19489</v>
      </c>
      <c r="J68" s="75" t="s">
        <v>633</v>
      </c>
      <c r="K68" s="75" t="str">
        <f>IFERROR(VLOOKUP(J68,'NQ10'!$B$9:$C$145,2,0),"")</f>
        <v/>
      </c>
    </row>
    <row r="69" spans="1:11" ht="15" customHeight="1" x14ac:dyDescent="0.25">
      <c r="A69" s="75">
        <v>21</v>
      </c>
      <c r="B69" s="75">
        <v>74</v>
      </c>
      <c r="C69" s="75" t="s">
        <v>10</v>
      </c>
      <c r="D69" s="75">
        <v>10739</v>
      </c>
      <c r="F69" s="75" t="s">
        <v>10</v>
      </c>
      <c r="H69" s="75" t="s">
        <v>407</v>
      </c>
      <c r="I69" s="75">
        <v>19489</v>
      </c>
      <c r="J69" s="75" t="s">
        <v>25</v>
      </c>
      <c r="K69" s="75" t="str">
        <f>IFERROR(VLOOKUP(J69,'NQ10'!$B$9:$C$145,2,0),"")</f>
        <v/>
      </c>
    </row>
    <row r="70" spans="1:11" ht="15" customHeight="1" x14ac:dyDescent="0.25">
      <c r="A70" s="75">
        <v>21</v>
      </c>
      <c r="B70" s="75">
        <v>261</v>
      </c>
      <c r="C70" s="75" t="s">
        <v>10</v>
      </c>
      <c r="D70" s="75">
        <v>7369</v>
      </c>
      <c r="F70" s="75" t="s">
        <v>10</v>
      </c>
      <c r="H70" s="75" t="s">
        <v>171</v>
      </c>
      <c r="I70" s="75">
        <v>19489</v>
      </c>
      <c r="J70" s="75" t="s">
        <v>25</v>
      </c>
      <c r="K70" s="75" t="str">
        <f>IFERROR(VLOOKUP(J70,'NQ10'!$B$9:$C$145,2,0),"")</f>
        <v/>
      </c>
    </row>
    <row r="71" spans="1:11" ht="15" customHeight="1" x14ac:dyDescent="0.25">
      <c r="A71" s="75">
        <v>5</v>
      </c>
      <c r="C71" s="75" t="s">
        <v>10</v>
      </c>
      <c r="D71" s="75">
        <v>4252</v>
      </c>
      <c r="F71" s="75" t="s">
        <v>10</v>
      </c>
      <c r="H71" s="75" t="s">
        <v>216</v>
      </c>
      <c r="I71" s="75">
        <v>19489</v>
      </c>
      <c r="J71" s="75" t="s">
        <v>230</v>
      </c>
      <c r="K71" s="75" t="str">
        <f>IFERROR(VLOOKUP(J71,'NQ10'!$B$9:$C$145,2,0),"")</f>
        <v>A Xau</v>
      </c>
    </row>
    <row r="72" spans="1:11" ht="15" customHeight="1" x14ac:dyDescent="0.25">
      <c r="A72" s="75">
        <v>0</v>
      </c>
      <c r="B72" s="75">
        <v>14</v>
      </c>
      <c r="C72" s="75" t="s">
        <v>10</v>
      </c>
      <c r="D72" s="75">
        <v>12249</v>
      </c>
      <c r="F72" s="75" t="s">
        <v>10</v>
      </c>
      <c r="H72" s="75" t="s">
        <v>307</v>
      </c>
      <c r="I72" s="75">
        <v>19489</v>
      </c>
      <c r="J72" s="75" t="s">
        <v>26</v>
      </c>
      <c r="K72" s="75" t="str">
        <f>IFERROR(VLOOKUP(J72,'NQ10'!$B$9:$C$145,2,0),"")</f>
        <v/>
      </c>
    </row>
    <row r="73" spans="1:11" ht="15" customHeight="1" x14ac:dyDescent="0.25">
      <c r="A73" s="75">
        <v>21</v>
      </c>
      <c r="B73" s="75">
        <v>76</v>
      </c>
      <c r="C73" s="75" t="s">
        <v>10</v>
      </c>
      <c r="D73" s="75">
        <v>14666</v>
      </c>
      <c r="F73" s="75" t="s">
        <v>10</v>
      </c>
      <c r="H73" s="75" t="s">
        <v>307</v>
      </c>
      <c r="I73" s="75">
        <v>19489</v>
      </c>
      <c r="J73" s="75" t="s">
        <v>26</v>
      </c>
      <c r="K73" s="75" t="str">
        <f>IFERROR(VLOOKUP(J73,'NQ10'!$B$9:$C$145,2,0),"")</f>
        <v/>
      </c>
    </row>
    <row r="74" spans="1:11" ht="15" customHeight="1" x14ac:dyDescent="0.25">
      <c r="A74" s="75">
        <v>0</v>
      </c>
      <c r="C74" s="75" t="s">
        <v>10</v>
      </c>
      <c r="D74" s="75">
        <v>1475</v>
      </c>
      <c r="F74" s="75" t="s">
        <v>10</v>
      </c>
      <c r="H74" s="75" t="s">
        <v>10</v>
      </c>
      <c r="I74" s="75">
        <v>19489</v>
      </c>
      <c r="J74" s="75" t="s">
        <v>247</v>
      </c>
      <c r="K74" s="75" t="str">
        <f>IFERROR(VLOOKUP(J74,'NQ10'!$B$9:$C$145,2,0),"")</f>
        <v>Kỳ Nơi</v>
      </c>
    </row>
    <row r="75" spans="1:11" ht="15" customHeight="1" x14ac:dyDescent="0.25">
      <c r="A75" s="75">
        <v>1</v>
      </c>
      <c r="C75" s="75" t="s">
        <v>10</v>
      </c>
      <c r="D75" s="75">
        <v>26903</v>
      </c>
      <c r="F75" s="75" t="s">
        <v>10</v>
      </c>
      <c r="H75" s="75" t="s">
        <v>472</v>
      </c>
      <c r="I75" s="75">
        <v>19489</v>
      </c>
      <c r="J75" s="75" t="s">
        <v>505</v>
      </c>
      <c r="K75" s="75" t="str">
        <f>IFERROR(VLOOKUP(J75,'NQ10'!$B$9:$C$145,2,0),"")</f>
        <v/>
      </c>
    </row>
    <row r="76" spans="1:11" ht="15" customHeight="1" x14ac:dyDescent="0.25">
      <c r="A76" s="75">
        <v>21</v>
      </c>
      <c r="B76" s="75">
        <v>77</v>
      </c>
      <c r="C76" s="75" t="s">
        <v>10</v>
      </c>
      <c r="D76" s="75">
        <v>10873</v>
      </c>
      <c r="F76" s="75" t="s">
        <v>10</v>
      </c>
      <c r="H76" s="75" t="s">
        <v>10</v>
      </c>
      <c r="I76" s="75">
        <v>19489</v>
      </c>
      <c r="J76" s="75" t="s">
        <v>27</v>
      </c>
      <c r="K76" s="75" t="str">
        <f>IFERROR(VLOOKUP(J76,'NQ10'!$B$9:$C$145,2,0),"")</f>
        <v/>
      </c>
    </row>
    <row r="77" spans="1:11" ht="15" customHeight="1" x14ac:dyDescent="0.25">
      <c r="A77" s="75">
        <v>21</v>
      </c>
      <c r="B77" s="75">
        <v>78</v>
      </c>
      <c r="C77" s="75" t="s">
        <v>10</v>
      </c>
      <c r="D77" s="75">
        <v>18415</v>
      </c>
      <c r="F77" s="75" t="s">
        <v>10</v>
      </c>
      <c r="H77" s="75" t="s">
        <v>10</v>
      </c>
      <c r="I77" s="75">
        <v>19489</v>
      </c>
      <c r="J77" s="75" t="s">
        <v>28</v>
      </c>
      <c r="K77" s="75" t="str">
        <f>IFERROR(VLOOKUP(J77,'NQ10'!$B$9:$C$145,2,0),"")</f>
        <v/>
      </c>
    </row>
    <row r="78" spans="1:11" ht="15" customHeight="1" x14ac:dyDescent="0.25">
      <c r="A78" s="75">
        <v>21</v>
      </c>
      <c r="B78" s="75">
        <v>79</v>
      </c>
      <c r="C78" s="75" t="s">
        <v>10</v>
      </c>
      <c r="D78" s="75">
        <v>9667</v>
      </c>
      <c r="F78" s="75" t="s">
        <v>10</v>
      </c>
      <c r="H78" s="75" t="s">
        <v>10</v>
      </c>
      <c r="I78" s="75">
        <v>19489</v>
      </c>
      <c r="J78" s="75" t="s">
        <v>28</v>
      </c>
      <c r="K78" s="75" t="str">
        <f>IFERROR(VLOOKUP(J78,'NQ10'!$B$9:$C$145,2,0),"")</f>
        <v/>
      </c>
    </row>
    <row r="79" spans="1:11" ht="15" customHeight="1" x14ac:dyDescent="0.25">
      <c r="A79" s="75">
        <v>21</v>
      </c>
      <c r="B79" s="75">
        <v>80</v>
      </c>
      <c r="C79" s="75" t="s">
        <v>10</v>
      </c>
      <c r="D79" s="75">
        <v>13907</v>
      </c>
      <c r="F79" s="75" t="s">
        <v>10</v>
      </c>
      <c r="H79" s="75" t="s">
        <v>10</v>
      </c>
      <c r="I79" s="75">
        <v>19489</v>
      </c>
      <c r="J79" s="75" t="s">
        <v>28</v>
      </c>
      <c r="K79" s="75" t="str">
        <f>IFERROR(VLOOKUP(J79,'NQ10'!$B$9:$C$145,2,0),"")</f>
        <v/>
      </c>
    </row>
    <row r="80" spans="1:11" ht="15" customHeight="1" x14ac:dyDescent="0.25">
      <c r="A80" s="75">
        <v>21</v>
      </c>
      <c r="B80" s="75">
        <v>81</v>
      </c>
      <c r="C80" s="75" t="s">
        <v>10</v>
      </c>
      <c r="D80" s="75">
        <v>17133</v>
      </c>
      <c r="F80" s="75" t="s">
        <v>10</v>
      </c>
      <c r="H80" s="75" t="s">
        <v>407</v>
      </c>
      <c r="I80" s="75">
        <v>19489</v>
      </c>
      <c r="J80" s="75" t="s">
        <v>29</v>
      </c>
      <c r="K80" s="75" t="str">
        <f>IFERROR(VLOOKUP(J80,'NQ10'!$B$9:$C$145,2,0),"")</f>
        <v/>
      </c>
    </row>
    <row r="81" spans="1:11" ht="15" customHeight="1" x14ac:dyDescent="0.25">
      <c r="A81" s="75">
        <v>21</v>
      </c>
      <c r="B81" s="75">
        <v>82</v>
      </c>
      <c r="C81" s="75" t="s">
        <v>10</v>
      </c>
      <c r="D81" s="75">
        <v>14524</v>
      </c>
      <c r="F81" s="75" t="s">
        <v>10</v>
      </c>
      <c r="H81" s="75" t="s">
        <v>407</v>
      </c>
      <c r="I81" s="75">
        <v>19489</v>
      </c>
      <c r="J81" s="75" t="s">
        <v>29</v>
      </c>
      <c r="K81" s="75" t="str">
        <f>IFERROR(VLOOKUP(J81,'NQ10'!$B$9:$C$145,2,0),"")</f>
        <v/>
      </c>
    </row>
    <row r="82" spans="1:11" ht="15" customHeight="1" x14ac:dyDescent="0.25">
      <c r="A82" s="75">
        <v>36</v>
      </c>
      <c r="C82" s="75" t="s">
        <v>10</v>
      </c>
      <c r="D82" s="75">
        <v>2848</v>
      </c>
      <c r="F82" s="75" t="s">
        <v>10</v>
      </c>
      <c r="H82" s="75" t="s">
        <v>407</v>
      </c>
      <c r="I82" s="75">
        <v>19489</v>
      </c>
      <c r="J82" s="75" t="s">
        <v>29</v>
      </c>
      <c r="K82" s="75" t="str">
        <f>IFERROR(VLOOKUP(J82,'NQ10'!$B$9:$C$145,2,0),"")</f>
        <v/>
      </c>
    </row>
    <row r="83" spans="1:11" ht="15" customHeight="1" x14ac:dyDescent="0.25">
      <c r="A83" s="75">
        <v>21</v>
      </c>
      <c r="B83" s="75">
        <v>83</v>
      </c>
      <c r="C83" s="75" t="s">
        <v>10</v>
      </c>
      <c r="D83" s="75">
        <v>5917</v>
      </c>
      <c r="F83" s="75" t="s">
        <v>10</v>
      </c>
      <c r="H83" s="75" t="s">
        <v>10</v>
      </c>
      <c r="I83" s="75">
        <v>19489</v>
      </c>
      <c r="J83" s="75" t="s">
        <v>30</v>
      </c>
      <c r="K83" s="75" t="str">
        <f>IFERROR(VLOOKUP(J83,'NQ10'!$B$9:$C$145,2,0),"")</f>
        <v/>
      </c>
    </row>
    <row r="84" spans="1:11" ht="15" customHeight="1" x14ac:dyDescent="0.25">
      <c r="A84" s="75">
        <v>21</v>
      </c>
      <c r="B84" s="75">
        <v>84</v>
      </c>
      <c r="C84" s="75" t="s">
        <v>10</v>
      </c>
      <c r="D84" s="75">
        <v>3911</v>
      </c>
      <c r="F84" s="75" t="s">
        <v>10</v>
      </c>
      <c r="H84" s="75" t="s">
        <v>10</v>
      </c>
      <c r="I84" s="75">
        <v>19489</v>
      </c>
      <c r="J84" s="75" t="s">
        <v>30</v>
      </c>
      <c r="K84" s="75" t="str">
        <f>IFERROR(VLOOKUP(J84,'NQ10'!$B$9:$C$145,2,0),"")</f>
        <v/>
      </c>
    </row>
    <row r="85" spans="1:11" ht="15" customHeight="1" x14ac:dyDescent="0.25">
      <c r="A85" s="75">
        <v>21</v>
      </c>
      <c r="B85" s="75">
        <v>85</v>
      </c>
      <c r="C85" s="75" t="s">
        <v>10</v>
      </c>
      <c r="D85" s="75">
        <v>17141</v>
      </c>
      <c r="F85" s="75" t="s">
        <v>10</v>
      </c>
      <c r="H85" s="75" t="s">
        <v>10</v>
      </c>
      <c r="I85" s="75">
        <v>19489</v>
      </c>
      <c r="J85" s="75" t="s">
        <v>30</v>
      </c>
      <c r="K85" s="75" t="str">
        <f>IFERROR(VLOOKUP(J85,'NQ10'!$B$9:$C$145,2,0),"")</f>
        <v/>
      </c>
    </row>
    <row r="86" spans="1:11" ht="15" customHeight="1" x14ac:dyDescent="0.25">
      <c r="A86" s="75">
        <v>1</v>
      </c>
      <c r="C86" s="75" t="s">
        <v>10</v>
      </c>
      <c r="D86" s="75">
        <v>2796</v>
      </c>
      <c r="F86" s="75" t="s">
        <v>10</v>
      </c>
      <c r="H86" s="75" t="s">
        <v>340</v>
      </c>
      <c r="I86" s="75">
        <v>19489</v>
      </c>
      <c r="J86" s="75" t="s">
        <v>349</v>
      </c>
      <c r="K86" s="75" t="str">
        <f>IFERROR(VLOOKUP(J86,'NQ10'!$B$9:$C$145,2,0),"")</f>
        <v/>
      </c>
    </row>
    <row r="87" spans="1:11" ht="15" customHeight="1" x14ac:dyDescent="0.25">
      <c r="A87" s="75">
        <v>0</v>
      </c>
      <c r="B87" s="75">
        <v>15</v>
      </c>
      <c r="C87" s="75" t="s">
        <v>10</v>
      </c>
      <c r="D87" s="75">
        <v>9060</v>
      </c>
      <c r="F87" s="75" t="s">
        <v>10</v>
      </c>
      <c r="H87" s="75" t="s">
        <v>307</v>
      </c>
      <c r="I87" s="75">
        <v>19489</v>
      </c>
      <c r="J87" s="75" t="s">
        <v>503</v>
      </c>
      <c r="K87" s="75" t="str">
        <f>IFERROR(VLOOKUP(J87,'NQ10'!$B$9:$C$145,2,0),"")</f>
        <v/>
      </c>
    </row>
    <row r="88" spans="1:11" ht="15" customHeight="1" x14ac:dyDescent="0.25">
      <c r="A88" s="75">
        <v>38</v>
      </c>
      <c r="B88" s="75">
        <v>93</v>
      </c>
      <c r="C88" s="75" t="s">
        <v>10</v>
      </c>
      <c r="D88" s="75">
        <v>15471</v>
      </c>
      <c r="F88" s="75" t="s">
        <v>10</v>
      </c>
      <c r="H88" s="75" t="s">
        <v>407</v>
      </c>
      <c r="I88" s="75">
        <v>19489</v>
      </c>
      <c r="J88" s="75" t="s">
        <v>31</v>
      </c>
      <c r="K88" s="75" t="str">
        <f>IFERROR(VLOOKUP(J88,'NQ10'!$B$9:$C$145,2,0),"")</f>
        <v/>
      </c>
    </row>
    <row r="89" spans="1:11" ht="15" customHeight="1" x14ac:dyDescent="0.25">
      <c r="A89" s="75">
        <v>21</v>
      </c>
      <c r="B89" s="75">
        <v>86</v>
      </c>
      <c r="C89" s="75" t="s">
        <v>10</v>
      </c>
      <c r="D89" s="75">
        <v>8170</v>
      </c>
      <c r="F89" s="75" t="s">
        <v>10</v>
      </c>
      <c r="H89" s="75" t="s">
        <v>307</v>
      </c>
      <c r="I89" s="75">
        <v>19489</v>
      </c>
      <c r="J89" s="75" t="s">
        <v>32</v>
      </c>
      <c r="K89" s="75" t="str">
        <f>IFERROR(VLOOKUP(J89,'NQ10'!$B$9:$C$145,2,0),"")</f>
        <v/>
      </c>
    </row>
    <row r="90" spans="1:11" ht="15" customHeight="1" x14ac:dyDescent="0.25">
      <c r="A90" s="75">
        <v>21</v>
      </c>
      <c r="B90" s="75">
        <v>87</v>
      </c>
      <c r="C90" s="75" t="s">
        <v>10</v>
      </c>
      <c r="D90" s="75">
        <v>9745</v>
      </c>
      <c r="F90" s="75" t="s">
        <v>10</v>
      </c>
      <c r="H90" s="75" t="s">
        <v>307</v>
      </c>
      <c r="I90" s="75">
        <v>19489</v>
      </c>
      <c r="J90" s="75" t="s">
        <v>32</v>
      </c>
      <c r="K90" s="75" t="str">
        <f>IFERROR(VLOOKUP(J90,'NQ10'!$B$9:$C$145,2,0),"")</f>
        <v/>
      </c>
    </row>
    <row r="91" spans="1:11" ht="15" customHeight="1" x14ac:dyDescent="0.25">
      <c r="A91" s="75">
        <v>1</v>
      </c>
      <c r="C91" s="75" t="s">
        <v>10</v>
      </c>
      <c r="D91" s="75">
        <v>4272</v>
      </c>
      <c r="F91" s="75" t="s">
        <v>10</v>
      </c>
      <c r="H91" s="75" t="s">
        <v>10</v>
      </c>
      <c r="I91" s="75">
        <v>19489</v>
      </c>
      <c r="J91" s="75" t="s">
        <v>507</v>
      </c>
      <c r="K91" s="75" t="str">
        <f>IFERROR(VLOOKUP(J91,'NQ10'!$B$9:$C$145,2,0),"")</f>
        <v/>
      </c>
    </row>
    <row r="92" spans="1:11" ht="15" customHeight="1" x14ac:dyDescent="0.25">
      <c r="A92" s="75">
        <v>1</v>
      </c>
      <c r="B92" s="75">
        <v>494</v>
      </c>
      <c r="C92" s="75" t="s">
        <v>10</v>
      </c>
      <c r="D92" s="75">
        <v>274398</v>
      </c>
      <c r="F92" s="75" t="s">
        <v>10</v>
      </c>
      <c r="H92" s="75" t="s">
        <v>10</v>
      </c>
      <c r="I92" s="75">
        <v>19489</v>
      </c>
      <c r="J92" s="75" t="s">
        <v>507</v>
      </c>
      <c r="K92" s="75" t="str">
        <f>IFERROR(VLOOKUP(J92,'NQ10'!$B$9:$C$145,2,0),"")</f>
        <v/>
      </c>
    </row>
    <row r="93" spans="1:11" ht="15" customHeight="1" x14ac:dyDescent="0.25">
      <c r="A93" s="75">
        <v>0</v>
      </c>
      <c r="C93" s="75" t="s">
        <v>10</v>
      </c>
      <c r="D93" s="75">
        <v>953</v>
      </c>
      <c r="F93" s="75" t="s">
        <v>10</v>
      </c>
      <c r="H93" s="75" t="s">
        <v>216</v>
      </c>
      <c r="I93" s="75">
        <v>19489</v>
      </c>
      <c r="J93" s="75" t="s">
        <v>484</v>
      </c>
      <c r="K93" s="75" t="str">
        <f>IFERROR(VLOOKUP(J93,'NQ10'!$B$9:$C$145,2,0),"")</f>
        <v/>
      </c>
    </row>
    <row r="94" spans="1:11" ht="15" customHeight="1" x14ac:dyDescent="0.25">
      <c r="A94" s="75">
        <v>21</v>
      </c>
      <c r="B94" s="75">
        <v>88</v>
      </c>
      <c r="C94" s="75" t="s">
        <v>10</v>
      </c>
      <c r="D94" s="75">
        <v>13070</v>
      </c>
      <c r="F94" s="75" t="s">
        <v>10</v>
      </c>
      <c r="H94" s="75" t="s">
        <v>10</v>
      </c>
      <c r="I94" s="75">
        <v>19489</v>
      </c>
      <c r="J94" s="75" t="s">
        <v>589</v>
      </c>
      <c r="K94" s="75" t="str">
        <f>IFERROR(VLOOKUP(J94,'NQ10'!$B$9:$C$145,2,0),"")</f>
        <v/>
      </c>
    </row>
    <row r="95" spans="1:11" ht="15" customHeight="1" x14ac:dyDescent="0.25">
      <c r="A95" s="75">
        <v>21</v>
      </c>
      <c r="B95" s="75">
        <v>89</v>
      </c>
      <c r="C95" s="75" t="s">
        <v>10</v>
      </c>
      <c r="D95" s="75">
        <v>4769</v>
      </c>
      <c r="F95" s="75" t="s">
        <v>10</v>
      </c>
      <c r="H95" s="75" t="s">
        <v>10</v>
      </c>
      <c r="I95" s="75">
        <v>19489</v>
      </c>
      <c r="J95" s="75" t="s">
        <v>33</v>
      </c>
      <c r="K95" s="75" t="str">
        <f>IFERROR(VLOOKUP(J95,'NQ10'!$B$9:$C$145,2,0),"")</f>
        <v/>
      </c>
    </row>
    <row r="96" spans="1:11" ht="15" customHeight="1" x14ac:dyDescent="0.25">
      <c r="A96" s="75">
        <v>21</v>
      </c>
      <c r="B96" s="75">
        <v>90</v>
      </c>
      <c r="C96" s="75" t="s">
        <v>10</v>
      </c>
      <c r="D96" s="75">
        <v>24988</v>
      </c>
      <c r="F96" s="75" t="s">
        <v>10</v>
      </c>
      <c r="H96" s="75" t="s">
        <v>10</v>
      </c>
      <c r="I96" s="75">
        <v>19489</v>
      </c>
      <c r="J96" s="75" t="s">
        <v>33</v>
      </c>
      <c r="K96" s="75" t="str">
        <f>IFERROR(VLOOKUP(J96,'NQ10'!$B$9:$C$145,2,0),"")</f>
        <v/>
      </c>
    </row>
    <row r="97" spans="1:11" ht="15" customHeight="1" x14ac:dyDescent="0.25">
      <c r="A97" s="75">
        <v>21</v>
      </c>
      <c r="B97" s="75">
        <v>91</v>
      </c>
      <c r="C97" s="75" t="s">
        <v>10</v>
      </c>
      <c r="D97" s="75">
        <v>8459</v>
      </c>
      <c r="F97" s="75" t="s">
        <v>10</v>
      </c>
      <c r="H97" s="75" t="s">
        <v>10</v>
      </c>
      <c r="I97" s="75">
        <v>19489</v>
      </c>
      <c r="J97" s="75" t="s">
        <v>33</v>
      </c>
      <c r="K97" s="75" t="str">
        <f>IFERROR(VLOOKUP(J97,'NQ10'!$B$9:$C$145,2,0),"")</f>
        <v/>
      </c>
    </row>
    <row r="98" spans="1:11" ht="15" customHeight="1" x14ac:dyDescent="0.25">
      <c r="A98" s="75">
        <v>33</v>
      </c>
      <c r="B98" s="75">
        <v>4</v>
      </c>
      <c r="C98" s="75" t="s">
        <v>10</v>
      </c>
      <c r="D98" s="75">
        <v>5352</v>
      </c>
      <c r="F98" s="75" t="s">
        <v>10</v>
      </c>
      <c r="H98" s="75" t="s">
        <v>10</v>
      </c>
      <c r="I98" s="75">
        <v>19489</v>
      </c>
      <c r="J98" s="75" t="s">
        <v>34</v>
      </c>
      <c r="K98" s="75" t="str">
        <f>IFERROR(VLOOKUP(J98,'NQ10'!$B$9:$C$145,2,0),"")</f>
        <v/>
      </c>
    </row>
    <row r="99" spans="1:11" ht="15" customHeight="1" x14ac:dyDescent="0.25">
      <c r="A99" s="75">
        <v>21</v>
      </c>
      <c r="B99" s="75">
        <v>92</v>
      </c>
      <c r="C99" s="75" t="s">
        <v>10</v>
      </c>
      <c r="D99" s="75">
        <v>7480</v>
      </c>
      <c r="F99" s="75" t="s">
        <v>10</v>
      </c>
      <c r="H99" s="75" t="s">
        <v>10</v>
      </c>
      <c r="I99" s="75">
        <v>19489</v>
      </c>
      <c r="J99" s="75" t="s">
        <v>35</v>
      </c>
      <c r="K99" s="75" t="str">
        <f>IFERROR(VLOOKUP(J99,'NQ10'!$B$9:$C$145,2,0),"")</f>
        <v/>
      </c>
    </row>
    <row r="100" spans="1:11" ht="15" customHeight="1" x14ac:dyDescent="0.25">
      <c r="A100" s="75">
        <v>1</v>
      </c>
      <c r="C100" s="75" t="s">
        <v>10</v>
      </c>
      <c r="D100" s="75">
        <v>4805</v>
      </c>
      <c r="F100" s="75" t="s">
        <v>10</v>
      </c>
      <c r="H100" s="75" t="s">
        <v>340</v>
      </c>
      <c r="I100" s="75">
        <v>19489</v>
      </c>
      <c r="J100" s="75" t="s">
        <v>275</v>
      </c>
      <c r="K100" s="75" t="str">
        <f>IFERROR(VLOOKUP(J100,'NQ10'!$B$9:$C$145,2,0),"")</f>
        <v>Tăng cô Hang</v>
      </c>
    </row>
    <row r="101" spans="1:11" ht="15" customHeight="1" x14ac:dyDescent="0.25">
      <c r="A101" s="75">
        <v>21</v>
      </c>
      <c r="B101" s="75">
        <v>93</v>
      </c>
      <c r="C101" s="75" t="s">
        <v>10</v>
      </c>
      <c r="D101" s="75">
        <v>9471</v>
      </c>
      <c r="F101" s="75" t="s">
        <v>10</v>
      </c>
      <c r="H101" s="75" t="s">
        <v>407</v>
      </c>
      <c r="I101" s="75">
        <v>19489</v>
      </c>
      <c r="J101" s="75" t="s">
        <v>36</v>
      </c>
      <c r="K101" s="75" t="str">
        <f>IFERROR(VLOOKUP(J101,'NQ10'!$B$9:$C$145,2,0),"")</f>
        <v/>
      </c>
    </row>
    <row r="102" spans="1:11" ht="15" customHeight="1" x14ac:dyDescent="0.25">
      <c r="A102" s="75">
        <v>36</v>
      </c>
      <c r="C102" s="75" t="s">
        <v>10</v>
      </c>
      <c r="D102" s="75">
        <v>1729</v>
      </c>
      <c r="F102" s="75" t="s">
        <v>10</v>
      </c>
      <c r="H102" s="75" t="s">
        <v>407</v>
      </c>
      <c r="I102" s="75">
        <v>19489</v>
      </c>
      <c r="J102" s="75" t="s">
        <v>555</v>
      </c>
      <c r="K102" s="75" t="str">
        <f>IFERROR(VLOOKUP(J102,'NQ10'!$B$9:$C$145,2,0),"")</f>
        <v/>
      </c>
    </row>
    <row r="103" spans="1:11" ht="15" customHeight="1" x14ac:dyDescent="0.25">
      <c r="A103" s="75">
        <v>36</v>
      </c>
      <c r="C103" s="75" t="s">
        <v>10</v>
      </c>
      <c r="D103" s="75">
        <v>1930</v>
      </c>
      <c r="F103" s="75" t="s">
        <v>10</v>
      </c>
      <c r="H103" s="75" t="s">
        <v>407</v>
      </c>
      <c r="I103" s="75">
        <v>19489</v>
      </c>
      <c r="J103" s="75" t="s">
        <v>555</v>
      </c>
      <c r="K103" s="75" t="str">
        <f>IFERROR(VLOOKUP(J103,'NQ10'!$B$9:$C$145,2,0),"")</f>
        <v/>
      </c>
    </row>
    <row r="104" spans="1:11" ht="15" customHeight="1" x14ac:dyDescent="0.25">
      <c r="A104" s="75">
        <v>1</v>
      </c>
      <c r="B104" s="75">
        <v>6</v>
      </c>
      <c r="C104" s="75" t="s">
        <v>10</v>
      </c>
      <c r="D104" s="75">
        <v>6517</v>
      </c>
      <c r="F104" s="75" t="s">
        <v>10</v>
      </c>
      <c r="H104" s="75" t="s">
        <v>10</v>
      </c>
      <c r="I104" s="75">
        <v>19489</v>
      </c>
      <c r="J104" s="75" t="s">
        <v>37</v>
      </c>
      <c r="K104" s="75" t="str">
        <f>IFERROR(VLOOKUP(J104,'NQ10'!$B$9:$C$145,2,0),"")</f>
        <v/>
      </c>
    </row>
    <row r="105" spans="1:11" ht="15" customHeight="1" x14ac:dyDescent="0.25">
      <c r="A105" s="75">
        <v>25</v>
      </c>
      <c r="B105" s="75">
        <v>7</v>
      </c>
      <c r="C105" s="75" t="s">
        <v>10</v>
      </c>
      <c r="D105" s="75">
        <v>32544</v>
      </c>
      <c r="F105" s="75" t="s">
        <v>10</v>
      </c>
      <c r="H105" s="75" t="s">
        <v>10</v>
      </c>
      <c r="I105" s="75">
        <v>19489</v>
      </c>
      <c r="J105" s="75" t="s">
        <v>37</v>
      </c>
      <c r="K105" s="75" t="str">
        <f>IFERROR(VLOOKUP(J105,'NQ10'!$B$9:$C$145,2,0),"")</f>
        <v/>
      </c>
    </row>
    <row r="106" spans="1:11" ht="15" customHeight="1" x14ac:dyDescent="0.25">
      <c r="A106" s="75">
        <v>33</v>
      </c>
      <c r="B106" s="75">
        <v>49</v>
      </c>
      <c r="C106" s="75" t="s">
        <v>10</v>
      </c>
      <c r="D106" s="75">
        <v>2916</v>
      </c>
      <c r="F106" s="75" t="s">
        <v>10</v>
      </c>
      <c r="H106" s="75" t="s">
        <v>10</v>
      </c>
      <c r="I106" s="75">
        <v>19489</v>
      </c>
      <c r="J106" s="75" t="s">
        <v>160</v>
      </c>
      <c r="K106" s="75" t="str">
        <f>IFERROR(VLOOKUP(J106,'NQ10'!$B$9:$C$145,2,0),"")</f>
        <v/>
      </c>
    </row>
    <row r="107" spans="1:11" ht="15" customHeight="1" x14ac:dyDescent="0.25">
      <c r="A107" s="75">
        <v>25</v>
      </c>
      <c r="C107" s="75" t="s">
        <v>10</v>
      </c>
      <c r="D107" s="75">
        <v>8355</v>
      </c>
      <c r="F107" s="75" t="s">
        <v>10</v>
      </c>
      <c r="H107" s="75" t="s">
        <v>10</v>
      </c>
      <c r="I107" s="75">
        <v>19489</v>
      </c>
      <c r="J107" s="75" t="s">
        <v>544</v>
      </c>
      <c r="K107" s="75" t="str">
        <f>IFERROR(VLOOKUP(J107,'NQ10'!$B$9:$C$145,2,0),"")</f>
        <v/>
      </c>
    </row>
    <row r="108" spans="1:11" ht="15" customHeight="1" x14ac:dyDescent="0.25">
      <c r="A108" s="75">
        <v>29</v>
      </c>
      <c r="C108" s="75" t="s">
        <v>10</v>
      </c>
      <c r="D108" s="75">
        <v>16188</v>
      </c>
      <c r="F108" s="75" t="s">
        <v>10</v>
      </c>
      <c r="H108" s="75" t="s">
        <v>216</v>
      </c>
      <c r="I108" s="75">
        <v>19489</v>
      </c>
      <c r="J108" s="75" t="s">
        <v>38</v>
      </c>
      <c r="K108" s="75" t="str">
        <f>IFERROR(VLOOKUP(J108,'NQ10'!$B$9:$C$145,2,0),"")</f>
        <v>A Xau</v>
      </c>
    </row>
    <row r="109" spans="1:11" ht="15" customHeight="1" x14ac:dyDescent="0.25">
      <c r="A109" s="75">
        <v>29</v>
      </c>
      <c r="B109" s="75">
        <v>40</v>
      </c>
      <c r="C109" s="75" t="s">
        <v>10</v>
      </c>
      <c r="D109" s="75">
        <v>5918</v>
      </c>
      <c r="F109" s="75" t="s">
        <v>10</v>
      </c>
      <c r="H109" s="75" t="s">
        <v>216</v>
      </c>
      <c r="I109" s="75">
        <v>19489</v>
      </c>
      <c r="J109" s="75" t="s">
        <v>38</v>
      </c>
      <c r="K109" s="75" t="str">
        <f>IFERROR(VLOOKUP(J109,'NQ10'!$B$9:$C$145,2,0),"")</f>
        <v>A Xau</v>
      </c>
    </row>
    <row r="110" spans="1:11" ht="15" customHeight="1" x14ac:dyDescent="0.25">
      <c r="A110" s="75">
        <v>21</v>
      </c>
      <c r="B110" s="75">
        <v>94</v>
      </c>
      <c r="C110" s="75" t="s">
        <v>10</v>
      </c>
      <c r="D110" s="75">
        <v>11378</v>
      </c>
      <c r="F110" s="75" t="s">
        <v>10</v>
      </c>
      <c r="H110" s="75" t="s">
        <v>171</v>
      </c>
      <c r="I110" s="75">
        <v>19489</v>
      </c>
      <c r="J110" s="75" t="s">
        <v>39</v>
      </c>
      <c r="K110" s="75" t="str">
        <f>IFERROR(VLOOKUP(J110,'NQ10'!$B$9:$C$145,2,0),"")</f>
        <v/>
      </c>
    </row>
    <row r="111" spans="1:11" ht="15" customHeight="1" x14ac:dyDescent="0.25">
      <c r="A111" s="75">
        <v>21</v>
      </c>
      <c r="B111" s="75">
        <v>95</v>
      </c>
      <c r="C111" s="75" t="s">
        <v>10</v>
      </c>
      <c r="D111" s="75">
        <v>11950</v>
      </c>
      <c r="F111" s="75" t="s">
        <v>10</v>
      </c>
      <c r="H111" s="75" t="s">
        <v>307</v>
      </c>
      <c r="I111" s="75">
        <v>19489</v>
      </c>
      <c r="J111" s="75" t="s">
        <v>40</v>
      </c>
      <c r="K111" s="75" t="str">
        <f>IFERROR(VLOOKUP(J111,'NQ10'!$B$9:$C$145,2,0),"")</f>
        <v/>
      </c>
    </row>
    <row r="112" spans="1:11" ht="15" customHeight="1" x14ac:dyDescent="0.25">
      <c r="A112" s="75">
        <v>31</v>
      </c>
      <c r="C112" s="75" t="s">
        <v>10</v>
      </c>
      <c r="D112" s="75">
        <v>3414</v>
      </c>
      <c r="F112" s="75" t="s">
        <v>10</v>
      </c>
      <c r="H112" s="75" t="s">
        <v>307</v>
      </c>
      <c r="I112" s="75">
        <v>19489</v>
      </c>
      <c r="J112" s="75" t="s">
        <v>40</v>
      </c>
      <c r="K112" s="75" t="str">
        <f>IFERROR(VLOOKUP(J112,'NQ10'!$B$9:$C$145,2,0),"")</f>
        <v/>
      </c>
    </row>
    <row r="113" spans="1:11" ht="15" customHeight="1" x14ac:dyDescent="0.25">
      <c r="A113" s="75">
        <v>30</v>
      </c>
      <c r="B113" s="75">
        <v>78</v>
      </c>
      <c r="C113" s="75" t="s">
        <v>10</v>
      </c>
      <c r="D113" s="75">
        <v>7651</v>
      </c>
      <c r="F113" s="75" t="s">
        <v>10</v>
      </c>
      <c r="H113" s="75" t="s">
        <v>307</v>
      </c>
      <c r="I113" s="75">
        <v>19489</v>
      </c>
      <c r="J113" s="75" t="s">
        <v>40</v>
      </c>
      <c r="K113" s="75" t="str">
        <f>IFERROR(VLOOKUP(J113,'NQ10'!$B$9:$C$145,2,0),"")</f>
        <v/>
      </c>
    </row>
    <row r="114" spans="1:11" ht="15" customHeight="1" x14ac:dyDescent="0.25">
      <c r="A114" s="75">
        <v>1</v>
      </c>
      <c r="B114" s="75">
        <v>418</v>
      </c>
      <c r="C114" s="75" t="s">
        <v>10</v>
      </c>
      <c r="D114" s="75">
        <v>12727</v>
      </c>
      <c r="F114" s="75" t="s">
        <v>10</v>
      </c>
      <c r="H114" s="75" t="s">
        <v>164</v>
      </c>
      <c r="I114" s="75">
        <v>19489</v>
      </c>
      <c r="J114" s="75" t="s">
        <v>344</v>
      </c>
      <c r="K114" s="75" t="str">
        <f>IFERROR(VLOOKUP(J114,'NQ10'!$B$9:$C$145,2,0),"")</f>
        <v/>
      </c>
    </row>
    <row r="115" spans="1:11" ht="15" customHeight="1" x14ac:dyDescent="0.25">
      <c r="A115" s="75">
        <v>18</v>
      </c>
      <c r="B115" s="75">
        <v>69</v>
      </c>
      <c r="C115" s="75" t="s">
        <v>10</v>
      </c>
      <c r="D115" s="75">
        <v>5450</v>
      </c>
      <c r="F115" s="75" t="s">
        <v>10</v>
      </c>
      <c r="H115" s="75" t="s">
        <v>340</v>
      </c>
      <c r="I115" s="75">
        <v>19489</v>
      </c>
      <c r="J115" s="75" t="s">
        <v>344</v>
      </c>
      <c r="K115" s="75" t="str">
        <f>IFERROR(VLOOKUP(J115,'NQ10'!$B$9:$C$145,2,0),"")</f>
        <v/>
      </c>
    </row>
    <row r="116" spans="1:11" ht="15" customHeight="1" x14ac:dyDescent="0.25">
      <c r="A116" s="75">
        <v>6</v>
      </c>
      <c r="C116" s="75" t="s">
        <v>10</v>
      </c>
      <c r="D116" s="75">
        <v>5442</v>
      </c>
      <c r="F116" s="75" t="s">
        <v>10</v>
      </c>
      <c r="H116" s="75" t="s">
        <v>307</v>
      </c>
      <c r="I116" s="75">
        <v>19489</v>
      </c>
      <c r="J116" s="75" t="s">
        <v>41</v>
      </c>
      <c r="K116" s="75" t="str">
        <f>IFERROR(VLOOKUP(J116,'NQ10'!$B$9:$C$145,2,0),"")</f>
        <v/>
      </c>
    </row>
    <row r="117" spans="1:11" ht="15" customHeight="1" x14ac:dyDescent="0.25">
      <c r="A117" s="75">
        <v>21</v>
      </c>
      <c r="B117" s="75">
        <v>96</v>
      </c>
      <c r="C117" s="75" t="s">
        <v>10</v>
      </c>
      <c r="D117" s="75">
        <v>9894</v>
      </c>
      <c r="F117" s="75" t="s">
        <v>10</v>
      </c>
      <c r="H117" s="75" t="s">
        <v>307</v>
      </c>
      <c r="I117" s="75">
        <v>19489</v>
      </c>
      <c r="J117" s="75" t="s">
        <v>41</v>
      </c>
      <c r="K117" s="75" t="str">
        <f>IFERROR(VLOOKUP(J117,'NQ10'!$B$9:$C$145,2,0),"")</f>
        <v/>
      </c>
    </row>
    <row r="118" spans="1:11" ht="15" customHeight="1" x14ac:dyDescent="0.25">
      <c r="A118" s="75">
        <v>1</v>
      </c>
      <c r="C118" s="75" t="s">
        <v>10</v>
      </c>
      <c r="D118" s="75">
        <v>3770</v>
      </c>
      <c r="F118" s="75" t="s">
        <v>10</v>
      </c>
      <c r="H118" s="75" t="s">
        <v>340</v>
      </c>
      <c r="I118" s="75">
        <v>19489</v>
      </c>
      <c r="J118" s="75" t="s">
        <v>346</v>
      </c>
      <c r="K118" s="75" t="str">
        <f>IFERROR(VLOOKUP(J118,'NQ10'!$B$9:$C$145,2,0),"")</f>
        <v/>
      </c>
    </row>
    <row r="119" spans="1:11" ht="15" customHeight="1" x14ac:dyDescent="0.25">
      <c r="A119" s="75">
        <v>1</v>
      </c>
      <c r="C119" s="75" t="s">
        <v>10</v>
      </c>
      <c r="D119" s="75">
        <v>3153</v>
      </c>
      <c r="F119" s="75" t="s">
        <v>10</v>
      </c>
      <c r="H119" s="75" t="s">
        <v>340</v>
      </c>
      <c r="I119" s="75">
        <v>19489</v>
      </c>
      <c r="J119" s="75" t="s">
        <v>346</v>
      </c>
      <c r="K119" s="75" t="str">
        <f>IFERROR(VLOOKUP(J119,'NQ10'!$B$9:$C$145,2,0),"")</f>
        <v/>
      </c>
    </row>
    <row r="120" spans="1:11" ht="15" customHeight="1" x14ac:dyDescent="0.25">
      <c r="A120" s="75">
        <v>1</v>
      </c>
      <c r="B120" s="75">
        <v>224</v>
      </c>
      <c r="C120" s="75" t="s">
        <v>10</v>
      </c>
      <c r="D120" s="75">
        <v>6616</v>
      </c>
      <c r="F120" s="75" t="s">
        <v>10</v>
      </c>
      <c r="H120" s="75" t="s">
        <v>216</v>
      </c>
      <c r="I120" s="75">
        <v>19489</v>
      </c>
      <c r="J120" s="75" t="s">
        <v>42</v>
      </c>
      <c r="K120" s="75" t="str">
        <f>IFERROR(VLOOKUP(J120,'NQ10'!$B$9:$C$145,2,0),"")</f>
        <v/>
      </c>
    </row>
    <row r="121" spans="1:11" ht="15" customHeight="1" x14ac:dyDescent="0.25">
      <c r="A121" s="75">
        <v>8</v>
      </c>
      <c r="B121" s="75">
        <v>218</v>
      </c>
      <c r="C121" s="75" t="s">
        <v>10</v>
      </c>
      <c r="D121" s="75">
        <v>3191</v>
      </c>
      <c r="F121" s="75" t="s">
        <v>10</v>
      </c>
      <c r="H121" s="75" t="s">
        <v>164</v>
      </c>
      <c r="I121" s="75">
        <v>19489</v>
      </c>
      <c r="J121" s="75" t="s">
        <v>43</v>
      </c>
      <c r="K121" s="75" t="str">
        <f>IFERROR(VLOOKUP(J121,'NQ10'!$B$9:$C$145,2,0),"")</f>
        <v/>
      </c>
    </row>
    <row r="122" spans="1:11" ht="15" customHeight="1" x14ac:dyDescent="0.25">
      <c r="A122" s="75">
        <v>8</v>
      </c>
      <c r="B122" s="75">
        <v>219</v>
      </c>
      <c r="C122" s="75" t="s">
        <v>10</v>
      </c>
      <c r="D122" s="75">
        <v>4099</v>
      </c>
      <c r="F122" s="75" t="s">
        <v>10</v>
      </c>
      <c r="H122" s="75" t="s">
        <v>164</v>
      </c>
      <c r="I122" s="75">
        <v>19489</v>
      </c>
      <c r="J122" s="75" t="s">
        <v>43</v>
      </c>
      <c r="K122" s="75" t="str">
        <f>IFERROR(VLOOKUP(J122,'NQ10'!$B$9:$C$145,2,0),"")</f>
        <v/>
      </c>
    </row>
    <row r="123" spans="1:11" ht="15" customHeight="1" x14ac:dyDescent="0.25">
      <c r="A123" s="75">
        <v>1</v>
      </c>
      <c r="B123" s="75">
        <v>536</v>
      </c>
      <c r="C123" s="75" t="s">
        <v>10</v>
      </c>
      <c r="D123" s="75">
        <v>12304</v>
      </c>
      <c r="F123" s="75" t="s">
        <v>10</v>
      </c>
      <c r="H123" s="75" t="s">
        <v>340</v>
      </c>
      <c r="I123" s="75">
        <v>19489</v>
      </c>
      <c r="J123" s="75" t="s">
        <v>347</v>
      </c>
      <c r="K123" s="75" t="str">
        <f>IFERROR(VLOOKUP(J123,'NQ10'!$B$9:$C$145,2,0),"")</f>
        <v/>
      </c>
    </row>
    <row r="124" spans="1:11" ht="15" customHeight="1" x14ac:dyDescent="0.25">
      <c r="A124" s="75">
        <v>21</v>
      </c>
      <c r="B124" s="75">
        <v>97</v>
      </c>
      <c r="C124" s="75" t="s">
        <v>10</v>
      </c>
      <c r="D124" s="75">
        <v>11284</v>
      </c>
      <c r="F124" s="75" t="s">
        <v>10</v>
      </c>
      <c r="H124" s="75" t="s">
        <v>10</v>
      </c>
      <c r="I124" s="75">
        <v>19489</v>
      </c>
      <c r="J124" s="75" t="s">
        <v>634</v>
      </c>
      <c r="K124" s="75" t="str">
        <f>IFERROR(VLOOKUP(J124,'NQ10'!$B$9:$C$145,2,0),"")</f>
        <v/>
      </c>
    </row>
    <row r="125" spans="1:11" ht="15" customHeight="1" x14ac:dyDescent="0.25">
      <c r="A125" s="75">
        <v>21</v>
      </c>
      <c r="B125" s="75">
        <v>98</v>
      </c>
      <c r="C125" s="75" t="s">
        <v>10</v>
      </c>
      <c r="D125" s="75">
        <v>3392</v>
      </c>
      <c r="F125" s="75" t="s">
        <v>10</v>
      </c>
      <c r="H125" s="75" t="s">
        <v>10</v>
      </c>
      <c r="I125" s="75">
        <v>19489</v>
      </c>
      <c r="J125" s="75" t="s">
        <v>166</v>
      </c>
      <c r="K125" s="75" t="str">
        <f>IFERROR(VLOOKUP(J125,'NQ10'!$B$9:$C$145,2,0),"")</f>
        <v/>
      </c>
    </row>
    <row r="126" spans="1:11" ht="15" customHeight="1" x14ac:dyDescent="0.25">
      <c r="A126" s="75">
        <v>21</v>
      </c>
      <c r="B126" s="75">
        <v>99</v>
      </c>
      <c r="C126" s="75" t="s">
        <v>10</v>
      </c>
      <c r="D126" s="75">
        <v>2566</v>
      </c>
      <c r="F126" s="75" t="s">
        <v>10</v>
      </c>
      <c r="H126" s="75" t="s">
        <v>10</v>
      </c>
      <c r="I126" s="75">
        <v>19489</v>
      </c>
      <c r="J126" s="75" t="s">
        <v>166</v>
      </c>
      <c r="K126" s="75" t="str">
        <f>IFERROR(VLOOKUP(J126,'NQ10'!$B$9:$C$145,2,0),"")</f>
        <v/>
      </c>
    </row>
    <row r="127" spans="1:11" ht="15" customHeight="1" x14ac:dyDescent="0.25">
      <c r="A127" s="75">
        <v>21</v>
      </c>
      <c r="B127" s="75">
        <v>100</v>
      </c>
      <c r="C127" s="75" t="s">
        <v>10</v>
      </c>
      <c r="D127" s="75">
        <v>6385</v>
      </c>
      <c r="F127" s="75" t="s">
        <v>10</v>
      </c>
      <c r="H127" s="75" t="s">
        <v>10</v>
      </c>
      <c r="I127" s="75">
        <v>19489</v>
      </c>
      <c r="J127" s="75" t="s">
        <v>166</v>
      </c>
      <c r="K127" s="75" t="str">
        <f>IFERROR(VLOOKUP(J127,'NQ10'!$B$9:$C$145,2,0),"")</f>
        <v/>
      </c>
    </row>
    <row r="128" spans="1:11" ht="15" customHeight="1" x14ac:dyDescent="0.25">
      <c r="A128" s="75">
        <v>34</v>
      </c>
      <c r="C128" s="75" t="s">
        <v>10</v>
      </c>
      <c r="D128" s="75">
        <v>25215</v>
      </c>
      <c r="F128" s="75" t="s">
        <v>10</v>
      </c>
      <c r="H128" s="75" t="s">
        <v>541</v>
      </c>
      <c r="I128" s="75">
        <v>19489</v>
      </c>
      <c r="J128" s="75" t="s">
        <v>554</v>
      </c>
      <c r="K128" s="75" t="str">
        <f>IFERROR(VLOOKUP(J128,'NQ10'!$B$9:$C$145,2,0),"")</f>
        <v/>
      </c>
    </row>
    <row r="129" spans="1:11" ht="15" customHeight="1" x14ac:dyDescent="0.25">
      <c r="A129" s="75">
        <v>0</v>
      </c>
      <c r="C129" s="75" t="s">
        <v>10</v>
      </c>
      <c r="D129" s="75">
        <v>5416</v>
      </c>
      <c r="F129" s="75" t="s">
        <v>10</v>
      </c>
      <c r="H129" s="75" t="s">
        <v>164</v>
      </c>
      <c r="I129" s="75">
        <v>19489</v>
      </c>
      <c r="J129" s="75" t="s">
        <v>256</v>
      </c>
      <c r="K129" s="75" t="str">
        <f>IFERROR(VLOOKUP(J129,'NQ10'!$B$9:$C$145,2,0),"")</f>
        <v>Kỳ Nơi</v>
      </c>
    </row>
    <row r="130" spans="1:11" ht="15" customHeight="1" x14ac:dyDescent="0.25">
      <c r="A130" s="75">
        <v>14</v>
      </c>
      <c r="B130" s="75">
        <v>27</v>
      </c>
      <c r="C130" s="75" t="s">
        <v>10</v>
      </c>
      <c r="D130" s="75">
        <v>11025</v>
      </c>
      <c r="F130" s="75" t="s">
        <v>10</v>
      </c>
      <c r="H130" s="75" t="s">
        <v>475</v>
      </c>
      <c r="I130" s="75">
        <v>19489</v>
      </c>
      <c r="J130" s="75" t="s">
        <v>44</v>
      </c>
      <c r="K130" s="75" t="str">
        <f>IFERROR(VLOOKUP(J130,'NQ10'!$B$9:$C$145,2,0),"")</f>
        <v/>
      </c>
    </row>
    <row r="131" spans="1:11" ht="15" customHeight="1" x14ac:dyDescent="0.25">
      <c r="A131" s="75">
        <v>36</v>
      </c>
      <c r="B131" s="75">
        <v>135</v>
      </c>
      <c r="C131" s="75" t="s">
        <v>10</v>
      </c>
      <c r="D131" s="75">
        <v>11465</v>
      </c>
      <c r="F131" s="75" t="s">
        <v>10</v>
      </c>
      <c r="H131" s="75" t="s">
        <v>407</v>
      </c>
      <c r="I131" s="75">
        <v>19489</v>
      </c>
      <c r="J131" s="75" t="s">
        <v>559</v>
      </c>
      <c r="K131" s="75" t="str">
        <f>IFERROR(VLOOKUP(J131,'NQ10'!$B$9:$C$145,2,0),"")</f>
        <v/>
      </c>
    </row>
    <row r="132" spans="1:11" ht="15" customHeight="1" x14ac:dyDescent="0.25">
      <c r="A132" s="75">
        <v>21</v>
      </c>
      <c r="B132" s="75">
        <v>101</v>
      </c>
      <c r="C132" s="75" t="s">
        <v>10</v>
      </c>
      <c r="D132" s="75">
        <v>5676</v>
      </c>
      <c r="F132" s="75" t="s">
        <v>10</v>
      </c>
      <c r="H132" s="75" t="s">
        <v>541</v>
      </c>
      <c r="I132" s="75">
        <v>19489</v>
      </c>
      <c r="J132" s="75" t="s">
        <v>45</v>
      </c>
      <c r="K132" s="75" t="str">
        <f>IFERROR(VLOOKUP(J132,'NQ10'!$B$9:$C$145,2,0),"")</f>
        <v/>
      </c>
    </row>
    <row r="133" spans="1:11" ht="15" customHeight="1" x14ac:dyDescent="0.25">
      <c r="A133" s="75">
        <v>13</v>
      </c>
      <c r="B133" s="75">
        <v>58</v>
      </c>
      <c r="C133" s="75" t="s">
        <v>10</v>
      </c>
      <c r="D133" s="75">
        <v>5479</v>
      </c>
      <c r="F133" s="75" t="s">
        <v>10</v>
      </c>
      <c r="H133" s="75" t="s">
        <v>10</v>
      </c>
      <c r="I133" s="75">
        <v>19489</v>
      </c>
      <c r="J133" s="75" t="s">
        <v>381</v>
      </c>
      <c r="K133" s="75" t="str">
        <f>IFERROR(VLOOKUP(J133,'NQ10'!$B$9:$C$145,2,0),"")</f>
        <v/>
      </c>
    </row>
    <row r="134" spans="1:11" ht="15" customHeight="1" x14ac:dyDescent="0.25">
      <c r="A134" s="75">
        <v>21</v>
      </c>
      <c r="B134" s="75">
        <v>56</v>
      </c>
      <c r="C134" s="75" t="s">
        <v>10</v>
      </c>
      <c r="D134" s="75">
        <v>19329</v>
      </c>
      <c r="F134" s="75" t="s">
        <v>10</v>
      </c>
      <c r="H134" s="75" t="s">
        <v>407</v>
      </c>
      <c r="I134" s="75">
        <v>19489</v>
      </c>
      <c r="J134" s="75" t="s">
        <v>587</v>
      </c>
      <c r="K134" s="75" t="str">
        <f>IFERROR(VLOOKUP(J134,'NQ10'!$B$9:$C$145,2,0),"")</f>
        <v/>
      </c>
    </row>
    <row r="135" spans="1:11" ht="15" customHeight="1" x14ac:dyDescent="0.25">
      <c r="A135" s="75">
        <v>33</v>
      </c>
      <c r="B135" s="75">
        <v>21</v>
      </c>
      <c r="C135" s="75" t="s">
        <v>10</v>
      </c>
      <c r="D135" s="75">
        <v>3386</v>
      </c>
      <c r="F135" s="75" t="s">
        <v>10</v>
      </c>
      <c r="H135" s="75" t="s">
        <v>407</v>
      </c>
      <c r="I135" s="75">
        <v>19489</v>
      </c>
      <c r="J135" s="75" t="s">
        <v>46</v>
      </c>
      <c r="K135" s="75" t="str">
        <f>IFERROR(VLOOKUP(J135,'NQ10'!$B$9:$C$145,2,0),"")</f>
        <v/>
      </c>
    </row>
    <row r="136" spans="1:11" ht="15" customHeight="1" x14ac:dyDescent="0.25">
      <c r="A136" s="75">
        <v>21</v>
      </c>
      <c r="B136" s="75">
        <v>102</v>
      </c>
      <c r="C136" s="75" t="s">
        <v>10</v>
      </c>
      <c r="D136" s="75">
        <v>6352</v>
      </c>
      <c r="F136" s="75" t="s">
        <v>10</v>
      </c>
      <c r="H136" s="75" t="s">
        <v>10</v>
      </c>
      <c r="I136" s="75">
        <v>19489</v>
      </c>
      <c r="J136" s="75" t="s">
        <v>47</v>
      </c>
      <c r="K136" s="75" t="str">
        <f>IFERROR(VLOOKUP(J136,'NQ10'!$B$9:$C$145,2,0),"")</f>
        <v/>
      </c>
    </row>
    <row r="137" spans="1:11" ht="15" customHeight="1" x14ac:dyDescent="0.25">
      <c r="A137" s="75">
        <v>0</v>
      </c>
      <c r="C137" s="75" t="s">
        <v>10</v>
      </c>
      <c r="D137" s="75">
        <v>9682</v>
      </c>
      <c r="F137" s="75" t="s">
        <v>10</v>
      </c>
      <c r="H137" s="75" t="s">
        <v>216</v>
      </c>
      <c r="I137" s="75">
        <v>19489</v>
      </c>
      <c r="J137" s="75" t="s">
        <v>383</v>
      </c>
      <c r="K137" s="75" t="str">
        <f>IFERROR(VLOOKUP(J137,'NQ10'!$B$9:$C$145,2,0),"")</f>
        <v/>
      </c>
    </row>
    <row r="138" spans="1:11" ht="15" customHeight="1" x14ac:dyDescent="0.25">
      <c r="A138" s="75">
        <v>3</v>
      </c>
      <c r="B138" s="75">
        <v>2</v>
      </c>
      <c r="C138" s="75" t="s">
        <v>10</v>
      </c>
      <c r="D138" s="75">
        <v>2918</v>
      </c>
      <c r="F138" s="75" t="s">
        <v>10</v>
      </c>
      <c r="H138" s="75" t="s">
        <v>164</v>
      </c>
      <c r="I138" s="75">
        <v>19489</v>
      </c>
      <c r="J138" s="75" t="s">
        <v>48</v>
      </c>
      <c r="K138" s="75" t="str">
        <f>IFERROR(VLOOKUP(J138,'NQ10'!$B$9:$C$145,2,0),"")</f>
        <v xml:space="preserve"> Kỳ Tăng</v>
      </c>
    </row>
    <row r="139" spans="1:11" ht="15" customHeight="1" x14ac:dyDescent="0.25">
      <c r="A139" s="75">
        <v>33</v>
      </c>
      <c r="B139" s="75">
        <v>47</v>
      </c>
      <c r="C139" s="75" t="s">
        <v>10</v>
      </c>
      <c r="D139" s="75">
        <v>5269</v>
      </c>
      <c r="F139" s="75" t="s">
        <v>10</v>
      </c>
      <c r="H139" s="75" t="s">
        <v>10</v>
      </c>
      <c r="I139" s="75">
        <v>19489</v>
      </c>
      <c r="J139" s="75" t="s">
        <v>48</v>
      </c>
      <c r="K139" s="75" t="str">
        <f>IFERROR(VLOOKUP(J139,'NQ10'!$B$9:$C$145,2,0),"")</f>
        <v xml:space="preserve"> Kỳ Tăng</v>
      </c>
    </row>
    <row r="140" spans="1:11" ht="15" customHeight="1" x14ac:dyDescent="0.25">
      <c r="A140" s="75">
        <v>21</v>
      </c>
      <c r="C140" s="75" t="s">
        <v>10</v>
      </c>
      <c r="D140" s="75">
        <v>81436</v>
      </c>
      <c r="F140" s="75" t="s">
        <v>10</v>
      </c>
      <c r="H140" s="75" t="s">
        <v>171</v>
      </c>
      <c r="I140" s="75">
        <v>19489</v>
      </c>
      <c r="J140" s="75" t="s">
        <v>49</v>
      </c>
      <c r="K140" s="75" t="str">
        <f>IFERROR(VLOOKUP(J140,'NQ10'!$B$9:$C$145,2,0),"")</f>
        <v/>
      </c>
    </row>
    <row r="141" spans="1:11" ht="15" customHeight="1" x14ac:dyDescent="0.25">
      <c r="A141" s="75">
        <v>21</v>
      </c>
      <c r="C141" s="75" t="s">
        <v>10</v>
      </c>
      <c r="D141" s="75">
        <v>18166</v>
      </c>
      <c r="F141" s="75" t="s">
        <v>10</v>
      </c>
      <c r="H141" s="75" t="s">
        <v>171</v>
      </c>
      <c r="I141" s="75">
        <v>19489</v>
      </c>
      <c r="J141" s="75" t="s">
        <v>49</v>
      </c>
      <c r="K141" s="75" t="str">
        <f>IFERROR(VLOOKUP(J141,'NQ10'!$B$9:$C$145,2,0),"")</f>
        <v/>
      </c>
    </row>
    <row r="142" spans="1:11" ht="15" customHeight="1" x14ac:dyDescent="0.25">
      <c r="A142" s="75">
        <v>21</v>
      </c>
      <c r="B142" s="75">
        <v>69</v>
      </c>
      <c r="C142" s="75" t="s">
        <v>10</v>
      </c>
      <c r="D142" s="75">
        <v>5065</v>
      </c>
      <c r="F142" s="75" t="s">
        <v>10</v>
      </c>
      <c r="H142" s="75" t="s">
        <v>171</v>
      </c>
      <c r="I142" s="75">
        <v>19489</v>
      </c>
      <c r="J142" s="75" t="s">
        <v>49</v>
      </c>
      <c r="K142" s="75" t="str">
        <f>IFERROR(VLOOKUP(J142,'NQ10'!$B$9:$C$145,2,0),"")</f>
        <v/>
      </c>
    </row>
    <row r="143" spans="1:11" ht="15" customHeight="1" x14ac:dyDescent="0.25">
      <c r="A143" s="75">
        <v>0</v>
      </c>
      <c r="C143" s="75" t="s">
        <v>10</v>
      </c>
      <c r="D143" s="75">
        <v>4271</v>
      </c>
      <c r="F143" s="75" t="s">
        <v>10</v>
      </c>
      <c r="H143" s="75" t="s">
        <v>216</v>
      </c>
      <c r="I143" s="75">
        <v>19489</v>
      </c>
      <c r="J143" s="75" t="s">
        <v>50</v>
      </c>
      <c r="K143" s="75" t="str">
        <f>IFERROR(VLOOKUP(J143,'NQ10'!$B$9:$C$145,2,0),"")</f>
        <v>A Xau</v>
      </c>
    </row>
    <row r="144" spans="1:11" ht="15" customHeight="1" x14ac:dyDescent="0.25">
      <c r="A144" s="75">
        <v>0</v>
      </c>
      <c r="C144" s="75" t="s">
        <v>10</v>
      </c>
      <c r="D144" s="75">
        <v>2003</v>
      </c>
      <c r="F144" s="75" t="s">
        <v>10</v>
      </c>
      <c r="H144" s="75" t="s">
        <v>216</v>
      </c>
      <c r="I144" s="75">
        <v>19489</v>
      </c>
      <c r="J144" s="75" t="s">
        <v>50</v>
      </c>
      <c r="K144" s="75" t="str">
        <f>IFERROR(VLOOKUP(J144,'NQ10'!$B$9:$C$145,2,0),"")</f>
        <v>A Xau</v>
      </c>
    </row>
    <row r="145" spans="1:11" ht="15" customHeight="1" x14ac:dyDescent="0.25">
      <c r="A145" s="75">
        <v>6</v>
      </c>
      <c r="C145" s="75" t="s">
        <v>10</v>
      </c>
      <c r="D145" s="75">
        <v>1189</v>
      </c>
      <c r="F145" s="75" t="s">
        <v>10</v>
      </c>
      <c r="H145" s="75" t="s">
        <v>10</v>
      </c>
      <c r="I145" s="75">
        <v>19489</v>
      </c>
      <c r="J145" s="75" t="s">
        <v>50</v>
      </c>
      <c r="K145" s="75" t="str">
        <f>IFERROR(VLOOKUP(J145,'NQ10'!$B$9:$C$145,2,0),"")</f>
        <v>A Xau</v>
      </c>
    </row>
    <row r="146" spans="1:11" ht="15" customHeight="1" x14ac:dyDescent="0.25">
      <c r="A146" s="75">
        <v>8</v>
      </c>
      <c r="B146" s="75">
        <v>226</v>
      </c>
      <c r="C146" s="75" t="s">
        <v>10</v>
      </c>
      <c r="D146" s="75">
        <v>2434</v>
      </c>
      <c r="F146" s="75" t="s">
        <v>10</v>
      </c>
      <c r="H146" s="75" t="s">
        <v>472</v>
      </c>
      <c r="I146" s="75">
        <v>19489</v>
      </c>
      <c r="J146" s="75" t="s">
        <v>50</v>
      </c>
      <c r="K146" s="75" t="str">
        <f>IFERROR(VLOOKUP(J146,'NQ10'!$B$9:$C$145,2,0),"")</f>
        <v>A Xau</v>
      </c>
    </row>
    <row r="147" spans="1:11" ht="15" customHeight="1" x14ac:dyDescent="0.25">
      <c r="A147" s="75">
        <v>13</v>
      </c>
      <c r="B147" s="75">
        <v>59</v>
      </c>
      <c r="C147" s="75" t="s">
        <v>10</v>
      </c>
      <c r="D147" s="75">
        <v>1410</v>
      </c>
      <c r="F147" s="75" t="s">
        <v>10</v>
      </c>
      <c r="H147" s="75" t="s">
        <v>10</v>
      </c>
      <c r="I147" s="75">
        <v>19489</v>
      </c>
      <c r="J147" s="75" t="s">
        <v>50</v>
      </c>
      <c r="K147" s="75" t="str">
        <f>IFERROR(VLOOKUP(J147,'NQ10'!$B$9:$C$145,2,0),"")</f>
        <v>A Xau</v>
      </c>
    </row>
    <row r="148" spans="1:11" ht="15" customHeight="1" x14ac:dyDescent="0.25">
      <c r="A148" s="75">
        <v>21</v>
      </c>
      <c r="B148" s="75">
        <v>106</v>
      </c>
      <c r="C148" s="75" t="s">
        <v>10</v>
      </c>
      <c r="D148" s="75">
        <v>7931</v>
      </c>
      <c r="F148" s="75" t="s">
        <v>10</v>
      </c>
      <c r="H148" s="75" t="s">
        <v>10</v>
      </c>
      <c r="I148" s="75">
        <v>19489</v>
      </c>
      <c r="J148" s="75" t="s">
        <v>50</v>
      </c>
      <c r="K148" s="75" t="str">
        <f>IFERROR(VLOOKUP(J148,'NQ10'!$B$9:$C$145,2,0),"")</f>
        <v>A Xau</v>
      </c>
    </row>
    <row r="149" spans="1:11" ht="15" customHeight="1" x14ac:dyDescent="0.25">
      <c r="A149" s="75">
        <v>21</v>
      </c>
      <c r="B149" s="75">
        <v>107</v>
      </c>
      <c r="C149" s="75" t="s">
        <v>10</v>
      </c>
      <c r="D149" s="75">
        <v>6979</v>
      </c>
      <c r="F149" s="75" t="s">
        <v>10</v>
      </c>
      <c r="H149" s="75" t="s">
        <v>10</v>
      </c>
      <c r="I149" s="75">
        <v>19489</v>
      </c>
      <c r="J149" s="75" t="s">
        <v>51</v>
      </c>
      <c r="K149" s="75" t="str">
        <f>IFERROR(VLOOKUP(J149,'NQ10'!$B$9:$C$145,2,0),"")</f>
        <v/>
      </c>
    </row>
    <row r="150" spans="1:11" ht="15" customHeight="1" x14ac:dyDescent="0.25">
      <c r="A150" s="75">
        <v>21</v>
      </c>
      <c r="B150" s="75">
        <v>108</v>
      </c>
      <c r="C150" s="75" t="s">
        <v>10</v>
      </c>
      <c r="D150" s="75">
        <v>31282</v>
      </c>
      <c r="F150" s="75" t="s">
        <v>10</v>
      </c>
      <c r="H150" s="75" t="s">
        <v>10</v>
      </c>
      <c r="I150" s="75">
        <v>19489</v>
      </c>
      <c r="J150" s="75" t="s">
        <v>51</v>
      </c>
      <c r="K150" s="75" t="str">
        <f>IFERROR(VLOOKUP(J150,'NQ10'!$B$9:$C$145,2,0),"")</f>
        <v/>
      </c>
    </row>
    <row r="151" spans="1:11" ht="15" customHeight="1" x14ac:dyDescent="0.25">
      <c r="A151" s="75">
        <v>21</v>
      </c>
      <c r="B151" s="75">
        <v>109</v>
      </c>
      <c r="C151" s="75" t="s">
        <v>10</v>
      </c>
      <c r="D151" s="75">
        <v>3686</v>
      </c>
      <c r="F151" s="75" t="s">
        <v>10</v>
      </c>
      <c r="H151" s="75" t="s">
        <v>10</v>
      </c>
      <c r="I151" s="75">
        <v>19489</v>
      </c>
      <c r="J151" s="75" t="s">
        <v>51</v>
      </c>
      <c r="K151" s="75" t="str">
        <f>IFERROR(VLOOKUP(J151,'NQ10'!$B$9:$C$145,2,0),"")</f>
        <v/>
      </c>
    </row>
    <row r="152" spans="1:11" ht="15" customHeight="1" x14ac:dyDescent="0.25">
      <c r="A152" s="75">
        <v>21</v>
      </c>
      <c r="B152" s="75">
        <v>110</v>
      </c>
      <c r="C152" s="75" t="s">
        <v>10</v>
      </c>
      <c r="D152" s="75">
        <v>1672</v>
      </c>
      <c r="F152" s="75" t="s">
        <v>10</v>
      </c>
      <c r="H152" s="75" t="s">
        <v>10</v>
      </c>
      <c r="I152" s="75">
        <v>19489</v>
      </c>
      <c r="J152" s="75" t="s">
        <v>51</v>
      </c>
      <c r="K152" s="75" t="str">
        <f>IFERROR(VLOOKUP(J152,'NQ10'!$B$9:$C$145,2,0),"")</f>
        <v/>
      </c>
    </row>
    <row r="153" spans="1:11" ht="15" customHeight="1" x14ac:dyDescent="0.25">
      <c r="A153" s="75">
        <v>21</v>
      </c>
      <c r="B153" s="75">
        <v>111</v>
      </c>
      <c r="C153" s="75" t="s">
        <v>10</v>
      </c>
      <c r="D153" s="75">
        <v>5678</v>
      </c>
      <c r="F153" s="75" t="s">
        <v>10</v>
      </c>
      <c r="H153" s="75" t="s">
        <v>10</v>
      </c>
      <c r="I153" s="75">
        <v>19489</v>
      </c>
      <c r="J153" s="75" t="s">
        <v>52</v>
      </c>
      <c r="K153" s="75" t="str">
        <f>IFERROR(VLOOKUP(J153,'NQ10'!$B$9:$C$145,2,0),"")</f>
        <v/>
      </c>
    </row>
    <row r="154" spans="1:11" ht="15" customHeight="1" x14ac:dyDescent="0.25">
      <c r="A154" s="75">
        <v>21</v>
      </c>
      <c r="B154" s="75">
        <v>112</v>
      </c>
      <c r="C154" s="75" t="s">
        <v>10</v>
      </c>
      <c r="D154" s="75">
        <v>10486</v>
      </c>
      <c r="F154" s="75" t="s">
        <v>10</v>
      </c>
      <c r="H154" s="75" t="s">
        <v>10</v>
      </c>
      <c r="I154" s="75">
        <v>19489</v>
      </c>
      <c r="J154" s="75" t="s">
        <v>53</v>
      </c>
      <c r="K154" s="75" t="str">
        <f>IFERROR(VLOOKUP(J154,'NQ10'!$B$9:$C$145,2,0),"")</f>
        <v/>
      </c>
    </row>
    <row r="155" spans="1:11" ht="15" customHeight="1" x14ac:dyDescent="0.25">
      <c r="A155" s="75">
        <v>21</v>
      </c>
      <c r="B155" s="75">
        <v>113</v>
      </c>
      <c r="C155" s="75" t="s">
        <v>10</v>
      </c>
      <c r="D155" s="75">
        <v>5265</v>
      </c>
      <c r="F155" s="75" t="s">
        <v>10</v>
      </c>
      <c r="H155" s="75" t="s">
        <v>171</v>
      </c>
      <c r="I155" s="75">
        <v>19489</v>
      </c>
      <c r="J155" s="75" t="s">
        <v>54</v>
      </c>
      <c r="K155" s="75" t="str">
        <f>IFERROR(VLOOKUP(J155,'NQ10'!$B$9:$C$145,2,0),"")</f>
        <v/>
      </c>
    </row>
    <row r="156" spans="1:11" ht="15" customHeight="1" x14ac:dyDescent="0.25">
      <c r="A156" s="75">
        <v>21</v>
      </c>
      <c r="B156" s="75">
        <v>114</v>
      </c>
      <c r="C156" s="75" t="s">
        <v>10</v>
      </c>
      <c r="D156" s="75">
        <v>11270</v>
      </c>
      <c r="F156" s="75" t="s">
        <v>10</v>
      </c>
      <c r="H156" s="75" t="s">
        <v>10</v>
      </c>
      <c r="I156" s="75">
        <v>19489</v>
      </c>
      <c r="J156" s="75" t="s">
        <v>55</v>
      </c>
      <c r="K156" s="75" t="str">
        <f>IFERROR(VLOOKUP(J156,'NQ10'!$B$9:$C$145,2,0),"")</f>
        <v/>
      </c>
    </row>
    <row r="157" spans="1:11" ht="15" customHeight="1" x14ac:dyDescent="0.25">
      <c r="A157" s="75">
        <v>21</v>
      </c>
      <c r="B157" s="75">
        <v>115</v>
      </c>
      <c r="C157" s="75" t="s">
        <v>10</v>
      </c>
      <c r="D157" s="75">
        <v>26358</v>
      </c>
      <c r="F157" s="75" t="s">
        <v>10</v>
      </c>
      <c r="H157" s="75" t="s">
        <v>10</v>
      </c>
      <c r="I157" s="75">
        <v>19489</v>
      </c>
      <c r="J157" s="75" t="s">
        <v>55</v>
      </c>
      <c r="K157" s="75" t="str">
        <f>IFERROR(VLOOKUP(J157,'NQ10'!$B$9:$C$145,2,0),"")</f>
        <v/>
      </c>
    </row>
    <row r="158" spans="1:11" ht="15" customHeight="1" x14ac:dyDescent="0.25">
      <c r="A158" s="75">
        <v>21</v>
      </c>
      <c r="B158" s="75">
        <v>116</v>
      </c>
      <c r="C158" s="75" t="s">
        <v>10</v>
      </c>
      <c r="D158" s="75">
        <v>10834</v>
      </c>
      <c r="F158" s="75" t="s">
        <v>10</v>
      </c>
      <c r="H158" s="75" t="s">
        <v>10</v>
      </c>
      <c r="I158" s="75">
        <v>19489</v>
      </c>
      <c r="J158" s="75" t="s">
        <v>56</v>
      </c>
      <c r="K158" s="75" t="str">
        <f>IFERROR(VLOOKUP(J158,'NQ10'!$B$9:$C$145,2,0),"")</f>
        <v/>
      </c>
    </row>
    <row r="159" spans="1:11" ht="15" customHeight="1" x14ac:dyDescent="0.25">
      <c r="A159" s="75">
        <v>21</v>
      </c>
      <c r="B159" s="75">
        <v>118</v>
      </c>
      <c r="C159" s="75" t="s">
        <v>10</v>
      </c>
      <c r="D159" s="75">
        <v>8810</v>
      </c>
      <c r="F159" s="75" t="s">
        <v>10</v>
      </c>
      <c r="H159" s="75" t="s">
        <v>307</v>
      </c>
      <c r="I159" s="75">
        <v>19489</v>
      </c>
      <c r="J159" s="75" t="s">
        <v>57</v>
      </c>
      <c r="K159" s="75" t="str">
        <f>IFERROR(VLOOKUP(J159,'NQ10'!$B$9:$C$145,2,0),"")</f>
        <v/>
      </c>
    </row>
    <row r="160" spans="1:11" ht="15" customHeight="1" x14ac:dyDescent="0.25">
      <c r="A160" s="75">
        <v>21</v>
      </c>
      <c r="B160" s="75">
        <v>230</v>
      </c>
      <c r="C160" s="75" t="s">
        <v>10</v>
      </c>
      <c r="D160" s="75">
        <v>7015</v>
      </c>
      <c r="F160" s="75" t="s">
        <v>10</v>
      </c>
      <c r="H160" s="75" t="s">
        <v>307</v>
      </c>
      <c r="I160" s="75">
        <v>19489</v>
      </c>
      <c r="J160" s="75" t="s">
        <v>57</v>
      </c>
      <c r="K160" s="75" t="str">
        <f>IFERROR(VLOOKUP(J160,'NQ10'!$B$9:$C$145,2,0),"")</f>
        <v/>
      </c>
    </row>
    <row r="161" spans="1:11" ht="15" customHeight="1" x14ac:dyDescent="0.25">
      <c r="A161" s="75">
        <v>0</v>
      </c>
      <c r="C161" s="75" t="s">
        <v>10</v>
      </c>
      <c r="D161" s="75">
        <v>6124</v>
      </c>
      <c r="F161" s="75" t="s">
        <v>10</v>
      </c>
      <c r="H161" s="75" t="s">
        <v>407</v>
      </c>
      <c r="I161" s="75">
        <v>19489</v>
      </c>
      <c r="J161" s="75" t="s">
        <v>58</v>
      </c>
      <c r="K161" s="75" t="str">
        <f>IFERROR(VLOOKUP(J161,'NQ10'!$B$9:$C$145,2,0),"")</f>
        <v/>
      </c>
    </row>
    <row r="162" spans="1:11" ht="15" customHeight="1" x14ac:dyDescent="0.25">
      <c r="A162" s="75">
        <v>21</v>
      </c>
      <c r="B162" s="75">
        <v>119</v>
      </c>
      <c r="C162" s="75" t="s">
        <v>10</v>
      </c>
      <c r="D162" s="75">
        <v>19050</v>
      </c>
      <c r="F162" s="75" t="s">
        <v>10</v>
      </c>
      <c r="H162" s="75" t="s">
        <v>407</v>
      </c>
      <c r="I162" s="75">
        <v>19489</v>
      </c>
      <c r="J162" s="75" t="s">
        <v>58</v>
      </c>
      <c r="K162" s="75" t="str">
        <f>IFERROR(VLOOKUP(J162,'NQ10'!$B$9:$C$145,2,0),"")</f>
        <v/>
      </c>
    </row>
    <row r="163" spans="1:11" ht="15" customHeight="1" x14ac:dyDescent="0.25">
      <c r="A163" s="75">
        <v>36</v>
      </c>
      <c r="C163" s="75" t="s">
        <v>10</v>
      </c>
      <c r="D163" s="75">
        <v>2220</v>
      </c>
      <c r="F163" s="75" t="s">
        <v>10</v>
      </c>
      <c r="H163" s="75" t="s">
        <v>10</v>
      </c>
      <c r="I163" s="75">
        <v>19489</v>
      </c>
      <c r="J163" s="75" t="s">
        <v>58</v>
      </c>
      <c r="K163" s="75" t="str">
        <f>IFERROR(VLOOKUP(J163,'NQ10'!$B$9:$C$145,2,0),"")</f>
        <v/>
      </c>
    </row>
    <row r="164" spans="1:11" ht="15" customHeight="1" x14ac:dyDescent="0.25">
      <c r="A164" s="75">
        <v>21</v>
      </c>
      <c r="B164" s="75">
        <v>120</v>
      </c>
      <c r="C164" s="75" t="s">
        <v>10</v>
      </c>
      <c r="D164" s="75">
        <v>20497</v>
      </c>
      <c r="F164" s="75" t="s">
        <v>10</v>
      </c>
      <c r="H164" s="75" t="s">
        <v>407</v>
      </c>
      <c r="I164" s="75">
        <v>19489</v>
      </c>
      <c r="J164" s="75" t="s">
        <v>604</v>
      </c>
      <c r="K164" s="75" t="str">
        <f>IFERROR(VLOOKUP(J164,'NQ10'!$B$9:$C$145,2,0),"")</f>
        <v/>
      </c>
    </row>
    <row r="165" spans="1:11" ht="15" customHeight="1" x14ac:dyDescent="0.25">
      <c r="A165" s="75">
        <v>21</v>
      </c>
      <c r="B165" s="75">
        <v>121</v>
      </c>
      <c r="C165" s="75" t="s">
        <v>10</v>
      </c>
      <c r="D165" s="75">
        <v>11402</v>
      </c>
      <c r="F165" s="75" t="s">
        <v>10</v>
      </c>
      <c r="H165" s="75" t="s">
        <v>10</v>
      </c>
      <c r="I165" s="75">
        <v>19489</v>
      </c>
      <c r="J165" s="75" t="s">
        <v>604</v>
      </c>
      <c r="K165" s="75" t="str">
        <f>IFERROR(VLOOKUP(J165,'NQ10'!$B$9:$C$145,2,0),"")</f>
        <v/>
      </c>
    </row>
    <row r="166" spans="1:11" ht="15" customHeight="1" x14ac:dyDescent="0.25">
      <c r="A166" s="75">
        <v>25</v>
      </c>
      <c r="C166" s="75" t="s">
        <v>10</v>
      </c>
      <c r="D166" s="75">
        <v>8228</v>
      </c>
      <c r="F166" s="75" t="s">
        <v>10</v>
      </c>
      <c r="H166" s="75" t="s">
        <v>407</v>
      </c>
      <c r="I166" s="75">
        <v>19489</v>
      </c>
      <c r="J166" s="75" t="s">
        <v>604</v>
      </c>
      <c r="K166" s="75" t="str">
        <f>IFERROR(VLOOKUP(J166,'NQ10'!$B$9:$C$145,2,0),"")</f>
        <v/>
      </c>
    </row>
    <row r="167" spans="1:11" ht="15" customHeight="1" x14ac:dyDescent="0.25">
      <c r="A167" s="75">
        <v>33</v>
      </c>
      <c r="B167" s="75">
        <v>12</v>
      </c>
      <c r="C167" s="75" t="s">
        <v>10</v>
      </c>
      <c r="D167" s="75">
        <v>9415</v>
      </c>
      <c r="F167" s="75" t="s">
        <v>10</v>
      </c>
      <c r="H167" s="75" t="s">
        <v>407</v>
      </c>
      <c r="I167" s="75">
        <v>19489</v>
      </c>
      <c r="J167" s="75" t="s">
        <v>604</v>
      </c>
      <c r="K167" s="75" t="str">
        <f>IFERROR(VLOOKUP(J167,'NQ10'!$B$9:$C$145,2,0),"")</f>
        <v/>
      </c>
    </row>
    <row r="168" spans="1:11" ht="15" customHeight="1" x14ac:dyDescent="0.25">
      <c r="A168" s="75">
        <v>1</v>
      </c>
      <c r="C168" s="75" t="s">
        <v>10</v>
      </c>
      <c r="D168" s="75">
        <v>9241</v>
      </c>
      <c r="F168" s="75" t="s">
        <v>10</v>
      </c>
      <c r="H168" s="75" t="s">
        <v>10</v>
      </c>
      <c r="I168" s="75">
        <v>19489</v>
      </c>
      <c r="J168" s="75" t="s">
        <v>213</v>
      </c>
      <c r="K168" s="75" t="str">
        <f>IFERROR(VLOOKUP(J168,'NQ10'!$B$9:$C$145,2,0),"")</f>
        <v>A Xóc Lìa</v>
      </c>
    </row>
    <row r="169" spans="1:11" ht="15" customHeight="1" x14ac:dyDescent="0.25">
      <c r="A169" s="75">
        <v>1</v>
      </c>
      <c r="C169" s="75" t="s">
        <v>10</v>
      </c>
      <c r="D169" s="75">
        <v>18288</v>
      </c>
      <c r="F169" s="75" t="s">
        <v>10</v>
      </c>
      <c r="H169" s="75" t="s">
        <v>472</v>
      </c>
      <c r="I169" s="75">
        <v>19489</v>
      </c>
      <c r="J169" s="75" t="s">
        <v>213</v>
      </c>
      <c r="K169" s="75" t="str">
        <f>IFERROR(VLOOKUP(J169,'NQ10'!$B$9:$C$145,2,0),"")</f>
        <v>A Xóc Lìa</v>
      </c>
    </row>
    <row r="170" spans="1:11" ht="15" customHeight="1" x14ac:dyDescent="0.25">
      <c r="A170" s="75">
        <v>21</v>
      </c>
      <c r="C170" s="75" t="s">
        <v>10</v>
      </c>
      <c r="D170" s="75">
        <v>2722</v>
      </c>
      <c r="F170" s="75" t="s">
        <v>10</v>
      </c>
      <c r="H170" s="75" t="s">
        <v>10</v>
      </c>
      <c r="I170" s="75">
        <v>19489</v>
      </c>
      <c r="J170" s="75" t="s">
        <v>540</v>
      </c>
      <c r="K170" s="75" t="str">
        <f>IFERROR(VLOOKUP(J170,'NQ10'!$B$9:$C$145,2,0),"")</f>
        <v/>
      </c>
    </row>
    <row r="171" spans="1:11" ht="15" customHeight="1" x14ac:dyDescent="0.25">
      <c r="A171" s="75">
        <v>8</v>
      </c>
      <c r="B171" s="75">
        <v>224</v>
      </c>
      <c r="C171" s="75" t="s">
        <v>10</v>
      </c>
      <c r="D171" s="75">
        <v>2164</v>
      </c>
      <c r="F171" s="75" t="s">
        <v>10</v>
      </c>
      <c r="H171" s="75" t="s">
        <v>472</v>
      </c>
      <c r="I171" s="75">
        <v>19489</v>
      </c>
      <c r="J171" s="75" t="s">
        <v>534</v>
      </c>
      <c r="K171" s="75" t="str">
        <f>IFERROR(VLOOKUP(J171,'NQ10'!$B$9:$C$145,2,0),"")</f>
        <v/>
      </c>
    </row>
    <row r="172" spans="1:11" ht="15" customHeight="1" x14ac:dyDescent="0.25">
      <c r="A172" s="75">
        <v>9</v>
      </c>
      <c r="C172" s="75" t="s">
        <v>10</v>
      </c>
      <c r="D172" s="75">
        <v>9543</v>
      </c>
      <c r="F172" s="75" t="s">
        <v>10</v>
      </c>
      <c r="H172" s="75" t="s">
        <v>164</v>
      </c>
      <c r="I172" s="75">
        <v>19489</v>
      </c>
      <c r="J172" s="75" t="s">
        <v>535</v>
      </c>
      <c r="K172" s="75" t="str">
        <f>IFERROR(VLOOKUP(J172,'NQ10'!$B$9:$C$145,2,0),"")</f>
        <v/>
      </c>
    </row>
    <row r="173" spans="1:11" ht="15" customHeight="1" x14ac:dyDescent="0.25">
      <c r="A173" s="75">
        <v>9</v>
      </c>
      <c r="C173" s="75" t="s">
        <v>10</v>
      </c>
      <c r="D173" s="75">
        <v>3033</v>
      </c>
      <c r="F173" s="75" t="s">
        <v>10</v>
      </c>
      <c r="H173" s="75" t="s">
        <v>164</v>
      </c>
      <c r="I173" s="75">
        <v>19489</v>
      </c>
      <c r="J173" s="75" t="s">
        <v>535</v>
      </c>
      <c r="K173" s="75" t="str">
        <f>IFERROR(VLOOKUP(J173,'NQ10'!$B$9:$C$145,2,0),"")</f>
        <v/>
      </c>
    </row>
    <row r="174" spans="1:11" ht="15" customHeight="1" x14ac:dyDescent="0.25">
      <c r="A174" s="75">
        <v>3</v>
      </c>
      <c r="C174" s="75" t="s">
        <v>10</v>
      </c>
      <c r="D174" s="75">
        <v>2109</v>
      </c>
      <c r="F174" s="75" t="s">
        <v>10</v>
      </c>
      <c r="H174" s="75" t="s">
        <v>216</v>
      </c>
      <c r="I174" s="75">
        <v>19489</v>
      </c>
      <c r="J174" s="75" t="s">
        <v>235</v>
      </c>
      <c r="K174" s="75" t="str">
        <f>IFERROR(VLOOKUP(J174,'NQ10'!$B$9:$C$145,2,0),"")</f>
        <v>A Xau</v>
      </c>
    </row>
    <row r="175" spans="1:11" ht="15" customHeight="1" x14ac:dyDescent="0.25">
      <c r="A175" s="75">
        <v>7</v>
      </c>
      <c r="C175" s="75" t="s">
        <v>10</v>
      </c>
      <c r="D175" s="75">
        <v>490</v>
      </c>
      <c r="F175" s="75" t="s">
        <v>10</v>
      </c>
      <c r="H175" s="75" t="s">
        <v>216</v>
      </c>
      <c r="I175" s="75">
        <v>19489</v>
      </c>
      <c r="J175" s="75" t="s">
        <v>59</v>
      </c>
      <c r="K175" s="75" t="str">
        <f>IFERROR(VLOOKUP(J175,'NQ10'!$B$9:$C$145,2,0),"")</f>
        <v>A Xau</v>
      </c>
    </row>
    <row r="176" spans="1:11" ht="15" customHeight="1" x14ac:dyDescent="0.25">
      <c r="A176" s="75">
        <v>7</v>
      </c>
      <c r="B176" s="75">
        <v>32</v>
      </c>
      <c r="C176" s="75" t="s">
        <v>10</v>
      </c>
      <c r="D176" s="75">
        <v>1815</v>
      </c>
      <c r="F176" s="75" t="s">
        <v>10</v>
      </c>
      <c r="H176" s="75" t="s">
        <v>216</v>
      </c>
      <c r="I176" s="75">
        <v>19489</v>
      </c>
      <c r="J176" s="75" t="s">
        <v>59</v>
      </c>
      <c r="K176" s="75" t="str">
        <f>IFERROR(VLOOKUP(J176,'NQ10'!$B$9:$C$145,2,0),"")</f>
        <v>A Xau</v>
      </c>
    </row>
    <row r="177" spans="1:11" ht="15" customHeight="1" x14ac:dyDescent="0.25">
      <c r="A177" s="75">
        <v>1</v>
      </c>
      <c r="C177" s="75" t="s">
        <v>10</v>
      </c>
      <c r="D177" s="75">
        <v>3407</v>
      </c>
      <c r="F177" s="75" t="s">
        <v>10</v>
      </c>
      <c r="H177" s="75" t="s">
        <v>340</v>
      </c>
      <c r="I177" s="75">
        <v>19489</v>
      </c>
      <c r="J177" s="75" t="s">
        <v>509</v>
      </c>
      <c r="K177" s="75" t="str">
        <f>IFERROR(VLOOKUP(J177,'NQ10'!$B$9:$C$145,2,0),"")</f>
        <v/>
      </c>
    </row>
    <row r="178" spans="1:11" ht="15" customHeight="1" x14ac:dyDescent="0.25">
      <c r="A178" s="75">
        <v>21</v>
      </c>
      <c r="B178" s="75">
        <v>123</v>
      </c>
      <c r="C178" s="75" t="s">
        <v>10</v>
      </c>
      <c r="D178" s="75">
        <v>1705</v>
      </c>
      <c r="F178" s="75" t="s">
        <v>10</v>
      </c>
      <c r="H178" s="75" t="s">
        <v>10</v>
      </c>
      <c r="I178" s="75">
        <v>19489</v>
      </c>
      <c r="J178" s="75" t="s">
        <v>60</v>
      </c>
      <c r="K178" s="75" t="str">
        <f>IFERROR(VLOOKUP(J178,'NQ10'!$B$9:$C$145,2,0),"")</f>
        <v/>
      </c>
    </row>
    <row r="179" spans="1:11" ht="15" customHeight="1" x14ac:dyDescent="0.25">
      <c r="A179" s="75">
        <v>21</v>
      </c>
      <c r="B179" s="75">
        <v>124</v>
      </c>
      <c r="C179" s="75" t="s">
        <v>10</v>
      </c>
      <c r="D179" s="75">
        <v>8766</v>
      </c>
      <c r="F179" s="75" t="s">
        <v>10</v>
      </c>
      <c r="H179" s="75" t="s">
        <v>10</v>
      </c>
      <c r="I179" s="75">
        <v>19489</v>
      </c>
      <c r="J179" s="75" t="s">
        <v>60</v>
      </c>
      <c r="K179" s="75" t="str">
        <f>IFERROR(VLOOKUP(J179,'NQ10'!$B$9:$C$145,2,0),"")</f>
        <v/>
      </c>
    </row>
    <row r="180" spans="1:11" ht="15" customHeight="1" x14ac:dyDescent="0.25">
      <c r="A180" s="75">
        <v>0</v>
      </c>
      <c r="C180" s="75" t="s">
        <v>10</v>
      </c>
      <c r="D180" s="75">
        <v>7453</v>
      </c>
      <c r="F180" s="75" t="s">
        <v>10</v>
      </c>
      <c r="H180" s="75" t="s">
        <v>164</v>
      </c>
      <c r="I180" s="75">
        <v>19489</v>
      </c>
      <c r="J180" s="75" t="s">
        <v>486</v>
      </c>
      <c r="K180" s="75" t="str">
        <f>IFERROR(VLOOKUP(J180,'NQ10'!$B$9:$C$145,2,0),"")</f>
        <v/>
      </c>
    </row>
    <row r="181" spans="1:11" ht="15" customHeight="1" x14ac:dyDescent="0.25">
      <c r="A181" s="75">
        <v>1</v>
      </c>
      <c r="C181" s="75" t="s">
        <v>10</v>
      </c>
      <c r="D181" s="75">
        <v>2245</v>
      </c>
      <c r="F181" s="75" t="s">
        <v>10</v>
      </c>
      <c r="H181" s="75" t="s">
        <v>164</v>
      </c>
      <c r="I181" s="75">
        <v>19489</v>
      </c>
      <c r="J181" s="75" t="s">
        <v>636</v>
      </c>
      <c r="K181" s="75" t="str">
        <f>IFERROR(VLOOKUP(J181,'NQ10'!$B$9:$C$145,2,0),"")</f>
        <v/>
      </c>
    </row>
    <row r="182" spans="1:11" ht="15" customHeight="1" x14ac:dyDescent="0.25">
      <c r="A182" s="75">
        <v>3</v>
      </c>
      <c r="C182" s="75" t="s">
        <v>10</v>
      </c>
      <c r="D182" s="75">
        <v>2892</v>
      </c>
      <c r="F182" s="75" t="s">
        <v>10</v>
      </c>
      <c r="H182" s="75" t="s">
        <v>164</v>
      </c>
      <c r="I182" s="75">
        <v>19489</v>
      </c>
      <c r="J182" s="75" t="s">
        <v>636</v>
      </c>
      <c r="K182" s="75" t="str">
        <f>IFERROR(VLOOKUP(J182,'NQ10'!$B$9:$C$145,2,0),"")</f>
        <v/>
      </c>
    </row>
    <row r="183" spans="1:11" ht="15" customHeight="1" x14ac:dyDescent="0.25">
      <c r="A183" s="75">
        <v>8</v>
      </c>
      <c r="B183" s="75">
        <v>222</v>
      </c>
      <c r="C183" s="75" t="s">
        <v>10</v>
      </c>
      <c r="D183" s="75">
        <v>2234</v>
      </c>
      <c r="F183" s="75" t="s">
        <v>10</v>
      </c>
      <c r="H183" s="75" t="s">
        <v>164</v>
      </c>
      <c r="I183" s="75">
        <v>19489</v>
      </c>
      <c r="J183" s="75" t="s">
        <v>636</v>
      </c>
      <c r="K183" s="75" t="str">
        <f>IFERROR(VLOOKUP(J183,'NQ10'!$B$9:$C$145,2,0),"")</f>
        <v/>
      </c>
    </row>
    <row r="184" spans="1:11" ht="15" customHeight="1" x14ac:dyDescent="0.25">
      <c r="A184" s="75">
        <v>8</v>
      </c>
      <c r="B184" s="75">
        <v>229</v>
      </c>
      <c r="C184" s="75" t="s">
        <v>10</v>
      </c>
      <c r="D184" s="75">
        <v>2612</v>
      </c>
      <c r="F184" s="75" t="s">
        <v>10</v>
      </c>
      <c r="H184" s="75" t="s">
        <v>164</v>
      </c>
      <c r="I184" s="75">
        <v>19489</v>
      </c>
      <c r="J184" s="75" t="s">
        <v>636</v>
      </c>
      <c r="K184" s="75" t="str">
        <f>IFERROR(VLOOKUP(J184,'NQ10'!$B$9:$C$145,2,0),"")</f>
        <v/>
      </c>
    </row>
    <row r="185" spans="1:11" ht="15" customHeight="1" x14ac:dyDescent="0.25">
      <c r="A185" s="75">
        <v>36</v>
      </c>
      <c r="C185" s="75" t="s">
        <v>10</v>
      </c>
      <c r="D185" s="75">
        <v>5714</v>
      </c>
      <c r="F185" s="75" t="s">
        <v>10</v>
      </c>
      <c r="H185" s="75" t="s">
        <v>472</v>
      </c>
      <c r="I185" s="75">
        <v>19489</v>
      </c>
      <c r="J185" s="75" t="s">
        <v>406</v>
      </c>
      <c r="K185" s="75" t="str">
        <f>IFERROR(VLOOKUP(J185,'NQ10'!$B$9:$C$145,2,0),"")</f>
        <v/>
      </c>
    </row>
    <row r="186" spans="1:11" ht="15" customHeight="1" x14ac:dyDescent="0.25">
      <c r="A186" s="75">
        <v>8</v>
      </c>
      <c r="C186" s="75" t="s">
        <v>10</v>
      </c>
      <c r="D186" s="75">
        <v>2188</v>
      </c>
      <c r="F186" s="75" t="s">
        <v>10</v>
      </c>
      <c r="H186" s="75" t="s">
        <v>164</v>
      </c>
      <c r="I186" s="75">
        <v>19489</v>
      </c>
      <c r="J186" s="75" t="s">
        <v>528</v>
      </c>
      <c r="K186" s="75" t="str">
        <f>IFERROR(VLOOKUP(J186,'NQ10'!$B$9:$C$145,2,0),"")</f>
        <v/>
      </c>
    </row>
    <row r="187" spans="1:11" ht="15" customHeight="1" x14ac:dyDescent="0.25">
      <c r="A187" s="75">
        <v>21</v>
      </c>
      <c r="B187" s="75">
        <v>125</v>
      </c>
      <c r="C187" s="75" t="s">
        <v>10</v>
      </c>
      <c r="D187" s="75">
        <v>9149</v>
      </c>
      <c r="F187" s="75" t="s">
        <v>10</v>
      </c>
      <c r="H187" s="75" t="s">
        <v>10</v>
      </c>
      <c r="I187" s="75">
        <v>19489</v>
      </c>
      <c r="J187" s="75" t="s">
        <v>61</v>
      </c>
      <c r="K187" s="75" t="str">
        <f>IFERROR(VLOOKUP(J187,'NQ10'!$B$9:$C$145,2,0),"")</f>
        <v/>
      </c>
    </row>
    <row r="188" spans="1:11" ht="15" customHeight="1" x14ac:dyDescent="0.25">
      <c r="A188" s="75">
        <v>21</v>
      </c>
      <c r="B188" s="75">
        <v>126</v>
      </c>
      <c r="C188" s="75" t="s">
        <v>10</v>
      </c>
      <c r="D188" s="75">
        <v>9151</v>
      </c>
      <c r="F188" s="75" t="s">
        <v>10</v>
      </c>
      <c r="H188" s="75" t="s">
        <v>10</v>
      </c>
      <c r="I188" s="75">
        <v>19489</v>
      </c>
      <c r="J188" s="75" t="s">
        <v>61</v>
      </c>
      <c r="K188" s="75" t="str">
        <f>IFERROR(VLOOKUP(J188,'NQ10'!$B$9:$C$145,2,0),"")</f>
        <v/>
      </c>
    </row>
    <row r="189" spans="1:11" ht="15" customHeight="1" x14ac:dyDescent="0.25">
      <c r="A189" s="75">
        <v>21</v>
      </c>
      <c r="B189" s="75">
        <v>127</v>
      </c>
      <c r="C189" s="75" t="s">
        <v>10</v>
      </c>
      <c r="D189" s="75">
        <v>5024</v>
      </c>
      <c r="F189" s="75" t="s">
        <v>10</v>
      </c>
      <c r="H189" s="75" t="s">
        <v>10</v>
      </c>
      <c r="I189" s="75">
        <v>19489</v>
      </c>
      <c r="J189" s="75" t="s">
        <v>61</v>
      </c>
      <c r="K189" s="75" t="str">
        <f>IFERROR(VLOOKUP(J189,'NQ10'!$B$9:$C$145,2,0),"")</f>
        <v/>
      </c>
    </row>
    <row r="190" spans="1:11" ht="15" customHeight="1" x14ac:dyDescent="0.25">
      <c r="A190" s="75">
        <v>21</v>
      </c>
      <c r="B190" s="75">
        <v>128</v>
      </c>
      <c r="C190" s="75" t="s">
        <v>10</v>
      </c>
      <c r="D190" s="75">
        <v>7932</v>
      </c>
      <c r="F190" s="75" t="s">
        <v>10</v>
      </c>
      <c r="H190" s="75" t="s">
        <v>10</v>
      </c>
      <c r="I190" s="75">
        <v>19489</v>
      </c>
      <c r="J190" s="75" t="s">
        <v>62</v>
      </c>
      <c r="K190" s="75" t="str">
        <f>IFERROR(VLOOKUP(J190,'NQ10'!$B$9:$C$145,2,0),"")</f>
        <v/>
      </c>
    </row>
    <row r="191" spans="1:11" ht="15" customHeight="1" x14ac:dyDescent="0.25">
      <c r="A191" s="75">
        <v>0</v>
      </c>
      <c r="C191" s="75" t="s">
        <v>10</v>
      </c>
      <c r="D191" s="75">
        <v>2627</v>
      </c>
      <c r="F191" s="75" t="s">
        <v>10</v>
      </c>
      <c r="H191" s="75" t="s">
        <v>216</v>
      </c>
      <c r="I191" s="75">
        <v>19489</v>
      </c>
      <c r="J191" s="75" t="s">
        <v>477</v>
      </c>
      <c r="K191" s="75" t="str">
        <f>IFERROR(VLOOKUP(J191,'NQ10'!$B$9:$C$145,2,0),"")</f>
        <v/>
      </c>
    </row>
    <row r="192" spans="1:11" ht="15" customHeight="1" x14ac:dyDescent="0.25">
      <c r="A192" s="75">
        <v>1</v>
      </c>
      <c r="B192" s="75">
        <v>537</v>
      </c>
      <c r="C192" s="75" t="s">
        <v>10</v>
      </c>
      <c r="D192" s="75">
        <v>1797</v>
      </c>
      <c r="F192" s="75" t="s">
        <v>10</v>
      </c>
      <c r="H192" s="75" t="s">
        <v>164</v>
      </c>
      <c r="I192" s="75">
        <v>19489</v>
      </c>
      <c r="J192" s="75" t="s">
        <v>414</v>
      </c>
      <c r="K192" s="75" t="str">
        <f>IFERROR(VLOOKUP(J192,'NQ10'!$B$9:$C$145,2,0),"")</f>
        <v/>
      </c>
    </row>
    <row r="193" spans="1:11" ht="15" customHeight="1" x14ac:dyDescent="0.25">
      <c r="A193" s="75">
        <v>3</v>
      </c>
      <c r="B193" s="75">
        <v>471</v>
      </c>
      <c r="C193" s="75" t="s">
        <v>10</v>
      </c>
      <c r="D193" s="75">
        <v>5692</v>
      </c>
      <c r="F193" s="75" t="s">
        <v>10</v>
      </c>
      <c r="H193" s="75" t="s">
        <v>340</v>
      </c>
      <c r="I193" s="75">
        <v>19489</v>
      </c>
      <c r="J193" s="75" t="s">
        <v>283</v>
      </c>
      <c r="K193" s="75" t="str">
        <f>IFERROR(VLOOKUP(J193,'NQ10'!$B$9:$C$145,2,0),"")</f>
        <v>Tăng cô Hang</v>
      </c>
    </row>
    <row r="194" spans="1:11" ht="15" customHeight="1" x14ac:dyDescent="0.25">
      <c r="A194" s="75">
        <v>18</v>
      </c>
      <c r="C194" s="75" t="s">
        <v>10</v>
      </c>
      <c r="D194" s="75">
        <v>7217</v>
      </c>
      <c r="F194" s="75" t="s">
        <v>10</v>
      </c>
      <c r="H194" s="75" t="s">
        <v>173</v>
      </c>
      <c r="I194" s="75">
        <v>19489</v>
      </c>
      <c r="J194" s="75" t="s">
        <v>401</v>
      </c>
      <c r="K194" s="75" t="str">
        <f>IFERROR(VLOOKUP(J194,'NQ10'!$B$9:$C$145,2,0),"")</f>
        <v/>
      </c>
    </row>
    <row r="195" spans="1:11" ht="15" customHeight="1" x14ac:dyDescent="0.25">
      <c r="A195" s="75">
        <v>1</v>
      </c>
      <c r="B195" s="75">
        <v>204</v>
      </c>
      <c r="C195" s="75" t="s">
        <v>10</v>
      </c>
      <c r="D195" s="75">
        <v>2323</v>
      </c>
      <c r="F195" s="75" t="s">
        <v>10</v>
      </c>
      <c r="H195" s="75" t="s">
        <v>164</v>
      </c>
      <c r="I195" s="75">
        <v>19489</v>
      </c>
      <c r="J195" s="75" t="s">
        <v>63</v>
      </c>
      <c r="K195" s="75" t="str">
        <f>IFERROR(VLOOKUP(J195,'NQ10'!$B$9:$C$145,2,0),"")</f>
        <v>A Rông</v>
      </c>
    </row>
    <row r="196" spans="1:11" ht="15" customHeight="1" x14ac:dyDescent="0.25">
      <c r="A196" s="75">
        <v>1</v>
      </c>
      <c r="B196" s="75">
        <v>523</v>
      </c>
      <c r="C196" s="75" t="s">
        <v>10</v>
      </c>
      <c r="D196" s="75">
        <v>6418</v>
      </c>
      <c r="F196" s="75" t="s">
        <v>10</v>
      </c>
      <c r="H196" s="75" t="s">
        <v>164</v>
      </c>
      <c r="I196" s="75">
        <v>19489</v>
      </c>
      <c r="J196" s="75" t="s">
        <v>63</v>
      </c>
      <c r="K196" s="75" t="str">
        <f>IFERROR(VLOOKUP(J196,'NQ10'!$B$9:$C$145,2,0),"")</f>
        <v>A Rông</v>
      </c>
    </row>
    <row r="197" spans="1:11" ht="15" customHeight="1" x14ac:dyDescent="0.25">
      <c r="A197" s="75">
        <v>0</v>
      </c>
      <c r="C197" s="75" t="s">
        <v>10</v>
      </c>
      <c r="D197" s="75">
        <v>9545</v>
      </c>
      <c r="F197" s="75" t="s">
        <v>10</v>
      </c>
      <c r="H197" s="75" t="s">
        <v>216</v>
      </c>
      <c r="I197" s="75">
        <v>19489</v>
      </c>
      <c r="J197" s="75" t="s">
        <v>64</v>
      </c>
      <c r="K197" s="75" t="str">
        <f>IFERROR(VLOOKUP(J197,'NQ10'!$B$9:$C$145,2,0),"")</f>
        <v/>
      </c>
    </row>
    <row r="198" spans="1:11" ht="15" customHeight="1" x14ac:dyDescent="0.25">
      <c r="A198" s="75">
        <v>33</v>
      </c>
      <c r="B198" s="75">
        <v>5</v>
      </c>
      <c r="C198" s="75" t="s">
        <v>10</v>
      </c>
      <c r="D198" s="75">
        <v>8816</v>
      </c>
      <c r="F198" s="75" t="s">
        <v>10</v>
      </c>
      <c r="H198" s="75" t="s">
        <v>407</v>
      </c>
      <c r="I198" s="75">
        <v>19489</v>
      </c>
      <c r="J198" s="75" t="s">
        <v>64</v>
      </c>
      <c r="K198" s="75" t="str">
        <f>IFERROR(VLOOKUP(J198,'NQ10'!$B$9:$C$145,2,0),"")</f>
        <v/>
      </c>
    </row>
    <row r="199" spans="1:11" ht="15" customHeight="1" x14ac:dyDescent="0.25">
      <c r="A199" s="75">
        <v>5</v>
      </c>
      <c r="B199" s="75">
        <v>32</v>
      </c>
      <c r="C199" s="75" t="s">
        <v>10</v>
      </c>
      <c r="D199" s="75">
        <v>5931</v>
      </c>
      <c r="F199" s="75" t="s">
        <v>10</v>
      </c>
      <c r="H199" s="75" t="s">
        <v>216</v>
      </c>
      <c r="I199" s="75">
        <v>19489</v>
      </c>
      <c r="J199" s="75" t="s">
        <v>162</v>
      </c>
      <c r="K199" s="75" t="str">
        <f>IFERROR(VLOOKUP(J199,'NQ10'!$B$9:$C$145,2,0),"")</f>
        <v/>
      </c>
    </row>
    <row r="200" spans="1:11" ht="15" customHeight="1" x14ac:dyDescent="0.25">
      <c r="A200" s="75">
        <v>21</v>
      </c>
      <c r="B200" s="75">
        <v>72</v>
      </c>
      <c r="C200" s="75" t="s">
        <v>10</v>
      </c>
      <c r="D200" s="75">
        <v>11043</v>
      </c>
      <c r="F200" s="75" t="s">
        <v>10</v>
      </c>
      <c r="H200" s="75" t="s">
        <v>171</v>
      </c>
      <c r="I200" s="75">
        <v>19489</v>
      </c>
      <c r="J200" s="75" t="s">
        <v>65</v>
      </c>
      <c r="K200" s="75" t="str">
        <f>IFERROR(VLOOKUP(J200,'NQ10'!$B$9:$C$145,2,0),"")</f>
        <v/>
      </c>
    </row>
    <row r="201" spans="1:11" ht="15" customHeight="1" x14ac:dyDescent="0.25">
      <c r="A201" s="75">
        <v>21</v>
      </c>
      <c r="B201" s="75">
        <v>132</v>
      </c>
      <c r="C201" s="75" t="s">
        <v>10</v>
      </c>
      <c r="D201" s="75">
        <v>11540</v>
      </c>
      <c r="F201" s="75" t="s">
        <v>10</v>
      </c>
      <c r="H201" s="75" t="s">
        <v>171</v>
      </c>
      <c r="I201" s="75">
        <v>19489</v>
      </c>
      <c r="J201" s="75" t="s">
        <v>65</v>
      </c>
      <c r="K201" s="75" t="str">
        <f>IFERROR(VLOOKUP(J201,'NQ10'!$B$9:$C$145,2,0),"")</f>
        <v/>
      </c>
    </row>
    <row r="202" spans="1:11" ht="15" customHeight="1" x14ac:dyDescent="0.25">
      <c r="A202" s="75">
        <v>21</v>
      </c>
      <c r="B202" s="75">
        <v>255</v>
      </c>
      <c r="C202" s="75" t="s">
        <v>10</v>
      </c>
      <c r="D202" s="75">
        <v>13915</v>
      </c>
      <c r="F202" s="75" t="s">
        <v>10</v>
      </c>
      <c r="H202" s="75" t="s">
        <v>171</v>
      </c>
      <c r="I202" s="75">
        <v>19489</v>
      </c>
      <c r="J202" s="75" t="s">
        <v>65</v>
      </c>
      <c r="K202" s="75" t="str">
        <f>IFERROR(VLOOKUP(J202,'NQ10'!$B$9:$C$145,2,0),"")</f>
        <v/>
      </c>
    </row>
    <row r="203" spans="1:11" ht="15" customHeight="1" x14ac:dyDescent="0.25">
      <c r="A203" s="75">
        <v>21</v>
      </c>
      <c r="B203" s="75">
        <v>256</v>
      </c>
      <c r="C203" s="75" t="s">
        <v>10</v>
      </c>
      <c r="D203" s="75">
        <v>8239</v>
      </c>
      <c r="F203" s="75" t="s">
        <v>10</v>
      </c>
      <c r="H203" s="75" t="s">
        <v>171</v>
      </c>
      <c r="I203" s="75">
        <v>19489</v>
      </c>
      <c r="J203" s="75" t="s">
        <v>65</v>
      </c>
      <c r="K203" s="75" t="str">
        <f>IFERROR(VLOOKUP(J203,'NQ10'!$B$9:$C$145,2,0),"")</f>
        <v/>
      </c>
    </row>
    <row r="204" spans="1:11" ht="15" customHeight="1" x14ac:dyDescent="0.25">
      <c r="A204" s="75">
        <v>21</v>
      </c>
      <c r="B204" s="75">
        <v>133</v>
      </c>
      <c r="C204" s="75" t="s">
        <v>10</v>
      </c>
      <c r="D204" s="75">
        <v>26490</v>
      </c>
      <c r="F204" s="75" t="s">
        <v>10</v>
      </c>
      <c r="H204" s="75" t="s">
        <v>10</v>
      </c>
      <c r="I204" s="75">
        <v>19489</v>
      </c>
      <c r="J204" s="75" t="s">
        <v>66</v>
      </c>
      <c r="K204" s="75" t="str">
        <f>IFERROR(VLOOKUP(J204,'NQ10'!$B$9:$C$145,2,0),"")</f>
        <v/>
      </c>
    </row>
    <row r="205" spans="1:11" ht="15" customHeight="1" x14ac:dyDescent="0.25">
      <c r="A205" s="75">
        <v>21</v>
      </c>
      <c r="B205" s="75">
        <v>134</v>
      </c>
      <c r="C205" s="75" t="s">
        <v>10</v>
      </c>
      <c r="D205" s="75">
        <v>6891</v>
      </c>
      <c r="F205" s="75" t="s">
        <v>10</v>
      </c>
      <c r="H205" s="75" t="s">
        <v>10</v>
      </c>
      <c r="I205" s="75">
        <v>19489</v>
      </c>
      <c r="J205" s="75" t="s">
        <v>66</v>
      </c>
      <c r="K205" s="75" t="str">
        <f>IFERROR(VLOOKUP(J205,'NQ10'!$B$9:$C$145,2,0),"")</f>
        <v/>
      </c>
    </row>
    <row r="206" spans="1:11" ht="15" customHeight="1" x14ac:dyDescent="0.25">
      <c r="A206" s="75">
        <v>21</v>
      </c>
      <c r="B206" s="75">
        <v>135</v>
      </c>
      <c r="C206" s="75" t="s">
        <v>10</v>
      </c>
      <c r="D206" s="75">
        <v>36590</v>
      </c>
      <c r="F206" s="75" t="s">
        <v>10</v>
      </c>
      <c r="H206" s="75" t="s">
        <v>10</v>
      </c>
      <c r="I206" s="75">
        <v>19489</v>
      </c>
      <c r="J206" s="75" t="s">
        <v>66</v>
      </c>
      <c r="K206" s="75" t="str">
        <f>IFERROR(VLOOKUP(J206,'NQ10'!$B$9:$C$145,2,0),"")</f>
        <v/>
      </c>
    </row>
    <row r="207" spans="1:11" ht="15" customHeight="1" x14ac:dyDescent="0.25">
      <c r="A207" s="75">
        <v>32</v>
      </c>
      <c r="C207" s="75" t="s">
        <v>10</v>
      </c>
      <c r="D207" s="75">
        <v>5909</v>
      </c>
      <c r="F207" s="75" t="s">
        <v>10</v>
      </c>
      <c r="H207" s="75" t="s">
        <v>10</v>
      </c>
      <c r="I207" s="75">
        <v>19489</v>
      </c>
      <c r="J207" s="75" t="s">
        <v>66</v>
      </c>
      <c r="K207" s="75" t="str">
        <f>IFERROR(VLOOKUP(J207,'NQ10'!$B$9:$C$145,2,0),"")</f>
        <v/>
      </c>
    </row>
    <row r="208" spans="1:11" ht="15" customHeight="1" x14ac:dyDescent="0.25">
      <c r="A208" s="75">
        <v>0</v>
      </c>
      <c r="C208" s="75" t="s">
        <v>10</v>
      </c>
      <c r="D208" s="75">
        <v>3509</v>
      </c>
      <c r="F208" s="75" t="s">
        <v>10</v>
      </c>
      <c r="H208" s="75" t="s">
        <v>216</v>
      </c>
      <c r="I208" s="75">
        <v>19489</v>
      </c>
      <c r="J208" s="75" t="s">
        <v>479</v>
      </c>
      <c r="K208" s="75" t="str">
        <f>IFERROR(VLOOKUP(J208,'NQ10'!$B$9:$C$145,2,0),"")</f>
        <v/>
      </c>
    </row>
    <row r="209" spans="1:11" ht="15" customHeight="1" x14ac:dyDescent="0.25">
      <c r="A209" s="75">
        <v>0</v>
      </c>
      <c r="C209" s="75" t="s">
        <v>10</v>
      </c>
      <c r="D209" s="75">
        <v>2401</v>
      </c>
      <c r="F209" s="75" t="s">
        <v>10</v>
      </c>
      <c r="H209" s="75" t="s">
        <v>10</v>
      </c>
      <c r="I209" s="75">
        <v>19489</v>
      </c>
      <c r="J209" s="75" t="s">
        <v>479</v>
      </c>
      <c r="K209" s="75" t="str">
        <f>IFERROR(VLOOKUP(J209,'NQ10'!$B$9:$C$145,2,0),"")</f>
        <v/>
      </c>
    </row>
    <row r="210" spans="1:11" ht="15" customHeight="1" x14ac:dyDescent="0.25">
      <c r="A210" s="75">
        <v>8</v>
      </c>
      <c r="C210" s="75" t="s">
        <v>10</v>
      </c>
      <c r="D210" s="75">
        <v>5368</v>
      </c>
      <c r="F210" s="75" t="s">
        <v>10</v>
      </c>
      <c r="H210" s="75" t="s">
        <v>164</v>
      </c>
      <c r="I210" s="75">
        <v>19489</v>
      </c>
      <c r="J210" s="75" t="s">
        <v>527</v>
      </c>
      <c r="K210" s="75" t="str">
        <f>IFERROR(VLOOKUP(J210,'NQ10'!$B$9:$C$145,2,0),"")</f>
        <v/>
      </c>
    </row>
    <row r="211" spans="1:11" ht="15" customHeight="1" x14ac:dyDescent="0.25">
      <c r="A211" s="75">
        <v>0</v>
      </c>
      <c r="C211" s="75" t="s">
        <v>10</v>
      </c>
      <c r="D211" s="75">
        <v>2380</v>
      </c>
      <c r="F211" s="75" t="s">
        <v>10</v>
      </c>
      <c r="H211" s="75" t="s">
        <v>472</v>
      </c>
      <c r="I211" s="75">
        <v>19489</v>
      </c>
      <c r="J211" s="75" t="s">
        <v>67</v>
      </c>
      <c r="K211" s="75" t="str">
        <f>IFERROR(VLOOKUP(J211,'NQ10'!$B$9:$C$145,2,0),"")</f>
        <v>A Xóc Lìa</v>
      </c>
    </row>
    <row r="212" spans="1:11" ht="15" customHeight="1" x14ac:dyDescent="0.25">
      <c r="A212" s="75">
        <v>6</v>
      </c>
      <c r="B212" s="75">
        <v>42</v>
      </c>
      <c r="C212" s="75" t="s">
        <v>10</v>
      </c>
      <c r="D212" s="75">
        <v>3867</v>
      </c>
      <c r="F212" s="75" t="s">
        <v>10</v>
      </c>
      <c r="H212" s="75" t="s">
        <v>10</v>
      </c>
      <c r="I212" s="75">
        <v>19489</v>
      </c>
      <c r="J212" s="75" t="s">
        <v>67</v>
      </c>
      <c r="K212" s="75" t="str">
        <f>IFERROR(VLOOKUP(J212,'NQ10'!$B$9:$C$145,2,0),"")</f>
        <v>A Xóc Lìa</v>
      </c>
    </row>
    <row r="213" spans="1:11" ht="15" customHeight="1" x14ac:dyDescent="0.25">
      <c r="A213" s="75">
        <v>15</v>
      </c>
      <c r="C213" s="75" t="s">
        <v>10</v>
      </c>
      <c r="D213" s="75">
        <v>6249</v>
      </c>
      <c r="F213" s="75" t="s">
        <v>10</v>
      </c>
      <c r="H213" s="75" t="s">
        <v>475</v>
      </c>
      <c r="I213" s="75">
        <v>19489</v>
      </c>
      <c r="J213" s="75" t="s">
        <v>67</v>
      </c>
      <c r="K213" s="75" t="str">
        <f>IFERROR(VLOOKUP(J213,'NQ10'!$B$9:$C$145,2,0),"")</f>
        <v>A Xóc Lìa</v>
      </c>
    </row>
    <row r="214" spans="1:11" ht="15" customHeight="1" x14ac:dyDescent="0.25">
      <c r="A214" s="75">
        <v>32</v>
      </c>
      <c r="C214" s="75" t="s">
        <v>10</v>
      </c>
      <c r="D214" s="75">
        <v>7322</v>
      </c>
      <c r="F214" s="75" t="s">
        <v>10</v>
      </c>
      <c r="H214" s="75" t="s">
        <v>10</v>
      </c>
      <c r="I214" s="75">
        <v>19489</v>
      </c>
      <c r="J214" s="75" t="s">
        <v>67</v>
      </c>
      <c r="K214" s="75" t="str">
        <f>IFERROR(VLOOKUP(J214,'NQ10'!$B$9:$C$145,2,0),"")</f>
        <v>A Xóc Lìa</v>
      </c>
    </row>
    <row r="215" spans="1:11" ht="15" customHeight="1" x14ac:dyDescent="0.25">
      <c r="A215" s="75">
        <v>36</v>
      </c>
      <c r="C215" s="75" t="s">
        <v>10</v>
      </c>
      <c r="D215" s="75">
        <v>7780</v>
      </c>
      <c r="F215" s="75" t="s">
        <v>10</v>
      </c>
      <c r="H215" s="75" t="s">
        <v>10</v>
      </c>
      <c r="I215" s="75">
        <v>19489</v>
      </c>
      <c r="J215" s="75" t="s">
        <v>67</v>
      </c>
      <c r="K215" s="75" t="str">
        <f>IFERROR(VLOOKUP(J215,'NQ10'!$B$9:$C$145,2,0),"")</f>
        <v>A Xóc Lìa</v>
      </c>
    </row>
    <row r="216" spans="1:11" ht="15" customHeight="1" x14ac:dyDescent="0.25">
      <c r="A216" s="75">
        <v>38</v>
      </c>
      <c r="C216" s="75" t="s">
        <v>10</v>
      </c>
      <c r="D216" s="75">
        <v>28508</v>
      </c>
      <c r="F216" s="75" t="s">
        <v>10</v>
      </c>
      <c r="H216" s="75" t="s">
        <v>407</v>
      </c>
      <c r="I216" s="75">
        <v>19489</v>
      </c>
      <c r="J216" s="75" t="s">
        <v>67</v>
      </c>
      <c r="K216" s="75" t="str">
        <f>IFERROR(VLOOKUP(J216,'NQ10'!$B$9:$C$145,2,0),"")</f>
        <v>A Xóc Lìa</v>
      </c>
    </row>
    <row r="217" spans="1:11" ht="15" customHeight="1" x14ac:dyDescent="0.25">
      <c r="A217" s="75">
        <v>21</v>
      </c>
      <c r="B217" s="75">
        <v>136</v>
      </c>
      <c r="C217" s="75" t="s">
        <v>10</v>
      </c>
      <c r="D217" s="75">
        <v>12021</v>
      </c>
      <c r="F217" s="75" t="s">
        <v>10</v>
      </c>
      <c r="H217" s="75" t="s">
        <v>10</v>
      </c>
      <c r="I217" s="75">
        <v>19489</v>
      </c>
      <c r="J217" s="75" t="s">
        <v>68</v>
      </c>
      <c r="K217" s="75" t="str">
        <f>IFERROR(VLOOKUP(J217,'NQ10'!$B$9:$C$145,2,0),"")</f>
        <v/>
      </c>
    </row>
    <row r="218" spans="1:11" ht="15" customHeight="1" x14ac:dyDescent="0.25">
      <c r="A218" s="75">
        <v>21</v>
      </c>
      <c r="B218" s="75">
        <v>137</v>
      </c>
      <c r="C218" s="75" t="s">
        <v>10</v>
      </c>
      <c r="D218" s="75">
        <v>28947</v>
      </c>
      <c r="F218" s="75" t="s">
        <v>10</v>
      </c>
      <c r="H218" s="75" t="s">
        <v>10</v>
      </c>
      <c r="I218" s="75">
        <v>19489</v>
      </c>
      <c r="J218" s="75" t="s">
        <v>68</v>
      </c>
      <c r="K218" s="75" t="str">
        <f>IFERROR(VLOOKUP(J218,'NQ10'!$B$9:$C$145,2,0),"")</f>
        <v/>
      </c>
    </row>
    <row r="219" spans="1:11" ht="15" customHeight="1" x14ac:dyDescent="0.25">
      <c r="A219" s="75">
        <v>1</v>
      </c>
      <c r="C219" s="75" t="s">
        <v>10</v>
      </c>
      <c r="D219" s="75">
        <v>5462</v>
      </c>
      <c r="F219" s="75" t="s">
        <v>10</v>
      </c>
      <c r="H219" s="75" t="s">
        <v>164</v>
      </c>
      <c r="I219" s="75">
        <v>19489</v>
      </c>
      <c r="J219" s="75" t="s">
        <v>366</v>
      </c>
      <c r="K219" s="75" t="str">
        <f>IFERROR(VLOOKUP(J219,'NQ10'!$B$9:$C$145,2,0),"")</f>
        <v/>
      </c>
    </row>
    <row r="220" spans="1:11" ht="15" customHeight="1" x14ac:dyDescent="0.25">
      <c r="A220" s="75">
        <v>0</v>
      </c>
      <c r="C220" s="75" t="s">
        <v>10</v>
      </c>
      <c r="D220" s="75">
        <v>6975</v>
      </c>
      <c r="F220" s="75" t="s">
        <v>10</v>
      </c>
      <c r="H220" s="75" t="s">
        <v>307</v>
      </c>
      <c r="I220" s="75">
        <v>19489</v>
      </c>
      <c r="J220" s="75" t="s">
        <v>316</v>
      </c>
      <c r="K220" s="75" t="str">
        <f>IFERROR(VLOOKUP(J220,'NQ10'!$B$9:$C$145,2,0),"")</f>
        <v>A Rông</v>
      </c>
    </row>
    <row r="221" spans="1:11" ht="15" customHeight="1" x14ac:dyDescent="0.25">
      <c r="A221" s="75">
        <v>21</v>
      </c>
      <c r="B221" s="75">
        <v>231</v>
      </c>
      <c r="C221" s="75" t="s">
        <v>10</v>
      </c>
      <c r="D221" s="75">
        <v>31074</v>
      </c>
      <c r="F221" s="75" t="s">
        <v>10</v>
      </c>
      <c r="H221" s="75" t="s">
        <v>307</v>
      </c>
      <c r="I221" s="75">
        <v>19489</v>
      </c>
      <c r="J221" s="75" t="s">
        <v>316</v>
      </c>
      <c r="K221" s="75" t="str">
        <f>IFERROR(VLOOKUP(J221,'NQ10'!$B$9:$C$145,2,0),"")</f>
        <v>A Rông</v>
      </c>
    </row>
    <row r="222" spans="1:11" ht="15" customHeight="1" x14ac:dyDescent="0.25">
      <c r="A222" s="75">
        <v>21</v>
      </c>
      <c r="B222" s="75">
        <v>139</v>
      </c>
      <c r="C222" s="75" t="s">
        <v>10</v>
      </c>
      <c r="D222" s="75">
        <v>12126</v>
      </c>
      <c r="F222" s="75" t="s">
        <v>10</v>
      </c>
      <c r="H222" s="75" t="s">
        <v>10</v>
      </c>
      <c r="I222" s="75">
        <v>19489</v>
      </c>
      <c r="J222" s="75" t="s">
        <v>69</v>
      </c>
      <c r="K222" s="75" t="str">
        <f>IFERROR(VLOOKUP(J222,'NQ10'!$B$9:$C$145,2,0),"")</f>
        <v/>
      </c>
    </row>
    <row r="223" spans="1:11" ht="15" customHeight="1" x14ac:dyDescent="0.25">
      <c r="A223" s="75">
        <v>21</v>
      </c>
      <c r="B223" s="75">
        <v>140</v>
      </c>
      <c r="C223" s="75" t="s">
        <v>10</v>
      </c>
      <c r="D223" s="75">
        <v>10926</v>
      </c>
      <c r="F223" s="75" t="s">
        <v>10</v>
      </c>
      <c r="H223" s="75" t="s">
        <v>10</v>
      </c>
      <c r="I223" s="75">
        <v>19489</v>
      </c>
      <c r="J223" s="75" t="s">
        <v>70</v>
      </c>
      <c r="K223" s="75" t="str">
        <f>IFERROR(VLOOKUP(J223,'NQ10'!$B$9:$C$145,2,0),"")</f>
        <v/>
      </c>
    </row>
    <row r="224" spans="1:11" ht="15" customHeight="1" x14ac:dyDescent="0.25">
      <c r="A224" s="75">
        <v>3</v>
      </c>
      <c r="B224" s="75">
        <v>159</v>
      </c>
      <c r="C224" s="75" t="s">
        <v>10</v>
      </c>
      <c r="D224" s="75">
        <v>11011</v>
      </c>
      <c r="F224" s="75" t="s">
        <v>10</v>
      </c>
      <c r="H224" s="75" t="s">
        <v>164</v>
      </c>
      <c r="I224" s="75">
        <v>19489</v>
      </c>
      <c r="J224" s="75" t="s">
        <v>71</v>
      </c>
      <c r="K224" s="75" t="str">
        <f>IFERROR(VLOOKUP(J224,'NQ10'!$B$9:$C$145,2,0),"")</f>
        <v/>
      </c>
    </row>
    <row r="225" spans="1:11" ht="15" customHeight="1" x14ac:dyDescent="0.25">
      <c r="A225" s="75">
        <v>21</v>
      </c>
      <c r="B225" s="75">
        <v>141</v>
      </c>
      <c r="C225" s="75" t="s">
        <v>10</v>
      </c>
      <c r="D225" s="75">
        <v>4128</v>
      </c>
      <c r="F225" s="75" t="s">
        <v>10</v>
      </c>
      <c r="H225" s="75" t="s">
        <v>10</v>
      </c>
      <c r="I225" s="75">
        <v>19489</v>
      </c>
      <c r="J225" s="75" t="s">
        <v>72</v>
      </c>
      <c r="K225" s="75" t="str">
        <f>IFERROR(VLOOKUP(J225,'NQ10'!$B$9:$C$145,2,0),"")</f>
        <v/>
      </c>
    </row>
    <row r="226" spans="1:11" ht="15" customHeight="1" x14ac:dyDescent="0.25">
      <c r="A226" s="75">
        <v>21</v>
      </c>
      <c r="B226" s="75">
        <v>142</v>
      </c>
      <c r="C226" s="75" t="s">
        <v>10</v>
      </c>
      <c r="D226" s="75">
        <v>4889</v>
      </c>
      <c r="F226" s="75" t="s">
        <v>10</v>
      </c>
      <c r="H226" s="75" t="s">
        <v>10</v>
      </c>
      <c r="I226" s="75">
        <v>19489</v>
      </c>
      <c r="J226" s="75" t="s">
        <v>72</v>
      </c>
      <c r="K226" s="75" t="str">
        <f>IFERROR(VLOOKUP(J226,'NQ10'!$B$9:$C$145,2,0),"")</f>
        <v/>
      </c>
    </row>
    <row r="227" spans="1:11" ht="15" customHeight="1" x14ac:dyDescent="0.25">
      <c r="A227" s="75">
        <v>0</v>
      </c>
      <c r="B227" s="75">
        <v>16</v>
      </c>
      <c r="C227" s="75" t="s">
        <v>10</v>
      </c>
      <c r="D227" s="75">
        <v>4768</v>
      </c>
      <c r="F227" s="75" t="s">
        <v>10</v>
      </c>
      <c r="H227" s="75" t="s">
        <v>307</v>
      </c>
      <c r="I227" s="75">
        <v>19489</v>
      </c>
      <c r="J227" s="75" t="s">
        <v>318</v>
      </c>
      <c r="K227" s="75" t="str">
        <f>IFERROR(VLOOKUP(J227,'NQ10'!$B$9:$C$145,2,0),"")</f>
        <v>A Rông</v>
      </c>
    </row>
    <row r="228" spans="1:11" ht="15" customHeight="1" x14ac:dyDescent="0.25">
      <c r="A228" s="75">
        <v>7</v>
      </c>
      <c r="C228" s="75" t="s">
        <v>10</v>
      </c>
      <c r="D228" s="75">
        <v>2448</v>
      </c>
      <c r="F228" s="75" t="s">
        <v>10</v>
      </c>
      <c r="H228" s="75" t="s">
        <v>407</v>
      </c>
      <c r="I228" s="75">
        <v>19489</v>
      </c>
      <c r="J228" s="75" t="s">
        <v>524</v>
      </c>
      <c r="K228" s="75" t="str">
        <f>IFERROR(VLOOKUP(J228,'NQ10'!$B$9:$C$145,2,0),"")</f>
        <v/>
      </c>
    </row>
    <row r="229" spans="1:11" ht="15" customHeight="1" x14ac:dyDescent="0.25">
      <c r="A229" s="75">
        <v>32</v>
      </c>
      <c r="C229" s="75" t="s">
        <v>10</v>
      </c>
      <c r="D229" s="75">
        <v>5199</v>
      </c>
      <c r="F229" s="75" t="s">
        <v>10</v>
      </c>
      <c r="H229" s="75" t="s">
        <v>10</v>
      </c>
      <c r="I229" s="75">
        <v>19489</v>
      </c>
      <c r="J229" s="75" t="s">
        <v>549</v>
      </c>
      <c r="K229" s="75" t="str">
        <f>IFERROR(VLOOKUP(J229,'NQ10'!$B$9:$C$145,2,0),"")</f>
        <v/>
      </c>
    </row>
    <row r="230" spans="1:11" ht="15" customHeight="1" x14ac:dyDescent="0.25">
      <c r="A230" s="75">
        <v>0</v>
      </c>
      <c r="C230" s="75" t="s">
        <v>10</v>
      </c>
      <c r="D230" s="75">
        <v>4459</v>
      </c>
      <c r="F230" s="75" t="s">
        <v>10</v>
      </c>
      <c r="H230" s="75" t="s">
        <v>164</v>
      </c>
      <c r="I230" s="75">
        <v>19489</v>
      </c>
      <c r="J230" s="75" t="s">
        <v>490</v>
      </c>
      <c r="K230" s="75" t="str">
        <f>IFERROR(VLOOKUP(J230,'NQ10'!$B$9:$C$145,2,0),"")</f>
        <v/>
      </c>
    </row>
    <row r="231" spans="1:11" ht="15" customHeight="1" x14ac:dyDescent="0.25">
      <c r="A231" s="75">
        <v>21</v>
      </c>
      <c r="B231" s="75">
        <v>73</v>
      </c>
      <c r="C231" s="75" t="s">
        <v>10</v>
      </c>
      <c r="D231" s="75">
        <v>10414</v>
      </c>
      <c r="F231" s="75" t="s">
        <v>10</v>
      </c>
      <c r="H231" s="75" t="s">
        <v>171</v>
      </c>
      <c r="I231" s="75">
        <v>19489</v>
      </c>
      <c r="J231" s="75" t="s">
        <v>73</v>
      </c>
      <c r="K231" s="75" t="str">
        <f>IFERROR(VLOOKUP(J231,'NQ10'!$B$9:$C$145,2,0),"")</f>
        <v/>
      </c>
    </row>
    <row r="232" spans="1:11" ht="15" customHeight="1" x14ac:dyDescent="0.25">
      <c r="A232" s="75">
        <v>21</v>
      </c>
      <c r="B232" s="75">
        <v>143</v>
      </c>
      <c r="C232" s="75" t="s">
        <v>10</v>
      </c>
      <c r="D232" s="75">
        <v>10271</v>
      </c>
      <c r="F232" s="75" t="s">
        <v>10</v>
      </c>
      <c r="H232" s="75" t="s">
        <v>171</v>
      </c>
      <c r="I232" s="75">
        <v>19489</v>
      </c>
      <c r="J232" s="75" t="s">
        <v>73</v>
      </c>
      <c r="K232" s="75" t="str">
        <f>IFERROR(VLOOKUP(J232,'NQ10'!$B$9:$C$145,2,0),"")</f>
        <v/>
      </c>
    </row>
    <row r="233" spans="1:11" ht="15" customHeight="1" x14ac:dyDescent="0.25">
      <c r="A233" s="75">
        <v>0</v>
      </c>
      <c r="C233" s="75" t="s">
        <v>10</v>
      </c>
      <c r="D233" s="75">
        <v>1822</v>
      </c>
      <c r="F233" s="75" t="s">
        <v>10</v>
      </c>
      <c r="H233" s="75" t="s">
        <v>216</v>
      </c>
      <c r="I233" s="75">
        <v>19489</v>
      </c>
      <c r="J233" s="75" t="s">
        <v>225</v>
      </c>
      <c r="K233" s="75" t="str">
        <f>IFERROR(VLOOKUP(J233,'NQ10'!$B$9:$C$145,2,0),"")</f>
        <v>A Xau</v>
      </c>
    </row>
    <row r="234" spans="1:11" ht="15" customHeight="1" x14ac:dyDescent="0.25">
      <c r="A234" s="75">
        <v>0</v>
      </c>
      <c r="C234" s="75" t="s">
        <v>10</v>
      </c>
      <c r="D234" s="75">
        <v>2720</v>
      </c>
      <c r="F234" s="75" t="s">
        <v>10</v>
      </c>
      <c r="H234" s="75" t="s">
        <v>216</v>
      </c>
      <c r="I234" s="75">
        <v>19489</v>
      </c>
      <c r="J234" s="75" t="s">
        <v>225</v>
      </c>
      <c r="K234" s="75" t="str">
        <f>IFERROR(VLOOKUP(J234,'NQ10'!$B$9:$C$145,2,0),"")</f>
        <v>A Xau</v>
      </c>
    </row>
    <row r="235" spans="1:11" ht="15" customHeight="1" x14ac:dyDescent="0.25">
      <c r="A235" s="75">
        <v>7</v>
      </c>
      <c r="B235" s="75">
        <v>12</v>
      </c>
      <c r="C235" s="75" t="s">
        <v>10</v>
      </c>
      <c r="D235" s="75">
        <v>3582</v>
      </c>
      <c r="F235" s="75" t="s">
        <v>10</v>
      </c>
      <c r="H235" s="75" t="s">
        <v>216</v>
      </c>
      <c r="I235" s="75">
        <v>19489</v>
      </c>
      <c r="J235" s="75" t="s">
        <v>225</v>
      </c>
      <c r="K235" s="75" t="str">
        <f>IFERROR(VLOOKUP(J235,'NQ10'!$B$9:$C$145,2,0),"")</f>
        <v>A Xau</v>
      </c>
    </row>
    <row r="236" spans="1:11" ht="15" customHeight="1" x14ac:dyDescent="0.25">
      <c r="A236" s="75">
        <v>21</v>
      </c>
      <c r="B236" s="75">
        <v>145</v>
      </c>
      <c r="C236" s="75" t="s">
        <v>10</v>
      </c>
      <c r="D236" s="75">
        <v>2824</v>
      </c>
      <c r="F236" s="75" t="s">
        <v>10</v>
      </c>
      <c r="H236" s="75" t="s">
        <v>10</v>
      </c>
      <c r="I236" s="75">
        <v>19489</v>
      </c>
      <c r="J236" s="75" t="s">
        <v>74</v>
      </c>
      <c r="K236" s="75" t="str">
        <f>IFERROR(VLOOKUP(J236,'NQ10'!$B$9:$C$145,2,0),"")</f>
        <v/>
      </c>
    </row>
    <row r="237" spans="1:11" ht="15" customHeight="1" x14ac:dyDescent="0.25">
      <c r="A237" s="75">
        <v>0</v>
      </c>
      <c r="C237" s="75" t="s">
        <v>10</v>
      </c>
      <c r="D237" s="75">
        <v>7032</v>
      </c>
      <c r="F237" s="75" t="s">
        <v>10</v>
      </c>
      <c r="H237" s="75" t="s">
        <v>164</v>
      </c>
      <c r="I237" s="75">
        <v>19489</v>
      </c>
      <c r="J237" s="75" t="s">
        <v>485</v>
      </c>
      <c r="K237" s="75" t="str">
        <f>IFERROR(VLOOKUP(J237,'NQ10'!$B$9:$C$145,2,0),"")</f>
        <v/>
      </c>
    </row>
    <row r="238" spans="1:11" ht="15" customHeight="1" x14ac:dyDescent="0.25">
      <c r="A238" s="75">
        <v>0</v>
      </c>
      <c r="C238" s="75" t="s">
        <v>10</v>
      </c>
      <c r="D238" s="75">
        <v>5259</v>
      </c>
      <c r="F238" s="75" t="s">
        <v>10</v>
      </c>
      <c r="H238" s="75" t="s">
        <v>10</v>
      </c>
      <c r="I238" s="75">
        <v>19489</v>
      </c>
      <c r="J238" s="75" t="s">
        <v>75</v>
      </c>
      <c r="K238" s="75" t="str">
        <f>IFERROR(VLOOKUP(J238,'NQ10'!$B$9:$C$145,2,0),"")</f>
        <v/>
      </c>
    </row>
    <row r="239" spans="1:11" ht="15" customHeight="1" x14ac:dyDescent="0.25">
      <c r="A239" s="75">
        <v>3</v>
      </c>
      <c r="B239" s="75">
        <v>10</v>
      </c>
      <c r="C239" s="75" t="s">
        <v>10</v>
      </c>
      <c r="D239" s="75">
        <v>2390</v>
      </c>
      <c r="F239" s="75" t="s">
        <v>10</v>
      </c>
      <c r="H239" s="75" t="s">
        <v>216</v>
      </c>
      <c r="I239" s="75">
        <v>19489</v>
      </c>
      <c r="J239" s="75" t="s">
        <v>75</v>
      </c>
      <c r="K239" s="75" t="str">
        <f>IFERROR(VLOOKUP(J239,'NQ10'!$B$9:$C$145,2,0),"")</f>
        <v/>
      </c>
    </row>
    <row r="240" spans="1:11" ht="15" customHeight="1" x14ac:dyDescent="0.25">
      <c r="A240" s="75">
        <v>3</v>
      </c>
      <c r="B240" s="75">
        <v>432</v>
      </c>
      <c r="C240" s="75" t="s">
        <v>10</v>
      </c>
      <c r="D240" s="75">
        <v>9656</v>
      </c>
      <c r="F240" s="75" t="s">
        <v>10</v>
      </c>
      <c r="H240" s="75" t="s">
        <v>340</v>
      </c>
      <c r="I240" s="75">
        <v>19489</v>
      </c>
      <c r="J240" s="75" t="s">
        <v>281</v>
      </c>
      <c r="K240" s="75" t="str">
        <f>IFERROR(VLOOKUP(J240,'NQ10'!$B$9:$C$145,2,0),"")</f>
        <v>Tăng cô Hang</v>
      </c>
    </row>
    <row r="241" spans="1:11" ht="15" customHeight="1" x14ac:dyDescent="0.25">
      <c r="A241" s="75">
        <v>13</v>
      </c>
      <c r="C241" s="75" t="s">
        <v>10</v>
      </c>
      <c r="D241" s="75">
        <v>768</v>
      </c>
      <c r="F241" s="75" t="s">
        <v>10</v>
      </c>
      <c r="H241" s="75" t="s">
        <v>475</v>
      </c>
      <c r="I241" s="75">
        <v>19489</v>
      </c>
      <c r="J241" s="75" t="s">
        <v>397</v>
      </c>
      <c r="K241" s="75" t="str">
        <f>IFERROR(VLOOKUP(J241,'NQ10'!$B$9:$C$145,2,0),"")</f>
        <v/>
      </c>
    </row>
    <row r="242" spans="1:11" ht="15" customHeight="1" x14ac:dyDescent="0.25">
      <c r="A242" s="75">
        <v>21</v>
      </c>
      <c r="B242" s="75">
        <v>146</v>
      </c>
      <c r="C242" s="75" t="s">
        <v>10</v>
      </c>
      <c r="D242" s="75">
        <v>7264</v>
      </c>
      <c r="F242" s="75" t="s">
        <v>10</v>
      </c>
      <c r="H242" s="75" t="s">
        <v>10</v>
      </c>
      <c r="I242" s="75">
        <v>19489</v>
      </c>
      <c r="J242" s="75" t="s">
        <v>76</v>
      </c>
      <c r="K242" s="75" t="str">
        <f>IFERROR(VLOOKUP(J242,'NQ10'!$B$9:$C$145,2,0),"")</f>
        <v/>
      </c>
    </row>
    <row r="243" spans="1:11" ht="15" customHeight="1" x14ac:dyDescent="0.25">
      <c r="A243" s="75">
        <v>21</v>
      </c>
      <c r="B243" s="75">
        <v>147</v>
      </c>
      <c r="C243" s="75" t="s">
        <v>10</v>
      </c>
      <c r="D243" s="75">
        <v>4738</v>
      </c>
      <c r="F243" s="75" t="s">
        <v>10</v>
      </c>
      <c r="H243" s="75" t="s">
        <v>10</v>
      </c>
      <c r="I243" s="75">
        <v>19489</v>
      </c>
      <c r="J243" s="75" t="s">
        <v>76</v>
      </c>
      <c r="K243" s="75" t="str">
        <f>IFERROR(VLOOKUP(J243,'NQ10'!$B$9:$C$145,2,0),"")</f>
        <v/>
      </c>
    </row>
    <row r="244" spans="1:11" ht="15" customHeight="1" x14ac:dyDescent="0.25">
      <c r="A244" s="75">
        <v>21</v>
      </c>
      <c r="B244" s="75">
        <v>148</v>
      </c>
      <c r="C244" s="75" t="s">
        <v>10</v>
      </c>
      <c r="D244" s="75">
        <v>9342</v>
      </c>
      <c r="F244" s="75" t="s">
        <v>10</v>
      </c>
      <c r="H244" s="75" t="s">
        <v>10</v>
      </c>
      <c r="I244" s="75">
        <v>19489</v>
      </c>
      <c r="J244" s="75" t="s">
        <v>76</v>
      </c>
      <c r="K244" s="75" t="str">
        <f>IFERROR(VLOOKUP(J244,'NQ10'!$B$9:$C$145,2,0),"")</f>
        <v/>
      </c>
    </row>
    <row r="245" spans="1:11" ht="15" customHeight="1" x14ac:dyDescent="0.25">
      <c r="A245" s="75">
        <v>30</v>
      </c>
      <c r="C245" s="75" t="s">
        <v>10</v>
      </c>
      <c r="D245" s="75">
        <v>7636</v>
      </c>
      <c r="F245" s="75" t="s">
        <v>10</v>
      </c>
      <c r="H245" s="75" t="s">
        <v>307</v>
      </c>
      <c r="I245" s="75">
        <v>19489</v>
      </c>
      <c r="J245" s="75" t="s">
        <v>319</v>
      </c>
      <c r="K245" s="75" t="str">
        <f>IFERROR(VLOOKUP(J245,'NQ10'!$B$9:$C$145,2,0),"")</f>
        <v>A Rông</v>
      </c>
    </row>
    <row r="246" spans="1:11" ht="15" customHeight="1" x14ac:dyDescent="0.25">
      <c r="A246" s="75">
        <v>0</v>
      </c>
      <c r="C246" s="75" t="s">
        <v>10</v>
      </c>
      <c r="D246" s="75">
        <v>1334</v>
      </c>
      <c r="F246" s="75" t="s">
        <v>10</v>
      </c>
      <c r="H246" s="75" t="s">
        <v>307</v>
      </c>
      <c r="I246" s="75">
        <v>19489</v>
      </c>
      <c r="J246" s="75" t="s">
        <v>77</v>
      </c>
      <c r="K246" s="75" t="str">
        <f>IFERROR(VLOOKUP(J246,'NQ10'!$B$9:$C$145,2,0),"")</f>
        <v>A Rông</v>
      </c>
    </row>
    <row r="247" spans="1:11" ht="15" customHeight="1" x14ac:dyDescent="0.25">
      <c r="A247" s="75">
        <v>1</v>
      </c>
      <c r="B247" s="75">
        <v>244</v>
      </c>
      <c r="C247" s="75" t="s">
        <v>10</v>
      </c>
      <c r="D247" s="75">
        <v>5208</v>
      </c>
      <c r="F247" s="75" t="s">
        <v>10</v>
      </c>
      <c r="H247" s="75" t="s">
        <v>164</v>
      </c>
      <c r="I247" s="75">
        <v>19489</v>
      </c>
      <c r="J247" s="75" t="s">
        <v>77</v>
      </c>
      <c r="K247" s="75" t="str">
        <f>IFERROR(VLOOKUP(J247,'NQ10'!$B$9:$C$145,2,0),"")</f>
        <v>A Rông</v>
      </c>
    </row>
    <row r="248" spans="1:11" ht="15" customHeight="1" x14ac:dyDescent="0.25">
      <c r="A248" s="75">
        <v>1</v>
      </c>
      <c r="B248" s="75">
        <v>529</v>
      </c>
      <c r="C248" s="75" t="s">
        <v>10</v>
      </c>
      <c r="D248" s="75">
        <v>6204</v>
      </c>
      <c r="F248" s="75" t="s">
        <v>10</v>
      </c>
      <c r="H248" s="75" t="s">
        <v>10</v>
      </c>
      <c r="I248" s="75">
        <v>19489</v>
      </c>
      <c r="J248" s="75" t="s">
        <v>77</v>
      </c>
      <c r="K248" s="75" t="str">
        <f>IFERROR(VLOOKUP(J248,'NQ10'!$B$9:$C$145,2,0),"")</f>
        <v>A Rông</v>
      </c>
    </row>
    <row r="249" spans="1:11" ht="15" customHeight="1" x14ac:dyDescent="0.25">
      <c r="A249" s="75">
        <v>7</v>
      </c>
      <c r="C249" s="75" t="s">
        <v>10</v>
      </c>
      <c r="D249" s="75">
        <v>13670</v>
      </c>
      <c r="F249" s="75" t="s">
        <v>10</v>
      </c>
      <c r="H249" s="75" t="s">
        <v>216</v>
      </c>
      <c r="I249" s="75">
        <v>19489</v>
      </c>
      <c r="J249" s="75" t="s">
        <v>386</v>
      </c>
      <c r="K249" s="75" t="str">
        <f>IFERROR(VLOOKUP(J249,'NQ10'!$B$9:$C$145,2,0),"")</f>
        <v/>
      </c>
    </row>
    <row r="250" spans="1:11" ht="15" customHeight="1" x14ac:dyDescent="0.25">
      <c r="A250" s="75">
        <v>0</v>
      </c>
      <c r="C250" s="75" t="s">
        <v>10</v>
      </c>
      <c r="D250" s="75">
        <v>14955</v>
      </c>
      <c r="F250" s="75" t="s">
        <v>10</v>
      </c>
      <c r="H250" s="75" t="s">
        <v>10</v>
      </c>
      <c r="I250" s="75">
        <v>19489</v>
      </c>
      <c r="J250" s="75" t="s">
        <v>78</v>
      </c>
      <c r="K250" s="75" t="str">
        <f>IFERROR(VLOOKUP(J250,'NQ10'!$B$9:$C$145,2,0),"")</f>
        <v/>
      </c>
    </row>
    <row r="251" spans="1:11" ht="15" customHeight="1" x14ac:dyDescent="0.25">
      <c r="A251" s="75">
        <v>21</v>
      </c>
      <c r="B251" s="75">
        <v>149</v>
      </c>
      <c r="C251" s="75" t="s">
        <v>10</v>
      </c>
      <c r="D251" s="75">
        <v>6275</v>
      </c>
      <c r="F251" s="75" t="s">
        <v>10</v>
      </c>
      <c r="H251" s="75" t="s">
        <v>10</v>
      </c>
      <c r="I251" s="75">
        <v>19489</v>
      </c>
      <c r="J251" s="75" t="s">
        <v>78</v>
      </c>
      <c r="K251" s="75" t="str">
        <f>IFERROR(VLOOKUP(J251,'NQ10'!$B$9:$C$145,2,0),"")</f>
        <v/>
      </c>
    </row>
    <row r="252" spans="1:11" ht="15" customHeight="1" x14ac:dyDescent="0.25">
      <c r="A252" s="75">
        <v>21</v>
      </c>
      <c r="B252" s="75">
        <v>150</v>
      </c>
      <c r="C252" s="75" t="s">
        <v>10</v>
      </c>
      <c r="D252" s="75">
        <v>7258</v>
      </c>
      <c r="F252" s="75" t="s">
        <v>10</v>
      </c>
      <c r="H252" s="75" t="s">
        <v>10</v>
      </c>
      <c r="I252" s="75">
        <v>19489</v>
      </c>
      <c r="J252" s="75" t="s">
        <v>79</v>
      </c>
      <c r="K252" s="75" t="str">
        <f>IFERROR(VLOOKUP(J252,'NQ10'!$B$9:$C$145,2,0),"")</f>
        <v/>
      </c>
    </row>
    <row r="253" spans="1:11" ht="15" customHeight="1" x14ac:dyDescent="0.25">
      <c r="A253" s="75">
        <v>21</v>
      </c>
      <c r="B253" s="75">
        <v>151</v>
      </c>
      <c r="C253" s="75" t="s">
        <v>10</v>
      </c>
      <c r="D253" s="75">
        <v>11823</v>
      </c>
      <c r="F253" s="75" t="s">
        <v>10</v>
      </c>
      <c r="H253" s="75" t="s">
        <v>10</v>
      </c>
      <c r="I253" s="75">
        <v>19489</v>
      </c>
      <c r="J253" s="75" t="s">
        <v>79</v>
      </c>
      <c r="K253" s="75" t="str">
        <f>IFERROR(VLOOKUP(J253,'NQ10'!$B$9:$C$145,2,0),"")</f>
        <v/>
      </c>
    </row>
    <row r="254" spans="1:11" ht="15" customHeight="1" x14ac:dyDescent="0.25">
      <c r="A254" s="75">
        <v>21</v>
      </c>
      <c r="B254" s="75">
        <v>152</v>
      </c>
      <c r="C254" s="75" t="s">
        <v>10</v>
      </c>
      <c r="D254" s="75">
        <v>4680</v>
      </c>
      <c r="F254" s="75" t="s">
        <v>10</v>
      </c>
      <c r="H254" s="75" t="s">
        <v>10</v>
      </c>
      <c r="I254" s="75">
        <v>19489</v>
      </c>
      <c r="J254" s="75" t="s">
        <v>79</v>
      </c>
      <c r="K254" s="75" t="str">
        <f>IFERROR(VLOOKUP(J254,'NQ10'!$B$9:$C$145,2,0),"")</f>
        <v/>
      </c>
    </row>
    <row r="255" spans="1:11" ht="15" customHeight="1" x14ac:dyDescent="0.25">
      <c r="A255" s="75">
        <v>21</v>
      </c>
      <c r="B255" s="75">
        <v>153</v>
      </c>
      <c r="C255" s="75" t="s">
        <v>10</v>
      </c>
      <c r="D255" s="75">
        <v>7804</v>
      </c>
      <c r="F255" s="75" t="s">
        <v>10</v>
      </c>
      <c r="H255" s="75" t="s">
        <v>10</v>
      </c>
      <c r="I255" s="75">
        <v>19489</v>
      </c>
      <c r="J255" s="75" t="s">
        <v>80</v>
      </c>
      <c r="K255" s="75" t="str">
        <f>IFERROR(VLOOKUP(J255,'NQ10'!$B$9:$C$145,2,0),"")</f>
        <v/>
      </c>
    </row>
    <row r="256" spans="1:11" ht="15" customHeight="1" x14ac:dyDescent="0.25">
      <c r="A256" s="75">
        <v>21</v>
      </c>
      <c r="B256" s="75">
        <v>154</v>
      </c>
      <c r="C256" s="75" t="s">
        <v>10</v>
      </c>
      <c r="D256" s="75">
        <v>12952</v>
      </c>
      <c r="F256" s="75" t="s">
        <v>10</v>
      </c>
      <c r="H256" s="75" t="s">
        <v>10</v>
      </c>
      <c r="I256" s="75">
        <v>19489</v>
      </c>
      <c r="J256" s="75" t="s">
        <v>80</v>
      </c>
      <c r="K256" s="75" t="str">
        <f>IFERROR(VLOOKUP(J256,'NQ10'!$B$9:$C$145,2,0),"")</f>
        <v/>
      </c>
    </row>
    <row r="257" spans="1:11" ht="15" customHeight="1" x14ac:dyDescent="0.25">
      <c r="A257" s="75">
        <v>21</v>
      </c>
      <c r="B257" s="75">
        <v>155</v>
      </c>
      <c r="C257" s="75" t="s">
        <v>10</v>
      </c>
      <c r="D257" s="75">
        <v>6028</v>
      </c>
      <c r="F257" s="75" t="s">
        <v>10</v>
      </c>
      <c r="H257" s="75" t="s">
        <v>10</v>
      </c>
      <c r="I257" s="75">
        <v>19489</v>
      </c>
      <c r="J257" s="75" t="s">
        <v>81</v>
      </c>
      <c r="K257" s="75" t="str">
        <f>IFERROR(VLOOKUP(J257,'NQ10'!$B$9:$C$145,2,0),"")</f>
        <v/>
      </c>
    </row>
    <row r="258" spans="1:11" ht="15" customHeight="1" x14ac:dyDescent="0.25">
      <c r="A258" s="75">
        <v>21</v>
      </c>
      <c r="B258" s="75">
        <v>156</v>
      </c>
      <c r="C258" s="75" t="s">
        <v>10</v>
      </c>
      <c r="D258" s="75">
        <v>10380</v>
      </c>
      <c r="F258" s="75" t="s">
        <v>10</v>
      </c>
      <c r="H258" s="75" t="s">
        <v>10</v>
      </c>
      <c r="I258" s="75">
        <v>19489</v>
      </c>
      <c r="J258" s="75" t="s">
        <v>81</v>
      </c>
      <c r="K258" s="75" t="str">
        <f>IFERROR(VLOOKUP(J258,'NQ10'!$B$9:$C$145,2,0),"")</f>
        <v/>
      </c>
    </row>
    <row r="259" spans="1:11" ht="15" customHeight="1" x14ac:dyDescent="0.25">
      <c r="A259" s="75">
        <v>21</v>
      </c>
      <c r="B259" s="75">
        <v>157</v>
      </c>
      <c r="C259" s="75" t="s">
        <v>10</v>
      </c>
      <c r="D259" s="75">
        <v>5223</v>
      </c>
      <c r="F259" s="75" t="s">
        <v>10</v>
      </c>
      <c r="H259" s="75" t="s">
        <v>10</v>
      </c>
      <c r="I259" s="75">
        <v>19489</v>
      </c>
      <c r="J259" s="75" t="s">
        <v>82</v>
      </c>
      <c r="K259" s="75" t="str">
        <f>IFERROR(VLOOKUP(J259,'NQ10'!$B$9:$C$145,2,0),"")</f>
        <v/>
      </c>
    </row>
    <row r="260" spans="1:11" ht="15" customHeight="1" x14ac:dyDescent="0.25">
      <c r="A260" s="75">
        <v>21</v>
      </c>
      <c r="B260" s="75">
        <v>158</v>
      </c>
      <c r="C260" s="75" t="s">
        <v>10</v>
      </c>
      <c r="D260" s="75">
        <v>8768</v>
      </c>
      <c r="F260" s="75" t="s">
        <v>10</v>
      </c>
      <c r="H260" s="75" t="s">
        <v>10</v>
      </c>
      <c r="I260" s="75">
        <v>19489</v>
      </c>
      <c r="J260" s="75" t="s">
        <v>82</v>
      </c>
      <c r="K260" s="75" t="str">
        <f>IFERROR(VLOOKUP(J260,'NQ10'!$B$9:$C$145,2,0),"")</f>
        <v/>
      </c>
    </row>
    <row r="261" spans="1:11" ht="15" customHeight="1" x14ac:dyDescent="0.25">
      <c r="A261" s="75">
        <v>21</v>
      </c>
      <c r="B261" s="75">
        <v>159</v>
      </c>
      <c r="C261" s="75" t="s">
        <v>10</v>
      </c>
      <c r="D261" s="75">
        <v>3403</v>
      </c>
      <c r="F261" s="75" t="s">
        <v>10</v>
      </c>
      <c r="H261" s="75" t="s">
        <v>10</v>
      </c>
      <c r="I261" s="75">
        <v>19489</v>
      </c>
      <c r="J261" s="75" t="s">
        <v>82</v>
      </c>
      <c r="K261" s="75" t="str">
        <f>IFERROR(VLOOKUP(J261,'NQ10'!$B$9:$C$145,2,0),"")</f>
        <v/>
      </c>
    </row>
    <row r="262" spans="1:11" ht="15" customHeight="1" x14ac:dyDescent="0.25">
      <c r="A262" s="75">
        <v>32</v>
      </c>
      <c r="C262" s="75" t="s">
        <v>10</v>
      </c>
      <c r="D262" s="75">
        <v>6349</v>
      </c>
      <c r="F262" s="75" t="s">
        <v>10</v>
      </c>
      <c r="H262" s="75" t="s">
        <v>10</v>
      </c>
      <c r="I262" s="75">
        <v>19489</v>
      </c>
      <c r="J262" s="75" t="s">
        <v>82</v>
      </c>
      <c r="K262" s="75" t="str">
        <f>IFERROR(VLOOKUP(J262,'NQ10'!$B$9:$C$145,2,0),"")</f>
        <v/>
      </c>
    </row>
    <row r="263" spans="1:11" ht="15" customHeight="1" x14ac:dyDescent="0.25">
      <c r="A263" s="75">
        <v>21</v>
      </c>
      <c r="B263" s="75">
        <v>160</v>
      </c>
      <c r="C263" s="75" t="s">
        <v>10</v>
      </c>
      <c r="D263" s="75">
        <v>6134</v>
      </c>
      <c r="F263" s="75" t="s">
        <v>10</v>
      </c>
      <c r="H263" s="75" t="s">
        <v>10</v>
      </c>
      <c r="I263" s="75">
        <v>19489</v>
      </c>
      <c r="J263" s="75" t="s">
        <v>83</v>
      </c>
      <c r="K263" s="75" t="str">
        <f>IFERROR(VLOOKUP(J263,'NQ10'!$B$9:$C$145,2,0),"")</f>
        <v/>
      </c>
    </row>
    <row r="264" spans="1:11" ht="15" customHeight="1" x14ac:dyDescent="0.25">
      <c r="A264" s="75">
        <v>21</v>
      </c>
      <c r="B264" s="75">
        <v>161</v>
      </c>
      <c r="C264" s="75" t="s">
        <v>10</v>
      </c>
      <c r="D264" s="75">
        <v>12699</v>
      </c>
      <c r="F264" s="75" t="s">
        <v>10</v>
      </c>
      <c r="H264" s="75" t="s">
        <v>10</v>
      </c>
      <c r="I264" s="75">
        <v>19489</v>
      </c>
      <c r="J264" s="75" t="s">
        <v>83</v>
      </c>
      <c r="K264" s="75" t="str">
        <f>IFERROR(VLOOKUP(J264,'NQ10'!$B$9:$C$145,2,0),"")</f>
        <v/>
      </c>
    </row>
    <row r="265" spans="1:11" ht="15" customHeight="1" x14ac:dyDescent="0.25">
      <c r="A265" s="75">
        <v>21</v>
      </c>
      <c r="B265" s="75">
        <v>162</v>
      </c>
      <c r="C265" s="75" t="s">
        <v>10</v>
      </c>
      <c r="D265" s="75">
        <v>16603</v>
      </c>
      <c r="F265" s="75" t="s">
        <v>10</v>
      </c>
      <c r="H265" s="75" t="s">
        <v>10</v>
      </c>
      <c r="I265" s="75">
        <v>19489</v>
      </c>
      <c r="J265" s="75" t="s">
        <v>83</v>
      </c>
      <c r="K265" s="75" t="str">
        <f>IFERROR(VLOOKUP(J265,'NQ10'!$B$9:$C$145,2,0),"")</f>
        <v/>
      </c>
    </row>
    <row r="266" spans="1:11" ht="15" customHeight="1" x14ac:dyDescent="0.25">
      <c r="A266" s="75">
        <v>21</v>
      </c>
      <c r="B266" s="75">
        <v>163</v>
      </c>
      <c r="C266" s="75" t="s">
        <v>10</v>
      </c>
      <c r="D266" s="75">
        <v>10831</v>
      </c>
      <c r="F266" s="75" t="s">
        <v>10</v>
      </c>
      <c r="H266" s="75" t="s">
        <v>407</v>
      </c>
      <c r="I266" s="75">
        <v>19489</v>
      </c>
      <c r="J266" s="75" t="s">
        <v>84</v>
      </c>
      <c r="K266" s="75" t="str">
        <f>IFERROR(VLOOKUP(J266,'NQ10'!$B$9:$C$145,2,0),"")</f>
        <v/>
      </c>
    </row>
    <row r="267" spans="1:11" ht="15" customHeight="1" x14ac:dyDescent="0.25">
      <c r="A267" s="75">
        <v>21</v>
      </c>
      <c r="B267" s="75">
        <v>164</v>
      </c>
      <c r="C267" s="75" t="s">
        <v>10</v>
      </c>
      <c r="D267" s="75">
        <v>17233</v>
      </c>
      <c r="F267" s="75" t="s">
        <v>10</v>
      </c>
      <c r="H267" s="75" t="s">
        <v>10</v>
      </c>
      <c r="I267" s="75">
        <v>19489</v>
      </c>
      <c r="J267" s="75" t="s">
        <v>84</v>
      </c>
      <c r="K267" s="75" t="str">
        <f>IFERROR(VLOOKUP(J267,'NQ10'!$B$9:$C$145,2,0),"")</f>
        <v/>
      </c>
    </row>
    <row r="268" spans="1:11" ht="15" customHeight="1" x14ac:dyDescent="0.25">
      <c r="A268" s="75">
        <v>21</v>
      </c>
      <c r="B268" s="75">
        <v>165</v>
      </c>
      <c r="C268" s="75" t="s">
        <v>10</v>
      </c>
      <c r="D268" s="75">
        <v>3672</v>
      </c>
      <c r="F268" s="75" t="s">
        <v>10</v>
      </c>
      <c r="H268" s="75" t="s">
        <v>10</v>
      </c>
      <c r="I268" s="75">
        <v>19489</v>
      </c>
      <c r="J268" s="75" t="s">
        <v>84</v>
      </c>
      <c r="K268" s="75" t="str">
        <f>IFERROR(VLOOKUP(J268,'NQ10'!$B$9:$C$145,2,0),"")</f>
        <v/>
      </c>
    </row>
    <row r="269" spans="1:11" ht="15" customHeight="1" x14ac:dyDescent="0.25">
      <c r="A269" s="75">
        <v>0</v>
      </c>
      <c r="C269" s="75" t="s">
        <v>10</v>
      </c>
      <c r="D269" s="75">
        <v>2102</v>
      </c>
      <c r="F269" s="75" t="s">
        <v>10</v>
      </c>
      <c r="H269" s="75" t="s">
        <v>475</v>
      </c>
      <c r="I269" s="75">
        <v>19489</v>
      </c>
      <c r="J269" s="75" t="s">
        <v>204</v>
      </c>
      <c r="K269" s="75" t="str">
        <f>IFERROR(VLOOKUP(J269,'NQ10'!$B$9:$C$145,2,0),"")</f>
        <v>A Xóc Lìa</v>
      </c>
    </row>
    <row r="270" spans="1:11" ht="15" customHeight="1" x14ac:dyDescent="0.25">
      <c r="A270" s="75">
        <v>21</v>
      </c>
      <c r="B270" s="75">
        <v>166</v>
      </c>
      <c r="C270" s="75" t="s">
        <v>10</v>
      </c>
      <c r="D270" s="75">
        <v>15614</v>
      </c>
      <c r="F270" s="75" t="s">
        <v>10</v>
      </c>
      <c r="H270" s="75" t="s">
        <v>10</v>
      </c>
      <c r="I270" s="75">
        <v>19489</v>
      </c>
      <c r="J270" s="75" t="s">
        <v>85</v>
      </c>
      <c r="K270" s="75" t="str">
        <f>IFERROR(VLOOKUP(J270,'NQ10'!$B$9:$C$145,2,0),"")</f>
        <v/>
      </c>
    </row>
    <row r="271" spans="1:11" ht="15" customHeight="1" x14ac:dyDescent="0.25">
      <c r="A271" s="75">
        <v>21</v>
      </c>
      <c r="B271" s="75">
        <v>167</v>
      </c>
      <c r="C271" s="75" t="s">
        <v>10</v>
      </c>
      <c r="D271" s="75">
        <v>7476</v>
      </c>
      <c r="F271" s="75" t="s">
        <v>10</v>
      </c>
      <c r="H271" s="75" t="s">
        <v>10</v>
      </c>
      <c r="I271" s="75">
        <v>19489</v>
      </c>
      <c r="J271" s="75" t="s">
        <v>86</v>
      </c>
      <c r="K271" s="75" t="str">
        <f>IFERROR(VLOOKUP(J271,'NQ10'!$B$9:$C$145,2,0),"")</f>
        <v>A Môr</v>
      </c>
    </row>
    <row r="272" spans="1:11" ht="15" customHeight="1" x14ac:dyDescent="0.25">
      <c r="A272" s="75">
        <v>21</v>
      </c>
      <c r="B272" s="75">
        <v>168</v>
      </c>
      <c r="C272" s="75" t="s">
        <v>10</v>
      </c>
      <c r="D272" s="75">
        <v>7328</v>
      </c>
      <c r="F272" s="75" t="s">
        <v>10</v>
      </c>
      <c r="H272" s="75" t="s">
        <v>10</v>
      </c>
      <c r="I272" s="75">
        <v>19489</v>
      </c>
      <c r="J272" s="75" t="s">
        <v>86</v>
      </c>
      <c r="K272" s="75" t="str">
        <f>IFERROR(VLOOKUP(J272,'NQ10'!$B$9:$C$145,2,0),"")</f>
        <v>A Môr</v>
      </c>
    </row>
    <row r="273" spans="1:11" ht="15" customHeight="1" x14ac:dyDescent="0.25">
      <c r="A273" s="75">
        <v>21</v>
      </c>
      <c r="B273" s="75">
        <v>169</v>
      </c>
      <c r="C273" s="75" t="s">
        <v>10</v>
      </c>
      <c r="D273" s="75">
        <v>14540</v>
      </c>
      <c r="F273" s="75" t="s">
        <v>10</v>
      </c>
      <c r="H273" s="75" t="s">
        <v>10</v>
      </c>
      <c r="I273" s="75">
        <v>19489</v>
      </c>
      <c r="J273" s="75" t="s">
        <v>86</v>
      </c>
      <c r="K273" s="75" t="str">
        <f>IFERROR(VLOOKUP(J273,'NQ10'!$B$9:$C$145,2,0),"")</f>
        <v>A Môr</v>
      </c>
    </row>
    <row r="274" spans="1:11" ht="15" customHeight="1" x14ac:dyDescent="0.25">
      <c r="A274" s="75">
        <v>35</v>
      </c>
      <c r="C274" s="75" t="s">
        <v>10</v>
      </c>
      <c r="D274" s="75">
        <v>7870</v>
      </c>
      <c r="F274" s="75" t="s">
        <v>10</v>
      </c>
      <c r="H274" s="75" t="s">
        <v>10</v>
      </c>
      <c r="I274" s="75">
        <v>19489</v>
      </c>
      <c r="J274" s="75" t="s">
        <v>86</v>
      </c>
      <c r="K274" s="75" t="str">
        <f>IFERROR(VLOOKUP(J274,'NQ10'!$B$9:$C$145,2,0),"")</f>
        <v>A Môr</v>
      </c>
    </row>
    <row r="275" spans="1:11" ht="15" customHeight="1" x14ac:dyDescent="0.25">
      <c r="A275" s="75">
        <v>21</v>
      </c>
      <c r="B275" s="75">
        <v>170</v>
      </c>
      <c r="C275" s="75" t="s">
        <v>10</v>
      </c>
      <c r="D275" s="75">
        <v>7810</v>
      </c>
      <c r="F275" s="75" t="s">
        <v>10</v>
      </c>
      <c r="H275" s="75" t="s">
        <v>10</v>
      </c>
      <c r="I275" s="75">
        <v>19489</v>
      </c>
      <c r="J275" s="75" t="s">
        <v>87</v>
      </c>
      <c r="K275" s="75" t="str">
        <f>IFERROR(VLOOKUP(J275,'NQ10'!$B$9:$C$145,2,0),"")</f>
        <v/>
      </c>
    </row>
    <row r="276" spans="1:11" ht="15" customHeight="1" x14ac:dyDescent="0.25">
      <c r="A276" s="75">
        <v>21</v>
      </c>
      <c r="B276" s="75">
        <v>171</v>
      </c>
      <c r="C276" s="75" t="s">
        <v>10</v>
      </c>
      <c r="D276" s="75">
        <v>3186</v>
      </c>
      <c r="F276" s="75" t="s">
        <v>10</v>
      </c>
      <c r="H276" s="75" t="s">
        <v>10</v>
      </c>
      <c r="I276" s="75">
        <v>19489</v>
      </c>
      <c r="J276" s="75" t="s">
        <v>88</v>
      </c>
      <c r="K276" s="75" t="str">
        <f>IFERROR(VLOOKUP(J276,'NQ10'!$B$9:$C$145,2,0),"")</f>
        <v/>
      </c>
    </row>
    <row r="277" spans="1:11" ht="15" customHeight="1" x14ac:dyDescent="0.25">
      <c r="A277" s="75">
        <v>21</v>
      </c>
      <c r="B277" s="75">
        <v>172</v>
      </c>
      <c r="C277" s="75" t="s">
        <v>10</v>
      </c>
      <c r="D277" s="75">
        <v>14831</v>
      </c>
      <c r="F277" s="75" t="s">
        <v>10</v>
      </c>
      <c r="H277" s="75" t="s">
        <v>10</v>
      </c>
      <c r="I277" s="75">
        <v>19489</v>
      </c>
      <c r="J277" s="75" t="s">
        <v>88</v>
      </c>
      <c r="K277" s="75" t="str">
        <f>IFERROR(VLOOKUP(J277,'NQ10'!$B$9:$C$145,2,0),"")</f>
        <v/>
      </c>
    </row>
    <row r="278" spans="1:11" ht="15" customHeight="1" x14ac:dyDescent="0.25">
      <c r="A278" s="75">
        <v>21</v>
      </c>
      <c r="B278" s="75">
        <v>173</v>
      </c>
      <c r="C278" s="75" t="s">
        <v>10</v>
      </c>
      <c r="D278" s="75">
        <v>2547</v>
      </c>
      <c r="F278" s="75" t="s">
        <v>10</v>
      </c>
      <c r="H278" s="75" t="s">
        <v>10</v>
      </c>
      <c r="I278" s="75">
        <v>19489</v>
      </c>
      <c r="J278" s="75" t="s">
        <v>88</v>
      </c>
      <c r="K278" s="75" t="str">
        <f>IFERROR(VLOOKUP(J278,'NQ10'!$B$9:$C$145,2,0),"")</f>
        <v/>
      </c>
    </row>
    <row r="279" spans="1:11" ht="15" customHeight="1" x14ac:dyDescent="0.25">
      <c r="A279" s="75">
        <v>21</v>
      </c>
      <c r="B279" s="75">
        <v>174</v>
      </c>
      <c r="C279" s="75" t="s">
        <v>10</v>
      </c>
      <c r="D279" s="75">
        <v>11112</v>
      </c>
      <c r="F279" s="75" t="s">
        <v>10</v>
      </c>
      <c r="H279" s="75" t="s">
        <v>10</v>
      </c>
      <c r="I279" s="75">
        <v>19489</v>
      </c>
      <c r="J279" s="75" t="s">
        <v>88</v>
      </c>
      <c r="K279" s="75" t="str">
        <f>IFERROR(VLOOKUP(J279,'NQ10'!$B$9:$C$145,2,0),"")</f>
        <v/>
      </c>
    </row>
    <row r="280" spans="1:11" ht="15" customHeight="1" x14ac:dyDescent="0.25">
      <c r="A280" s="75">
        <v>21</v>
      </c>
      <c r="B280" s="75">
        <v>175</v>
      </c>
      <c r="C280" s="75" t="s">
        <v>10</v>
      </c>
      <c r="D280" s="75">
        <v>19372</v>
      </c>
      <c r="F280" s="75" t="s">
        <v>10</v>
      </c>
      <c r="H280" s="75" t="s">
        <v>10</v>
      </c>
      <c r="I280" s="75">
        <v>19489</v>
      </c>
      <c r="J280" s="75" t="s">
        <v>88</v>
      </c>
      <c r="K280" s="75" t="str">
        <f>IFERROR(VLOOKUP(J280,'NQ10'!$B$9:$C$145,2,0),"")</f>
        <v/>
      </c>
    </row>
    <row r="281" spans="1:11" ht="15" customHeight="1" x14ac:dyDescent="0.25">
      <c r="A281" s="75">
        <v>21</v>
      </c>
      <c r="B281" s="75">
        <v>176</v>
      </c>
      <c r="C281" s="75" t="s">
        <v>10</v>
      </c>
      <c r="D281" s="75">
        <v>18329</v>
      </c>
      <c r="F281" s="75" t="s">
        <v>10</v>
      </c>
      <c r="H281" s="75" t="s">
        <v>10</v>
      </c>
      <c r="I281" s="75">
        <v>19489</v>
      </c>
      <c r="J281" s="75" t="s">
        <v>88</v>
      </c>
      <c r="K281" s="75" t="str">
        <f>IFERROR(VLOOKUP(J281,'NQ10'!$B$9:$C$145,2,0),"")</f>
        <v/>
      </c>
    </row>
    <row r="282" spans="1:11" ht="15" customHeight="1" x14ac:dyDescent="0.25">
      <c r="A282" s="75">
        <v>21</v>
      </c>
      <c r="B282" s="75">
        <v>177</v>
      </c>
      <c r="C282" s="75" t="s">
        <v>10</v>
      </c>
      <c r="D282" s="75">
        <v>12061</v>
      </c>
      <c r="F282" s="75" t="s">
        <v>10</v>
      </c>
      <c r="H282" s="75" t="s">
        <v>10</v>
      </c>
      <c r="I282" s="75">
        <v>19489</v>
      </c>
      <c r="J282" s="75" t="s">
        <v>89</v>
      </c>
      <c r="K282" s="75" t="str">
        <f>IFERROR(VLOOKUP(J282,'NQ10'!$B$9:$C$145,2,0),"")</f>
        <v/>
      </c>
    </row>
    <row r="283" spans="1:11" ht="15" customHeight="1" x14ac:dyDescent="0.25">
      <c r="A283" s="75">
        <v>21</v>
      </c>
      <c r="B283" s="75">
        <v>178</v>
      </c>
      <c r="C283" s="75" t="s">
        <v>10</v>
      </c>
      <c r="D283" s="75">
        <v>6472</v>
      </c>
      <c r="F283" s="75" t="s">
        <v>10</v>
      </c>
      <c r="H283" s="75" t="s">
        <v>10</v>
      </c>
      <c r="I283" s="75">
        <v>19489</v>
      </c>
      <c r="J283" s="75" t="s">
        <v>90</v>
      </c>
      <c r="K283" s="75" t="str">
        <f>IFERROR(VLOOKUP(J283,'NQ10'!$B$9:$C$145,2,0),"")</f>
        <v/>
      </c>
    </row>
    <row r="284" spans="1:11" ht="15" customHeight="1" x14ac:dyDescent="0.25">
      <c r="A284" s="75">
        <v>21</v>
      </c>
      <c r="B284" s="75">
        <v>179</v>
      </c>
      <c r="C284" s="75" t="s">
        <v>10</v>
      </c>
      <c r="D284" s="75">
        <v>10813</v>
      </c>
      <c r="F284" s="75" t="s">
        <v>10</v>
      </c>
      <c r="H284" s="75" t="s">
        <v>10</v>
      </c>
      <c r="I284" s="75">
        <v>19489</v>
      </c>
      <c r="J284" s="75" t="s">
        <v>90</v>
      </c>
      <c r="K284" s="75" t="str">
        <f>IFERROR(VLOOKUP(J284,'NQ10'!$B$9:$C$145,2,0),"")</f>
        <v/>
      </c>
    </row>
    <row r="285" spans="1:11" ht="15" customHeight="1" x14ac:dyDescent="0.25">
      <c r="A285" s="75">
        <v>21</v>
      </c>
      <c r="B285" s="75">
        <v>180</v>
      </c>
      <c r="C285" s="75" t="s">
        <v>10</v>
      </c>
      <c r="D285" s="75">
        <v>7786</v>
      </c>
      <c r="F285" s="75" t="s">
        <v>10</v>
      </c>
      <c r="H285" s="75" t="s">
        <v>10</v>
      </c>
      <c r="I285" s="75">
        <v>19489</v>
      </c>
      <c r="J285" s="75" t="s">
        <v>90</v>
      </c>
      <c r="K285" s="75" t="str">
        <f>IFERROR(VLOOKUP(J285,'NQ10'!$B$9:$C$145,2,0),"")</f>
        <v/>
      </c>
    </row>
    <row r="286" spans="1:11" ht="15" customHeight="1" x14ac:dyDescent="0.25">
      <c r="A286" s="75">
        <v>21</v>
      </c>
      <c r="B286" s="75">
        <v>181</v>
      </c>
      <c r="C286" s="75" t="s">
        <v>10</v>
      </c>
      <c r="D286" s="75">
        <v>26159</v>
      </c>
      <c r="F286" s="75" t="s">
        <v>10</v>
      </c>
      <c r="H286" s="75" t="s">
        <v>10</v>
      </c>
      <c r="I286" s="75">
        <v>19489</v>
      </c>
      <c r="J286" s="75" t="s">
        <v>90</v>
      </c>
      <c r="K286" s="75" t="str">
        <f>IFERROR(VLOOKUP(J286,'NQ10'!$B$9:$C$145,2,0),"")</f>
        <v/>
      </c>
    </row>
    <row r="287" spans="1:11" ht="15" customHeight="1" x14ac:dyDescent="0.25">
      <c r="A287" s="75">
        <v>32</v>
      </c>
      <c r="C287" s="75" t="s">
        <v>10</v>
      </c>
      <c r="D287" s="75">
        <v>8605</v>
      </c>
      <c r="F287" s="75" t="s">
        <v>10</v>
      </c>
      <c r="H287" s="75" t="s">
        <v>10</v>
      </c>
      <c r="I287" s="75">
        <v>19489</v>
      </c>
      <c r="J287" s="75" t="s">
        <v>90</v>
      </c>
      <c r="K287" s="75" t="str">
        <f>IFERROR(VLOOKUP(J287,'NQ10'!$B$9:$C$145,2,0),"")</f>
        <v/>
      </c>
    </row>
    <row r="288" spans="1:11" ht="15" customHeight="1" x14ac:dyDescent="0.25">
      <c r="A288" s="75">
        <v>36</v>
      </c>
      <c r="C288" s="75" t="s">
        <v>10</v>
      </c>
      <c r="D288" s="75">
        <v>11194</v>
      </c>
      <c r="F288" s="75" t="s">
        <v>10</v>
      </c>
      <c r="H288" s="75" t="s">
        <v>10</v>
      </c>
      <c r="I288" s="75">
        <v>19489</v>
      </c>
      <c r="J288" s="75" t="s">
        <v>90</v>
      </c>
      <c r="K288" s="75" t="str">
        <f>IFERROR(VLOOKUP(J288,'NQ10'!$B$9:$C$145,2,0),"")</f>
        <v/>
      </c>
    </row>
    <row r="289" spans="1:11" ht="15" customHeight="1" x14ac:dyDescent="0.25">
      <c r="A289" s="75">
        <v>21</v>
      </c>
      <c r="B289" s="75">
        <v>182</v>
      </c>
      <c r="C289" s="75" t="s">
        <v>10</v>
      </c>
      <c r="D289" s="75">
        <v>5395</v>
      </c>
      <c r="F289" s="75" t="s">
        <v>10</v>
      </c>
      <c r="H289" s="75" t="s">
        <v>10</v>
      </c>
      <c r="I289" s="75">
        <v>19489</v>
      </c>
      <c r="J289" s="75" t="s">
        <v>91</v>
      </c>
      <c r="K289" s="75" t="str">
        <f>IFERROR(VLOOKUP(J289,'NQ10'!$B$9:$C$145,2,0),"")</f>
        <v/>
      </c>
    </row>
    <row r="290" spans="1:11" ht="15" customHeight="1" x14ac:dyDescent="0.25">
      <c r="A290" s="75">
        <v>21</v>
      </c>
      <c r="B290" s="75">
        <v>183</v>
      </c>
      <c r="C290" s="75" t="s">
        <v>10</v>
      </c>
      <c r="D290" s="75">
        <v>7194</v>
      </c>
      <c r="F290" s="75" t="s">
        <v>10</v>
      </c>
      <c r="H290" s="75" t="s">
        <v>10</v>
      </c>
      <c r="I290" s="75">
        <v>19489</v>
      </c>
      <c r="J290" s="75" t="s">
        <v>91</v>
      </c>
      <c r="K290" s="75" t="str">
        <f>IFERROR(VLOOKUP(J290,'NQ10'!$B$9:$C$145,2,0),"")</f>
        <v/>
      </c>
    </row>
    <row r="291" spans="1:11" ht="15" customHeight="1" x14ac:dyDescent="0.25">
      <c r="A291" s="75">
        <v>31</v>
      </c>
      <c r="C291" s="75" t="s">
        <v>10</v>
      </c>
      <c r="D291" s="75">
        <v>4706</v>
      </c>
      <c r="F291" s="75" t="s">
        <v>10</v>
      </c>
      <c r="H291" s="75" t="s">
        <v>10</v>
      </c>
      <c r="I291" s="75">
        <v>19489</v>
      </c>
      <c r="J291" s="75" t="s">
        <v>91</v>
      </c>
      <c r="K291" s="75" t="str">
        <f>IFERROR(VLOOKUP(J291,'NQ10'!$B$9:$C$145,2,0),"")</f>
        <v/>
      </c>
    </row>
    <row r="292" spans="1:11" ht="15" customHeight="1" x14ac:dyDescent="0.25">
      <c r="A292" s="75">
        <v>21</v>
      </c>
      <c r="B292" s="75">
        <v>258</v>
      </c>
      <c r="C292" s="75" t="s">
        <v>10</v>
      </c>
      <c r="D292" s="75">
        <v>16509</v>
      </c>
      <c r="F292" s="75" t="s">
        <v>10</v>
      </c>
      <c r="H292" s="75" t="s">
        <v>171</v>
      </c>
      <c r="I292" s="75">
        <v>19489</v>
      </c>
      <c r="J292" s="75" t="s">
        <v>429</v>
      </c>
      <c r="K292" s="75" t="str">
        <f>IFERROR(VLOOKUP(J292,'NQ10'!$B$9:$C$145,2,0),"")</f>
        <v/>
      </c>
    </row>
    <row r="293" spans="1:11" ht="15" customHeight="1" x14ac:dyDescent="0.25">
      <c r="A293" s="75">
        <v>21</v>
      </c>
      <c r="B293" s="75">
        <v>74</v>
      </c>
      <c r="C293" s="75" t="s">
        <v>10</v>
      </c>
      <c r="D293" s="75">
        <v>4352</v>
      </c>
      <c r="F293" s="75" t="s">
        <v>10</v>
      </c>
      <c r="H293" s="75" t="s">
        <v>171</v>
      </c>
      <c r="I293" s="75">
        <v>19489</v>
      </c>
      <c r="J293" s="75" t="s">
        <v>92</v>
      </c>
      <c r="K293" s="75" t="str">
        <f>IFERROR(VLOOKUP(J293,'NQ10'!$B$9:$C$145,2,0),"")</f>
        <v/>
      </c>
    </row>
    <row r="294" spans="1:11" ht="15" customHeight="1" x14ac:dyDescent="0.25">
      <c r="A294" s="75">
        <v>21</v>
      </c>
      <c r="B294" s="75">
        <v>185</v>
      </c>
      <c r="C294" s="75" t="s">
        <v>10</v>
      </c>
      <c r="D294" s="75">
        <v>5802</v>
      </c>
      <c r="F294" s="75" t="s">
        <v>10</v>
      </c>
      <c r="H294" s="75" t="s">
        <v>407</v>
      </c>
      <c r="I294" s="75">
        <v>19489</v>
      </c>
      <c r="J294" s="75" t="s">
        <v>92</v>
      </c>
      <c r="K294" s="75" t="str">
        <f>IFERROR(VLOOKUP(J294,'NQ10'!$B$9:$C$145,2,0),"")</f>
        <v/>
      </c>
    </row>
    <row r="295" spans="1:11" ht="15" customHeight="1" x14ac:dyDescent="0.25">
      <c r="A295" s="75">
        <v>15</v>
      </c>
      <c r="C295" s="75" t="s">
        <v>10</v>
      </c>
      <c r="D295" s="75">
        <v>7240</v>
      </c>
      <c r="F295" s="75" t="s">
        <v>10</v>
      </c>
      <c r="H295" s="75" t="s">
        <v>475</v>
      </c>
      <c r="I295" s="75">
        <v>19489</v>
      </c>
      <c r="J295" s="75" t="s">
        <v>537</v>
      </c>
      <c r="K295" s="75" t="str">
        <f>IFERROR(VLOOKUP(J295,'NQ10'!$B$9:$C$145,2,0),"")</f>
        <v/>
      </c>
    </row>
    <row r="296" spans="1:11" ht="15" customHeight="1" x14ac:dyDescent="0.25">
      <c r="A296" s="75">
        <v>33</v>
      </c>
      <c r="B296" s="75">
        <v>32</v>
      </c>
      <c r="C296" s="75" t="s">
        <v>10</v>
      </c>
      <c r="D296" s="75">
        <v>5974</v>
      </c>
      <c r="F296" s="75" t="s">
        <v>10</v>
      </c>
      <c r="H296" s="75" t="s">
        <v>407</v>
      </c>
      <c r="I296" s="75">
        <v>19489</v>
      </c>
      <c r="J296" s="75" t="s">
        <v>93</v>
      </c>
      <c r="K296" s="75" t="str">
        <f>IFERROR(VLOOKUP(J296,'NQ10'!$B$9:$C$145,2,0),"")</f>
        <v/>
      </c>
    </row>
    <row r="297" spans="1:11" ht="15" customHeight="1" x14ac:dyDescent="0.25">
      <c r="A297" s="75">
        <v>33</v>
      </c>
      <c r="B297" s="75">
        <v>43</v>
      </c>
      <c r="C297" s="75" t="s">
        <v>10</v>
      </c>
      <c r="D297" s="75">
        <v>6870</v>
      </c>
      <c r="F297" s="75" t="s">
        <v>10</v>
      </c>
      <c r="H297" s="75" t="s">
        <v>407</v>
      </c>
      <c r="I297" s="75">
        <v>19489</v>
      </c>
      <c r="J297" s="75" t="s">
        <v>93</v>
      </c>
      <c r="K297" s="75" t="str">
        <f>IFERROR(VLOOKUP(J297,'NQ10'!$B$9:$C$145,2,0),"")</f>
        <v/>
      </c>
    </row>
    <row r="298" spans="1:11" ht="15" customHeight="1" x14ac:dyDescent="0.25">
      <c r="A298" s="75">
        <v>0</v>
      </c>
      <c r="C298" s="75" t="s">
        <v>10</v>
      </c>
      <c r="D298" s="75">
        <v>11383</v>
      </c>
      <c r="F298" s="75" t="s">
        <v>10</v>
      </c>
      <c r="H298" s="75" t="s">
        <v>475</v>
      </c>
      <c r="I298" s="75">
        <v>19489</v>
      </c>
      <c r="J298" s="75" t="s">
        <v>209</v>
      </c>
      <c r="K298" s="75" t="str">
        <f>IFERROR(VLOOKUP(J298,'NQ10'!$B$9:$C$145,2,0),"")</f>
        <v>A Xóc Lìa</v>
      </c>
    </row>
    <row r="299" spans="1:11" ht="15" customHeight="1" x14ac:dyDescent="0.25">
      <c r="A299" s="75">
        <v>21</v>
      </c>
      <c r="B299" s="75">
        <v>187</v>
      </c>
      <c r="C299" s="75" t="s">
        <v>10</v>
      </c>
      <c r="D299" s="75">
        <v>11735</v>
      </c>
      <c r="F299" s="75" t="s">
        <v>10</v>
      </c>
      <c r="H299" s="75" t="s">
        <v>407</v>
      </c>
      <c r="I299" s="75">
        <v>19489</v>
      </c>
      <c r="J299" s="75" t="s">
        <v>94</v>
      </c>
      <c r="K299" s="75" t="str">
        <f>IFERROR(VLOOKUP(J299,'NQ10'!$B$9:$C$145,2,0),"")</f>
        <v/>
      </c>
    </row>
    <row r="300" spans="1:11" ht="15" customHeight="1" x14ac:dyDescent="0.25">
      <c r="A300" s="75">
        <v>21</v>
      </c>
      <c r="B300" s="75">
        <v>188</v>
      </c>
      <c r="C300" s="75" t="s">
        <v>10</v>
      </c>
      <c r="D300" s="75">
        <v>4078</v>
      </c>
      <c r="F300" s="75" t="s">
        <v>10</v>
      </c>
      <c r="H300" s="75" t="s">
        <v>171</v>
      </c>
      <c r="I300" s="75">
        <v>19489</v>
      </c>
      <c r="J300" s="75" t="s">
        <v>577</v>
      </c>
      <c r="K300" s="75" t="str">
        <f>IFERROR(VLOOKUP(J300,'NQ10'!$B$9:$C$145,2,0),"")</f>
        <v/>
      </c>
    </row>
    <row r="301" spans="1:11" ht="15" customHeight="1" x14ac:dyDescent="0.25">
      <c r="A301" s="75">
        <v>0</v>
      </c>
      <c r="C301" s="75" t="s">
        <v>10</v>
      </c>
      <c r="D301" s="75">
        <v>3529</v>
      </c>
      <c r="F301" s="75" t="s">
        <v>10</v>
      </c>
      <c r="H301" s="75" t="s">
        <v>164</v>
      </c>
      <c r="I301" s="75">
        <v>19489</v>
      </c>
      <c r="J301" s="75" t="s">
        <v>353</v>
      </c>
      <c r="K301" s="75" t="str">
        <f>IFERROR(VLOOKUP(J301,'NQ10'!$B$9:$C$145,2,0),"")</f>
        <v/>
      </c>
    </row>
    <row r="302" spans="1:11" ht="15" customHeight="1" x14ac:dyDescent="0.25">
      <c r="A302" s="75">
        <v>4</v>
      </c>
      <c r="B302" s="75">
        <v>10</v>
      </c>
      <c r="C302" s="75" t="s">
        <v>10</v>
      </c>
      <c r="D302" s="75">
        <v>4690</v>
      </c>
      <c r="F302" s="75" t="s">
        <v>10</v>
      </c>
      <c r="H302" s="75" t="s">
        <v>10</v>
      </c>
      <c r="I302" s="75">
        <v>19489</v>
      </c>
      <c r="J302" s="75" t="s">
        <v>353</v>
      </c>
      <c r="K302" s="75" t="str">
        <f>IFERROR(VLOOKUP(J302,'NQ10'!$B$9:$C$145,2,0),"")</f>
        <v/>
      </c>
    </row>
    <row r="303" spans="1:11" ht="15" customHeight="1" x14ac:dyDescent="0.25">
      <c r="A303" s="75">
        <v>21</v>
      </c>
      <c r="B303" s="75">
        <v>189</v>
      </c>
      <c r="C303" s="75" t="s">
        <v>10</v>
      </c>
      <c r="D303" s="75">
        <v>4497</v>
      </c>
      <c r="F303" s="75" t="s">
        <v>10</v>
      </c>
      <c r="H303" s="75" t="s">
        <v>407</v>
      </c>
      <c r="I303" s="75">
        <v>19489</v>
      </c>
      <c r="J303" s="75" t="s">
        <v>95</v>
      </c>
      <c r="K303" s="75" t="str">
        <f>IFERROR(VLOOKUP(J303,'NQ10'!$B$9:$C$145,2,0),"")</f>
        <v/>
      </c>
    </row>
    <row r="304" spans="1:11" ht="15" customHeight="1" x14ac:dyDescent="0.25">
      <c r="A304" s="75">
        <v>21</v>
      </c>
      <c r="B304" s="75">
        <v>190</v>
      </c>
      <c r="C304" s="75" t="s">
        <v>10</v>
      </c>
      <c r="D304" s="75">
        <v>8912</v>
      </c>
      <c r="F304" s="75" t="s">
        <v>10</v>
      </c>
      <c r="H304" s="75" t="s">
        <v>407</v>
      </c>
      <c r="I304" s="75">
        <v>19489</v>
      </c>
      <c r="J304" s="75" t="s">
        <v>95</v>
      </c>
      <c r="K304" s="75" t="str">
        <f>IFERROR(VLOOKUP(J304,'NQ10'!$B$9:$C$145,2,0),"")</f>
        <v/>
      </c>
    </row>
    <row r="305" spans="1:11" ht="15" customHeight="1" x14ac:dyDescent="0.25">
      <c r="A305" s="75">
        <v>6</v>
      </c>
      <c r="C305" s="75" t="s">
        <v>10</v>
      </c>
      <c r="D305" s="75">
        <v>3263</v>
      </c>
      <c r="F305" s="75" t="s">
        <v>10</v>
      </c>
      <c r="H305" s="75" t="s">
        <v>307</v>
      </c>
      <c r="I305" s="75">
        <v>19489</v>
      </c>
      <c r="J305" s="75" t="s">
        <v>522</v>
      </c>
      <c r="K305" s="75" t="str">
        <f>IFERROR(VLOOKUP(J305,'NQ10'!$B$9:$C$145,2,0),"")</f>
        <v/>
      </c>
    </row>
    <row r="306" spans="1:11" ht="15" customHeight="1" x14ac:dyDescent="0.25">
      <c r="A306" s="75">
        <v>32</v>
      </c>
      <c r="C306" s="75" t="s">
        <v>10</v>
      </c>
      <c r="D306" s="75">
        <v>2320</v>
      </c>
      <c r="F306" s="75" t="s">
        <v>10</v>
      </c>
      <c r="H306" s="75" t="s">
        <v>10</v>
      </c>
      <c r="I306" s="75">
        <v>19489</v>
      </c>
      <c r="J306" s="75" t="s">
        <v>550</v>
      </c>
      <c r="K306" s="75" t="str">
        <f>IFERROR(VLOOKUP(J306,'NQ10'!$B$9:$C$145,2,0),"")</f>
        <v/>
      </c>
    </row>
    <row r="307" spans="1:11" ht="15" customHeight="1" x14ac:dyDescent="0.25">
      <c r="A307" s="75">
        <v>36</v>
      </c>
      <c r="C307" s="75" t="s">
        <v>10</v>
      </c>
      <c r="D307" s="75">
        <v>1979</v>
      </c>
      <c r="F307" s="75" t="s">
        <v>10</v>
      </c>
      <c r="H307" s="75" t="s">
        <v>407</v>
      </c>
      <c r="I307" s="75">
        <v>19489</v>
      </c>
      <c r="J307" s="75" t="s">
        <v>550</v>
      </c>
      <c r="K307" s="75" t="str">
        <f>IFERROR(VLOOKUP(J307,'NQ10'!$B$9:$C$145,2,0),"")</f>
        <v/>
      </c>
    </row>
    <row r="308" spans="1:11" ht="15" customHeight="1" x14ac:dyDescent="0.25">
      <c r="A308" s="75">
        <v>36</v>
      </c>
      <c r="B308" s="75">
        <v>95</v>
      </c>
      <c r="C308" s="75" t="s">
        <v>10</v>
      </c>
      <c r="D308" s="75">
        <v>7718</v>
      </c>
      <c r="F308" s="75" t="s">
        <v>10</v>
      </c>
      <c r="H308" s="75" t="s">
        <v>407</v>
      </c>
      <c r="I308" s="75">
        <v>19489</v>
      </c>
      <c r="J308" s="75" t="s">
        <v>550</v>
      </c>
      <c r="K308" s="75" t="str">
        <f>IFERROR(VLOOKUP(J308,'NQ10'!$B$9:$C$145,2,0),"")</f>
        <v/>
      </c>
    </row>
    <row r="309" spans="1:11" ht="15" customHeight="1" x14ac:dyDescent="0.25">
      <c r="A309" s="75">
        <v>15</v>
      </c>
      <c r="C309" s="75" t="s">
        <v>10</v>
      </c>
      <c r="D309" s="75">
        <v>15269</v>
      </c>
      <c r="F309" s="75" t="s">
        <v>10</v>
      </c>
      <c r="H309" s="75" t="s">
        <v>475</v>
      </c>
      <c r="I309" s="75">
        <v>19489</v>
      </c>
      <c r="J309" s="75" t="s">
        <v>211</v>
      </c>
      <c r="K309" s="75" t="str">
        <f>IFERROR(VLOOKUP(J309,'NQ10'!$B$9:$C$145,2,0),"")</f>
        <v>A Xóc Lìa</v>
      </c>
    </row>
    <row r="310" spans="1:11" ht="15" customHeight="1" x14ac:dyDescent="0.25">
      <c r="A310" s="75">
        <v>0</v>
      </c>
      <c r="C310" s="75" t="s">
        <v>10</v>
      </c>
      <c r="D310" s="75">
        <v>4533</v>
      </c>
      <c r="F310" s="75" t="s">
        <v>10</v>
      </c>
      <c r="H310" s="75" t="s">
        <v>307</v>
      </c>
      <c r="I310" s="75">
        <v>19489</v>
      </c>
      <c r="J310" s="75" t="s">
        <v>498</v>
      </c>
      <c r="K310" s="75" t="str">
        <f>IFERROR(VLOOKUP(J310,'NQ10'!$B$9:$C$145,2,0),"")</f>
        <v/>
      </c>
    </row>
    <row r="311" spans="1:11" ht="15" customHeight="1" x14ac:dyDescent="0.25">
      <c r="A311" s="75">
        <v>0</v>
      </c>
      <c r="C311" s="75" t="s">
        <v>10</v>
      </c>
      <c r="D311" s="75">
        <v>9691</v>
      </c>
      <c r="F311" s="75" t="s">
        <v>10</v>
      </c>
      <c r="H311" s="75" t="s">
        <v>307</v>
      </c>
      <c r="I311" s="75">
        <v>19489</v>
      </c>
      <c r="J311" s="75" t="s">
        <v>498</v>
      </c>
      <c r="K311" s="75" t="str">
        <f>IFERROR(VLOOKUP(J311,'NQ10'!$B$9:$C$145,2,0),"")</f>
        <v/>
      </c>
    </row>
    <row r="312" spans="1:11" ht="15" customHeight="1" x14ac:dyDescent="0.25">
      <c r="A312" s="75">
        <v>1</v>
      </c>
      <c r="C312" s="75" t="s">
        <v>10</v>
      </c>
      <c r="D312" s="75">
        <v>6570</v>
      </c>
      <c r="F312" s="75" t="s">
        <v>10</v>
      </c>
      <c r="H312" s="75" t="s">
        <v>10</v>
      </c>
      <c r="I312" s="75">
        <v>19489</v>
      </c>
      <c r="J312" s="75" t="s">
        <v>250</v>
      </c>
      <c r="K312" s="75" t="str">
        <f>IFERROR(VLOOKUP(J312,'NQ10'!$B$9:$C$145,2,0),"")</f>
        <v>Kỳ Nơi</v>
      </c>
    </row>
    <row r="313" spans="1:11" ht="15" customHeight="1" x14ac:dyDescent="0.25">
      <c r="A313" s="75">
        <v>0</v>
      </c>
      <c r="C313" s="75" t="s">
        <v>10</v>
      </c>
      <c r="D313" s="75">
        <v>8203</v>
      </c>
      <c r="F313" s="75" t="s">
        <v>10</v>
      </c>
      <c r="H313" s="75" t="s">
        <v>307</v>
      </c>
      <c r="I313" s="75">
        <v>19489</v>
      </c>
      <c r="J313" s="75" t="s">
        <v>96</v>
      </c>
      <c r="K313" s="75" t="str">
        <f>IFERROR(VLOOKUP(J313,'NQ10'!$B$9:$C$145,2,0),"")</f>
        <v/>
      </c>
    </row>
    <row r="314" spans="1:11" ht="15" customHeight="1" x14ac:dyDescent="0.25">
      <c r="A314" s="75">
        <v>21</v>
      </c>
      <c r="B314" s="75">
        <v>191</v>
      </c>
      <c r="C314" s="75" t="s">
        <v>10</v>
      </c>
      <c r="D314" s="75">
        <v>18950</v>
      </c>
      <c r="F314" s="75" t="s">
        <v>10</v>
      </c>
      <c r="H314" s="75" t="s">
        <v>307</v>
      </c>
      <c r="I314" s="75">
        <v>19489</v>
      </c>
      <c r="J314" s="75" t="s">
        <v>96</v>
      </c>
      <c r="K314" s="75" t="str">
        <f>IFERROR(VLOOKUP(J314,'NQ10'!$B$9:$C$145,2,0),"")</f>
        <v/>
      </c>
    </row>
    <row r="315" spans="1:11" ht="15" customHeight="1" x14ac:dyDescent="0.25">
      <c r="A315" s="75">
        <v>1</v>
      </c>
      <c r="B315" s="75">
        <v>533</v>
      </c>
      <c r="C315" s="75" t="s">
        <v>10</v>
      </c>
      <c r="D315" s="75">
        <v>27162</v>
      </c>
      <c r="F315" s="75" t="s">
        <v>10</v>
      </c>
      <c r="H315" s="75" t="s">
        <v>164</v>
      </c>
      <c r="I315" s="75">
        <v>19489</v>
      </c>
      <c r="J315" s="75" t="s">
        <v>518</v>
      </c>
      <c r="K315" s="75" t="str">
        <f>IFERROR(VLOOKUP(J315,'NQ10'!$B$9:$C$145,2,0),"")</f>
        <v/>
      </c>
    </row>
    <row r="316" spans="1:11" ht="15" customHeight="1" x14ac:dyDescent="0.25">
      <c r="A316" s="75">
        <v>13</v>
      </c>
      <c r="B316" s="75">
        <v>24</v>
      </c>
      <c r="C316" s="75" t="s">
        <v>10</v>
      </c>
      <c r="D316" s="75">
        <v>9596</v>
      </c>
      <c r="F316" s="75" t="s">
        <v>10</v>
      </c>
      <c r="H316" s="75" t="s">
        <v>475</v>
      </c>
      <c r="I316" s="75">
        <v>19489</v>
      </c>
      <c r="J316" s="75" t="s">
        <v>396</v>
      </c>
      <c r="K316" s="75" t="str">
        <f>IFERROR(VLOOKUP(J316,'NQ10'!$B$9:$C$145,2,0),"")</f>
        <v/>
      </c>
    </row>
    <row r="317" spans="1:11" ht="15" customHeight="1" x14ac:dyDescent="0.25">
      <c r="A317" s="75">
        <v>8</v>
      </c>
      <c r="B317" s="75">
        <v>210</v>
      </c>
      <c r="C317" s="75" t="s">
        <v>10</v>
      </c>
      <c r="D317" s="75">
        <v>4483</v>
      </c>
      <c r="F317" s="75" t="s">
        <v>10</v>
      </c>
      <c r="H317" s="75" t="s">
        <v>472</v>
      </c>
      <c r="I317" s="75">
        <v>19489</v>
      </c>
      <c r="J317" s="75" t="s">
        <v>97</v>
      </c>
      <c r="K317" s="75" t="str">
        <f>IFERROR(VLOOKUP(J317,'NQ10'!$B$9:$C$145,2,0),"")</f>
        <v/>
      </c>
    </row>
    <row r="318" spans="1:11" ht="15" customHeight="1" x14ac:dyDescent="0.25">
      <c r="A318" s="75">
        <v>0</v>
      </c>
      <c r="C318" s="75" t="s">
        <v>10</v>
      </c>
      <c r="D318" s="75">
        <v>8776</v>
      </c>
      <c r="F318" s="75" t="s">
        <v>10</v>
      </c>
      <c r="H318" s="75" t="s">
        <v>475</v>
      </c>
      <c r="I318" s="75">
        <v>19489</v>
      </c>
      <c r="J318" s="75" t="s">
        <v>208</v>
      </c>
      <c r="K318" s="75" t="str">
        <f>IFERROR(VLOOKUP(J318,'NQ10'!$B$9:$C$145,2,0),"")</f>
        <v>A Xóc Lìa</v>
      </c>
    </row>
    <row r="319" spans="1:11" ht="15" customHeight="1" x14ac:dyDescent="0.25">
      <c r="A319" s="75">
        <v>1</v>
      </c>
      <c r="B319" s="75">
        <v>531</v>
      </c>
      <c r="C319" s="75" t="s">
        <v>10</v>
      </c>
      <c r="D319" s="75">
        <v>13658</v>
      </c>
      <c r="F319" s="75" t="s">
        <v>10</v>
      </c>
      <c r="H319" s="75" t="s">
        <v>472</v>
      </c>
      <c r="I319" s="75">
        <v>19489</v>
      </c>
      <c r="J319" s="75" t="s">
        <v>208</v>
      </c>
      <c r="K319" s="75" t="str">
        <f>IFERROR(VLOOKUP(J319,'NQ10'!$B$9:$C$145,2,0),"")</f>
        <v>A Xóc Lìa</v>
      </c>
    </row>
    <row r="320" spans="1:11" ht="15" customHeight="1" x14ac:dyDescent="0.25">
      <c r="A320" s="75">
        <v>8</v>
      </c>
      <c r="C320" s="75" t="s">
        <v>10</v>
      </c>
      <c r="D320" s="75">
        <v>2940</v>
      </c>
      <c r="F320" s="75" t="s">
        <v>10</v>
      </c>
      <c r="H320" s="75" t="s">
        <v>472</v>
      </c>
      <c r="I320" s="75">
        <v>19489</v>
      </c>
      <c r="J320" s="75" t="s">
        <v>208</v>
      </c>
      <c r="K320" s="75" t="str">
        <f>IFERROR(VLOOKUP(J320,'NQ10'!$B$9:$C$145,2,0),"")</f>
        <v>A Xóc Lìa</v>
      </c>
    </row>
    <row r="321" spans="1:11" ht="15" customHeight="1" x14ac:dyDescent="0.25">
      <c r="A321" s="75">
        <v>8</v>
      </c>
      <c r="B321" s="75">
        <v>227</v>
      </c>
      <c r="C321" s="75" t="s">
        <v>10</v>
      </c>
      <c r="D321" s="75">
        <v>2501</v>
      </c>
      <c r="F321" s="75" t="s">
        <v>10</v>
      </c>
      <c r="H321" s="75" t="s">
        <v>472</v>
      </c>
      <c r="I321" s="75">
        <v>19489</v>
      </c>
      <c r="J321" s="75" t="s">
        <v>208</v>
      </c>
      <c r="K321" s="75" t="str">
        <f>IFERROR(VLOOKUP(J321,'NQ10'!$B$9:$C$145,2,0),"")</f>
        <v>A Xóc Lìa</v>
      </c>
    </row>
    <row r="322" spans="1:11" ht="15" customHeight="1" x14ac:dyDescent="0.25">
      <c r="A322" s="75">
        <v>21</v>
      </c>
      <c r="B322" s="75">
        <v>232</v>
      </c>
      <c r="C322" s="75" t="s">
        <v>10</v>
      </c>
      <c r="D322" s="75">
        <v>7245</v>
      </c>
      <c r="F322" s="75" t="s">
        <v>10</v>
      </c>
      <c r="H322" s="75" t="s">
        <v>307</v>
      </c>
      <c r="I322" s="75">
        <v>19489</v>
      </c>
      <c r="J322" s="75" t="s">
        <v>98</v>
      </c>
      <c r="K322" s="75" t="str">
        <f>IFERROR(VLOOKUP(J322,'NQ10'!$B$9:$C$145,2,0),"")</f>
        <v/>
      </c>
    </row>
    <row r="323" spans="1:11" ht="15" customHeight="1" x14ac:dyDescent="0.25">
      <c r="A323" s="75">
        <v>21</v>
      </c>
      <c r="B323" s="75">
        <v>259</v>
      </c>
      <c r="C323" s="75" t="s">
        <v>10</v>
      </c>
      <c r="D323" s="75">
        <v>14277</v>
      </c>
      <c r="F323" s="75" t="s">
        <v>10</v>
      </c>
      <c r="H323" s="75" t="s">
        <v>407</v>
      </c>
      <c r="I323" s="75">
        <v>19489</v>
      </c>
      <c r="J323" s="75" t="s">
        <v>543</v>
      </c>
      <c r="K323" s="75" t="str">
        <f>IFERROR(VLOOKUP(J323,'NQ10'!$B$9:$C$145,2,0),"")</f>
        <v/>
      </c>
    </row>
    <row r="324" spans="1:11" ht="15" customHeight="1" x14ac:dyDescent="0.25">
      <c r="A324" s="75">
        <v>21</v>
      </c>
      <c r="B324" s="75">
        <v>194</v>
      </c>
      <c r="C324" s="75" t="s">
        <v>10</v>
      </c>
      <c r="D324" s="75">
        <v>13244</v>
      </c>
      <c r="F324" s="75" t="s">
        <v>10</v>
      </c>
      <c r="H324" s="75" t="s">
        <v>10</v>
      </c>
      <c r="I324" s="75">
        <v>19489</v>
      </c>
      <c r="J324" s="75" t="s">
        <v>99</v>
      </c>
      <c r="K324" s="75" t="str">
        <f>IFERROR(VLOOKUP(J324,'NQ10'!$B$9:$C$145,2,0),"")</f>
        <v/>
      </c>
    </row>
    <row r="325" spans="1:11" ht="15" customHeight="1" x14ac:dyDescent="0.25">
      <c r="A325" s="75">
        <v>35</v>
      </c>
      <c r="C325" s="75" t="s">
        <v>10</v>
      </c>
      <c r="D325" s="75">
        <v>7495</v>
      </c>
      <c r="F325" s="75" t="s">
        <v>10</v>
      </c>
      <c r="H325" s="75" t="s">
        <v>10</v>
      </c>
      <c r="I325" s="75">
        <v>19489</v>
      </c>
      <c r="J325" s="75" t="s">
        <v>99</v>
      </c>
      <c r="K325" s="75" t="str">
        <f>IFERROR(VLOOKUP(J325,'NQ10'!$B$9:$C$145,2,0),"")</f>
        <v/>
      </c>
    </row>
    <row r="326" spans="1:11" ht="15" customHeight="1" x14ac:dyDescent="0.25">
      <c r="A326" s="75">
        <v>0</v>
      </c>
      <c r="C326" s="75" t="s">
        <v>10</v>
      </c>
      <c r="D326" s="75">
        <v>1801</v>
      </c>
      <c r="F326" s="75" t="s">
        <v>10</v>
      </c>
      <c r="H326" s="75" t="s">
        <v>216</v>
      </c>
      <c r="I326" s="75">
        <v>19489</v>
      </c>
      <c r="J326" s="75" t="s">
        <v>613</v>
      </c>
      <c r="K326" s="75" t="str">
        <f>IFERROR(VLOOKUP(J326,'NQ10'!$B$9:$C$145,2,0),"")</f>
        <v>A Xau</v>
      </c>
    </row>
    <row r="327" spans="1:11" ht="15" customHeight="1" x14ac:dyDescent="0.25">
      <c r="A327" s="75">
        <v>3</v>
      </c>
      <c r="C327" s="75" t="s">
        <v>10</v>
      </c>
      <c r="D327" s="75">
        <v>3902</v>
      </c>
      <c r="F327" s="75" t="s">
        <v>10</v>
      </c>
      <c r="H327" s="75" t="s">
        <v>216</v>
      </c>
      <c r="I327" s="75">
        <v>19489</v>
      </c>
      <c r="J327" s="75" t="s">
        <v>613</v>
      </c>
      <c r="K327" s="75" t="str">
        <f>IFERROR(VLOOKUP(J327,'NQ10'!$B$9:$C$145,2,0),"")</f>
        <v>A Xau</v>
      </c>
    </row>
    <row r="328" spans="1:11" ht="15" customHeight="1" x14ac:dyDescent="0.25">
      <c r="A328" s="75">
        <v>7</v>
      </c>
      <c r="B328" s="75">
        <v>280</v>
      </c>
      <c r="C328" s="75" t="s">
        <v>10</v>
      </c>
      <c r="D328" s="75">
        <v>3256</v>
      </c>
      <c r="F328" s="75" t="s">
        <v>10</v>
      </c>
      <c r="H328" s="75" t="s">
        <v>216</v>
      </c>
      <c r="I328" s="75">
        <v>19489</v>
      </c>
      <c r="J328" s="75" t="s">
        <v>613</v>
      </c>
      <c r="K328" s="75" t="str">
        <f>IFERROR(VLOOKUP(J328,'NQ10'!$B$9:$C$145,2,0),"")</f>
        <v>A Xau</v>
      </c>
    </row>
    <row r="329" spans="1:11" ht="15" customHeight="1" x14ac:dyDescent="0.25">
      <c r="A329" s="75">
        <v>8</v>
      </c>
      <c r="B329" s="75">
        <v>811</v>
      </c>
      <c r="C329" s="75" t="s">
        <v>10</v>
      </c>
      <c r="D329" s="75">
        <v>3693</v>
      </c>
      <c r="F329" s="75" t="s">
        <v>10</v>
      </c>
      <c r="H329" s="75" t="s">
        <v>164</v>
      </c>
      <c r="I329" s="75">
        <v>19489</v>
      </c>
      <c r="J329" s="75" t="s">
        <v>613</v>
      </c>
      <c r="K329" s="75" t="str">
        <f>IFERROR(VLOOKUP(J329,'NQ10'!$B$9:$C$145,2,0),"")</f>
        <v>A Xau</v>
      </c>
    </row>
    <row r="330" spans="1:11" ht="15" customHeight="1" x14ac:dyDescent="0.25">
      <c r="A330" s="75">
        <v>21</v>
      </c>
      <c r="B330" s="75">
        <v>195</v>
      </c>
      <c r="C330" s="75" t="s">
        <v>10</v>
      </c>
      <c r="D330" s="75">
        <v>10616</v>
      </c>
      <c r="F330" s="75" t="s">
        <v>10</v>
      </c>
      <c r="H330" s="75" t="s">
        <v>10</v>
      </c>
      <c r="I330" s="75">
        <v>19489</v>
      </c>
      <c r="J330" s="75" t="s">
        <v>613</v>
      </c>
      <c r="K330" s="75" t="str">
        <f>IFERROR(VLOOKUP(J330,'NQ10'!$B$9:$C$145,2,0),"")</f>
        <v>A Xau</v>
      </c>
    </row>
    <row r="331" spans="1:11" ht="15" customHeight="1" x14ac:dyDescent="0.25">
      <c r="A331" s="75">
        <v>18</v>
      </c>
      <c r="B331" s="75">
        <v>225</v>
      </c>
      <c r="C331" s="75" t="s">
        <v>10</v>
      </c>
      <c r="D331" s="75">
        <v>7397</v>
      </c>
      <c r="F331" s="75" t="s">
        <v>10</v>
      </c>
      <c r="H331" s="75" t="s">
        <v>173</v>
      </c>
      <c r="I331" s="75">
        <v>19489</v>
      </c>
      <c r="J331" s="75" t="s">
        <v>100</v>
      </c>
      <c r="K331" s="75" t="str">
        <f>IFERROR(VLOOKUP(J331,'NQ10'!$B$9:$C$145,2,0),"")</f>
        <v/>
      </c>
    </row>
    <row r="332" spans="1:11" ht="15" customHeight="1" x14ac:dyDescent="0.25">
      <c r="A332" s="75">
        <v>18</v>
      </c>
      <c r="B332" s="75">
        <v>226</v>
      </c>
      <c r="C332" s="75" t="s">
        <v>10</v>
      </c>
      <c r="D332" s="75">
        <v>3729</v>
      </c>
      <c r="F332" s="75" t="s">
        <v>10</v>
      </c>
      <c r="H332" s="75" t="s">
        <v>173</v>
      </c>
      <c r="I332" s="75">
        <v>19489</v>
      </c>
      <c r="J332" s="75" t="s">
        <v>100</v>
      </c>
      <c r="K332" s="75" t="str">
        <f>IFERROR(VLOOKUP(J332,'NQ10'!$B$9:$C$145,2,0),"")</f>
        <v/>
      </c>
    </row>
    <row r="333" spans="1:11" ht="15" customHeight="1" x14ac:dyDescent="0.25">
      <c r="A333" s="75">
        <v>36</v>
      </c>
      <c r="B333" s="75">
        <v>116</v>
      </c>
      <c r="C333" s="75" t="s">
        <v>10</v>
      </c>
      <c r="D333" s="75">
        <v>2010</v>
      </c>
      <c r="F333" s="75" t="s">
        <v>10</v>
      </c>
      <c r="H333" s="75" t="s">
        <v>173</v>
      </c>
      <c r="I333" s="75">
        <v>19489</v>
      </c>
      <c r="J333" s="75" t="s">
        <v>100</v>
      </c>
      <c r="K333" s="75" t="str">
        <f>IFERROR(VLOOKUP(J333,'NQ10'!$B$9:$C$145,2,0),"")</f>
        <v/>
      </c>
    </row>
    <row r="334" spans="1:11" ht="15" customHeight="1" x14ac:dyDescent="0.25">
      <c r="A334" s="75">
        <v>6</v>
      </c>
      <c r="B334" s="75">
        <v>5</v>
      </c>
      <c r="C334" s="75" t="s">
        <v>10</v>
      </c>
      <c r="D334" s="75">
        <v>6017</v>
      </c>
      <c r="F334" s="75" t="s">
        <v>10</v>
      </c>
      <c r="H334" s="75" t="s">
        <v>10</v>
      </c>
      <c r="I334" s="75">
        <v>19489</v>
      </c>
      <c r="J334" s="75" t="s">
        <v>450</v>
      </c>
      <c r="K334" s="75" t="str">
        <f>IFERROR(VLOOKUP(J334,'NQ10'!$B$9:$C$145,2,0),"")</f>
        <v/>
      </c>
    </row>
    <row r="335" spans="1:11" ht="15" customHeight="1" x14ac:dyDescent="0.25">
      <c r="A335" s="75">
        <v>0</v>
      </c>
      <c r="C335" s="75" t="s">
        <v>10</v>
      </c>
      <c r="D335" s="75">
        <v>5841</v>
      </c>
      <c r="F335" s="75" t="s">
        <v>10</v>
      </c>
      <c r="H335" s="75" t="s">
        <v>475</v>
      </c>
      <c r="I335" s="75">
        <v>19489</v>
      </c>
      <c r="J335" s="75" t="s">
        <v>101</v>
      </c>
      <c r="K335" s="75" t="str">
        <f>IFERROR(VLOOKUP(J335,'NQ10'!$B$9:$C$145,2,0),"")</f>
        <v>A Xóc Lìa</v>
      </c>
    </row>
    <row r="336" spans="1:11" ht="15" customHeight="1" x14ac:dyDescent="0.25">
      <c r="A336" s="75">
        <v>16</v>
      </c>
      <c r="B336" s="75">
        <v>47</v>
      </c>
      <c r="C336" s="75" t="s">
        <v>10</v>
      </c>
      <c r="D336" s="75">
        <v>3989</v>
      </c>
      <c r="F336" s="75" t="s">
        <v>10</v>
      </c>
      <c r="H336" s="75" t="s">
        <v>475</v>
      </c>
      <c r="I336" s="75">
        <v>19489</v>
      </c>
      <c r="J336" s="75" t="s">
        <v>101</v>
      </c>
      <c r="K336" s="75" t="str">
        <f>IFERROR(VLOOKUP(J336,'NQ10'!$B$9:$C$145,2,0),"")</f>
        <v>A Xóc Lìa</v>
      </c>
    </row>
    <row r="337" spans="1:11" ht="15" customHeight="1" x14ac:dyDescent="0.25">
      <c r="A337" s="75">
        <v>0</v>
      </c>
      <c r="C337" s="75" t="s">
        <v>10</v>
      </c>
      <c r="D337" s="75">
        <v>2082</v>
      </c>
      <c r="F337" s="75" t="s">
        <v>10</v>
      </c>
      <c r="H337" s="75" t="s">
        <v>164</v>
      </c>
      <c r="I337" s="75">
        <v>19489</v>
      </c>
      <c r="J337" s="75" t="s">
        <v>489</v>
      </c>
      <c r="K337" s="75" t="str">
        <f>IFERROR(VLOOKUP(J337,'NQ10'!$B$9:$C$145,2,0),"")</f>
        <v/>
      </c>
    </row>
    <row r="338" spans="1:11" ht="15" customHeight="1" x14ac:dyDescent="0.25">
      <c r="A338" s="75">
        <v>21</v>
      </c>
      <c r="B338" s="75">
        <v>213</v>
      </c>
      <c r="C338" s="75" t="s">
        <v>10</v>
      </c>
      <c r="D338" s="75">
        <v>3832</v>
      </c>
      <c r="F338" s="75" t="s">
        <v>10</v>
      </c>
      <c r="H338" s="75" t="s">
        <v>10</v>
      </c>
      <c r="I338" s="75">
        <v>19489</v>
      </c>
      <c r="J338" s="75" t="s">
        <v>542</v>
      </c>
      <c r="K338" s="75" t="str">
        <f>IFERROR(VLOOKUP(J338,'NQ10'!$B$9:$C$145,2,0),"")</f>
        <v/>
      </c>
    </row>
    <row r="339" spans="1:11" ht="15" customHeight="1" x14ac:dyDescent="0.25">
      <c r="A339" s="75">
        <v>1</v>
      </c>
      <c r="C339" s="75" t="s">
        <v>10</v>
      </c>
      <c r="D339" s="75">
        <v>2800</v>
      </c>
      <c r="F339" s="75" t="s">
        <v>10</v>
      </c>
      <c r="H339" s="75" t="s">
        <v>472</v>
      </c>
      <c r="I339" s="75">
        <v>19489</v>
      </c>
      <c r="J339" s="75" t="s">
        <v>405</v>
      </c>
      <c r="K339" s="75" t="str">
        <f>IFERROR(VLOOKUP(J339,'NQ10'!$B$9:$C$145,2,0),"")</f>
        <v/>
      </c>
    </row>
    <row r="340" spans="1:11" ht="15" customHeight="1" x14ac:dyDescent="0.25">
      <c r="A340" s="75">
        <v>0</v>
      </c>
      <c r="C340" s="75" t="s">
        <v>10</v>
      </c>
      <c r="D340" s="75">
        <v>3642</v>
      </c>
      <c r="F340" s="75" t="s">
        <v>10</v>
      </c>
      <c r="H340" s="75" t="s">
        <v>407</v>
      </c>
      <c r="I340" s="75">
        <v>19489</v>
      </c>
      <c r="J340" s="75" t="s">
        <v>493</v>
      </c>
      <c r="K340" s="75" t="str">
        <f>IFERROR(VLOOKUP(J340,'NQ10'!$B$9:$C$145,2,0),"")</f>
        <v/>
      </c>
    </row>
    <row r="341" spans="1:11" ht="15" customHeight="1" x14ac:dyDescent="0.25">
      <c r="A341" s="75">
        <v>21</v>
      </c>
      <c r="B341" s="75">
        <v>196</v>
      </c>
      <c r="C341" s="75" t="s">
        <v>10</v>
      </c>
      <c r="D341" s="75">
        <v>6110</v>
      </c>
      <c r="F341" s="75" t="s">
        <v>10</v>
      </c>
      <c r="H341" s="75" t="s">
        <v>10</v>
      </c>
      <c r="I341" s="75">
        <v>19489</v>
      </c>
      <c r="J341" s="75" t="s">
        <v>102</v>
      </c>
      <c r="K341" s="75" t="str">
        <f>IFERROR(VLOOKUP(J341,'NQ10'!$B$9:$C$145,2,0),"")</f>
        <v/>
      </c>
    </row>
    <row r="342" spans="1:11" ht="15" customHeight="1" x14ac:dyDescent="0.25">
      <c r="A342" s="75">
        <v>21</v>
      </c>
      <c r="B342" s="75">
        <v>197</v>
      </c>
      <c r="C342" s="75" t="s">
        <v>10</v>
      </c>
      <c r="D342" s="75">
        <v>13396</v>
      </c>
      <c r="F342" s="75" t="s">
        <v>10</v>
      </c>
      <c r="H342" s="75" t="s">
        <v>10</v>
      </c>
      <c r="I342" s="75">
        <v>19489</v>
      </c>
      <c r="J342" s="75" t="s">
        <v>103</v>
      </c>
      <c r="K342" s="75" t="str">
        <f>IFERROR(VLOOKUP(J342,'NQ10'!$B$9:$C$145,2,0),"")</f>
        <v/>
      </c>
    </row>
    <row r="343" spans="1:11" ht="15" customHeight="1" x14ac:dyDescent="0.25">
      <c r="A343" s="75">
        <v>21</v>
      </c>
      <c r="B343" s="75">
        <v>198</v>
      </c>
      <c r="C343" s="75" t="s">
        <v>10</v>
      </c>
      <c r="D343" s="75">
        <v>4280</v>
      </c>
      <c r="F343" s="75" t="s">
        <v>10</v>
      </c>
      <c r="H343" s="75" t="s">
        <v>10</v>
      </c>
      <c r="I343" s="75">
        <v>19489</v>
      </c>
      <c r="J343" s="75" t="s">
        <v>103</v>
      </c>
      <c r="K343" s="75" t="str">
        <f>IFERROR(VLOOKUP(J343,'NQ10'!$B$9:$C$145,2,0),"")</f>
        <v/>
      </c>
    </row>
    <row r="344" spans="1:11" ht="15" customHeight="1" x14ac:dyDescent="0.25">
      <c r="A344" s="75">
        <v>3</v>
      </c>
      <c r="B344" s="75">
        <v>9</v>
      </c>
      <c r="C344" s="75" t="s">
        <v>10</v>
      </c>
      <c r="D344" s="75">
        <v>13514</v>
      </c>
      <c r="F344" s="75" t="s">
        <v>10</v>
      </c>
      <c r="H344" s="75" t="s">
        <v>164</v>
      </c>
      <c r="I344" s="75">
        <v>19489</v>
      </c>
      <c r="J344" s="75" t="s">
        <v>104</v>
      </c>
      <c r="K344" s="75" t="str">
        <f>IFERROR(VLOOKUP(J344,'NQ10'!$B$9:$C$145,2,0),"")</f>
        <v/>
      </c>
    </row>
    <row r="345" spans="1:11" ht="15" customHeight="1" x14ac:dyDescent="0.25">
      <c r="A345" s="75">
        <v>38</v>
      </c>
      <c r="B345" s="75">
        <v>109</v>
      </c>
      <c r="C345" s="75" t="s">
        <v>10</v>
      </c>
      <c r="D345" s="75">
        <v>20814</v>
      </c>
      <c r="F345" s="75" t="s">
        <v>10</v>
      </c>
      <c r="H345" s="75" t="s">
        <v>407</v>
      </c>
      <c r="I345" s="75">
        <v>19489</v>
      </c>
      <c r="J345" s="75" t="s">
        <v>560</v>
      </c>
      <c r="K345" s="75" t="str">
        <f>IFERROR(VLOOKUP(J345,'NQ10'!$B$9:$C$145,2,0),"")</f>
        <v/>
      </c>
    </row>
    <row r="346" spans="1:11" ht="15" customHeight="1" x14ac:dyDescent="0.25">
      <c r="A346" s="75">
        <v>0</v>
      </c>
      <c r="C346" s="75" t="s">
        <v>10</v>
      </c>
      <c r="D346" s="75">
        <v>6906</v>
      </c>
      <c r="F346" s="75" t="s">
        <v>10</v>
      </c>
      <c r="H346" s="75" t="s">
        <v>472</v>
      </c>
      <c r="I346" s="75">
        <v>19489</v>
      </c>
      <c r="J346" s="75" t="s">
        <v>207</v>
      </c>
      <c r="K346" s="75" t="str">
        <f>IFERROR(VLOOKUP(J346,'NQ10'!$B$9:$C$145,2,0),"")</f>
        <v>A Xóc Lìa</v>
      </c>
    </row>
    <row r="347" spans="1:11" ht="15" customHeight="1" x14ac:dyDescent="0.25">
      <c r="A347" s="75">
        <v>1</v>
      </c>
      <c r="C347" s="75" t="s">
        <v>10</v>
      </c>
      <c r="D347" s="75">
        <v>5440</v>
      </c>
      <c r="F347" s="75" t="s">
        <v>10</v>
      </c>
      <c r="H347" s="75" t="s">
        <v>340</v>
      </c>
      <c r="I347" s="75">
        <v>19489</v>
      </c>
      <c r="J347" s="75" t="s">
        <v>512</v>
      </c>
      <c r="K347" s="75" t="str">
        <f>IFERROR(VLOOKUP(J347,'NQ10'!$B$9:$C$145,2,0),"")</f>
        <v/>
      </c>
    </row>
    <row r="348" spans="1:11" ht="15" customHeight="1" x14ac:dyDescent="0.25">
      <c r="A348" s="75">
        <v>0</v>
      </c>
      <c r="C348" s="75" t="s">
        <v>10</v>
      </c>
      <c r="D348" s="75">
        <v>5251</v>
      </c>
      <c r="F348" s="75" t="s">
        <v>10</v>
      </c>
      <c r="H348" s="75" t="s">
        <v>475</v>
      </c>
      <c r="I348" s="75">
        <v>19489</v>
      </c>
      <c r="J348" s="75" t="s">
        <v>197</v>
      </c>
      <c r="K348" s="75" t="str">
        <f>IFERROR(VLOOKUP(J348,'NQ10'!$B$9:$C$145,2,0),"")</f>
        <v>A Xóc Lìa</v>
      </c>
    </row>
    <row r="349" spans="1:11" ht="15" customHeight="1" x14ac:dyDescent="0.25">
      <c r="A349" s="75">
        <v>3</v>
      </c>
      <c r="B349" s="75">
        <v>450</v>
      </c>
      <c r="C349" s="75" t="s">
        <v>10</v>
      </c>
      <c r="D349" s="75">
        <v>25744</v>
      </c>
      <c r="F349" s="75" t="s">
        <v>10</v>
      </c>
      <c r="H349" s="75" t="s">
        <v>340</v>
      </c>
      <c r="I349" s="75">
        <v>19489</v>
      </c>
      <c r="J349" s="75" t="s">
        <v>519</v>
      </c>
      <c r="K349" s="75" t="str">
        <f>IFERROR(VLOOKUP(J349,'NQ10'!$B$9:$C$145,2,0),"")</f>
        <v/>
      </c>
    </row>
    <row r="350" spans="1:11" ht="15" customHeight="1" x14ac:dyDescent="0.25">
      <c r="A350" s="75">
        <v>0</v>
      </c>
      <c r="B350" s="75">
        <v>17</v>
      </c>
      <c r="C350" s="75" t="s">
        <v>10</v>
      </c>
      <c r="D350" s="75">
        <v>18481</v>
      </c>
      <c r="F350" s="75" t="s">
        <v>10</v>
      </c>
      <c r="H350" s="75" t="s">
        <v>307</v>
      </c>
      <c r="I350" s="75">
        <v>19489</v>
      </c>
      <c r="J350" s="75" t="s">
        <v>504</v>
      </c>
      <c r="K350" s="75" t="str">
        <f>IFERROR(VLOOKUP(J350,'NQ10'!$B$9:$C$145,2,0),"")</f>
        <v/>
      </c>
    </row>
    <row r="351" spans="1:11" ht="15" customHeight="1" x14ac:dyDescent="0.25">
      <c r="A351" s="75">
        <v>0</v>
      </c>
      <c r="C351" s="75" t="s">
        <v>10</v>
      </c>
      <c r="D351" s="75">
        <v>3636</v>
      </c>
      <c r="F351" s="75" t="s">
        <v>10</v>
      </c>
      <c r="H351" s="75" t="s">
        <v>472</v>
      </c>
      <c r="I351" s="75">
        <v>19489</v>
      </c>
      <c r="J351" s="75" t="s">
        <v>388</v>
      </c>
      <c r="K351" s="75" t="str">
        <f>IFERROR(VLOOKUP(J351,'NQ10'!$B$9:$C$145,2,0),"")</f>
        <v/>
      </c>
    </row>
    <row r="352" spans="1:11" ht="15" customHeight="1" x14ac:dyDescent="0.25">
      <c r="A352" s="75">
        <v>1</v>
      </c>
      <c r="C352" s="75" t="s">
        <v>10</v>
      </c>
      <c r="D352" s="75">
        <v>4137</v>
      </c>
      <c r="F352" s="75" t="s">
        <v>10</v>
      </c>
      <c r="H352" s="75" t="s">
        <v>340</v>
      </c>
      <c r="I352" s="75">
        <v>19489</v>
      </c>
      <c r="J352" s="75" t="s">
        <v>345</v>
      </c>
      <c r="K352" s="75" t="str">
        <f>IFERROR(VLOOKUP(J352,'NQ10'!$B$9:$C$145,2,0),"")</f>
        <v/>
      </c>
    </row>
    <row r="353" spans="1:11" ht="15" customHeight="1" x14ac:dyDescent="0.25">
      <c r="A353" s="75">
        <v>1</v>
      </c>
      <c r="C353" s="75" t="s">
        <v>10</v>
      </c>
      <c r="D353" s="75">
        <v>5188</v>
      </c>
      <c r="F353" s="75" t="s">
        <v>10</v>
      </c>
      <c r="H353" s="75" t="s">
        <v>340</v>
      </c>
      <c r="I353" s="75">
        <v>19489</v>
      </c>
      <c r="J353" s="75" t="s">
        <v>345</v>
      </c>
      <c r="K353" s="75" t="str">
        <f>IFERROR(VLOOKUP(J353,'NQ10'!$B$9:$C$145,2,0),"")</f>
        <v/>
      </c>
    </row>
    <row r="354" spans="1:11" ht="15" customHeight="1" x14ac:dyDescent="0.25">
      <c r="A354" s="75">
        <v>21</v>
      </c>
      <c r="B354" s="75">
        <v>199</v>
      </c>
      <c r="C354" s="75" t="s">
        <v>10</v>
      </c>
      <c r="D354" s="75">
        <v>23522</v>
      </c>
      <c r="F354" s="75" t="s">
        <v>10</v>
      </c>
      <c r="H354" s="75" t="s">
        <v>10</v>
      </c>
      <c r="I354" s="75">
        <v>19489</v>
      </c>
      <c r="J354" s="75" t="s">
        <v>105</v>
      </c>
      <c r="K354" s="75" t="str">
        <f>IFERROR(VLOOKUP(J354,'NQ10'!$B$9:$C$145,2,0),"")</f>
        <v/>
      </c>
    </row>
    <row r="355" spans="1:11" ht="15" customHeight="1" x14ac:dyDescent="0.25">
      <c r="A355" s="75">
        <v>1</v>
      </c>
      <c r="C355" s="75" t="s">
        <v>10</v>
      </c>
      <c r="D355" s="75">
        <v>3006</v>
      </c>
      <c r="F355" s="75" t="s">
        <v>10</v>
      </c>
      <c r="H355" s="75" t="s">
        <v>340</v>
      </c>
      <c r="I355" s="75">
        <v>19489</v>
      </c>
      <c r="J355" s="75" t="s">
        <v>511</v>
      </c>
      <c r="K355" s="75" t="str">
        <f>IFERROR(VLOOKUP(J355,'NQ10'!$B$9:$C$145,2,0),"")</f>
        <v/>
      </c>
    </row>
    <row r="356" spans="1:11" ht="15" customHeight="1" x14ac:dyDescent="0.25">
      <c r="A356" s="75">
        <v>0</v>
      </c>
      <c r="C356" s="75" t="s">
        <v>10</v>
      </c>
      <c r="D356" s="75">
        <v>3816</v>
      </c>
      <c r="F356" s="75" t="s">
        <v>10</v>
      </c>
      <c r="H356" s="75" t="s">
        <v>216</v>
      </c>
      <c r="I356" s="75">
        <v>19489</v>
      </c>
      <c r="J356" s="75" t="s">
        <v>482</v>
      </c>
      <c r="K356" s="75" t="str">
        <f>IFERROR(VLOOKUP(J356,'NQ10'!$B$9:$C$145,2,0),"")</f>
        <v/>
      </c>
    </row>
    <row r="357" spans="1:11" ht="15" customHeight="1" x14ac:dyDescent="0.25">
      <c r="A357" s="75">
        <v>3</v>
      </c>
      <c r="C357" s="75" t="s">
        <v>10</v>
      </c>
      <c r="D357" s="75">
        <v>5730</v>
      </c>
      <c r="F357" s="75" t="s">
        <v>10</v>
      </c>
      <c r="H357" s="75" t="s">
        <v>475</v>
      </c>
      <c r="I357" s="75">
        <v>19489</v>
      </c>
      <c r="J357" s="75" t="s">
        <v>196</v>
      </c>
      <c r="K357" s="75" t="str">
        <f>IFERROR(VLOOKUP(J357,'NQ10'!$B$9:$C$145,2,0),"")</f>
        <v>A Xóc Lìa</v>
      </c>
    </row>
    <row r="358" spans="1:11" ht="15" customHeight="1" x14ac:dyDescent="0.25">
      <c r="A358" s="75">
        <v>0</v>
      </c>
      <c r="C358" s="75" t="s">
        <v>10</v>
      </c>
      <c r="D358" s="75">
        <v>5211</v>
      </c>
      <c r="F358" s="75" t="s">
        <v>10</v>
      </c>
      <c r="H358" s="75" t="s">
        <v>10</v>
      </c>
      <c r="I358" s="75">
        <v>19489</v>
      </c>
      <c r="J358" s="75" t="s">
        <v>496</v>
      </c>
      <c r="K358" s="75" t="str">
        <f>IFERROR(VLOOKUP(J358,'NQ10'!$B$9:$C$145,2,0),"")</f>
        <v/>
      </c>
    </row>
    <row r="359" spans="1:11" ht="15" customHeight="1" x14ac:dyDescent="0.25">
      <c r="A359" s="75">
        <v>21</v>
      </c>
      <c r="B359" s="75">
        <v>200</v>
      </c>
      <c r="C359" s="75" t="s">
        <v>10</v>
      </c>
      <c r="D359" s="75">
        <v>24876</v>
      </c>
      <c r="F359" s="75" t="s">
        <v>10</v>
      </c>
      <c r="H359" s="75" t="s">
        <v>10</v>
      </c>
      <c r="I359" s="75">
        <v>19489</v>
      </c>
      <c r="J359" s="75" t="s">
        <v>106</v>
      </c>
      <c r="K359" s="75" t="str">
        <f>IFERROR(VLOOKUP(J359,'NQ10'!$B$9:$C$145,2,0),"")</f>
        <v/>
      </c>
    </row>
    <row r="360" spans="1:11" ht="15" customHeight="1" x14ac:dyDescent="0.25">
      <c r="A360" s="75">
        <v>21</v>
      </c>
      <c r="B360" s="75">
        <v>201</v>
      </c>
      <c r="C360" s="75" t="s">
        <v>10</v>
      </c>
      <c r="D360" s="75">
        <v>10400</v>
      </c>
      <c r="F360" s="75" t="s">
        <v>10</v>
      </c>
      <c r="H360" s="75" t="s">
        <v>10</v>
      </c>
      <c r="I360" s="75">
        <v>19489</v>
      </c>
      <c r="J360" s="75" t="s">
        <v>106</v>
      </c>
      <c r="K360" s="75" t="str">
        <f>IFERROR(VLOOKUP(J360,'NQ10'!$B$9:$C$145,2,0),"")</f>
        <v/>
      </c>
    </row>
    <row r="361" spans="1:11" ht="15" customHeight="1" x14ac:dyDescent="0.25">
      <c r="A361" s="75">
        <v>3</v>
      </c>
      <c r="C361" s="75" t="s">
        <v>10</v>
      </c>
      <c r="D361" s="75">
        <v>6791</v>
      </c>
      <c r="F361" s="75" t="s">
        <v>10</v>
      </c>
      <c r="H361" s="75" t="s">
        <v>475</v>
      </c>
      <c r="I361" s="75">
        <v>19489</v>
      </c>
      <c r="J361" s="75" t="s">
        <v>392</v>
      </c>
      <c r="K361" s="75" t="str">
        <f>IFERROR(VLOOKUP(J361,'NQ10'!$B$9:$C$145,2,0),"")</f>
        <v/>
      </c>
    </row>
    <row r="362" spans="1:11" ht="15" customHeight="1" x14ac:dyDescent="0.25">
      <c r="A362" s="75">
        <v>16</v>
      </c>
      <c r="C362" s="75" t="s">
        <v>10</v>
      </c>
      <c r="D362" s="75">
        <v>4191</v>
      </c>
      <c r="F362" s="75" t="s">
        <v>10</v>
      </c>
      <c r="H362" s="75" t="s">
        <v>475</v>
      </c>
      <c r="I362" s="75">
        <v>19489</v>
      </c>
      <c r="J362" s="75" t="s">
        <v>392</v>
      </c>
      <c r="K362" s="75" t="str">
        <f>IFERROR(VLOOKUP(J362,'NQ10'!$B$9:$C$145,2,0),"")</f>
        <v/>
      </c>
    </row>
    <row r="363" spans="1:11" ht="15" customHeight="1" x14ac:dyDescent="0.25">
      <c r="A363" s="75">
        <v>0</v>
      </c>
      <c r="C363" s="75" t="s">
        <v>10</v>
      </c>
      <c r="D363" s="75">
        <v>18547</v>
      </c>
      <c r="F363" s="75" t="s">
        <v>10</v>
      </c>
      <c r="H363" s="75" t="s">
        <v>472</v>
      </c>
      <c r="I363" s="75">
        <v>19489</v>
      </c>
      <c r="J363" s="75" t="s">
        <v>474</v>
      </c>
      <c r="K363" s="75" t="str">
        <f>IFERROR(VLOOKUP(J363,'NQ10'!$B$9:$C$145,2,0),"")</f>
        <v/>
      </c>
    </row>
    <row r="364" spans="1:11" ht="15" customHeight="1" x14ac:dyDescent="0.25">
      <c r="A364" s="75">
        <v>0</v>
      </c>
      <c r="C364" s="75" t="s">
        <v>10</v>
      </c>
      <c r="D364" s="75">
        <v>5736</v>
      </c>
      <c r="F364" s="75" t="s">
        <v>10</v>
      </c>
      <c r="H364" s="75" t="s">
        <v>164</v>
      </c>
      <c r="I364" s="75">
        <v>19489</v>
      </c>
      <c r="J364" s="75" t="s">
        <v>354</v>
      </c>
      <c r="K364" s="75" t="str">
        <f>IFERROR(VLOOKUP(J364,'NQ10'!$B$9:$C$145,2,0),"")</f>
        <v/>
      </c>
    </row>
    <row r="365" spans="1:11" ht="15" customHeight="1" x14ac:dyDescent="0.25">
      <c r="A365" s="75">
        <v>21</v>
      </c>
      <c r="B365" s="75">
        <v>202</v>
      </c>
      <c r="C365" s="75" t="s">
        <v>10</v>
      </c>
      <c r="D365" s="75">
        <v>25707</v>
      </c>
      <c r="F365" s="75" t="s">
        <v>10</v>
      </c>
      <c r="H365" s="75" t="s">
        <v>10</v>
      </c>
      <c r="I365" s="75">
        <v>19489</v>
      </c>
      <c r="J365" s="75" t="s">
        <v>107</v>
      </c>
      <c r="K365" s="75" t="str">
        <f>IFERROR(VLOOKUP(J365,'NQ10'!$B$9:$C$145,2,0),"")</f>
        <v/>
      </c>
    </row>
    <row r="366" spans="1:11" ht="15" customHeight="1" x14ac:dyDescent="0.25">
      <c r="A366" s="75">
        <v>28</v>
      </c>
      <c r="C366" s="75" t="s">
        <v>10</v>
      </c>
      <c r="D366" s="75">
        <v>4900</v>
      </c>
      <c r="F366" s="75" t="s">
        <v>10</v>
      </c>
      <c r="H366" s="75" t="s">
        <v>407</v>
      </c>
      <c r="I366" s="75">
        <v>19489</v>
      </c>
      <c r="J366" s="75" t="s">
        <v>107</v>
      </c>
      <c r="K366" s="75" t="str">
        <f>IFERROR(VLOOKUP(J366,'NQ10'!$B$9:$C$145,2,0),"")</f>
        <v/>
      </c>
    </row>
    <row r="367" spans="1:11" ht="15" customHeight="1" x14ac:dyDescent="0.25">
      <c r="A367" s="75">
        <v>28</v>
      </c>
      <c r="C367" s="75" t="s">
        <v>10</v>
      </c>
      <c r="D367" s="75">
        <v>6357</v>
      </c>
      <c r="F367" s="75" t="s">
        <v>10</v>
      </c>
      <c r="H367" s="75" t="s">
        <v>407</v>
      </c>
      <c r="I367" s="75">
        <v>19489</v>
      </c>
      <c r="J367" s="75" t="s">
        <v>107</v>
      </c>
      <c r="K367" s="75" t="str">
        <f>IFERROR(VLOOKUP(J367,'NQ10'!$B$9:$C$145,2,0),"")</f>
        <v/>
      </c>
    </row>
    <row r="368" spans="1:11" ht="15" customHeight="1" x14ac:dyDescent="0.25">
      <c r="A368" s="75">
        <v>0</v>
      </c>
      <c r="C368" s="75" t="s">
        <v>10</v>
      </c>
      <c r="D368" s="75">
        <v>13800</v>
      </c>
      <c r="F368" s="75" t="s">
        <v>10</v>
      </c>
      <c r="H368" s="75" t="s">
        <v>472</v>
      </c>
      <c r="I368" s="75">
        <v>19489</v>
      </c>
      <c r="J368" s="75" t="s">
        <v>393</v>
      </c>
      <c r="K368" s="75" t="str">
        <f>IFERROR(VLOOKUP(J368,'NQ10'!$B$9:$C$145,2,0),"")</f>
        <v/>
      </c>
    </row>
    <row r="369" spans="1:11" ht="15" customHeight="1" x14ac:dyDescent="0.25">
      <c r="A369" s="75">
        <v>21</v>
      </c>
      <c r="B369" s="75">
        <v>203</v>
      </c>
      <c r="C369" s="75" t="s">
        <v>10</v>
      </c>
      <c r="D369" s="75">
        <v>11193</v>
      </c>
      <c r="F369" s="75" t="s">
        <v>10</v>
      </c>
      <c r="H369" s="75" t="s">
        <v>10</v>
      </c>
      <c r="I369" s="75">
        <v>19489</v>
      </c>
      <c r="J369" s="75" t="s">
        <v>108</v>
      </c>
      <c r="K369" s="75" t="str">
        <f>IFERROR(VLOOKUP(J369,'NQ10'!$B$9:$C$145,2,0),"")</f>
        <v/>
      </c>
    </row>
    <row r="370" spans="1:11" ht="15" customHeight="1" x14ac:dyDescent="0.25">
      <c r="A370" s="75">
        <v>21</v>
      </c>
      <c r="B370" s="75">
        <v>204</v>
      </c>
      <c r="C370" s="75" t="s">
        <v>10</v>
      </c>
      <c r="D370" s="75">
        <v>27683</v>
      </c>
      <c r="F370" s="75" t="s">
        <v>10</v>
      </c>
      <c r="H370" s="75" t="s">
        <v>10</v>
      </c>
      <c r="I370" s="75">
        <v>19489</v>
      </c>
      <c r="J370" s="75" t="s">
        <v>639</v>
      </c>
      <c r="K370" s="75" t="str">
        <f>IFERROR(VLOOKUP(J370,'NQ10'!$B$9:$C$145,2,0),"")</f>
        <v/>
      </c>
    </row>
    <row r="371" spans="1:11" ht="15" customHeight="1" x14ac:dyDescent="0.25">
      <c r="A371" s="75">
        <v>32</v>
      </c>
      <c r="C371" s="75" t="s">
        <v>10</v>
      </c>
      <c r="D371" s="75">
        <v>15467</v>
      </c>
      <c r="F371" s="75" t="s">
        <v>10</v>
      </c>
      <c r="H371" s="75" t="s">
        <v>407</v>
      </c>
      <c r="I371" s="75">
        <v>19489</v>
      </c>
      <c r="J371" s="75" t="s">
        <v>548</v>
      </c>
      <c r="K371" s="75" t="str">
        <f>IFERROR(VLOOKUP(J371,'NQ10'!$B$9:$C$145,2,0),"")</f>
        <v/>
      </c>
    </row>
    <row r="372" spans="1:11" ht="15" customHeight="1" x14ac:dyDescent="0.25">
      <c r="A372" s="75">
        <v>21</v>
      </c>
      <c r="B372" s="75">
        <v>205</v>
      </c>
      <c r="C372" s="75" t="s">
        <v>10</v>
      </c>
      <c r="D372" s="75">
        <v>11493</v>
      </c>
      <c r="F372" s="75" t="s">
        <v>10</v>
      </c>
      <c r="H372" s="75" t="s">
        <v>541</v>
      </c>
      <c r="I372" s="75">
        <v>19489</v>
      </c>
      <c r="J372" s="75" t="s">
        <v>109</v>
      </c>
      <c r="K372" s="75" t="str">
        <f>IFERROR(VLOOKUP(J372,'NQ10'!$B$9:$C$145,2,0),"")</f>
        <v>A Môr</v>
      </c>
    </row>
    <row r="373" spans="1:11" ht="15" customHeight="1" x14ac:dyDescent="0.25">
      <c r="A373" s="75">
        <v>33</v>
      </c>
      <c r="B373" s="75">
        <v>48</v>
      </c>
      <c r="C373" s="75" t="s">
        <v>10</v>
      </c>
      <c r="D373" s="75">
        <v>3647</v>
      </c>
      <c r="F373" s="75" t="s">
        <v>10</v>
      </c>
      <c r="H373" s="75" t="s">
        <v>10</v>
      </c>
      <c r="I373" s="75">
        <v>19489</v>
      </c>
      <c r="J373" s="75" t="s">
        <v>259</v>
      </c>
      <c r="K373" s="75" t="str">
        <f>IFERROR(VLOOKUP(J373,'NQ10'!$B$9:$C$145,2,0),"")</f>
        <v>Kỳ Nơi</v>
      </c>
    </row>
    <row r="374" spans="1:11" ht="15" customHeight="1" x14ac:dyDescent="0.25">
      <c r="A374" s="75">
        <v>0</v>
      </c>
      <c r="C374" s="75" t="s">
        <v>10</v>
      </c>
      <c r="D374" s="75">
        <v>27622</v>
      </c>
      <c r="F374" s="75" t="s">
        <v>10</v>
      </c>
      <c r="H374" s="75" t="s">
        <v>307</v>
      </c>
      <c r="I374" s="75">
        <v>19489</v>
      </c>
      <c r="J374" s="75" t="s">
        <v>501</v>
      </c>
      <c r="K374" s="75" t="str">
        <f>IFERROR(VLOOKUP(J374,'NQ10'!$B$9:$C$145,2,0),"")</f>
        <v/>
      </c>
    </row>
    <row r="375" spans="1:11" ht="15" customHeight="1" x14ac:dyDescent="0.25">
      <c r="A375" s="75">
        <v>0</v>
      </c>
      <c r="C375" s="75" t="s">
        <v>10</v>
      </c>
      <c r="D375" s="75">
        <v>4705</v>
      </c>
      <c r="F375" s="75" t="s">
        <v>10</v>
      </c>
      <c r="H375" s="75" t="s">
        <v>475</v>
      </c>
      <c r="I375" s="75">
        <v>19489</v>
      </c>
      <c r="J375" s="75" t="s">
        <v>476</v>
      </c>
      <c r="K375" s="75" t="str">
        <f>IFERROR(VLOOKUP(J375,'NQ10'!$B$9:$C$145,2,0),"")</f>
        <v/>
      </c>
    </row>
    <row r="376" spans="1:11" ht="15" customHeight="1" x14ac:dyDescent="0.25">
      <c r="A376" s="75">
        <v>21</v>
      </c>
      <c r="B376" s="75">
        <v>206</v>
      </c>
      <c r="C376" s="75" t="s">
        <v>10</v>
      </c>
      <c r="D376" s="75">
        <v>38824</v>
      </c>
      <c r="F376" s="75" t="s">
        <v>10</v>
      </c>
      <c r="H376" s="75" t="s">
        <v>10</v>
      </c>
      <c r="I376" s="75">
        <v>19489</v>
      </c>
      <c r="J376" s="75" t="s">
        <v>110</v>
      </c>
      <c r="K376" s="75" t="str">
        <f>IFERROR(VLOOKUP(J376,'NQ10'!$B$9:$C$145,2,0),"")</f>
        <v/>
      </c>
    </row>
    <row r="377" spans="1:11" ht="15" customHeight="1" x14ac:dyDescent="0.25">
      <c r="A377" s="75">
        <v>21</v>
      </c>
      <c r="B377" s="75">
        <v>207</v>
      </c>
      <c r="C377" s="75" t="s">
        <v>10</v>
      </c>
      <c r="D377" s="75">
        <v>16027</v>
      </c>
      <c r="F377" s="75" t="s">
        <v>10</v>
      </c>
      <c r="H377" s="75" t="s">
        <v>10</v>
      </c>
      <c r="I377" s="75">
        <v>19489</v>
      </c>
      <c r="J377" s="75" t="s">
        <v>110</v>
      </c>
      <c r="K377" s="75" t="str">
        <f>IFERROR(VLOOKUP(J377,'NQ10'!$B$9:$C$145,2,0),"")</f>
        <v/>
      </c>
    </row>
    <row r="378" spans="1:11" ht="15" customHeight="1" x14ac:dyDescent="0.25">
      <c r="A378" s="75">
        <v>21</v>
      </c>
      <c r="B378" s="75">
        <v>208</v>
      </c>
      <c r="C378" s="75" t="s">
        <v>10</v>
      </c>
      <c r="D378" s="75">
        <v>27215</v>
      </c>
      <c r="F378" s="75" t="s">
        <v>10</v>
      </c>
      <c r="H378" s="75" t="s">
        <v>10</v>
      </c>
      <c r="I378" s="75">
        <v>19489</v>
      </c>
      <c r="J378" s="75" t="s">
        <v>110</v>
      </c>
      <c r="K378" s="75" t="str">
        <f>IFERROR(VLOOKUP(J378,'NQ10'!$B$9:$C$145,2,0),"")</f>
        <v/>
      </c>
    </row>
    <row r="379" spans="1:11" ht="15" customHeight="1" x14ac:dyDescent="0.25">
      <c r="A379" s="75">
        <v>22</v>
      </c>
      <c r="B379" s="75">
        <v>14</v>
      </c>
      <c r="C379" s="75" t="s">
        <v>10</v>
      </c>
      <c r="D379" s="75">
        <v>7934</v>
      </c>
      <c r="F379" s="75" t="s">
        <v>10</v>
      </c>
      <c r="H379" s="75" t="s">
        <v>10</v>
      </c>
      <c r="I379" s="75">
        <v>19489</v>
      </c>
      <c r="J379" s="75" t="s">
        <v>110</v>
      </c>
      <c r="K379" s="75" t="str">
        <f>IFERROR(VLOOKUP(J379,'NQ10'!$B$9:$C$145,2,0),"")</f>
        <v/>
      </c>
    </row>
    <row r="380" spans="1:11" ht="15" customHeight="1" x14ac:dyDescent="0.25">
      <c r="A380" s="75">
        <v>21</v>
      </c>
      <c r="B380" s="75">
        <v>209</v>
      </c>
      <c r="C380" s="75" t="s">
        <v>10</v>
      </c>
      <c r="D380" s="75">
        <v>6317</v>
      </c>
      <c r="F380" s="75" t="s">
        <v>10</v>
      </c>
      <c r="H380" s="75" t="s">
        <v>10</v>
      </c>
      <c r="I380" s="75">
        <v>19489</v>
      </c>
      <c r="J380" s="75" t="s">
        <v>111</v>
      </c>
      <c r="K380" s="75" t="str">
        <f>IFERROR(VLOOKUP(J380,'NQ10'!$B$9:$C$145,2,0),"")</f>
        <v/>
      </c>
    </row>
    <row r="381" spans="1:11" ht="15" customHeight="1" x14ac:dyDescent="0.25">
      <c r="A381" s="75">
        <v>0</v>
      </c>
      <c r="C381" s="75" t="s">
        <v>10</v>
      </c>
      <c r="D381" s="75">
        <v>3763</v>
      </c>
      <c r="F381" s="75" t="s">
        <v>10</v>
      </c>
      <c r="H381" s="75" t="s">
        <v>10</v>
      </c>
      <c r="I381" s="75">
        <v>19489</v>
      </c>
      <c r="J381" s="75" t="s">
        <v>494</v>
      </c>
      <c r="K381" s="75" t="str">
        <f>IFERROR(VLOOKUP(J381,'NQ10'!$B$9:$C$145,2,0),"")</f>
        <v/>
      </c>
    </row>
    <row r="382" spans="1:11" ht="15" customHeight="1" x14ac:dyDescent="0.25">
      <c r="A382" s="75">
        <v>15</v>
      </c>
      <c r="C382" s="75" t="s">
        <v>10</v>
      </c>
      <c r="D382" s="75">
        <v>1930</v>
      </c>
      <c r="F382" s="75" t="s">
        <v>10</v>
      </c>
      <c r="H382" s="75" t="s">
        <v>475</v>
      </c>
      <c r="I382" s="75">
        <v>19489</v>
      </c>
      <c r="J382" s="75" t="s">
        <v>205</v>
      </c>
      <c r="K382" s="75" t="str">
        <f>IFERROR(VLOOKUP(J382,'NQ10'!$B$9:$C$145,2,0),"")</f>
        <v>A Xóc Lìa</v>
      </c>
    </row>
    <row r="383" spans="1:11" ht="15" customHeight="1" x14ac:dyDescent="0.25">
      <c r="A383" s="75">
        <v>15</v>
      </c>
      <c r="C383" s="75" t="s">
        <v>10</v>
      </c>
      <c r="D383" s="75">
        <v>2586</v>
      </c>
      <c r="F383" s="75" t="s">
        <v>10</v>
      </c>
      <c r="H383" s="75" t="s">
        <v>475</v>
      </c>
      <c r="I383" s="75">
        <v>19489</v>
      </c>
      <c r="J383" s="75" t="s">
        <v>205</v>
      </c>
      <c r="K383" s="75" t="str">
        <f>IFERROR(VLOOKUP(J383,'NQ10'!$B$9:$C$145,2,0),"")</f>
        <v>A Xóc Lìa</v>
      </c>
    </row>
    <row r="384" spans="1:11" ht="15" customHeight="1" x14ac:dyDescent="0.25">
      <c r="A384" s="75">
        <v>15</v>
      </c>
      <c r="B384" s="75">
        <v>92</v>
      </c>
      <c r="C384" s="75" t="s">
        <v>10</v>
      </c>
      <c r="D384" s="75">
        <v>4749</v>
      </c>
      <c r="F384" s="75" t="s">
        <v>10</v>
      </c>
      <c r="H384" s="75" t="s">
        <v>10</v>
      </c>
      <c r="I384" s="75">
        <v>19489</v>
      </c>
      <c r="J384" s="75" t="s">
        <v>205</v>
      </c>
      <c r="K384" s="75" t="str">
        <f>IFERROR(VLOOKUP(J384,'NQ10'!$B$9:$C$145,2,0),"")</f>
        <v>A Xóc Lìa</v>
      </c>
    </row>
    <row r="385" spans="1:11" ht="15" customHeight="1" x14ac:dyDescent="0.25">
      <c r="A385" s="75">
        <v>21</v>
      </c>
      <c r="B385" s="75">
        <v>210</v>
      </c>
      <c r="C385" s="75" t="s">
        <v>10</v>
      </c>
      <c r="D385" s="75">
        <v>12375</v>
      </c>
      <c r="F385" s="75" t="s">
        <v>10</v>
      </c>
      <c r="H385" s="75" t="s">
        <v>307</v>
      </c>
      <c r="I385" s="75">
        <v>19489</v>
      </c>
      <c r="J385" s="75" t="s">
        <v>112</v>
      </c>
      <c r="K385" s="75" t="str">
        <f>IFERROR(VLOOKUP(J385,'NQ10'!$B$9:$C$145,2,0),"")</f>
        <v/>
      </c>
    </row>
    <row r="386" spans="1:11" ht="15" customHeight="1" x14ac:dyDescent="0.25">
      <c r="A386" s="75">
        <v>21</v>
      </c>
      <c r="B386" s="75">
        <v>211</v>
      </c>
      <c r="C386" s="75" t="s">
        <v>10</v>
      </c>
      <c r="D386" s="75">
        <v>2199</v>
      </c>
      <c r="F386" s="75" t="s">
        <v>10</v>
      </c>
      <c r="H386" s="75" t="s">
        <v>10</v>
      </c>
      <c r="I386" s="75">
        <v>19489</v>
      </c>
      <c r="J386" s="75" t="s">
        <v>113</v>
      </c>
      <c r="K386" s="75" t="str">
        <f>IFERROR(VLOOKUP(J386,'NQ10'!$B$9:$C$145,2,0),"")</f>
        <v/>
      </c>
    </row>
    <row r="387" spans="1:11" ht="15" customHeight="1" x14ac:dyDescent="0.25">
      <c r="A387" s="75">
        <v>21</v>
      </c>
      <c r="B387" s="75">
        <v>212</v>
      </c>
      <c r="C387" s="75" t="s">
        <v>10</v>
      </c>
      <c r="D387" s="75">
        <v>2395</v>
      </c>
      <c r="F387" s="75" t="s">
        <v>10</v>
      </c>
      <c r="H387" s="75" t="s">
        <v>541</v>
      </c>
      <c r="I387" s="75">
        <v>19489</v>
      </c>
      <c r="J387" s="75" t="s">
        <v>113</v>
      </c>
      <c r="K387" s="75" t="str">
        <f>IFERROR(VLOOKUP(J387,'NQ10'!$B$9:$C$145,2,0),"")</f>
        <v/>
      </c>
    </row>
    <row r="388" spans="1:11" ht="15" customHeight="1" x14ac:dyDescent="0.25">
      <c r="A388" s="75">
        <v>38</v>
      </c>
      <c r="C388" s="75" t="s">
        <v>10</v>
      </c>
      <c r="D388" s="75">
        <v>3791</v>
      </c>
      <c r="F388" s="75" t="s">
        <v>10</v>
      </c>
      <c r="H388" s="75" t="s">
        <v>541</v>
      </c>
      <c r="I388" s="75">
        <v>19489</v>
      </c>
      <c r="J388" s="75" t="s">
        <v>113</v>
      </c>
      <c r="K388" s="75" t="str">
        <f>IFERROR(VLOOKUP(J388,'NQ10'!$B$9:$C$145,2,0),"")</f>
        <v/>
      </c>
    </row>
    <row r="389" spans="1:11" ht="15" customHeight="1" x14ac:dyDescent="0.25">
      <c r="A389" s="75">
        <v>0</v>
      </c>
      <c r="C389" s="75" t="s">
        <v>10</v>
      </c>
      <c r="D389" s="75">
        <v>6874</v>
      </c>
      <c r="F389" s="75" t="s">
        <v>10</v>
      </c>
      <c r="H389" s="75" t="s">
        <v>407</v>
      </c>
      <c r="I389" s="75">
        <v>19489</v>
      </c>
      <c r="J389" s="75" t="s">
        <v>114</v>
      </c>
      <c r="K389" s="75" t="str">
        <f>IFERROR(VLOOKUP(J389,'NQ10'!$B$9:$C$145,2,0),"")</f>
        <v/>
      </c>
    </row>
    <row r="390" spans="1:11" ht="15" customHeight="1" x14ac:dyDescent="0.25">
      <c r="A390" s="75">
        <v>32</v>
      </c>
      <c r="C390" s="75" t="s">
        <v>10</v>
      </c>
      <c r="D390" s="75">
        <v>10272</v>
      </c>
      <c r="F390" s="75" t="s">
        <v>10</v>
      </c>
      <c r="H390" s="75" t="s">
        <v>407</v>
      </c>
      <c r="I390" s="75">
        <v>19489</v>
      </c>
      <c r="J390" s="75" t="s">
        <v>114</v>
      </c>
      <c r="K390" s="75" t="str">
        <f>IFERROR(VLOOKUP(J390,'NQ10'!$B$9:$C$145,2,0),"")</f>
        <v/>
      </c>
    </row>
    <row r="391" spans="1:11" ht="15" customHeight="1" x14ac:dyDescent="0.25">
      <c r="A391" s="75">
        <v>32</v>
      </c>
      <c r="B391" s="75">
        <v>207</v>
      </c>
      <c r="C391" s="75" t="s">
        <v>10</v>
      </c>
      <c r="D391" s="75">
        <v>7778</v>
      </c>
      <c r="F391" s="75" t="s">
        <v>10</v>
      </c>
      <c r="H391" s="75" t="s">
        <v>407</v>
      </c>
      <c r="I391" s="75">
        <v>19489</v>
      </c>
      <c r="J391" s="75" t="s">
        <v>114</v>
      </c>
      <c r="K391" s="75" t="str">
        <f>IFERROR(VLOOKUP(J391,'NQ10'!$B$9:$C$145,2,0),"")</f>
        <v/>
      </c>
    </row>
    <row r="392" spans="1:11" ht="15" customHeight="1" x14ac:dyDescent="0.25">
      <c r="A392" s="75">
        <v>36</v>
      </c>
      <c r="C392" s="75" t="s">
        <v>10</v>
      </c>
      <c r="D392" s="75">
        <v>10449</v>
      </c>
      <c r="F392" s="75" t="s">
        <v>10</v>
      </c>
      <c r="H392" s="75" t="s">
        <v>407</v>
      </c>
      <c r="I392" s="75">
        <v>19489</v>
      </c>
      <c r="J392" s="75" t="s">
        <v>114</v>
      </c>
      <c r="K392" s="75" t="str">
        <f>IFERROR(VLOOKUP(J392,'NQ10'!$B$9:$C$145,2,0),"")</f>
        <v/>
      </c>
    </row>
    <row r="393" spans="1:11" ht="15" customHeight="1" x14ac:dyDescent="0.25">
      <c r="A393" s="75">
        <v>36</v>
      </c>
      <c r="B393" s="75">
        <v>133</v>
      </c>
      <c r="C393" s="75" t="s">
        <v>10</v>
      </c>
      <c r="D393" s="75">
        <v>4411</v>
      </c>
      <c r="F393" s="75" t="s">
        <v>10</v>
      </c>
      <c r="H393" s="75" t="s">
        <v>407</v>
      </c>
      <c r="I393" s="75">
        <v>19489</v>
      </c>
      <c r="J393" s="75" t="s">
        <v>114</v>
      </c>
      <c r="K393" s="75" t="str">
        <f>IFERROR(VLOOKUP(J393,'NQ10'!$B$9:$C$145,2,0),"")</f>
        <v/>
      </c>
    </row>
    <row r="394" spans="1:11" ht="15" customHeight="1" x14ac:dyDescent="0.25">
      <c r="A394" s="75">
        <v>32</v>
      </c>
      <c r="C394" s="75" t="s">
        <v>10</v>
      </c>
      <c r="D394" s="75">
        <v>4840</v>
      </c>
      <c r="F394" s="75" t="s">
        <v>10</v>
      </c>
      <c r="H394" s="75" t="s">
        <v>407</v>
      </c>
      <c r="I394" s="75">
        <v>19489</v>
      </c>
      <c r="J394" s="75" t="s">
        <v>551</v>
      </c>
      <c r="K394" s="75" t="str">
        <f>IFERROR(VLOOKUP(J394,'NQ10'!$B$9:$C$145,2,0),"")</f>
        <v/>
      </c>
    </row>
    <row r="395" spans="1:11" ht="15" customHeight="1" x14ac:dyDescent="0.25">
      <c r="A395" s="75">
        <v>36</v>
      </c>
      <c r="C395" s="75" t="s">
        <v>10</v>
      </c>
      <c r="D395" s="75">
        <v>5999</v>
      </c>
      <c r="F395" s="75" t="s">
        <v>10</v>
      </c>
      <c r="H395" s="75" t="s">
        <v>407</v>
      </c>
      <c r="I395" s="75">
        <v>19489</v>
      </c>
      <c r="J395" s="75" t="s">
        <v>551</v>
      </c>
      <c r="K395" s="75" t="str">
        <f>IFERROR(VLOOKUP(J395,'NQ10'!$B$9:$C$145,2,0),"")</f>
        <v/>
      </c>
    </row>
    <row r="396" spans="1:11" ht="15" customHeight="1" x14ac:dyDescent="0.25">
      <c r="A396" s="75">
        <v>36</v>
      </c>
      <c r="C396" s="75" t="s">
        <v>10</v>
      </c>
      <c r="D396" s="75">
        <v>4955</v>
      </c>
      <c r="F396" s="75" t="s">
        <v>10</v>
      </c>
      <c r="H396" s="75" t="s">
        <v>407</v>
      </c>
      <c r="I396" s="75">
        <v>19489</v>
      </c>
      <c r="J396" s="75" t="s">
        <v>551</v>
      </c>
      <c r="K396" s="75" t="str">
        <f>IFERROR(VLOOKUP(J396,'NQ10'!$B$9:$C$145,2,0),"")</f>
        <v/>
      </c>
    </row>
    <row r="397" spans="1:11" ht="15" customHeight="1" x14ac:dyDescent="0.25">
      <c r="A397" s="75">
        <v>1</v>
      </c>
      <c r="C397" s="75" t="s">
        <v>10</v>
      </c>
      <c r="D397" s="75">
        <v>2943</v>
      </c>
      <c r="F397" s="75" t="s">
        <v>10</v>
      </c>
      <c r="H397" s="75" t="s">
        <v>475</v>
      </c>
      <c r="I397" s="75">
        <v>19489</v>
      </c>
      <c r="J397" s="75" t="s">
        <v>394</v>
      </c>
      <c r="K397" s="75" t="str">
        <f>IFERROR(VLOOKUP(J397,'NQ10'!$B$9:$C$145,2,0),"")</f>
        <v/>
      </c>
    </row>
    <row r="398" spans="1:11" ht="15" customHeight="1" x14ac:dyDescent="0.25">
      <c r="A398" s="75">
        <v>15</v>
      </c>
      <c r="C398" s="75" t="s">
        <v>10</v>
      </c>
      <c r="D398" s="75">
        <v>4350</v>
      </c>
      <c r="F398" s="75" t="s">
        <v>10</v>
      </c>
      <c r="H398" s="75" t="s">
        <v>475</v>
      </c>
      <c r="I398" s="75">
        <v>19489</v>
      </c>
      <c r="J398" s="75" t="s">
        <v>394</v>
      </c>
      <c r="K398" s="75" t="str">
        <f>IFERROR(VLOOKUP(J398,'NQ10'!$B$9:$C$145,2,0),"")</f>
        <v/>
      </c>
    </row>
    <row r="399" spans="1:11" ht="15" customHeight="1" x14ac:dyDescent="0.25">
      <c r="A399" s="75">
        <v>21</v>
      </c>
      <c r="C399" s="75" t="s">
        <v>10</v>
      </c>
      <c r="D399" s="75">
        <v>10256</v>
      </c>
      <c r="F399" s="75" t="s">
        <v>10</v>
      </c>
      <c r="H399" s="75" t="s">
        <v>171</v>
      </c>
      <c r="I399" s="75">
        <v>19489</v>
      </c>
      <c r="J399" s="75" t="s">
        <v>539</v>
      </c>
      <c r="K399" s="75" t="str">
        <f>IFERROR(VLOOKUP(J399,'NQ10'!$B$9:$C$145,2,0),"")</f>
        <v/>
      </c>
    </row>
    <row r="400" spans="1:11" ht="15" customHeight="1" x14ac:dyDescent="0.25">
      <c r="A400" s="75">
        <v>21</v>
      </c>
      <c r="B400" s="75">
        <v>215</v>
      </c>
      <c r="C400" s="75" t="s">
        <v>10</v>
      </c>
      <c r="D400" s="75">
        <v>15445</v>
      </c>
      <c r="F400" s="75" t="s">
        <v>10</v>
      </c>
      <c r="H400" s="75" t="s">
        <v>10</v>
      </c>
      <c r="I400" s="75">
        <v>19489</v>
      </c>
      <c r="J400" s="75" t="s">
        <v>115</v>
      </c>
      <c r="K400" s="75" t="str">
        <f>IFERROR(VLOOKUP(J400,'NQ10'!$B$9:$C$145,2,0),"")</f>
        <v/>
      </c>
    </row>
    <row r="401" spans="1:11" ht="15" customHeight="1" x14ac:dyDescent="0.25">
      <c r="A401" s="75">
        <v>21</v>
      </c>
      <c r="B401" s="75">
        <v>216</v>
      </c>
      <c r="C401" s="75" t="s">
        <v>10</v>
      </c>
      <c r="D401" s="75">
        <v>16737</v>
      </c>
      <c r="F401" s="75" t="s">
        <v>10</v>
      </c>
      <c r="H401" s="75" t="s">
        <v>10</v>
      </c>
      <c r="I401" s="75">
        <v>19489</v>
      </c>
      <c r="J401" s="75" t="s">
        <v>115</v>
      </c>
      <c r="K401" s="75" t="str">
        <f>IFERROR(VLOOKUP(J401,'NQ10'!$B$9:$C$145,2,0),"")</f>
        <v/>
      </c>
    </row>
    <row r="402" spans="1:11" ht="15" customHeight="1" x14ac:dyDescent="0.25">
      <c r="A402" s="75">
        <v>22</v>
      </c>
      <c r="C402" s="75" t="s">
        <v>10</v>
      </c>
      <c r="D402" s="75">
        <v>2990</v>
      </c>
      <c r="F402" s="75" t="s">
        <v>10</v>
      </c>
      <c r="H402" s="75" t="s">
        <v>10</v>
      </c>
      <c r="I402" s="75">
        <v>19489</v>
      </c>
      <c r="J402" s="75" t="s">
        <v>115</v>
      </c>
      <c r="K402" s="75" t="str">
        <f>IFERROR(VLOOKUP(J402,'NQ10'!$B$9:$C$145,2,0),"")</f>
        <v/>
      </c>
    </row>
    <row r="403" spans="1:11" ht="15" customHeight="1" x14ac:dyDescent="0.25">
      <c r="A403" s="75">
        <v>0</v>
      </c>
      <c r="C403" s="75" t="s">
        <v>10</v>
      </c>
      <c r="D403" s="75">
        <v>5897</v>
      </c>
      <c r="F403" s="75" t="s">
        <v>10</v>
      </c>
      <c r="H403" s="75" t="s">
        <v>164</v>
      </c>
      <c r="I403" s="75">
        <v>19489</v>
      </c>
      <c r="J403" s="75" t="s">
        <v>596</v>
      </c>
      <c r="K403" s="75" t="str">
        <f>IFERROR(VLOOKUP(J403,'NQ10'!$B$9:$C$145,2,0),"")</f>
        <v/>
      </c>
    </row>
    <row r="404" spans="1:11" ht="15" customHeight="1" x14ac:dyDescent="0.25">
      <c r="A404" s="75">
        <v>1</v>
      </c>
      <c r="B404" s="75">
        <v>5</v>
      </c>
      <c r="C404" s="75" t="s">
        <v>10</v>
      </c>
      <c r="D404" s="75">
        <v>4218</v>
      </c>
      <c r="F404" s="75" t="s">
        <v>10</v>
      </c>
      <c r="H404" s="75" t="s">
        <v>164</v>
      </c>
      <c r="I404" s="75">
        <v>19489</v>
      </c>
      <c r="J404" s="75" t="s">
        <v>596</v>
      </c>
      <c r="K404" s="75" t="str">
        <f>IFERROR(VLOOKUP(J404,'NQ10'!$B$9:$C$145,2,0),"")</f>
        <v/>
      </c>
    </row>
    <row r="405" spans="1:11" ht="15" customHeight="1" x14ac:dyDescent="0.25">
      <c r="A405" s="75">
        <v>3</v>
      </c>
      <c r="B405" s="75">
        <v>287</v>
      </c>
      <c r="C405" s="75" t="s">
        <v>10</v>
      </c>
      <c r="D405" s="75">
        <v>8422</v>
      </c>
      <c r="F405" s="75" t="s">
        <v>10</v>
      </c>
      <c r="H405" s="75" t="s">
        <v>164</v>
      </c>
      <c r="I405" s="75">
        <v>19489</v>
      </c>
      <c r="J405" s="75" t="s">
        <v>596</v>
      </c>
      <c r="K405" s="75" t="str">
        <f>IFERROR(VLOOKUP(J405,'NQ10'!$B$9:$C$145,2,0),"")</f>
        <v/>
      </c>
    </row>
    <row r="406" spans="1:11" ht="15" customHeight="1" x14ac:dyDescent="0.25">
      <c r="A406" s="75">
        <v>0</v>
      </c>
      <c r="C406" s="75" t="s">
        <v>10</v>
      </c>
      <c r="D406" s="75">
        <v>4684</v>
      </c>
      <c r="F406" s="75" t="s">
        <v>10</v>
      </c>
      <c r="H406" s="75" t="s">
        <v>407</v>
      </c>
      <c r="I406" s="75">
        <v>19489</v>
      </c>
      <c r="J406" s="75" t="s">
        <v>116</v>
      </c>
      <c r="K406" s="75" t="str">
        <f>IFERROR(VLOOKUP(J406,'NQ10'!$B$9:$C$145,2,0),"")</f>
        <v/>
      </c>
    </row>
    <row r="407" spans="1:11" ht="15" customHeight="1" x14ac:dyDescent="0.25">
      <c r="A407" s="75">
        <v>28</v>
      </c>
      <c r="C407" s="75" t="s">
        <v>10</v>
      </c>
      <c r="D407" s="75">
        <v>17904</v>
      </c>
      <c r="F407" s="75" t="s">
        <v>10</v>
      </c>
      <c r="H407" s="75" t="s">
        <v>407</v>
      </c>
      <c r="I407" s="75">
        <v>19489</v>
      </c>
      <c r="J407" s="75" t="s">
        <v>116</v>
      </c>
      <c r="K407" s="75" t="str">
        <f>IFERROR(VLOOKUP(J407,'NQ10'!$B$9:$C$145,2,0),"")</f>
        <v/>
      </c>
    </row>
    <row r="408" spans="1:11" ht="15" customHeight="1" x14ac:dyDescent="0.25">
      <c r="A408" s="75">
        <v>33</v>
      </c>
      <c r="B408" s="75">
        <v>20</v>
      </c>
      <c r="C408" s="75" t="s">
        <v>10</v>
      </c>
      <c r="D408" s="75">
        <v>12133</v>
      </c>
      <c r="F408" s="75" t="s">
        <v>10</v>
      </c>
      <c r="H408" s="75" t="s">
        <v>10</v>
      </c>
      <c r="I408" s="75">
        <v>19489</v>
      </c>
      <c r="J408" s="75" t="s">
        <v>116</v>
      </c>
      <c r="K408" s="75" t="str">
        <f>IFERROR(VLOOKUP(J408,'NQ10'!$B$9:$C$145,2,0),"")</f>
        <v/>
      </c>
    </row>
    <row r="409" spans="1:11" ht="15" customHeight="1" x14ac:dyDescent="0.25">
      <c r="A409" s="75">
        <v>0</v>
      </c>
      <c r="C409" s="75" t="s">
        <v>10</v>
      </c>
      <c r="D409" s="75">
        <v>8574</v>
      </c>
      <c r="F409" s="75" t="s">
        <v>10</v>
      </c>
      <c r="H409" s="75" t="s">
        <v>307</v>
      </c>
      <c r="I409" s="75">
        <v>19489</v>
      </c>
      <c r="J409" s="75" t="s">
        <v>321</v>
      </c>
      <c r="K409" s="75" t="str">
        <f>IFERROR(VLOOKUP(J409,'NQ10'!$B$9:$C$145,2,0),"")</f>
        <v>A Rông</v>
      </c>
    </row>
    <row r="410" spans="1:11" ht="15" customHeight="1" x14ac:dyDescent="0.25">
      <c r="A410" s="75">
        <v>14</v>
      </c>
      <c r="C410" s="75" t="s">
        <v>10</v>
      </c>
      <c r="D410" s="75">
        <v>17274</v>
      </c>
      <c r="F410" s="75" t="s">
        <v>10</v>
      </c>
      <c r="H410" s="75" t="s">
        <v>475</v>
      </c>
      <c r="I410" s="75">
        <v>19489</v>
      </c>
      <c r="J410" s="75" t="s">
        <v>536</v>
      </c>
      <c r="K410" s="75" t="str">
        <f>IFERROR(VLOOKUP(J410,'NQ10'!$B$9:$C$145,2,0),"")</f>
        <v/>
      </c>
    </row>
    <row r="411" spans="1:11" ht="15" customHeight="1" x14ac:dyDescent="0.25">
      <c r="A411" s="75">
        <v>1</v>
      </c>
      <c r="C411" s="75" t="s">
        <v>10</v>
      </c>
      <c r="D411" s="75">
        <v>6664</v>
      </c>
      <c r="F411" s="75" t="s">
        <v>10</v>
      </c>
      <c r="H411" s="75" t="s">
        <v>340</v>
      </c>
      <c r="I411" s="75">
        <v>19489</v>
      </c>
      <c r="J411" s="75" t="s">
        <v>510</v>
      </c>
      <c r="K411" s="75" t="str">
        <f>IFERROR(VLOOKUP(J411,'NQ10'!$B$9:$C$145,2,0),"")</f>
        <v/>
      </c>
    </row>
    <row r="412" spans="1:11" ht="15" customHeight="1" x14ac:dyDescent="0.25">
      <c r="A412" s="75">
        <v>0</v>
      </c>
      <c r="C412" s="75" t="s">
        <v>10</v>
      </c>
      <c r="D412" s="75">
        <v>4319</v>
      </c>
      <c r="F412" s="75" t="s">
        <v>10</v>
      </c>
      <c r="H412" s="75" t="s">
        <v>216</v>
      </c>
      <c r="I412" s="75">
        <v>19489</v>
      </c>
      <c r="J412" s="75" t="s">
        <v>237</v>
      </c>
      <c r="K412" s="75" t="str">
        <f>IFERROR(VLOOKUP(J412,'NQ10'!$B$9:$C$145,2,0),"")</f>
        <v>A Xau</v>
      </c>
    </row>
    <row r="413" spans="1:11" ht="15" customHeight="1" x14ac:dyDescent="0.25">
      <c r="A413" s="75">
        <v>7</v>
      </c>
      <c r="B413" s="75">
        <v>131</v>
      </c>
      <c r="C413" s="75" t="s">
        <v>10</v>
      </c>
      <c r="D413" s="75">
        <v>3706</v>
      </c>
      <c r="F413" s="75" t="s">
        <v>10</v>
      </c>
      <c r="H413" s="75" t="s">
        <v>216</v>
      </c>
      <c r="I413" s="75">
        <v>19489</v>
      </c>
      <c r="J413" s="75" t="s">
        <v>237</v>
      </c>
      <c r="K413" s="75" t="str">
        <f>IFERROR(VLOOKUP(J413,'NQ10'!$B$9:$C$145,2,0),"")</f>
        <v>A Xau</v>
      </c>
    </row>
    <row r="414" spans="1:11" ht="15" customHeight="1" x14ac:dyDescent="0.25">
      <c r="A414" s="75">
        <v>1</v>
      </c>
      <c r="B414" s="75">
        <v>173</v>
      </c>
      <c r="C414" s="75" t="s">
        <v>10</v>
      </c>
      <c r="D414" s="75">
        <v>1276</v>
      </c>
      <c r="F414" s="75" t="s">
        <v>10</v>
      </c>
      <c r="H414" s="75" t="s">
        <v>10</v>
      </c>
      <c r="I414" s="75">
        <v>19489</v>
      </c>
      <c r="J414" s="75" t="s">
        <v>117</v>
      </c>
      <c r="K414" s="75" t="str">
        <f>IFERROR(VLOOKUP(J414,'NQ10'!$B$9:$C$145,2,0),"")</f>
        <v/>
      </c>
    </row>
    <row r="415" spans="1:11" ht="15" customHeight="1" x14ac:dyDescent="0.25">
      <c r="A415" s="75">
        <v>0</v>
      </c>
      <c r="C415" s="75" t="s">
        <v>10</v>
      </c>
      <c r="D415" s="75">
        <v>5922</v>
      </c>
      <c r="F415" s="75" t="s">
        <v>10</v>
      </c>
      <c r="H415" s="75" t="s">
        <v>216</v>
      </c>
      <c r="I415" s="75">
        <v>19489</v>
      </c>
      <c r="J415" s="75" t="s">
        <v>238</v>
      </c>
      <c r="K415" s="75" t="str">
        <f>IFERROR(VLOOKUP(J415,'NQ10'!$B$9:$C$145,2,0),"")</f>
        <v>A Xau</v>
      </c>
    </row>
    <row r="416" spans="1:11" ht="15" customHeight="1" x14ac:dyDescent="0.25">
      <c r="A416" s="75">
        <v>21</v>
      </c>
      <c r="B416" s="75">
        <v>76</v>
      </c>
      <c r="C416" s="75" t="s">
        <v>10</v>
      </c>
      <c r="D416" s="75">
        <v>5273</v>
      </c>
      <c r="F416" s="75" t="s">
        <v>10</v>
      </c>
      <c r="H416" s="75" t="s">
        <v>171</v>
      </c>
      <c r="I416" s="75">
        <v>19489</v>
      </c>
      <c r="J416" s="75" t="s">
        <v>118</v>
      </c>
      <c r="K416" s="75" t="str">
        <f>IFERROR(VLOOKUP(J416,'NQ10'!$B$9:$C$145,2,0),"")</f>
        <v/>
      </c>
    </row>
    <row r="417" spans="1:11" ht="15" customHeight="1" x14ac:dyDescent="0.25">
      <c r="A417" s="75">
        <v>21</v>
      </c>
      <c r="B417" s="75">
        <v>219</v>
      </c>
      <c r="C417" s="75" t="s">
        <v>10</v>
      </c>
      <c r="D417" s="75">
        <v>5502</v>
      </c>
      <c r="F417" s="75" t="s">
        <v>10</v>
      </c>
      <c r="H417" s="75" t="s">
        <v>171</v>
      </c>
      <c r="I417" s="75">
        <v>19489</v>
      </c>
      <c r="J417" s="75" t="s">
        <v>118</v>
      </c>
      <c r="K417" s="75" t="str">
        <f>IFERROR(VLOOKUP(J417,'NQ10'!$B$9:$C$145,2,0),"")</f>
        <v/>
      </c>
    </row>
    <row r="418" spans="1:11" ht="15" customHeight="1" x14ac:dyDescent="0.25">
      <c r="A418" s="75">
        <v>14</v>
      </c>
      <c r="B418" s="75">
        <v>5</v>
      </c>
      <c r="C418" s="75" t="s">
        <v>10</v>
      </c>
      <c r="D418" s="75">
        <v>8784</v>
      </c>
      <c r="F418" s="75" t="s">
        <v>10</v>
      </c>
      <c r="H418" s="75" t="s">
        <v>475</v>
      </c>
      <c r="I418" s="75">
        <v>19489</v>
      </c>
      <c r="J418" s="75" t="s">
        <v>119</v>
      </c>
      <c r="K418" s="75" t="str">
        <f>IFERROR(VLOOKUP(J418,'NQ10'!$B$9:$C$145,2,0),"")</f>
        <v/>
      </c>
    </row>
    <row r="419" spans="1:11" ht="15" customHeight="1" x14ac:dyDescent="0.25">
      <c r="A419" s="75">
        <v>21</v>
      </c>
      <c r="B419" s="75">
        <v>220</v>
      </c>
      <c r="C419" s="75" t="s">
        <v>10</v>
      </c>
      <c r="D419" s="75">
        <v>11197</v>
      </c>
      <c r="F419" s="75" t="s">
        <v>10</v>
      </c>
      <c r="H419" s="75" t="s">
        <v>10</v>
      </c>
      <c r="I419" s="75">
        <v>19489</v>
      </c>
      <c r="J419" s="75" t="s">
        <v>119</v>
      </c>
      <c r="K419" s="75" t="str">
        <f>IFERROR(VLOOKUP(J419,'NQ10'!$B$9:$C$145,2,0),"")</f>
        <v/>
      </c>
    </row>
    <row r="420" spans="1:11" ht="15" customHeight="1" x14ac:dyDescent="0.25">
      <c r="A420" s="75">
        <v>21</v>
      </c>
      <c r="B420" s="75">
        <v>221</v>
      </c>
      <c r="C420" s="75" t="s">
        <v>10</v>
      </c>
      <c r="D420" s="75">
        <v>4587</v>
      </c>
      <c r="F420" s="75" t="s">
        <v>10</v>
      </c>
      <c r="H420" s="75" t="s">
        <v>10</v>
      </c>
      <c r="I420" s="75">
        <v>19489</v>
      </c>
      <c r="J420" s="75" t="s">
        <v>119</v>
      </c>
      <c r="K420" s="75" t="str">
        <f>IFERROR(VLOOKUP(J420,'NQ10'!$B$9:$C$145,2,0),"")</f>
        <v/>
      </c>
    </row>
    <row r="421" spans="1:11" ht="15" customHeight="1" x14ac:dyDescent="0.25">
      <c r="A421" s="75">
        <v>21</v>
      </c>
      <c r="B421" s="75">
        <v>222</v>
      </c>
      <c r="C421" s="75" t="s">
        <v>10</v>
      </c>
      <c r="D421" s="75">
        <v>15748</v>
      </c>
      <c r="F421" s="75" t="s">
        <v>10</v>
      </c>
      <c r="H421" s="75" t="s">
        <v>10</v>
      </c>
      <c r="I421" s="75">
        <v>19489</v>
      </c>
      <c r="J421" s="75" t="s">
        <v>119</v>
      </c>
      <c r="K421" s="75" t="str">
        <f>IFERROR(VLOOKUP(J421,'NQ10'!$B$9:$C$145,2,0),"")</f>
        <v/>
      </c>
    </row>
    <row r="422" spans="1:11" ht="15" customHeight="1" x14ac:dyDescent="0.25">
      <c r="A422" s="75">
        <v>0</v>
      </c>
      <c r="C422" s="75" t="s">
        <v>10</v>
      </c>
      <c r="D422" s="75">
        <v>5654</v>
      </c>
      <c r="F422" s="75" t="s">
        <v>10</v>
      </c>
      <c r="H422" s="75" t="s">
        <v>472</v>
      </c>
      <c r="I422" s="75">
        <v>19489</v>
      </c>
      <c r="J422" s="75" t="s">
        <v>492</v>
      </c>
      <c r="K422" s="75" t="str">
        <f>IFERROR(VLOOKUP(J422,'NQ10'!$B$9:$C$145,2,0),"")</f>
        <v/>
      </c>
    </row>
    <row r="423" spans="1:11" ht="15" customHeight="1" x14ac:dyDescent="0.25">
      <c r="A423" s="75">
        <v>8</v>
      </c>
      <c r="B423" s="75">
        <v>225</v>
      </c>
      <c r="C423" s="75" t="s">
        <v>10</v>
      </c>
      <c r="D423" s="75">
        <v>1886</v>
      </c>
      <c r="F423" s="75" t="s">
        <v>10</v>
      </c>
      <c r="H423" s="75" t="s">
        <v>472</v>
      </c>
      <c r="I423" s="75">
        <v>19489</v>
      </c>
      <c r="J423" s="75" t="s">
        <v>492</v>
      </c>
      <c r="K423" s="75" t="str">
        <f>IFERROR(VLOOKUP(J423,'NQ10'!$B$9:$C$145,2,0),"")</f>
        <v/>
      </c>
    </row>
    <row r="424" spans="1:11" ht="15" customHeight="1" x14ac:dyDescent="0.25">
      <c r="A424" s="75">
        <v>21</v>
      </c>
      <c r="B424" s="75">
        <v>223</v>
      </c>
      <c r="C424" s="75" t="s">
        <v>10</v>
      </c>
      <c r="D424" s="75">
        <v>4096</v>
      </c>
      <c r="F424" s="75" t="s">
        <v>10</v>
      </c>
      <c r="H424" s="75" t="s">
        <v>10</v>
      </c>
      <c r="I424" s="75">
        <v>19489</v>
      </c>
      <c r="J424" s="75" t="s">
        <v>120</v>
      </c>
      <c r="K424" s="75" t="str">
        <f>IFERROR(VLOOKUP(J424,'NQ10'!$B$9:$C$145,2,0),"")</f>
        <v/>
      </c>
    </row>
    <row r="425" spans="1:11" ht="15" customHeight="1" x14ac:dyDescent="0.25">
      <c r="A425" s="75">
        <v>21</v>
      </c>
      <c r="B425" s="75">
        <v>224</v>
      </c>
      <c r="C425" s="75" t="s">
        <v>10</v>
      </c>
      <c r="D425" s="75">
        <v>9294</v>
      </c>
      <c r="F425" s="75" t="s">
        <v>10</v>
      </c>
      <c r="H425" s="75" t="s">
        <v>10</v>
      </c>
      <c r="I425" s="75">
        <v>19489</v>
      </c>
      <c r="J425" s="75" t="s">
        <v>120</v>
      </c>
      <c r="K425" s="75" t="str">
        <f>IFERROR(VLOOKUP(J425,'NQ10'!$B$9:$C$145,2,0),"")</f>
        <v/>
      </c>
    </row>
    <row r="426" spans="1:11" ht="15" customHeight="1" x14ac:dyDescent="0.25">
      <c r="A426" s="75">
        <v>0</v>
      </c>
      <c r="C426" s="75" t="s">
        <v>10</v>
      </c>
      <c r="D426" s="75">
        <v>10445</v>
      </c>
      <c r="F426" s="75" t="s">
        <v>10</v>
      </c>
      <c r="H426" s="75" t="s">
        <v>472</v>
      </c>
      <c r="I426" s="75">
        <v>19489</v>
      </c>
      <c r="J426" s="75" t="s">
        <v>199</v>
      </c>
      <c r="K426" s="75" t="str">
        <f>IFERROR(VLOOKUP(J426,'NQ10'!$B$9:$C$145,2,0),"")</f>
        <v>A Xóc Lìa</v>
      </c>
    </row>
    <row r="427" spans="1:11" ht="15" customHeight="1" x14ac:dyDescent="0.25">
      <c r="A427" s="75">
        <v>0</v>
      </c>
      <c r="C427" s="75" t="s">
        <v>10</v>
      </c>
      <c r="D427" s="75">
        <v>7636</v>
      </c>
      <c r="F427" s="75" t="s">
        <v>10</v>
      </c>
      <c r="H427" s="75" t="s">
        <v>472</v>
      </c>
      <c r="I427" s="75">
        <v>19489</v>
      </c>
      <c r="J427" s="75" t="s">
        <v>402</v>
      </c>
      <c r="K427" s="75" t="str">
        <f>IFERROR(VLOOKUP(J427,'NQ10'!$B$9:$C$145,2,0),"")</f>
        <v/>
      </c>
    </row>
    <row r="428" spans="1:11" ht="15" customHeight="1" x14ac:dyDescent="0.25">
      <c r="A428" s="75">
        <v>36</v>
      </c>
      <c r="C428" s="75" t="s">
        <v>10</v>
      </c>
      <c r="D428" s="75">
        <v>14670</v>
      </c>
      <c r="F428" s="75" t="s">
        <v>10</v>
      </c>
      <c r="H428" s="75" t="s">
        <v>472</v>
      </c>
      <c r="I428" s="75">
        <v>19489</v>
      </c>
      <c r="J428" s="75" t="s">
        <v>402</v>
      </c>
      <c r="K428" s="75" t="str">
        <f>IFERROR(VLOOKUP(J428,'NQ10'!$B$9:$C$145,2,0),"")</f>
        <v/>
      </c>
    </row>
    <row r="429" spans="1:11" ht="15" customHeight="1" x14ac:dyDescent="0.25">
      <c r="A429" s="75">
        <v>1</v>
      </c>
      <c r="C429" s="75" t="s">
        <v>10</v>
      </c>
      <c r="D429" s="75">
        <v>10814</v>
      </c>
      <c r="F429" s="75" t="s">
        <v>10</v>
      </c>
      <c r="H429" s="75" t="s">
        <v>216</v>
      </c>
      <c r="I429" s="75">
        <v>19489</v>
      </c>
      <c r="J429" s="75" t="s">
        <v>372</v>
      </c>
      <c r="K429" s="75" t="str">
        <f>IFERROR(VLOOKUP(J429,'NQ10'!$B$9:$C$145,2,0),"")</f>
        <v/>
      </c>
    </row>
    <row r="430" spans="1:11" ht="15" customHeight="1" x14ac:dyDescent="0.25">
      <c r="A430" s="75">
        <v>25</v>
      </c>
      <c r="C430" s="75" t="s">
        <v>10</v>
      </c>
      <c r="D430" s="75">
        <v>6559</v>
      </c>
      <c r="F430" s="75" t="s">
        <v>10</v>
      </c>
      <c r="H430" s="75" t="s">
        <v>216</v>
      </c>
      <c r="I430" s="75">
        <v>19489</v>
      </c>
      <c r="J430" s="75" t="s">
        <v>372</v>
      </c>
      <c r="K430" s="75" t="str">
        <f>IFERROR(VLOOKUP(J430,'NQ10'!$B$9:$C$145,2,0),"")</f>
        <v/>
      </c>
    </row>
    <row r="431" spans="1:11" ht="15" customHeight="1" x14ac:dyDescent="0.25">
      <c r="A431" s="75">
        <v>1</v>
      </c>
      <c r="B431" s="75">
        <v>530</v>
      </c>
      <c r="C431" s="75" t="s">
        <v>10</v>
      </c>
      <c r="D431" s="75">
        <v>16606</v>
      </c>
      <c r="F431" s="75" t="s">
        <v>10</v>
      </c>
      <c r="H431" s="75" t="s">
        <v>472</v>
      </c>
      <c r="I431" s="75">
        <v>19489</v>
      </c>
      <c r="J431" s="75" t="s">
        <v>403</v>
      </c>
      <c r="K431" s="75" t="str">
        <f>IFERROR(VLOOKUP(J431,'NQ10'!$B$9:$C$145,2,0),"")</f>
        <v/>
      </c>
    </row>
    <row r="432" spans="1:11" ht="15" customHeight="1" x14ac:dyDescent="0.25">
      <c r="A432" s="75">
        <v>21</v>
      </c>
      <c r="B432" s="75">
        <v>225</v>
      </c>
      <c r="C432" s="75" t="s">
        <v>10</v>
      </c>
      <c r="D432" s="75">
        <v>8882</v>
      </c>
      <c r="F432" s="75" t="s">
        <v>10</v>
      </c>
      <c r="H432" s="75" t="s">
        <v>10</v>
      </c>
      <c r="I432" s="75">
        <v>19489</v>
      </c>
      <c r="J432" s="75" t="s">
        <v>121</v>
      </c>
      <c r="K432" s="75" t="str">
        <f>IFERROR(VLOOKUP(J432,'NQ10'!$B$9:$C$145,2,0),"")</f>
        <v/>
      </c>
    </row>
    <row r="433" spans="1:11" ht="15" customHeight="1" x14ac:dyDescent="0.25">
      <c r="A433" s="75">
        <v>32</v>
      </c>
      <c r="B433" s="75">
        <v>119</v>
      </c>
      <c r="C433" s="75" t="s">
        <v>10</v>
      </c>
      <c r="D433" s="75">
        <v>6114</v>
      </c>
      <c r="F433" s="75" t="s">
        <v>10</v>
      </c>
      <c r="H433" s="75" t="s">
        <v>10</v>
      </c>
      <c r="I433" s="75">
        <v>19489</v>
      </c>
      <c r="J433" s="75" t="s">
        <v>121</v>
      </c>
      <c r="K433" s="75" t="str">
        <f>IFERROR(VLOOKUP(J433,'NQ10'!$B$9:$C$145,2,0),"")</f>
        <v/>
      </c>
    </row>
    <row r="434" spans="1:11" ht="15" customHeight="1" x14ac:dyDescent="0.25">
      <c r="A434" s="75">
        <v>33</v>
      </c>
      <c r="B434" s="75">
        <v>6</v>
      </c>
      <c r="C434" s="75" t="s">
        <v>10</v>
      </c>
      <c r="D434" s="75">
        <v>5746</v>
      </c>
      <c r="F434" s="75" t="s">
        <v>10</v>
      </c>
      <c r="H434" s="75" t="s">
        <v>10</v>
      </c>
      <c r="I434" s="75">
        <v>19489</v>
      </c>
      <c r="J434" s="75" t="s">
        <v>121</v>
      </c>
      <c r="K434" s="75" t="str">
        <f>IFERROR(VLOOKUP(J434,'NQ10'!$B$9:$C$145,2,0),"")</f>
        <v/>
      </c>
    </row>
    <row r="435" spans="1:11" ht="15" customHeight="1" x14ac:dyDescent="0.25">
      <c r="A435" s="75">
        <v>3</v>
      </c>
      <c r="B435" s="75">
        <v>234</v>
      </c>
      <c r="C435" s="75" t="s">
        <v>10</v>
      </c>
      <c r="D435" s="75">
        <v>1993</v>
      </c>
      <c r="F435" s="75" t="s">
        <v>10</v>
      </c>
      <c r="H435" s="75" t="s">
        <v>164</v>
      </c>
      <c r="I435" s="75">
        <v>19489</v>
      </c>
      <c r="J435" s="75" t="s">
        <v>122</v>
      </c>
      <c r="K435" s="75" t="str">
        <f>IFERROR(VLOOKUP(J435,'NQ10'!$B$9:$C$145,2,0),"")</f>
        <v/>
      </c>
    </row>
    <row r="436" spans="1:11" ht="15" customHeight="1" x14ac:dyDescent="0.25">
      <c r="A436" s="75">
        <v>21</v>
      </c>
      <c r="B436" s="75">
        <v>226</v>
      </c>
      <c r="C436" s="75" t="s">
        <v>10</v>
      </c>
      <c r="D436" s="75">
        <v>6911</v>
      </c>
      <c r="F436" s="75" t="s">
        <v>10</v>
      </c>
      <c r="H436" s="75" t="s">
        <v>10</v>
      </c>
      <c r="I436" s="75">
        <v>19489</v>
      </c>
      <c r="J436" s="75" t="s">
        <v>122</v>
      </c>
      <c r="K436" s="75" t="str">
        <f>IFERROR(VLOOKUP(J436,'NQ10'!$B$9:$C$145,2,0),"")</f>
        <v/>
      </c>
    </row>
    <row r="437" spans="1:11" ht="15" customHeight="1" x14ac:dyDescent="0.25">
      <c r="A437" s="75">
        <v>21</v>
      </c>
      <c r="B437" s="75">
        <v>227</v>
      </c>
      <c r="C437" s="75" t="s">
        <v>10</v>
      </c>
      <c r="D437" s="75">
        <v>8079</v>
      </c>
      <c r="F437" s="75" t="s">
        <v>10</v>
      </c>
      <c r="H437" s="75" t="s">
        <v>10</v>
      </c>
      <c r="I437" s="75">
        <v>19489</v>
      </c>
      <c r="J437" s="75" t="s">
        <v>122</v>
      </c>
      <c r="K437" s="75" t="str">
        <f>IFERROR(VLOOKUP(J437,'NQ10'!$B$9:$C$145,2,0),"")</f>
        <v/>
      </c>
    </row>
    <row r="438" spans="1:11" ht="15" customHeight="1" x14ac:dyDescent="0.25">
      <c r="A438" s="75">
        <v>21</v>
      </c>
      <c r="B438" s="75">
        <v>228</v>
      </c>
      <c r="C438" s="75" t="s">
        <v>10</v>
      </c>
      <c r="D438" s="75">
        <v>10604</v>
      </c>
      <c r="F438" s="75" t="s">
        <v>10</v>
      </c>
      <c r="H438" s="75" t="s">
        <v>10</v>
      </c>
      <c r="I438" s="75">
        <v>19489</v>
      </c>
      <c r="J438" s="75" t="s">
        <v>122</v>
      </c>
      <c r="K438" s="75" t="str">
        <f>IFERROR(VLOOKUP(J438,'NQ10'!$B$9:$C$145,2,0),"")</f>
        <v/>
      </c>
    </row>
    <row r="439" spans="1:11" ht="15" customHeight="1" x14ac:dyDescent="0.25">
      <c r="A439" s="75">
        <v>32</v>
      </c>
      <c r="C439" s="75" t="s">
        <v>10</v>
      </c>
      <c r="D439" s="75">
        <v>3631</v>
      </c>
      <c r="F439" s="75" t="s">
        <v>10</v>
      </c>
      <c r="H439" s="75" t="s">
        <v>10</v>
      </c>
      <c r="I439" s="75">
        <v>19489</v>
      </c>
      <c r="J439" s="75" t="s">
        <v>122</v>
      </c>
      <c r="K439" s="75" t="str">
        <f>IFERROR(VLOOKUP(J439,'NQ10'!$B$9:$C$145,2,0),"")</f>
        <v/>
      </c>
    </row>
    <row r="440" spans="1:11" ht="15" customHeight="1" x14ac:dyDescent="0.25">
      <c r="A440" s="75">
        <v>25</v>
      </c>
      <c r="C440" s="75" t="s">
        <v>10</v>
      </c>
      <c r="D440" s="75">
        <v>14735</v>
      </c>
      <c r="F440" s="75" t="s">
        <v>10</v>
      </c>
      <c r="H440" s="75" t="s">
        <v>10</v>
      </c>
      <c r="I440" s="75">
        <v>19489</v>
      </c>
      <c r="J440" s="75" t="s">
        <v>451</v>
      </c>
      <c r="K440" s="75" t="str">
        <f>IFERROR(VLOOKUP(J440,'NQ10'!$B$9:$C$145,2,0),"")</f>
        <v/>
      </c>
    </row>
    <row r="441" spans="1:11" ht="15" customHeight="1" x14ac:dyDescent="0.25">
      <c r="A441" s="75">
        <v>21</v>
      </c>
      <c r="B441" s="75">
        <v>254</v>
      </c>
      <c r="C441" s="75" t="s">
        <v>10</v>
      </c>
      <c r="D441" s="75">
        <v>5084</v>
      </c>
      <c r="F441" s="75" t="s">
        <v>10</v>
      </c>
      <c r="H441" s="75" t="s">
        <v>10</v>
      </c>
      <c r="I441" s="75">
        <v>19489</v>
      </c>
      <c r="J441" s="75" t="s">
        <v>123</v>
      </c>
      <c r="K441" s="75" t="str">
        <f>IFERROR(VLOOKUP(J441,'NQ10'!$B$9:$C$145,2,0),"")</f>
        <v/>
      </c>
    </row>
    <row r="442" spans="1:11" ht="15" customHeight="1" x14ac:dyDescent="0.25">
      <c r="A442" s="75">
        <v>0</v>
      </c>
      <c r="C442" s="75" t="s">
        <v>10</v>
      </c>
      <c r="D442" s="75">
        <v>4781</v>
      </c>
      <c r="F442" s="75" t="s">
        <v>10</v>
      </c>
      <c r="H442" s="75" t="s">
        <v>472</v>
      </c>
      <c r="I442" s="75">
        <v>19489</v>
      </c>
      <c r="J442" s="75" t="s">
        <v>399</v>
      </c>
      <c r="K442" s="75" t="str">
        <f>IFERROR(VLOOKUP(J442,'NQ10'!$B$9:$C$145,2,0),"")</f>
        <v/>
      </c>
    </row>
    <row r="443" spans="1:11" ht="15" customHeight="1" x14ac:dyDescent="0.25">
      <c r="A443" s="75">
        <v>1</v>
      </c>
      <c r="B443" s="75">
        <v>532</v>
      </c>
      <c r="C443" s="75" t="s">
        <v>10</v>
      </c>
      <c r="D443" s="75">
        <v>2793</v>
      </c>
      <c r="F443" s="75" t="s">
        <v>10</v>
      </c>
      <c r="H443" s="75" t="s">
        <v>472</v>
      </c>
      <c r="I443" s="75">
        <v>19489</v>
      </c>
      <c r="J443" s="75" t="s">
        <v>399</v>
      </c>
      <c r="K443" s="75" t="str">
        <f>IFERROR(VLOOKUP(J443,'NQ10'!$B$9:$C$145,2,0),"")</f>
        <v/>
      </c>
    </row>
    <row r="444" spans="1:11" ht="15" customHeight="1" x14ac:dyDescent="0.25">
      <c r="A444" s="75">
        <v>8</v>
      </c>
      <c r="B444" s="75">
        <v>11</v>
      </c>
      <c r="C444" s="75" t="s">
        <v>10</v>
      </c>
      <c r="D444" s="75">
        <v>5876</v>
      </c>
      <c r="F444" s="75" t="s">
        <v>10</v>
      </c>
      <c r="H444" s="75" t="s">
        <v>472</v>
      </c>
      <c r="I444" s="75">
        <v>19489</v>
      </c>
      <c r="J444" s="75" t="s">
        <v>399</v>
      </c>
      <c r="K444" s="75" t="str">
        <f>IFERROR(VLOOKUP(J444,'NQ10'!$B$9:$C$145,2,0),"")</f>
        <v/>
      </c>
    </row>
    <row r="445" spans="1:11" ht="15" customHeight="1" x14ac:dyDescent="0.25">
      <c r="A445" s="75">
        <v>8</v>
      </c>
      <c r="B445" s="75">
        <v>221</v>
      </c>
      <c r="C445" s="75" t="s">
        <v>10</v>
      </c>
      <c r="D445" s="75">
        <v>2972</v>
      </c>
      <c r="F445" s="75" t="s">
        <v>10</v>
      </c>
      <c r="H445" s="75" t="s">
        <v>472</v>
      </c>
      <c r="I445" s="75">
        <v>19489</v>
      </c>
      <c r="J445" s="75" t="s">
        <v>124</v>
      </c>
      <c r="K445" s="75" t="str">
        <f>IFERROR(VLOOKUP(J445,'NQ10'!$B$9:$C$145,2,0),"")</f>
        <v/>
      </c>
    </row>
    <row r="446" spans="1:11" ht="15" customHeight="1" x14ac:dyDescent="0.25">
      <c r="A446" s="75">
        <v>21</v>
      </c>
      <c r="B446" s="75">
        <v>252</v>
      </c>
      <c r="C446" s="75" t="s">
        <v>10</v>
      </c>
      <c r="D446" s="75">
        <v>16129</v>
      </c>
      <c r="F446" s="75" t="s">
        <v>10</v>
      </c>
      <c r="H446" s="75" t="s">
        <v>10</v>
      </c>
      <c r="I446" s="75">
        <v>19489</v>
      </c>
      <c r="J446" s="75" t="s">
        <v>125</v>
      </c>
      <c r="K446" s="75" t="str">
        <f>IFERROR(VLOOKUP(J446,'NQ10'!$B$9:$C$145,2,0),"")</f>
        <v/>
      </c>
    </row>
    <row r="447" spans="1:11" ht="15" customHeight="1" x14ac:dyDescent="0.25">
      <c r="A447" s="75">
        <v>37</v>
      </c>
      <c r="C447" s="75" t="s">
        <v>10</v>
      </c>
      <c r="D447" s="75">
        <v>9393</v>
      </c>
      <c r="F447" s="75" t="s">
        <v>10</v>
      </c>
      <c r="H447" s="75" t="s">
        <v>541</v>
      </c>
      <c r="I447" s="75">
        <v>19489</v>
      </c>
      <c r="J447" s="75" t="s">
        <v>296</v>
      </c>
      <c r="K447" s="75" t="str">
        <f>IFERROR(VLOOKUP(J447,'NQ10'!$B$9:$C$145,2,0),"")</f>
        <v>A Môr</v>
      </c>
    </row>
    <row r="448" spans="1:11" ht="15" customHeight="1" x14ac:dyDescent="0.25">
      <c r="A448" s="75">
        <v>0</v>
      </c>
      <c r="C448" s="75" t="s">
        <v>10</v>
      </c>
      <c r="D448" s="75">
        <v>4737</v>
      </c>
      <c r="F448" s="75" t="s">
        <v>10</v>
      </c>
      <c r="H448" s="75" t="s">
        <v>472</v>
      </c>
      <c r="I448" s="75">
        <v>19489</v>
      </c>
      <c r="J448" s="75" t="s">
        <v>126</v>
      </c>
      <c r="K448" s="75" t="str">
        <f>IFERROR(VLOOKUP(J448,'NQ10'!$B$9:$C$145,2,0),"")</f>
        <v/>
      </c>
    </row>
    <row r="449" spans="1:11" ht="15" customHeight="1" x14ac:dyDescent="0.25">
      <c r="A449" s="75">
        <v>1</v>
      </c>
      <c r="C449" s="75" t="s">
        <v>10</v>
      </c>
      <c r="D449" s="75">
        <v>8266</v>
      </c>
      <c r="F449" s="75" t="s">
        <v>10</v>
      </c>
      <c r="H449" s="75" t="s">
        <v>472</v>
      </c>
      <c r="I449" s="75">
        <v>19489</v>
      </c>
      <c r="J449" s="75" t="s">
        <v>126</v>
      </c>
      <c r="K449" s="75" t="str">
        <f>IFERROR(VLOOKUP(J449,'NQ10'!$B$9:$C$145,2,0),"")</f>
        <v/>
      </c>
    </row>
    <row r="450" spans="1:11" ht="15" customHeight="1" x14ac:dyDescent="0.25">
      <c r="A450" s="75">
        <v>21</v>
      </c>
      <c r="B450" s="75">
        <v>231</v>
      </c>
      <c r="C450" s="75" t="s">
        <v>10</v>
      </c>
      <c r="D450" s="75">
        <v>13586</v>
      </c>
      <c r="F450" s="75" t="s">
        <v>10</v>
      </c>
      <c r="H450" s="75" t="s">
        <v>10</v>
      </c>
      <c r="I450" s="75">
        <v>19489</v>
      </c>
      <c r="J450" s="75" t="s">
        <v>126</v>
      </c>
      <c r="K450" s="75" t="str">
        <f>IFERROR(VLOOKUP(J450,'NQ10'!$B$9:$C$145,2,0),"")</f>
        <v/>
      </c>
    </row>
    <row r="451" spans="1:11" ht="15" customHeight="1" x14ac:dyDescent="0.25">
      <c r="A451" s="75">
        <v>13</v>
      </c>
      <c r="C451" s="75" t="s">
        <v>10</v>
      </c>
      <c r="D451" s="75">
        <v>11139</v>
      </c>
      <c r="F451" s="75" t="s">
        <v>10</v>
      </c>
      <c r="H451" s="75" t="s">
        <v>475</v>
      </c>
      <c r="I451" s="75">
        <v>19489</v>
      </c>
      <c r="J451" s="75" t="s">
        <v>210</v>
      </c>
      <c r="K451" s="75" t="str">
        <f>IFERROR(VLOOKUP(J451,'NQ10'!$B$9:$C$145,2,0),"")</f>
        <v>A Xóc Lìa</v>
      </c>
    </row>
    <row r="452" spans="1:11" ht="15" customHeight="1" x14ac:dyDescent="0.25">
      <c r="A452" s="75">
        <v>21</v>
      </c>
      <c r="B452" s="75">
        <v>232</v>
      </c>
      <c r="C452" s="75" t="s">
        <v>10</v>
      </c>
      <c r="D452" s="75">
        <v>19463</v>
      </c>
      <c r="F452" s="75" t="s">
        <v>10</v>
      </c>
      <c r="H452" s="75" t="s">
        <v>10</v>
      </c>
      <c r="I452" s="75">
        <v>19489</v>
      </c>
      <c r="J452" s="75" t="s">
        <v>127</v>
      </c>
      <c r="K452" s="75" t="str">
        <f>IFERROR(VLOOKUP(J452,'NQ10'!$B$9:$C$145,2,0),"")</f>
        <v/>
      </c>
    </row>
    <row r="453" spans="1:11" ht="15" customHeight="1" x14ac:dyDescent="0.25">
      <c r="A453" s="75">
        <v>35</v>
      </c>
      <c r="C453" s="75" t="s">
        <v>10</v>
      </c>
      <c r="D453" s="75">
        <v>12437</v>
      </c>
      <c r="F453" s="75" t="s">
        <v>10</v>
      </c>
      <c r="H453" s="75" t="s">
        <v>541</v>
      </c>
      <c r="I453" s="75">
        <v>19489</v>
      </c>
      <c r="J453" s="75" t="s">
        <v>287</v>
      </c>
      <c r="K453" s="75" t="str">
        <f>IFERROR(VLOOKUP(J453,'NQ10'!$B$9:$C$145,2,0),"")</f>
        <v>A Môr</v>
      </c>
    </row>
    <row r="454" spans="1:11" ht="15" customHeight="1" x14ac:dyDescent="0.25">
      <c r="A454" s="75">
        <v>9</v>
      </c>
      <c r="B454" s="75">
        <v>10</v>
      </c>
      <c r="C454" s="75" t="s">
        <v>10</v>
      </c>
      <c r="D454" s="75">
        <v>3850</v>
      </c>
      <c r="F454" s="75" t="s">
        <v>10</v>
      </c>
      <c r="H454" s="75" t="s">
        <v>164</v>
      </c>
      <c r="I454" s="75">
        <v>19489</v>
      </c>
      <c r="J454" s="75" t="s">
        <v>128</v>
      </c>
      <c r="K454" s="75" t="str">
        <f>IFERROR(VLOOKUP(J454,'NQ10'!$B$9:$C$145,2,0),"")</f>
        <v/>
      </c>
    </row>
    <row r="455" spans="1:11" ht="15" customHeight="1" x14ac:dyDescent="0.25">
      <c r="A455" s="75">
        <v>9</v>
      </c>
      <c r="B455" s="75">
        <v>11</v>
      </c>
      <c r="C455" s="75" t="s">
        <v>10</v>
      </c>
      <c r="D455" s="75">
        <v>3609</v>
      </c>
      <c r="F455" s="75" t="s">
        <v>10</v>
      </c>
      <c r="H455" s="75" t="s">
        <v>164</v>
      </c>
      <c r="I455" s="75">
        <v>19489</v>
      </c>
      <c r="J455" s="75" t="s">
        <v>129</v>
      </c>
      <c r="K455" s="75" t="str">
        <f>IFERROR(VLOOKUP(J455,'NQ10'!$B$9:$C$145,2,0),"")</f>
        <v>A Xói Hang</v>
      </c>
    </row>
    <row r="456" spans="1:11" ht="15" customHeight="1" x14ac:dyDescent="0.25">
      <c r="A456" s="75">
        <v>18</v>
      </c>
      <c r="B456" s="75">
        <v>224</v>
      </c>
      <c r="C456" s="75" t="s">
        <v>10</v>
      </c>
      <c r="D456" s="75">
        <v>5076</v>
      </c>
      <c r="F456" s="75" t="s">
        <v>10</v>
      </c>
      <c r="H456" s="75" t="s">
        <v>173</v>
      </c>
      <c r="I456" s="75">
        <v>19489</v>
      </c>
      <c r="J456" s="75" t="s">
        <v>129</v>
      </c>
      <c r="K456" s="75" t="str">
        <f>IFERROR(VLOOKUP(J456,'NQ10'!$B$9:$C$145,2,0),"")</f>
        <v>A Xói Hang</v>
      </c>
    </row>
    <row r="457" spans="1:11" ht="15" customHeight="1" x14ac:dyDescent="0.25">
      <c r="A457" s="75">
        <v>0</v>
      </c>
      <c r="C457" s="75" t="s">
        <v>10</v>
      </c>
      <c r="D457" s="75">
        <v>9804</v>
      </c>
      <c r="F457" s="75" t="s">
        <v>10</v>
      </c>
      <c r="H457" s="75" t="s">
        <v>216</v>
      </c>
      <c r="I457" s="75">
        <v>19489</v>
      </c>
      <c r="J457" s="75" t="s">
        <v>480</v>
      </c>
      <c r="K457" s="75" t="str">
        <f>IFERROR(VLOOKUP(J457,'NQ10'!$B$9:$C$145,2,0),"")</f>
        <v/>
      </c>
    </row>
    <row r="458" spans="1:11" ht="15" customHeight="1" x14ac:dyDescent="0.25">
      <c r="A458" s="75">
        <v>1</v>
      </c>
      <c r="C458" s="75" t="s">
        <v>10</v>
      </c>
      <c r="D458" s="75">
        <v>4701</v>
      </c>
      <c r="F458" s="75" t="s">
        <v>10</v>
      </c>
      <c r="H458" s="75" t="s">
        <v>173</v>
      </c>
      <c r="I458" s="75">
        <v>19489</v>
      </c>
      <c r="J458" s="75" t="s">
        <v>514</v>
      </c>
      <c r="K458" s="75" t="str">
        <f>IFERROR(VLOOKUP(J458,'NQ10'!$B$9:$C$145,2,0),"")</f>
        <v/>
      </c>
    </row>
    <row r="459" spans="1:11" ht="15" customHeight="1" x14ac:dyDescent="0.25">
      <c r="A459" s="75">
        <v>0</v>
      </c>
      <c r="C459" s="75" t="s">
        <v>10</v>
      </c>
      <c r="D459" s="75">
        <v>29836</v>
      </c>
      <c r="F459" s="75" t="s">
        <v>10</v>
      </c>
      <c r="H459" s="75" t="s">
        <v>307</v>
      </c>
      <c r="I459" s="75">
        <v>19489</v>
      </c>
      <c r="J459" s="75" t="s">
        <v>499</v>
      </c>
      <c r="K459" s="75" t="str">
        <f>IFERROR(VLOOKUP(J459,'NQ10'!$B$9:$C$145,2,0),"")</f>
        <v/>
      </c>
    </row>
    <row r="460" spans="1:11" ht="15" customHeight="1" x14ac:dyDescent="0.25">
      <c r="A460" s="75">
        <v>38</v>
      </c>
      <c r="C460" s="75" t="s">
        <v>10</v>
      </c>
      <c r="D460" s="75">
        <v>7767</v>
      </c>
      <c r="F460" s="75" t="s">
        <v>10</v>
      </c>
      <c r="H460" s="75" t="s">
        <v>541</v>
      </c>
      <c r="I460" s="75">
        <v>19489</v>
      </c>
      <c r="J460" s="75" t="s">
        <v>293</v>
      </c>
      <c r="K460" s="75" t="str">
        <f>IFERROR(VLOOKUP(J460,'NQ10'!$B$9:$C$145,2,0),"")</f>
        <v>A Môr</v>
      </c>
    </row>
    <row r="461" spans="1:11" ht="15" customHeight="1" x14ac:dyDescent="0.25">
      <c r="A461" s="75">
        <v>9</v>
      </c>
      <c r="C461" s="75" t="s">
        <v>10</v>
      </c>
      <c r="D461" s="75">
        <v>3648</v>
      </c>
      <c r="F461" s="75" t="s">
        <v>10</v>
      </c>
      <c r="H461" s="75" t="s">
        <v>164</v>
      </c>
      <c r="I461" s="75">
        <v>19489</v>
      </c>
      <c r="J461" s="75" t="s">
        <v>271</v>
      </c>
      <c r="K461" s="75" t="str">
        <f>IFERROR(VLOOKUP(J461,'NQ10'!$B$9:$C$145,2,0),"")</f>
        <v xml:space="preserve"> A Xói Hang</v>
      </c>
    </row>
    <row r="462" spans="1:11" ht="15" customHeight="1" x14ac:dyDescent="0.25">
      <c r="A462" s="75">
        <v>18</v>
      </c>
      <c r="B462" s="75">
        <v>229</v>
      </c>
      <c r="C462" s="75" t="s">
        <v>10</v>
      </c>
      <c r="D462" s="75">
        <v>7575</v>
      </c>
      <c r="F462" s="75" t="s">
        <v>10</v>
      </c>
      <c r="H462" s="75" t="s">
        <v>173</v>
      </c>
      <c r="I462" s="75">
        <v>19489</v>
      </c>
      <c r="J462" s="75" t="s">
        <v>271</v>
      </c>
      <c r="K462" s="75" t="str">
        <f>IFERROR(VLOOKUP(J462,'NQ10'!$B$9:$C$145,2,0),"")</f>
        <v xml:space="preserve"> A Xói Hang</v>
      </c>
    </row>
    <row r="463" spans="1:11" ht="15" customHeight="1" x14ac:dyDescent="0.25">
      <c r="A463" s="75">
        <v>21</v>
      </c>
      <c r="B463" s="75">
        <v>233</v>
      </c>
      <c r="C463" s="75" t="s">
        <v>10</v>
      </c>
      <c r="D463" s="75">
        <v>19045</v>
      </c>
      <c r="F463" s="75" t="s">
        <v>10</v>
      </c>
      <c r="H463" s="75" t="s">
        <v>10</v>
      </c>
      <c r="I463" s="75">
        <v>19489</v>
      </c>
      <c r="J463" s="75" t="s">
        <v>130</v>
      </c>
      <c r="K463" s="75" t="str">
        <f>IFERROR(VLOOKUP(J463,'NQ10'!$B$9:$C$145,2,0),"")</f>
        <v/>
      </c>
    </row>
    <row r="464" spans="1:11" ht="15" customHeight="1" x14ac:dyDescent="0.25">
      <c r="A464" s="75">
        <v>35</v>
      </c>
      <c r="C464" s="75" t="s">
        <v>10</v>
      </c>
      <c r="D464" s="75">
        <v>17507</v>
      </c>
      <c r="F464" s="75" t="s">
        <v>10</v>
      </c>
      <c r="H464" s="75" t="s">
        <v>541</v>
      </c>
      <c r="I464" s="75">
        <v>19489</v>
      </c>
      <c r="J464" s="75" t="s">
        <v>130</v>
      </c>
      <c r="K464" s="75" t="str">
        <f>IFERROR(VLOOKUP(J464,'NQ10'!$B$9:$C$145,2,0),"")</f>
        <v/>
      </c>
    </row>
    <row r="465" spans="1:11" ht="15" customHeight="1" x14ac:dyDescent="0.25">
      <c r="A465" s="75">
        <v>36</v>
      </c>
      <c r="C465" s="75" t="s">
        <v>10</v>
      </c>
      <c r="D465" s="75">
        <v>2052</v>
      </c>
      <c r="F465" s="75" t="s">
        <v>10</v>
      </c>
      <c r="H465" s="75" t="s">
        <v>10</v>
      </c>
      <c r="I465" s="75">
        <v>19489</v>
      </c>
      <c r="J465" s="75" t="s">
        <v>130</v>
      </c>
      <c r="K465" s="75" t="str">
        <f>IFERROR(VLOOKUP(J465,'NQ10'!$B$9:$C$145,2,0),"")</f>
        <v/>
      </c>
    </row>
    <row r="466" spans="1:11" ht="15" customHeight="1" x14ac:dyDescent="0.25">
      <c r="A466" s="75">
        <v>0</v>
      </c>
      <c r="C466" s="75" t="s">
        <v>10</v>
      </c>
      <c r="D466" s="75">
        <v>3325</v>
      </c>
      <c r="F466" s="75" t="s">
        <v>10</v>
      </c>
      <c r="H466" s="75" t="s">
        <v>216</v>
      </c>
      <c r="I466" s="75">
        <v>19489</v>
      </c>
      <c r="J466" s="75" t="s">
        <v>223</v>
      </c>
      <c r="K466" s="75" t="str">
        <f>IFERROR(VLOOKUP(J466,'NQ10'!$B$9:$C$145,2,0),"")</f>
        <v>A Xau</v>
      </c>
    </row>
    <row r="467" spans="1:11" ht="15" customHeight="1" x14ac:dyDescent="0.25">
      <c r="A467" s="75">
        <v>0</v>
      </c>
      <c r="C467" s="75" t="s">
        <v>10</v>
      </c>
      <c r="D467" s="75">
        <v>2367</v>
      </c>
      <c r="F467" s="75" t="s">
        <v>10</v>
      </c>
      <c r="H467" s="75" t="s">
        <v>216</v>
      </c>
      <c r="I467" s="75">
        <v>19489</v>
      </c>
      <c r="J467" s="75" t="s">
        <v>478</v>
      </c>
      <c r="K467" s="75" t="str">
        <f>IFERROR(VLOOKUP(J467,'NQ10'!$B$9:$C$145,2,0),"")</f>
        <v/>
      </c>
    </row>
    <row r="468" spans="1:11" ht="15" customHeight="1" x14ac:dyDescent="0.25">
      <c r="A468" s="75">
        <v>0</v>
      </c>
      <c r="C468" s="75" t="s">
        <v>10</v>
      </c>
      <c r="D468" s="75">
        <v>3003</v>
      </c>
      <c r="F468" s="75" t="s">
        <v>10</v>
      </c>
      <c r="H468" s="75" t="s">
        <v>216</v>
      </c>
      <c r="I468" s="75">
        <v>19489</v>
      </c>
      <c r="J468" s="75" t="s">
        <v>478</v>
      </c>
      <c r="K468" s="75" t="str">
        <f>IFERROR(VLOOKUP(J468,'NQ10'!$B$9:$C$145,2,0),"")</f>
        <v/>
      </c>
    </row>
    <row r="469" spans="1:11" ht="15" customHeight="1" x14ac:dyDescent="0.25">
      <c r="A469" s="75">
        <v>0</v>
      </c>
      <c r="C469" s="75" t="s">
        <v>10</v>
      </c>
      <c r="D469" s="75">
        <v>2900</v>
      </c>
      <c r="F469" s="75" t="s">
        <v>10</v>
      </c>
      <c r="H469" s="75" t="s">
        <v>216</v>
      </c>
      <c r="I469" s="75">
        <v>19489</v>
      </c>
      <c r="J469" s="75" t="s">
        <v>218</v>
      </c>
      <c r="K469" s="75" t="str">
        <f>IFERROR(VLOOKUP(J469,'NQ10'!$B$9:$C$145,2,0),"")</f>
        <v>A Xau</v>
      </c>
    </row>
    <row r="470" spans="1:11" ht="15" customHeight="1" x14ac:dyDescent="0.25">
      <c r="A470" s="75">
        <v>0</v>
      </c>
      <c r="C470" s="75" t="s">
        <v>10</v>
      </c>
      <c r="D470" s="75">
        <v>6753</v>
      </c>
      <c r="F470" s="75" t="s">
        <v>10</v>
      </c>
      <c r="H470" s="75" t="s">
        <v>216</v>
      </c>
      <c r="I470" s="75">
        <v>19489</v>
      </c>
      <c r="J470" s="75" t="s">
        <v>224</v>
      </c>
      <c r="K470" s="75" t="str">
        <f>IFERROR(VLOOKUP(J470,'NQ10'!$B$9:$C$145,2,0),"")</f>
        <v>A Xau</v>
      </c>
    </row>
    <row r="471" spans="1:11" ht="15" customHeight="1" x14ac:dyDescent="0.25">
      <c r="A471" s="75">
        <v>0</v>
      </c>
      <c r="C471" s="75" t="s">
        <v>10</v>
      </c>
      <c r="D471" s="75">
        <v>4013</v>
      </c>
      <c r="F471" s="75" t="s">
        <v>10</v>
      </c>
      <c r="H471" s="75" t="s">
        <v>10</v>
      </c>
      <c r="I471" s="75">
        <v>19489</v>
      </c>
      <c r="J471" s="75" t="s">
        <v>267</v>
      </c>
      <c r="K471" s="75" t="str">
        <f>IFERROR(VLOOKUP(J471,'NQ10'!$B$9:$C$145,2,0),"")</f>
        <v>A Xói Hang</v>
      </c>
    </row>
    <row r="472" spans="1:11" ht="15" customHeight="1" x14ac:dyDescent="0.25">
      <c r="A472" s="75">
        <v>3</v>
      </c>
      <c r="C472" s="75" t="s">
        <v>10</v>
      </c>
      <c r="D472" s="75">
        <v>2900</v>
      </c>
      <c r="F472" s="75" t="s">
        <v>10</v>
      </c>
      <c r="H472" s="75" t="s">
        <v>164</v>
      </c>
      <c r="I472" s="75">
        <v>19489</v>
      </c>
      <c r="J472" s="75" t="s">
        <v>267</v>
      </c>
      <c r="K472" s="75" t="str">
        <f>IFERROR(VLOOKUP(J472,'NQ10'!$B$9:$C$145,2,0),"")</f>
        <v>A Xói Hang</v>
      </c>
    </row>
    <row r="473" spans="1:11" ht="15" customHeight="1" x14ac:dyDescent="0.25">
      <c r="A473" s="75">
        <v>39</v>
      </c>
      <c r="C473" s="75" t="s">
        <v>10</v>
      </c>
      <c r="D473" s="75">
        <v>5528</v>
      </c>
      <c r="F473" s="75" t="s">
        <v>10</v>
      </c>
      <c r="H473" s="75" t="s">
        <v>164</v>
      </c>
      <c r="I473" s="75">
        <v>19489</v>
      </c>
      <c r="J473" s="75" t="s">
        <v>267</v>
      </c>
      <c r="K473" s="75" t="str">
        <f>IFERROR(VLOOKUP(J473,'NQ10'!$B$9:$C$145,2,0),"")</f>
        <v>A Xói Hang</v>
      </c>
    </row>
    <row r="474" spans="1:11" ht="15" customHeight="1" x14ac:dyDescent="0.25">
      <c r="A474" s="75">
        <v>0</v>
      </c>
      <c r="C474" s="75" t="s">
        <v>10</v>
      </c>
      <c r="D474" s="75">
        <v>1254</v>
      </c>
      <c r="F474" s="75" t="s">
        <v>10</v>
      </c>
      <c r="H474" s="75" t="s">
        <v>10</v>
      </c>
      <c r="I474" s="75">
        <v>19489</v>
      </c>
      <c r="J474" s="75" t="s">
        <v>206</v>
      </c>
      <c r="K474" s="75" t="str">
        <f>IFERROR(VLOOKUP(J474,'NQ10'!$B$9:$C$145,2,0),"")</f>
        <v>A Xóc Lìa</v>
      </c>
    </row>
    <row r="475" spans="1:11" ht="15" customHeight="1" x14ac:dyDescent="0.25">
      <c r="A475" s="75">
        <v>7</v>
      </c>
      <c r="B475" s="75">
        <v>8</v>
      </c>
      <c r="C475" s="75" t="s">
        <v>10</v>
      </c>
      <c r="D475" s="75">
        <v>5865</v>
      </c>
      <c r="F475" s="75" t="s">
        <v>10</v>
      </c>
      <c r="H475" s="75" t="s">
        <v>407</v>
      </c>
      <c r="I475" s="75">
        <v>19489</v>
      </c>
      <c r="J475" s="75" t="s">
        <v>131</v>
      </c>
      <c r="K475" s="75" t="str">
        <f>IFERROR(VLOOKUP(J475,'NQ10'!$B$9:$C$145,2,0),"")</f>
        <v/>
      </c>
    </row>
    <row r="476" spans="1:11" ht="15" customHeight="1" x14ac:dyDescent="0.25">
      <c r="A476" s="75">
        <v>32</v>
      </c>
      <c r="C476" s="75" t="s">
        <v>10</v>
      </c>
      <c r="D476" s="75">
        <v>5861</v>
      </c>
      <c r="F476" s="75" t="s">
        <v>10</v>
      </c>
      <c r="H476" s="75" t="s">
        <v>407</v>
      </c>
      <c r="I476" s="75">
        <v>19489</v>
      </c>
      <c r="J476" s="75" t="s">
        <v>131</v>
      </c>
      <c r="K476" s="75" t="str">
        <f>IFERROR(VLOOKUP(J476,'NQ10'!$B$9:$C$145,2,0),"")</f>
        <v/>
      </c>
    </row>
    <row r="477" spans="1:11" ht="15" customHeight="1" x14ac:dyDescent="0.25">
      <c r="A477" s="75">
        <v>21</v>
      </c>
      <c r="B477" s="75">
        <v>234</v>
      </c>
      <c r="C477" s="75" t="s">
        <v>10</v>
      </c>
      <c r="D477" s="75">
        <v>21135</v>
      </c>
      <c r="F477" s="75" t="s">
        <v>10</v>
      </c>
      <c r="H477" s="75" t="s">
        <v>10</v>
      </c>
      <c r="I477" s="75">
        <v>19489</v>
      </c>
      <c r="J477" s="75" t="s">
        <v>132</v>
      </c>
      <c r="K477" s="75" t="str">
        <f>IFERROR(VLOOKUP(J477,'NQ10'!$B$9:$C$145,2,0),"")</f>
        <v/>
      </c>
    </row>
    <row r="478" spans="1:11" ht="15" customHeight="1" x14ac:dyDescent="0.25">
      <c r="A478" s="75">
        <v>1</v>
      </c>
      <c r="B478" s="75">
        <v>274</v>
      </c>
      <c r="C478" s="75" t="s">
        <v>10</v>
      </c>
      <c r="D478" s="75">
        <v>9474</v>
      </c>
      <c r="F478" s="75" t="s">
        <v>10</v>
      </c>
      <c r="H478" s="75" t="s">
        <v>164</v>
      </c>
      <c r="I478" s="75">
        <v>19489</v>
      </c>
      <c r="J478" s="75" t="s">
        <v>517</v>
      </c>
      <c r="K478" s="75" t="str">
        <f>IFERROR(VLOOKUP(J478,'NQ10'!$B$9:$C$145,2,0),"")</f>
        <v/>
      </c>
    </row>
    <row r="479" spans="1:11" ht="15" customHeight="1" x14ac:dyDescent="0.25">
      <c r="A479" s="75">
        <v>21</v>
      </c>
      <c r="C479" s="75" t="s">
        <v>10</v>
      </c>
      <c r="D479" s="75">
        <v>5660</v>
      </c>
      <c r="F479" s="75" t="s">
        <v>10</v>
      </c>
      <c r="H479" s="75" t="s">
        <v>10</v>
      </c>
      <c r="I479" s="75">
        <v>19489</v>
      </c>
      <c r="J479" s="75" t="s">
        <v>538</v>
      </c>
      <c r="K479" s="75" t="str">
        <f>IFERROR(VLOOKUP(J479,'NQ10'!$B$9:$C$145,2,0),"")</f>
        <v/>
      </c>
    </row>
    <row r="480" spans="1:11" ht="15" customHeight="1" x14ac:dyDescent="0.25">
      <c r="A480" s="75">
        <v>3</v>
      </c>
      <c r="B480" s="75">
        <v>265</v>
      </c>
      <c r="C480" s="75" t="s">
        <v>10</v>
      </c>
      <c r="D480" s="75">
        <v>6068</v>
      </c>
      <c r="F480" s="75" t="s">
        <v>10</v>
      </c>
      <c r="H480" s="75" t="s">
        <v>164</v>
      </c>
      <c r="I480" s="75">
        <v>19489</v>
      </c>
      <c r="J480" s="75" t="s">
        <v>133</v>
      </c>
      <c r="K480" s="75" t="str">
        <f>IFERROR(VLOOKUP(J480,'NQ10'!$B$9:$C$145,2,0),"")</f>
        <v/>
      </c>
    </row>
    <row r="481" spans="1:11" ht="15" customHeight="1" x14ac:dyDescent="0.25">
      <c r="A481" s="75">
        <v>8</v>
      </c>
      <c r="C481" s="75" t="s">
        <v>10</v>
      </c>
      <c r="D481" s="75">
        <v>2885</v>
      </c>
      <c r="F481" s="75" t="s">
        <v>10</v>
      </c>
      <c r="H481" s="75" t="s">
        <v>164</v>
      </c>
      <c r="I481" s="75">
        <v>19489</v>
      </c>
      <c r="J481" s="75" t="s">
        <v>133</v>
      </c>
      <c r="K481" s="75" t="str">
        <f>IFERROR(VLOOKUP(J481,'NQ10'!$B$9:$C$145,2,0),"")</f>
        <v/>
      </c>
    </row>
    <row r="482" spans="1:11" ht="15" customHeight="1" x14ac:dyDescent="0.25">
      <c r="A482" s="75">
        <v>8</v>
      </c>
      <c r="B482" s="75">
        <v>189</v>
      </c>
      <c r="C482" s="75" t="s">
        <v>10</v>
      </c>
      <c r="D482" s="75">
        <v>7327</v>
      </c>
      <c r="F482" s="75" t="s">
        <v>10</v>
      </c>
      <c r="H482" s="75" t="s">
        <v>164</v>
      </c>
      <c r="I482" s="75">
        <v>19489</v>
      </c>
      <c r="J482" s="75" t="s">
        <v>133</v>
      </c>
      <c r="K482" s="75" t="str">
        <f>IFERROR(VLOOKUP(J482,'NQ10'!$B$9:$C$145,2,0),"")</f>
        <v/>
      </c>
    </row>
    <row r="483" spans="1:11" ht="15" customHeight="1" x14ac:dyDescent="0.25">
      <c r="A483" s="75">
        <v>0</v>
      </c>
      <c r="C483" s="75" t="s">
        <v>10</v>
      </c>
      <c r="D483" s="75">
        <v>7086</v>
      </c>
      <c r="F483" s="75" t="s">
        <v>10</v>
      </c>
      <c r="H483" s="75" t="s">
        <v>307</v>
      </c>
      <c r="I483" s="75">
        <v>19489</v>
      </c>
      <c r="J483" s="75" t="s">
        <v>322</v>
      </c>
      <c r="K483" s="75" t="str">
        <f>IFERROR(VLOOKUP(J483,'NQ10'!$B$9:$C$145,2,0),"")</f>
        <v>A Rông</v>
      </c>
    </row>
    <row r="484" spans="1:11" ht="15" customHeight="1" x14ac:dyDescent="0.25">
      <c r="A484" s="75">
        <v>0</v>
      </c>
      <c r="B484" s="75">
        <v>18</v>
      </c>
      <c r="C484" s="75" t="s">
        <v>10</v>
      </c>
      <c r="D484" s="75">
        <v>6875</v>
      </c>
      <c r="F484" s="75" t="s">
        <v>10</v>
      </c>
      <c r="H484" s="75" t="s">
        <v>307</v>
      </c>
      <c r="I484" s="75">
        <v>19489</v>
      </c>
      <c r="J484" s="75" t="s">
        <v>322</v>
      </c>
      <c r="K484" s="75" t="str">
        <f>IFERROR(VLOOKUP(J484,'NQ10'!$B$9:$C$145,2,0),"")</f>
        <v>A Rông</v>
      </c>
    </row>
    <row r="485" spans="1:11" ht="15" customHeight="1" x14ac:dyDescent="0.25">
      <c r="A485" s="75">
        <v>18</v>
      </c>
      <c r="C485" s="75" t="s">
        <v>10</v>
      </c>
      <c r="D485" s="75">
        <v>5850</v>
      </c>
      <c r="F485" s="75" t="s">
        <v>10</v>
      </c>
      <c r="H485" s="75" t="s">
        <v>173</v>
      </c>
      <c r="I485" s="75">
        <v>19489</v>
      </c>
      <c r="J485" s="75" t="s">
        <v>404</v>
      </c>
      <c r="K485" s="75" t="str">
        <f>IFERROR(VLOOKUP(J485,'NQ10'!$B$9:$C$145,2,0),"")</f>
        <v/>
      </c>
    </row>
    <row r="486" spans="1:11" ht="15" customHeight="1" x14ac:dyDescent="0.25">
      <c r="A486" s="75">
        <v>21</v>
      </c>
      <c r="B486" s="75">
        <v>235</v>
      </c>
      <c r="C486" s="75" t="s">
        <v>10</v>
      </c>
      <c r="D486" s="75">
        <v>2839</v>
      </c>
      <c r="F486" s="75" t="s">
        <v>10</v>
      </c>
      <c r="H486" s="75" t="s">
        <v>10</v>
      </c>
      <c r="I486" s="75">
        <v>19489</v>
      </c>
      <c r="J486" s="75" t="s">
        <v>134</v>
      </c>
      <c r="K486" s="75" t="str">
        <f>IFERROR(VLOOKUP(J486,'NQ10'!$B$9:$C$145,2,0),"")</f>
        <v/>
      </c>
    </row>
    <row r="487" spans="1:11" ht="15" customHeight="1" x14ac:dyDescent="0.25">
      <c r="A487" s="75">
        <v>21</v>
      </c>
      <c r="B487" s="75">
        <v>236</v>
      </c>
      <c r="C487" s="75" t="s">
        <v>10</v>
      </c>
      <c r="D487" s="75">
        <v>7625</v>
      </c>
      <c r="F487" s="75" t="s">
        <v>10</v>
      </c>
      <c r="H487" s="75" t="s">
        <v>171</v>
      </c>
      <c r="I487" s="75">
        <v>19489</v>
      </c>
      <c r="J487" s="75" t="s">
        <v>135</v>
      </c>
      <c r="K487" s="75" t="str">
        <f>IFERROR(VLOOKUP(J487,'NQ10'!$B$9:$C$145,2,0),"")</f>
        <v/>
      </c>
    </row>
    <row r="488" spans="1:11" ht="15" customHeight="1" x14ac:dyDescent="0.25">
      <c r="A488" s="75">
        <v>21</v>
      </c>
      <c r="B488" s="75">
        <v>237</v>
      </c>
      <c r="C488" s="75" t="s">
        <v>10</v>
      </c>
      <c r="D488" s="75">
        <v>8579</v>
      </c>
      <c r="F488" s="75" t="s">
        <v>10</v>
      </c>
      <c r="H488" s="75" t="s">
        <v>407</v>
      </c>
      <c r="I488" s="75">
        <v>19489</v>
      </c>
      <c r="J488" s="75" t="s">
        <v>135</v>
      </c>
      <c r="K488" s="75" t="str">
        <f>IFERROR(VLOOKUP(J488,'NQ10'!$B$9:$C$145,2,0),"")</f>
        <v/>
      </c>
    </row>
    <row r="489" spans="1:11" ht="15" customHeight="1" x14ac:dyDescent="0.25">
      <c r="A489" s="75">
        <v>36</v>
      </c>
      <c r="B489" s="75">
        <v>74</v>
      </c>
      <c r="C489" s="75" t="s">
        <v>10</v>
      </c>
      <c r="D489" s="75">
        <v>3261</v>
      </c>
      <c r="F489" s="75" t="s">
        <v>10</v>
      </c>
      <c r="H489" s="75" t="s">
        <v>10</v>
      </c>
      <c r="I489" s="75">
        <v>19489</v>
      </c>
      <c r="J489" s="75" t="s">
        <v>136</v>
      </c>
      <c r="K489" s="75" t="str">
        <f>IFERROR(VLOOKUP(J489,'NQ10'!$B$9:$C$145,2,0),"")</f>
        <v/>
      </c>
    </row>
    <row r="490" spans="1:11" ht="15" customHeight="1" x14ac:dyDescent="0.25">
      <c r="A490" s="75">
        <v>38</v>
      </c>
      <c r="B490" s="75">
        <v>109</v>
      </c>
      <c r="C490" s="75" t="s">
        <v>10</v>
      </c>
      <c r="D490" s="75">
        <v>1026</v>
      </c>
      <c r="F490" s="75" t="s">
        <v>10</v>
      </c>
      <c r="H490" s="75" t="s">
        <v>10</v>
      </c>
      <c r="I490" s="75">
        <v>19489</v>
      </c>
      <c r="J490" s="75" t="s">
        <v>136</v>
      </c>
      <c r="K490" s="75" t="str">
        <f>IFERROR(VLOOKUP(J490,'NQ10'!$B$9:$C$145,2,0),"")</f>
        <v/>
      </c>
    </row>
    <row r="491" spans="1:11" ht="15" customHeight="1" x14ac:dyDescent="0.25">
      <c r="A491" s="75">
        <v>7</v>
      </c>
      <c r="B491" s="75">
        <v>67</v>
      </c>
      <c r="C491" s="75" t="s">
        <v>10</v>
      </c>
      <c r="D491" s="75">
        <v>14727</v>
      </c>
      <c r="F491" s="75" t="s">
        <v>10</v>
      </c>
      <c r="H491" s="75" t="s">
        <v>216</v>
      </c>
      <c r="I491" s="75">
        <v>19489</v>
      </c>
      <c r="J491" s="75" t="s">
        <v>137</v>
      </c>
      <c r="K491" s="75" t="str">
        <f>IFERROR(VLOOKUP(J491,'NQ10'!$B$9:$C$145,2,0),"")</f>
        <v/>
      </c>
    </row>
    <row r="492" spans="1:11" ht="15" customHeight="1" x14ac:dyDescent="0.25">
      <c r="A492" s="75">
        <v>21</v>
      </c>
      <c r="B492" s="75">
        <v>238</v>
      </c>
      <c r="C492" s="75" t="s">
        <v>10</v>
      </c>
      <c r="D492" s="75">
        <v>7637</v>
      </c>
      <c r="F492" s="75" t="s">
        <v>10</v>
      </c>
      <c r="H492" s="75" t="s">
        <v>10</v>
      </c>
      <c r="I492" s="75">
        <v>19489</v>
      </c>
      <c r="J492" s="75" t="s">
        <v>137</v>
      </c>
      <c r="K492" s="75" t="str">
        <f>IFERROR(VLOOKUP(J492,'NQ10'!$B$9:$C$145,2,0),"")</f>
        <v/>
      </c>
    </row>
    <row r="493" spans="1:11" ht="15" customHeight="1" x14ac:dyDescent="0.25">
      <c r="A493" s="75">
        <v>8</v>
      </c>
      <c r="C493" s="75" t="s">
        <v>10</v>
      </c>
      <c r="D493" s="75">
        <v>9062</v>
      </c>
      <c r="F493" s="75" t="s">
        <v>10</v>
      </c>
      <c r="H493" s="75" t="s">
        <v>164</v>
      </c>
      <c r="I493" s="75">
        <v>19489</v>
      </c>
      <c r="J493" s="75" t="s">
        <v>525</v>
      </c>
      <c r="K493" s="75" t="str">
        <f>IFERROR(VLOOKUP(J493,'NQ10'!$B$9:$C$145,2,0),"")</f>
        <v/>
      </c>
    </row>
    <row r="494" spans="1:11" ht="15" customHeight="1" x14ac:dyDescent="0.25">
      <c r="A494" s="75">
        <v>21</v>
      </c>
      <c r="B494" s="75">
        <v>239</v>
      </c>
      <c r="C494" s="75" t="s">
        <v>10</v>
      </c>
      <c r="D494" s="75">
        <v>6833</v>
      </c>
      <c r="F494" s="75" t="s">
        <v>10</v>
      </c>
      <c r="H494" s="75" t="s">
        <v>407</v>
      </c>
      <c r="I494" s="75">
        <v>19489</v>
      </c>
      <c r="J494" s="75" t="s">
        <v>138</v>
      </c>
      <c r="K494" s="75" t="str">
        <f>IFERROR(VLOOKUP(J494,'NQ10'!$B$9:$C$145,2,0),"")</f>
        <v>Kỳ Nơi</v>
      </c>
    </row>
    <row r="495" spans="1:11" ht="15" customHeight="1" x14ac:dyDescent="0.25">
      <c r="A495" s="75">
        <v>21</v>
      </c>
      <c r="B495" s="75">
        <v>260</v>
      </c>
      <c r="C495" s="75" t="s">
        <v>10</v>
      </c>
      <c r="D495" s="75">
        <v>14211</v>
      </c>
      <c r="F495" s="75" t="s">
        <v>10</v>
      </c>
      <c r="H495" s="75" t="s">
        <v>171</v>
      </c>
      <c r="I495" s="75">
        <v>19489</v>
      </c>
      <c r="J495" s="75" t="s">
        <v>138</v>
      </c>
      <c r="K495" s="75" t="str">
        <f>IFERROR(VLOOKUP(J495,'NQ10'!$B$9:$C$145,2,0),"")</f>
        <v>Kỳ Nơi</v>
      </c>
    </row>
    <row r="496" spans="1:11" ht="15" customHeight="1" x14ac:dyDescent="0.25">
      <c r="A496" s="75">
        <v>21</v>
      </c>
      <c r="B496" s="75">
        <v>240</v>
      </c>
      <c r="C496" s="75" t="s">
        <v>10</v>
      </c>
      <c r="D496" s="75">
        <v>10971</v>
      </c>
      <c r="F496" s="75" t="s">
        <v>10</v>
      </c>
      <c r="H496" s="75" t="s">
        <v>10</v>
      </c>
      <c r="I496" s="75">
        <v>19489</v>
      </c>
      <c r="J496" s="75" t="s">
        <v>139</v>
      </c>
      <c r="K496" s="75" t="str">
        <f>IFERROR(VLOOKUP(J496,'NQ10'!$B$9:$C$145,2,0),"")</f>
        <v/>
      </c>
    </row>
    <row r="497" spans="1:11" ht="15" customHeight="1" x14ac:dyDescent="0.25">
      <c r="A497" s="75">
        <v>21</v>
      </c>
      <c r="B497" s="75">
        <v>241</v>
      </c>
      <c r="C497" s="75" t="s">
        <v>10</v>
      </c>
      <c r="D497" s="75">
        <v>6942</v>
      </c>
      <c r="F497" s="75" t="s">
        <v>10</v>
      </c>
      <c r="H497" s="75" t="s">
        <v>10</v>
      </c>
      <c r="I497" s="75">
        <v>19489</v>
      </c>
      <c r="J497" s="75" t="s">
        <v>139</v>
      </c>
      <c r="K497" s="75" t="str">
        <f>IFERROR(VLOOKUP(J497,'NQ10'!$B$9:$C$145,2,0),"")</f>
        <v/>
      </c>
    </row>
    <row r="498" spans="1:11" ht="15" customHeight="1" x14ac:dyDescent="0.25">
      <c r="A498" s="75">
        <v>32</v>
      </c>
      <c r="B498" s="75">
        <v>75</v>
      </c>
      <c r="C498" s="75" t="s">
        <v>10</v>
      </c>
      <c r="D498" s="75">
        <v>4564</v>
      </c>
      <c r="F498" s="75" t="s">
        <v>10</v>
      </c>
      <c r="H498" s="75" t="s">
        <v>407</v>
      </c>
      <c r="I498" s="75">
        <v>19489</v>
      </c>
      <c r="J498" s="75" t="s">
        <v>139</v>
      </c>
      <c r="K498" s="75" t="str">
        <f>IFERROR(VLOOKUP(J498,'NQ10'!$B$9:$C$145,2,0),"")</f>
        <v/>
      </c>
    </row>
    <row r="499" spans="1:11" ht="15" customHeight="1" x14ac:dyDescent="0.25">
      <c r="A499" s="75">
        <v>1</v>
      </c>
      <c r="C499" s="75" t="s">
        <v>10</v>
      </c>
      <c r="D499" s="75">
        <v>7991</v>
      </c>
      <c r="F499" s="75" t="s">
        <v>10</v>
      </c>
      <c r="H499" s="75" t="s">
        <v>164</v>
      </c>
      <c r="I499" s="75">
        <v>19489</v>
      </c>
      <c r="J499" s="75" t="s">
        <v>140</v>
      </c>
      <c r="K499" s="75" t="str">
        <f>IFERROR(VLOOKUP(J499,'NQ10'!$B$9:$C$145,2,0),"")</f>
        <v/>
      </c>
    </row>
    <row r="500" spans="1:11" ht="15" customHeight="1" x14ac:dyDescent="0.25">
      <c r="A500" s="75">
        <v>1</v>
      </c>
      <c r="C500" s="75" t="s">
        <v>10</v>
      </c>
      <c r="D500" s="75">
        <v>8061</v>
      </c>
      <c r="F500" s="75" t="s">
        <v>10</v>
      </c>
      <c r="H500" s="75" t="s">
        <v>164</v>
      </c>
      <c r="I500" s="75">
        <v>19489</v>
      </c>
      <c r="J500" s="75" t="s">
        <v>140</v>
      </c>
      <c r="K500" s="75" t="str">
        <f>IFERROR(VLOOKUP(J500,'NQ10'!$B$9:$C$145,2,0),"")</f>
        <v/>
      </c>
    </row>
    <row r="501" spans="1:11" ht="15" customHeight="1" x14ac:dyDescent="0.25">
      <c r="A501" s="75">
        <v>1</v>
      </c>
      <c r="C501" s="75" t="s">
        <v>10</v>
      </c>
      <c r="D501" s="75">
        <v>1783</v>
      </c>
      <c r="F501" s="75" t="s">
        <v>10</v>
      </c>
      <c r="H501" s="75" t="s">
        <v>164</v>
      </c>
      <c r="I501" s="75">
        <v>19489</v>
      </c>
      <c r="J501" s="75" t="s">
        <v>140</v>
      </c>
      <c r="K501" s="75" t="str">
        <f>IFERROR(VLOOKUP(J501,'NQ10'!$B$9:$C$145,2,0),"")</f>
        <v/>
      </c>
    </row>
    <row r="502" spans="1:11" ht="15" customHeight="1" x14ac:dyDescent="0.25">
      <c r="A502" s="75">
        <v>0</v>
      </c>
      <c r="C502" s="75" t="s">
        <v>10</v>
      </c>
      <c r="D502" s="75">
        <v>3331</v>
      </c>
      <c r="F502" s="75" t="s">
        <v>10</v>
      </c>
      <c r="H502" s="75" t="s">
        <v>216</v>
      </c>
      <c r="I502" s="75">
        <v>19489</v>
      </c>
      <c r="J502" s="75" t="s">
        <v>382</v>
      </c>
      <c r="K502" s="75" t="str">
        <f>IFERROR(VLOOKUP(J502,'NQ10'!$B$9:$C$145,2,0),"")</f>
        <v/>
      </c>
    </row>
    <row r="503" spans="1:11" ht="15" customHeight="1" x14ac:dyDescent="0.25">
      <c r="A503" s="75">
        <v>0</v>
      </c>
      <c r="C503" s="75" t="s">
        <v>10</v>
      </c>
      <c r="D503" s="75">
        <v>4683</v>
      </c>
      <c r="F503" s="75" t="s">
        <v>10</v>
      </c>
      <c r="H503" s="75" t="s">
        <v>216</v>
      </c>
      <c r="I503" s="75">
        <v>19489</v>
      </c>
      <c r="J503" s="75" t="s">
        <v>382</v>
      </c>
      <c r="K503" s="75" t="str">
        <f>IFERROR(VLOOKUP(J503,'NQ10'!$B$9:$C$145,2,0),"")</f>
        <v/>
      </c>
    </row>
    <row r="504" spans="1:11" ht="15" customHeight="1" x14ac:dyDescent="0.25">
      <c r="A504" s="75">
        <v>1</v>
      </c>
      <c r="C504" s="75" t="s">
        <v>10</v>
      </c>
      <c r="D504" s="75">
        <v>7615</v>
      </c>
      <c r="F504" s="75" t="s">
        <v>10</v>
      </c>
      <c r="H504" s="75" t="s">
        <v>164</v>
      </c>
      <c r="I504" s="75">
        <v>19489</v>
      </c>
      <c r="J504" s="75" t="s">
        <v>280</v>
      </c>
      <c r="K504" s="75" t="str">
        <f>IFERROR(VLOOKUP(J504,'NQ10'!$B$9:$C$145,2,0),"")</f>
        <v>Tăng cô Hang</v>
      </c>
    </row>
    <row r="505" spans="1:11" ht="15" customHeight="1" x14ac:dyDescent="0.25">
      <c r="A505" s="75">
        <v>21</v>
      </c>
      <c r="B505" s="75">
        <v>242</v>
      </c>
      <c r="C505" s="75" t="s">
        <v>10</v>
      </c>
      <c r="D505" s="75">
        <v>4876</v>
      </c>
      <c r="F505" s="75" t="s">
        <v>10</v>
      </c>
      <c r="H505" s="75" t="s">
        <v>10</v>
      </c>
      <c r="I505" s="75">
        <v>19489</v>
      </c>
      <c r="J505" s="75" t="s">
        <v>141</v>
      </c>
      <c r="K505" s="75" t="str">
        <f>IFERROR(VLOOKUP(J505,'NQ10'!$B$9:$C$145,2,0),"")</f>
        <v/>
      </c>
    </row>
    <row r="506" spans="1:11" ht="15" customHeight="1" x14ac:dyDescent="0.25">
      <c r="A506" s="75">
        <v>35</v>
      </c>
      <c r="C506" s="75" t="s">
        <v>10</v>
      </c>
      <c r="D506" s="75">
        <v>8493</v>
      </c>
      <c r="F506" s="75" t="s">
        <v>10</v>
      </c>
      <c r="H506" s="75" t="s">
        <v>10</v>
      </c>
      <c r="I506" s="75">
        <v>19489</v>
      </c>
      <c r="J506" s="75" t="s">
        <v>141</v>
      </c>
      <c r="K506" s="75" t="str">
        <f>IFERROR(VLOOKUP(J506,'NQ10'!$B$9:$C$145,2,0),"")</f>
        <v/>
      </c>
    </row>
    <row r="507" spans="1:11" ht="15" customHeight="1" x14ac:dyDescent="0.25">
      <c r="A507" s="75">
        <v>0</v>
      </c>
      <c r="C507" s="75" t="s">
        <v>10</v>
      </c>
      <c r="D507" s="75">
        <v>7002</v>
      </c>
      <c r="F507" s="75" t="s">
        <v>10</v>
      </c>
      <c r="H507" s="75" t="s">
        <v>307</v>
      </c>
      <c r="I507" s="75">
        <v>19489</v>
      </c>
      <c r="J507" s="75" t="s">
        <v>317</v>
      </c>
      <c r="K507" s="75" t="str">
        <f>IFERROR(VLOOKUP(J507,'NQ10'!$B$9:$C$145,2,0),"")</f>
        <v>A Rông</v>
      </c>
    </row>
    <row r="508" spans="1:11" ht="15" customHeight="1" x14ac:dyDescent="0.25">
      <c r="A508" s="75">
        <v>22</v>
      </c>
      <c r="C508" s="75" t="s">
        <v>10</v>
      </c>
      <c r="D508" s="75">
        <v>7718</v>
      </c>
      <c r="F508" s="75" t="s">
        <v>10</v>
      </c>
      <c r="H508" s="75" t="s">
        <v>307</v>
      </c>
      <c r="I508" s="75">
        <v>19489</v>
      </c>
      <c r="J508" s="75" t="s">
        <v>317</v>
      </c>
      <c r="K508" s="75" t="str">
        <f>IFERROR(VLOOKUP(J508,'NQ10'!$B$9:$C$145,2,0),"")</f>
        <v>A Rông</v>
      </c>
    </row>
    <row r="509" spans="1:11" ht="15" customHeight="1" x14ac:dyDescent="0.25">
      <c r="A509" s="75">
        <v>28</v>
      </c>
      <c r="B509" s="75">
        <v>148</v>
      </c>
      <c r="C509" s="75" t="s">
        <v>10</v>
      </c>
      <c r="D509" s="75">
        <v>5559</v>
      </c>
      <c r="F509" s="75" t="s">
        <v>10</v>
      </c>
      <c r="H509" s="75" t="s">
        <v>407</v>
      </c>
      <c r="I509" s="75">
        <v>19489</v>
      </c>
      <c r="J509" s="75" t="s">
        <v>412</v>
      </c>
      <c r="K509" s="75" t="str">
        <f>IFERROR(VLOOKUP(J509,'NQ10'!$B$9:$C$145,2,0),"")</f>
        <v/>
      </c>
    </row>
    <row r="510" spans="1:11" ht="15" customHeight="1" x14ac:dyDescent="0.25">
      <c r="A510" s="75">
        <v>28</v>
      </c>
      <c r="C510" s="75" t="s">
        <v>10</v>
      </c>
      <c r="D510" s="75">
        <v>21608</v>
      </c>
      <c r="F510" s="75" t="s">
        <v>10</v>
      </c>
      <c r="H510" s="75" t="s">
        <v>407</v>
      </c>
      <c r="I510" s="75">
        <v>19489</v>
      </c>
      <c r="J510" s="75" t="s">
        <v>546</v>
      </c>
      <c r="K510" s="75" t="str">
        <f>IFERROR(VLOOKUP(J510,'NQ10'!$B$9:$C$145,2,0),"")</f>
        <v/>
      </c>
    </row>
    <row r="511" spans="1:11" ht="15" customHeight="1" x14ac:dyDescent="0.25">
      <c r="A511" s="75">
        <v>21</v>
      </c>
      <c r="B511" s="75">
        <v>243</v>
      </c>
      <c r="C511" s="75" t="s">
        <v>10</v>
      </c>
      <c r="D511" s="75">
        <v>9126</v>
      </c>
      <c r="F511" s="75" t="s">
        <v>10</v>
      </c>
      <c r="H511" s="75" t="s">
        <v>10</v>
      </c>
      <c r="I511" s="75">
        <v>19489</v>
      </c>
      <c r="J511" s="75" t="s">
        <v>142</v>
      </c>
      <c r="K511" s="75" t="str">
        <f>IFERROR(VLOOKUP(J511,'NQ10'!$B$9:$C$145,2,0),"")</f>
        <v>Kỳ Nơi</v>
      </c>
    </row>
    <row r="512" spans="1:11" ht="15" customHeight="1" x14ac:dyDescent="0.25">
      <c r="A512" s="75">
        <v>21</v>
      </c>
      <c r="B512" s="75">
        <v>244</v>
      </c>
      <c r="C512" s="75" t="s">
        <v>10</v>
      </c>
      <c r="D512" s="75">
        <v>16683</v>
      </c>
      <c r="F512" s="75" t="s">
        <v>10</v>
      </c>
      <c r="H512" s="75" t="s">
        <v>307</v>
      </c>
      <c r="I512" s="75">
        <v>19489</v>
      </c>
      <c r="J512" s="75" t="s">
        <v>143</v>
      </c>
      <c r="K512" s="75" t="str">
        <f>IFERROR(VLOOKUP(J512,'NQ10'!$B$9:$C$145,2,0),"")</f>
        <v/>
      </c>
    </row>
    <row r="513" spans="1:11" ht="15" customHeight="1" x14ac:dyDescent="0.25">
      <c r="A513" s="75">
        <v>8</v>
      </c>
      <c r="B513" s="75">
        <v>203</v>
      </c>
      <c r="C513" s="75" t="s">
        <v>10</v>
      </c>
      <c r="D513" s="75">
        <v>2670</v>
      </c>
      <c r="F513" s="75" t="s">
        <v>10</v>
      </c>
      <c r="H513" s="75" t="s">
        <v>472</v>
      </c>
      <c r="I513" s="75">
        <v>19489</v>
      </c>
      <c r="J513" s="75" t="s">
        <v>640</v>
      </c>
      <c r="K513" s="75" t="str">
        <f>IFERROR(VLOOKUP(J513,'NQ10'!$B$9:$C$145,2,0),"")</f>
        <v/>
      </c>
    </row>
    <row r="514" spans="1:11" ht="15" customHeight="1" x14ac:dyDescent="0.25">
      <c r="A514" s="75">
        <v>1</v>
      </c>
      <c r="B514" s="75">
        <v>535</v>
      </c>
      <c r="C514" s="75" t="s">
        <v>10</v>
      </c>
      <c r="D514" s="75">
        <v>10800</v>
      </c>
      <c r="F514" s="75" t="s">
        <v>10</v>
      </c>
      <c r="H514" s="75" t="s">
        <v>164</v>
      </c>
      <c r="I514" s="75">
        <v>19489</v>
      </c>
      <c r="J514" s="75" t="s">
        <v>364</v>
      </c>
      <c r="K514" s="75" t="str">
        <f>IFERROR(VLOOKUP(J514,'NQ10'!$B$9:$C$145,2,0),"")</f>
        <v/>
      </c>
    </row>
    <row r="515" spans="1:11" ht="15" customHeight="1" x14ac:dyDescent="0.25">
      <c r="A515" s="75">
        <v>28</v>
      </c>
      <c r="C515" s="75" t="s">
        <v>10</v>
      </c>
      <c r="D515" s="75">
        <v>13096</v>
      </c>
      <c r="F515" s="75" t="s">
        <v>10</v>
      </c>
      <c r="H515" s="75" t="s">
        <v>407</v>
      </c>
      <c r="I515" s="75">
        <v>19489</v>
      </c>
      <c r="J515" s="75" t="s">
        <v>413</v>
      </c>
      <c r="K515" s="75" t="str">
        <f>IFERROR(VLOOKUP(J515,'NQ10'!$B$9:$C$145,2,0),"")</f>
        <v/>
      </c>
    </row>
    <row r="516" spans="1:11" ht="15" customHeight="1" x14ac:dyDescent="0.25">
      <c r="A516" s="75">
        <v>0</v>
      </c>
      <c r="C516" s="75" t="s">
        <v>10</v>
      </c>
      <c r="D516" s="75">
        <v>14702</v>
      </c>
      <c r="F516" s="75" t="s">
        <v>10</v>
      </c>
      <c r="H516" s="75" t="s">
        <v>472</v>
      </c>
      <c r="I516" s="75">
        <v>19489</v>
      </c>
      <c r="J516" s="75" t="s">
        <v>473</v>
      </c>
      <c r="K516" s="75" t="str">
        <f>IFERROR(VLOOKUP(J516,'NQ10'!$B$9:$C$145,2,0),"")</f>
        <v/>
      </c>
    </row>
    <row r="517" spans="1:11" ht="15" customHeight="1" x14ac:dyDescent="0.25">
      <c r="A517" s="75">
        <v>0</v>
      </c>
      <c r="C517" s="75" t="s">
        <v>10</v>
      </c>
      <c r="D517" s="75">
        <v>23976</v>
      </c>
      <c r="F517" s="75" t="s">
        <v>10</v>
      </c>
      <c r="H517" s="75" t="s">
        <v>472</v>
      </c>
      <c r="I517" s="75">
        <v>19489</v>
      </c>
      <c r="J517" s="75" t="s">
        <v>473</v>
      </c>
      <c r="K517" s="75" t="str">
        <f>IFERROR(VLOOKUP(J517,'NQ10'!$B$9:$C$145,2,0),"")</f>
        <v/>
      </c>
    </row>
    <row r="518" spans="1:11" ht="15" customHeight="1" x14ac:dyDescent="0.25">
      <c r="A518" s="75">
        <v>0</v>
      </c>
      <c r="C518" s="75" t="s">
        <v>10</v>
      </c>
      <c r="D518" s="75">
        <v>8790</v>
      </c>
      <c r="F518" s="75" t="s">
        <v>10</v>
      </c>
      <c r="H518" s="75" t="s">
        <v>472</v>
      </c>
      <c r="I518" s="75">
        <v>19489</v>
      </c>
      <c r="J518" s="75" t="s">
        <v>473</v>
      </c>
      <c r="K518" s="75" t="str">
        <f>IFERROR(VLOOKUP(J518,'NQ10'!$B$9:$C$145,2,0),"")</f>
        <v/>
      </c>
    </row>
    <row r="519" spans="1:11" ht="15" customHeight="1" x14ac:dyDescent="0.25">
      <c r="A519" s="75">
        <v>21</v>
      </c>
      <c r="B519" s="75">
        <v>245</v>
      </c>
      <c r="C519" s="75" t="s">
        <v>10</v>
      </c>
      <c r="D519" s="75">
        <v>9681</v>
      </c>
      <c r="F519" s="75" t="s">
        <v>10</v>
      </c>
      <c r="H519" s="75" t="s">
        <v>10</v>
      </c>
      <c r="I519" s="75">
        <v>19489</v>
      </c>
      <c r="J519" s="75" t="s">
        <v>144</v>
      </c>
      <c r="K519" s="75" t="str">
        <f>IFERROR(VLOOKUP(J519,'NQ10'!$B$9:$C$145,2,0),"")</f>
        <v/>
      </c>
    </row>
    <row r="520" spans="1:11" ht="15" customHeight="1" x14ac:dyDescent="0.25">
      <c r="A520" s="75">
        <v>21</v>
      </c>
      <c r="B520" s="75">
        <v>246</v>
      </c>
      <c r="C520" s="75" t="s">
        <v>10</v>
      </c>
      <c r="D520" s="75">
        <v>39426</v>
      </c>
      <c r="F520" s="75" t="s">
        <v>10</v>
      </c>
      <c r="H520" s="75" t="s">
        <v>10</v>
      </c>
      <c r="I520" s="75">
        <v>19489</v>
      </c>
      <c r="J520" s="75" t="s">
        <v>144</v>
      </c>
      <c r="K520" s="75" t="str">
        <f>IFERROR(VLOOKUP(J520,'NQ10'!$B$9:$C$145,2,0),"")</f>
        <v/>
      </c>
    </row>
    <row r="521" spans="1:11" ht="15" customHeight="1" x14ac:dyDescent="0.25">
      <c r="A521" s="75">
        <v>21</v>
      </c>
      <c r="B521" s="75">
        <v>247</v>
      </c>
      <c r="C521" s="75" t="s">
        <v>10</v>
      </c>
      <c r="D521" s="75">
        <v>20344</v>
      </c>
      <c r="F521" s="75" t="s">
        <v>10</v>
      </c>
      <c r="H521" s="75" t="s">
        <v>10</v>
      </c>
      <c r="I521" s="75">
        <v>19489</v>
      </c>
      <c r="J521" s="75" t="s">
        <v>144</v>
      </c>
      <c r="K521" s="75" t="str">
        <f>IFERROR(VLOOKUP(J521,'NQ10'!$B$9:$C$145,2,0),"")</f>
        <v/>
      </c>
    </row>
    <row r="522" spans="1:11" ht="15" customHeight="1" x14ac:dyDescent="0.25">
      <c r="A522" s="75">
        <v>31</v>
      </c>
      <c r="C522" s="75" t="s">
        <v>10</v>
      </c>
      <c r="D522" s="75">
        <v>1989</v>
      </c>
      <c r="F522" s="75" t="s">
        <v>10</v>
      </c>
      <c r="H522" s="75" t="s">
        <v>10</v>
      </c>
      <c r="I522" s="75">
        <v>19489</v>
      </c>
      <c r="J522" s="75" t="s">
        <v>178</v>
      </c>
      <c r="K522" s="75" t="str">
        <f>IFERROR(VLOOKUP(J522,'NQ10'!$B$9:$C$145,2,0),"")</f>
        <v/>
      </c>
    </row>
    <row r="523" spans="1:11" ht="15" customHeight="1" x14ac:dyDescent="0.25">
      <c r="A523" s="75">
        <v>35</v>
      </c>
      <c r="C523" s="75" t="s">
        <v>10</v>
      </c>
      <c r="D523" s="75">
        <v>1392</v>
      </c>
      <c r="F523" s="75" t="s">
        <v>10</v>
      </c>
      <c r="H523" s="75" t="s">
        <v>10</v>
      </c>
      <c r="I523" s="75">
        <v>19489</v>
      </c>
      <c r="J523" s="75" t="s">
        <v>178</v>
      </c>
      <c r="K523" s="75" t="str">
        <f>IFERROR(VLOOKUP(J523,'NQ10'!$B$9:$C$145,2,0),"")</f>
        <v/>
      </c>
    </row>
    <row r="524" spans="1:11" ht="15" customHeight="1" x14ac:dyDescent="0.25">
      <c r="A524" s="75">
        <v>8</v>
      </c>
      <c r="C524" s="75" t="s">
        <v>10</v>
      </c>
      <c r="D524" s="75">
        <v>858</v>
      </c>
      <c r="F524" s="75" t="s">
        <v>10</v>
      </c>
      <c r="H524" s="75" t="s">
        <v>164</v>
      </c>
      <c r="I524" s="75">
        <v>19489</v>
      </c>
      <c r="J524" s="75" t="s">
        <v>526</v>
      </c>
      <c r="K524" s="75" t="str">
        <f>IFERROR(VLOOKUP(J524,'NQ10'!$B$9:$C$145,2,0),"")</f>
        <v/>
      </c>
    </row>
    <row r="525" spans="1:11" ht="15" customHeight="1" x14ac:dyDescent="0.25">
      <c r="A525" s="75">
        <v>0</v>
      </c>
      <c r="C525" s="75" t="s">
        <v>10</v>
      </c>
      <c r="D525" s="75">
        <v>7012</v>
      </c>
      <c r="F525" s="75" t="s">
        <v>10</v>
      </c>
      <c r="H525" s="75" t="s">
        <v>307</v>
      </c>
      <c r="I525" s="75">
        <v>19489</v>
      </c>
      <c r="J525" s="75" t="s">
        <v>500</v>
      </c>
      <c r="K525" s="75" t="str">
        <f>IFERROR(VLOOKUP(J525,'NQ10'!$B$9:$C$145,2,0),"")</f>
        <v/>
      </c>
    </row>
    <row r="526" spans="1:11" ht="15" customHeight="1" x14ac:dyDescent="0.25">
      <c r="A526" s="75">
        <v>21</v>
      </c>
      <c r="B526" s="75">
        <v>248</v>
      </c>
      <c r="C526" s="75" t="s">
        <v>10</v>
      </c>
      <c r="D526" s="75">
        <v>13435</v>
      </c>
      <c r="F526" s="75" t="s">
        <v>10</v>
      </c>
      <c r="H526" s="75" t="s">
        <v>307</v>
      </c>
      <c r="I526" s="75">
        <v>19489</v>
      </c>
      <c r="J526" s="75" t="s">
        <v>145</v>
      </c>
      <c r="K526" s="75" t="str">
        <f>IFERROR(VLOOKUP(J526,'NQ10'!$B$9:$C$145,2,0),"")</f>
        <v/>
      </c>
    </row>
    <row r="527" spans="1:11" ht="15" customHeight="1" x14ac:dyDescent="0.25">
      <c r="A527" s="75">
        <v>23</v>
      </c>
      <c r="C527" s="75" t="s">
        <v>10</v>
      </c>
      <c r="D527" s="75">
        <v>13364</v>
      </c>
      <c r="F527" s="75" t="s">
        <v>10</v>
      </c>
      <c r="H527" s="75" t="s">
        <v>307</v>
      </c>
      <c r="I527" s="75">
        <v>19489</v>
      </c>
      <c r="J527" s="75" t="s">
        <v>145</v>
      </c>
      <c r="K527" s="75" t="str">
        <f>IFERROR(VLOOKUP(J527,'NQ10'!$B$9:$C$145,2,0),"")</f>
        <v/>
      </c>
    </row>
    <row r="528" spans="1:11" ht="15" customHeight="1" x14ac:dyDescent="0.25">
      <c r="A528" s="75">
        <v>0</v>
      </c>
      <c r="C528" s="75" t="s">
        <v>10</v>
      </c>
      <c r="D528" s="75">
        <v>4649</v>
      </c>
      <c r="F528" s="75" t="s">
        <v>10</v>
      </c>
      <c r="H528" s="75" t="s">
        <v>164</v>
      </c>
      <c r="I528" s="75">
        <v>19489</v>
      </c>
      <c r="J528" s="75" t="s">
        <v>488</v>
      </c>
      <c r="K528" s="75" t="str">
        <f>IFERROR(VLOOKUP(J528,'NQ10'!$B$9:$C$145,2,0),"")</f>
        <v/>
      </c>
    </row>
    <row r="529" spans="1:11" ht="15" customHeight="1" x14ac:dyDescent="0.25">
      <c r="A529" s="75">
        <v>21</v>
      </c>
      <c r="B529" s="75">
        <v>249</v>
      </c>
      <c r="C529" s="75" t="s">
        <v>10</v>
      </c>
      <c r="D529" s="75">
        <v>7922</v>
      </c>
      <c r="F529" s="75" t="s">
        <v>10</v>
      </c>
      <c r="H529" s="75" t="s">
        <v>407</v>
      </c>
      <c r="I529" s="75">
        <v>19489</v>
      </c>
      <c r="J529" s="75" t="s">
        <v>146</v>
      </c>
      <c r="K529" s="75" t="str">
        <f>IFERROR(VLOOKUP(J529,'NQ10'!$B$9:$C$145,2,0),"")</f>
        <v xml:space="preserve"> Kỳ Tăng</v>
      </c>
    </row>
    <row r="530" spans="1:11" ht="15" customHeight="1" x14ac:dyDescent="0.25">
      <c r="A530" s="75">
        <v>28</v>
      </c>
      <c r="B530" s="75">
        <v>149</v>
      </c>
      <c r="C530" s="75" t="s">
        <v>10</v>
      </c>
      <c r="D530" s="75">
        <v>7824</v>
      </c>
      <c r="F530" s="75" t="s">
        <v>10</v>
      </c>
      <c r="H530" s="75" t="s">
        <v>407</v>
      </c>
      <c r="I530" s="75">
        <v>19489</v>
      </c>
      <c r="J530" s="75" t="s">
        <v>146</v>
      </c>
      <c r="K530" s="75" t="str">
        <f>IFERROR(VLOOKUP(J530,'NQ10'!$B$9:$C$145,2,0),"")</f>
        <v xml:space="preserve"> Kỳ Tăng</v>
      </c>
    </row>
    <row r="531" spans="1:11" ht="15" customHeight="1" x14ac:dyDescent="0.25">
      <c r="A531" s="75">
        <v>0</v>
      </c>
      <c r="C531" s="75" t="s">
        <v>10</v>
      </c>
      <c r="D531" s="75">
        <v>14681</v>
      </c>
      <c r="F531" s="75" t="s">
        <v>10</v>
      </c>
      <c r="H531" s="75" t="s">
        <v>307</v>
      </c>
      <c r="I531" s="75">
        <v>19489</v>
      </c>
      <c r="J531" s="75" t="s">
        <v>497</v>
      </c>
      <c r="K531" s="75" t="str">
        <f>IFERROR(VLOOKUP(J531,'NQ10'!$B$9:$C$145,2,0),"")</f>
        <v/>
      </c>
    </row>
    <row r="532" spans="1:11" ht="15" customHeight="1" x14ac:dyDescent="0.25">
      <c r="A532" s="75">
        <v>0</v>
      </c>
      <c r="C532" s="75" t="s">
        <v>10</v>
      </c>
      <c r="D532" s="75">
        <v>2707</v>
      </c>
      <c r="F532" s="75" t="s">
        <v>10</v>
      </c>
      <c r="H532" s="75" t="s">
        <v>10</v>
      </c>
      <c r="I532" s="75">
        <v>19489</v>
      </c>
      <c r="J532" s="75" t="s">
        <v>362</v>
      </c>
      <c r="K532" s="75" t="str">
        <f>IFERROR(VLOOKUP(J532,'NQ10'!$B$9:$C$145,2,0),"")</f>
        <v/>
      </c>
    </row>
    <row r="533" spans="1:11" ht="15" customHeight="1" x14ac:dyDescent="0.25">
      <c r="A533" s="75">
        <v>1</v>
      </c>
      <c r="B533" s="75">
        <v>255</v>
      </c>
      <c r="C533" s="75" t="s">
        <v>10</v>
      </c>
      <c r="D533" s="75">
        <v>6079</v>
      </c>
      <c r="F533" s="75" t="s">
        <v>10</v>
      </c>
      <c r="H533" s="75" t="s">
        <v>164</v>
      </c>
      <c r="I533" s="75">
        <v>19489</v>
      </c>
      <c r="J533" s="75" t="s">
        <v>516</v>
      </c>
      <c r="K533" s="75" t="str">
        <f>IFERROR(VLOOKUP(J533,'NQ10'!$B$9:$C$145,2,0),"")</f>
        <v/>
      </c>
    </row>
    <row r="534" spans="1:11" ht="15" customHeight="1" x14ac:dyDescent="0.25">
      <c r="A534" s="75">
        <v>21</v>
      </c>
      <c r="B534" s="75">
        <v>250</v>
      </c>
      <c r="C534" s="75" t="s">
        <v>10</v>
      </c>
      <c r="D534" s="75">
        <v>48535</v>
      </c>
      <c r="F534" s="75" t="s">
        <v>10</v>
      </c>
      <c r="H534" s="75" t="s">
        <v>10</v>
      </c>
      <c r="I534" s="75">
        <v>19489</v>
      </c>
      <c r="J534" s="75" t="s">
        <v>147</v>
      </c>
      <c r="K534" s="75" t="str">
        <f>IFERROR(VLOOKUP(J534,'NQ10'!$B$9:$C$145,2,0),"")</f>
        <v/>
      </c>
    </row>
    <row r="535" spans="1:11" ht="15" customHeight="1" x14ac:dyDescent="0.25">
      <c r="A535" s="75">
        <v>21</v>
      </c>
      <c r="B535" s="75">
        <v>251</v>
      </c>
      <c r="C535" s="75" t="s">
        <v>10</v>
      </c>
      <c r="D535" s="75">
        <v>6469</v>
      </c>
      <c r="F535" s="75" t="s">
        <v>10</v>
      </c>
      <c r="H535" s="75" t="s">
        <v>10</v>
      </c>
      <c r="I535" s="75">
        <v>19489</v>
      </c>
      <c r="J535" s="75" t="s">
        <v>148</v>
      </c>
      <c r="K535" s="75" t="str">
        <f>IFERROR(VLOOKUP(J535,'NQ10'!$B$9:$C$145,2,0),"")</f>
        <v xml:space="preserve"> A Môr</v>
      </c>
    </row>
    <row r="536" spans="1:11" ht="15" customHeight="1" x14ac:dyDescent="0.25">
      <c r="A536" s="75">
        <v>0</v>
      </c>
      <c r="D536" s="75">
        <v>118</v>
      </c>
      <c r="F536" s="75" t="s">
        <v>10</v>
      </c>
      <c r="I536" s="75">
        <v>19489</v>
      </c>
      <c r="K536" s="75" t="str">
        <f>IFERROR(VLOOKUP(J536,'NQ10'!$B$9:$C$145,2,0),"")</f>
        <v/>
      </c>
    </row>
    <row r="537" spans="1:11" ht="15" customHeight="1" x14ac:dyDescent="0.25">
      <c r="A537" s="75">
        <v>0</v>
      </c>
      <c r="D537" s="75">
        <v>3453</v>
      </c>
      <c r="F537" s="75" t="s">
        <v>10</v>
      </c>
      <c r="I537" s="75">
        <v>19489</v>
      </c>
      <c r="K537" s="75" t="str">
        <f>IFERROR(VLOOKUP(J537,'NQ10'!$B$9:$C$145,2,0),"")</f>
        <v/>
      </c>
    </row>
    <row r="538" spans="1:11" ht="15" customHeight="1" x14ac:dyDescent="0.25">
      <c r="A538" s="75">
        <v>0</v>
      </c>
      <c r="D538" s="75">
        <v>6</v>
      </c>
      <c r="F538" s="75" t="s">
        <v>10</v>
      </c>
      <c r="I538" s="75">
        <v>19489</v>
      </c>
      <c r="K538" s="75" t="str">
        <f>IFERROR(VLOOKUP(J538,'NQ10'!$B$9:$C$145,2,0),"")</f>
        <v/>
      </c>
    </row>
    <row r="539" spans="1:11" ht="15" customHeight="1" x14ac:dyDescent="0.25">
      <c r="A539" s="75">
        <v>0</v>
      </c>
      <c r="D539" s="75">
        <v>76</v>
      </c>
      <c r="F539" s="75" t="s">
        <v>10</v>
      </c>
      <c r="I539" s="75">
        <v>19489</v>
      </c>
      <c r="K539" s="75" t="str">
        <f>IFERROR(VLOOKUP(J539,'NQ10'!$B$9:$C$145,2,0),"")</f>
        <v/>
      </c>
    </row>
    <row r="540" spans="1:11" ht="15" customHeight="1" x14ac:dyDescent="0.25">
      <c r="A540" s="75">
        <v>0</v>
      </c>
      <c r="D540" s="75">
        <v>462</v>
      </c>
      <c r="F540" s="75" t="s">
        <v>10</v>
      </c>
      <c r="I540" s="75">
        <v>19489</v>
      </c>
      <c r="K540" s="75" t="str">
        <f>IFERROR(VLOOKUP(J540,'NQ10'!$B$9:$C$145,2,0),"")</f>
        <v/>
      </c>
    </row>
    <row r="541" spans="1:11" ht="15" customHeight="1" x14ac:dyDescent="0.25">
      <c r="A541" s="75">
        <v>0</v>
      </c>
      <c r="D541" s="75">
        <v>877</v>
      </c>
      <c r="F541" s="75" t="s">
        <v>10</v>
      </c>
      <c r="I541" s="75">
        <v>19489</v>
      </c>
      <c r="K541" s="75" t="str">
        <f>IFERROR(VLOOKUP(J541,'NQ10'!$B$9:$C$145,2,0),"")</f>
        <v/>
      </c>
    </row>
    <row r="542" spans="1:11" ht="15" customHeight="1" x14ac:dyDescent="0.25">
      <c r="A542" s="75">
        <v>0</v>
      </c>
      <c r="D542" s="75">
        <v>561</v>
      </c>
      <c r="F542" s="75" t="s">
        <v>10</v>
      </c>
      <c r="I542" s="75">
        <v>19489</v>
      </c>
      <c r="K542" s="75" t="str">
        <f>IFERROR(VLOOKUP(J542,'NQ10'!$B$9:$C$145,2,0),"")</f>
        <v/>
      </c>
    </row>
    <row r="543" spans="1:11" ht="15" customHeight="1" x14ac:dyDescent="0.25">
      <c r="A543" s="75">
        <v>0</v>
      </c>
      <c r="D543" s="75">
        <v>0</v>
      </c>
      <c r="F543" s="75" t="s">
        <v>10</v>
      </c>
      <c r="I543" s="75">
        <v>19489</v>
      </c>
      <c r="K543" s="75" t="str">
        <f>IFERROR(VLOOKUP(J543,'NQ10'!$B$9:$C$145,2,0),"")</f>
        <v/>
      </c>
    </row>
    <row r="544" spans="1:11" ht="15" customHeight="1" x14ac:dyDescent="0.25">
      <c r="A544" s="75">
        <v>0</v>
      </c>
      <c r="D544" s="75">
        <v>64</v>
      </c>
      <c r="F544" s="75" t="s">
        <v>10</v>
      </c>
      <c r="I544" s="75">
        <v>19489</v>
      </c>
      <c r="K544" s="75" t="str">
        <f>IFERROR(VLOOKUP(J544,'NQ10'!$B$9:$C$145,2,0),"")</f>
        <v/>
      </c>
    </row>
    <row r="545" spans="1:11" ht="15" customHeight="1" x14ac:dyDescent="0.25">
      <c r="A545" s="75">
        <v>0</v>
      </c>
      <c r="D545" s="75">
        <v>13</v>
      </c>
      <c r="F545" s="75" t="s">
        <v>10</v>
      </c>
      <c r="I545" s="75">
        <v>19489</v>
      </c>
      <c r="K545" s="75" t="str">
        <f>IFERROR(VLOOKUP(J545,'NQ10'!$B$9:$C$145,2,0),"")</f>
        <v/>
      </c>
    </row>
    <row r="546" spans="1:11" ht="15" customHeight="1" x14ac:dyDescent="0.25">
      <c r="A546" s="75">
        <v>0</v>
      </c>
      <c r="D546" s="75">
        <v>54</v>
      </c>
      <c r="F546" s="75" t="s">
        <v>10</v>
      </c>
      <c r="I546" s="75">
        <v>19489</v>
      </c>
      <c r="K546" s="75" t="str">
        <f>IFERROR(VLOOKUP(J546,'NQ10'!$B$9:$C$145,2,0),"")</f>
        <v/>
      </c>
    </row>
    <row r="547" spans="1:11" ht="15" customHeight="1" x14ac:dyDescent="0.25">
      <c r="A547" s="75">
        <v>0</v>
      </c>
      <c r="D547" s="75">
        <v>847</v>
      </c>
      <c r="F547" s="75" t="s">
        <v>10</v>
      </c>
      <c r="I547" s="75">
        <v>19489</v>
      </c>
      <c r="K547" s="75" t="str">
        <f>IFERROR(VLOOKUP(J547,'NQ10'!$B$9:$C$145,2,0),"")</f>
        <v/>
      </c>
    </row>
    <row r="548" spans="1:11" ht="15" customHeight="1" x14ac:dyDescent="0.25">
      <c r="A548" s="75">
        <v>0</v>
      </c>
      <c r="D548" s="75">
        <v>197</v>
      </c>
      <c r="F548" s="75" t="s">
        <v>10</v>
      </c>
      <c r="I548" s="75">
        <v>19489</v>
      </c>
      <c r="K548" s="75" t="str">
        <f>IFERROR(VLOOKUP(J548,'NQ10'!$B$9:$C$145,2,0),"")</f>
        <v/>
      </c>
    </row>
    <row r="549" spans="1:11" ht="15" customHeight="1" x14ac:dyDescent="0.25">
      <c r="A549" s="75">
        <v>0</v>
      </c>
      <c r="D549" s="75">
        <v>1</v>
      </c>
      <c r="F549" s="75" t="s">
        <v>10</v>
      </c>
      <c r="I549" s="75">
        <v>19489</v>
      </c>
      <c r="K549" s="75" t="str">
        <f>IFERROR(VLOOKUP(J549,'NQ10'!$B$9:$C$145,2,0),"")</f>
        <v/>
      </c>
    </row>
    <row r="550" spans="1:11" ht="15" customHeight="1" x14ac:dyDescent="0.25">
      <c r="A550" s="75">
        <v>0</v>
      </c>
      <c r="D550" s="75">
        <v>22</v>
      </c>
      <c r="F550" s="75" t="s">
        <v>10</v>
      </c>
      <c r="I550" s="75">
        <v>19489</v>
      </c>
      <c r="K550" s="75" t="str">
        <f>IFERROR(VLOOKUP(J550,'NQ10'!$B$9:$C$145,2,0),"")</f>
        <v/>
      </c>
    </row>
    <row r="551" spans="1:11" ht="15" customHeight="1" x14ac:dyDescent="0.25">
      <c r="A551" s="75">
        <v>0</v>
      </c>
      <c r="D551" s="75">
        <v>4402</v>
      </c>
      <c r="F551" s="75" t="s">
        <v>10</v>
      </c>
      <c r="I551" s="75">
        <v>19489</v>
      </c>
      <c r="K551" s="75" t="str">
        <f>IFERROR(VLOOKUP(J551,'NQ10'!$B$9:$C$145,2,0),"")</f>
        <v/>
      </c>
    </row>
    <row r="552" spans="1:11" ht="15" customHeight="1" x14ac:dyDescent="0.25">
      <c r="A552" s="75">
        <v>0</v>
      </c>
      <c r="D552" s="75">
        <v>1070</v>
      </c>
      <c r="F552" s="75" t="s">
        <v>10</v>
      </c>
      <c r="I552" s="75">
        <v>19489</v>
      </c>
      <c r="K552" s="75" t="str">
        <f>IFERROR(VLOOKUP(J552,'NQ10'!$B$9:$C$145,2,0),"")</f>
        <v/>
      </c>
    </row>
    <row r="553" spans="1:11" ht="15" customHeight="1" x14ac:dyDescent="0.25">
      <c r="A553" s="75">
        <v>0</v>
      </c>
      <c r="D553" s="75">
        <v>77</v>
      </c>
      <c r="F553" s="75" t="s">
        <v>10</v>
      </c>
      <c r="I553" s="75">
        <v>19489</v>
      </c>
      <c r="K553" s="75" t="str">
        <f>IFERROR(VLOOKUP(J553,'NQ10'!$B$9:$C$145,2,0),"")</f>
        <v/>
      </c>
    </row>
    <row r="554" spans="1:11" ht="15" customHeight="1" x14ac:dyDescent="0.25">
      <c r="A554" s="75">
        <v>0</v>
      </c>
      <c r="D554" s="75">
        <v>3</v>
      </c>
      <c r="F554" s="75" t="s">
        <v>10</v>
      </c>
      <c r="I554" s="75">
        <v>19489</v>
      </c>
      <c r="K554" s="75" t="str">
        <f>IFERROR(VLOOKUP(J554,'NQ10'!$B$9:$C$145,2,0),"")</f>
        <v/>
      </c>
    </row>
    <row r="555" spans="1:11" ht="15" customHeight="1" x14ac:dyDescent="0.25">
      <c r="A555" s="75">
        <v>0</v>
      </c>
      <c r="D555" s="75">
        <v>229</v>
      </c>
      <c r="F555" s="75" t="s">
        <v>10</v>
      </c>
      <c r="I555" s="75">
        <v>19489</v>
      </c>
      <c r="K555" s="75" t="str">
        <f>IFERROR(VLOOKUP(J555,'NQ10'!$B$9:$C$145,2,0),"")</f>
        <v/>
      </c>
    </row>
    <row r="556" spans="1:11" ht="15" customHeight="1" x14ac:dyDescent="0.25">
      <c r="A556" s="75">
        <v>0</v>
      </c>
      <c r="D556" s="75">
        <v>10</v>
      </c>
      <c r="F556" s="75" t="s">
        <v>10</v>
      </c>
      <c r="I556" s="75">
        <v>19489</v>
      </c>
      <c r="K556" s="75" t="str">
        <f>IFERROR(VLOOKUP(J556,'NQ10'!$B$9:$C$145,2,0),"")</f>
        <v/>
      </c>
    </row>
    <row r="557" spans="1:11" ht="15" customHeight="1" x14ac:dyDescent="0.25">
      <c r="A557" s="75">
        <v>0</v>
      </c>
      <c r="D557" s="75">
        <v>8</v>
      </c>
      <c r="F557" s="75" t="s">
        <v>10</v>
      </c>
      <c r="I557" s="75">
        <v>19489</v>
      </c>
      <c r="K557" s="75" t="str">
        <f>IFERROR(VLOOKUP(J557,'NQ10'!$B$9:$C$145,2,0),"")</f>
        <v/>
      </c>
    </row>
    <row r="558" spans="1:11" ht="15" customHeight="1" x14ac:dyDescent="0.25">
      <c r="A558" s="75">
        <v>0</v>
      </c>
      <c r="D558" s="75">
        <v>22</v>
      </c>
      <c r="F558" s="75" t="s">
        <v>10</v>
      </c>
      <c r="I558" s="75">
        <v>19489</v>
      </c>
      <c r="K558" s="75" t="str">
        <f>IFERROR(VLOOKUP(J558,'NQ10'!$B$9:$C$145,2,0),"")</f>
        <v/>
      </c>
    </row>
    <row r="559" spans="1:11" ht="15" customHeight="1" x14ac:dyDescent="0.25">
      <c r="A559" s="75">
        <v>0</v>
      </c>
      <c r="D559" s="75">
        <v>737</v>
      </c>
      <c r="F559" s="75" t="s">
        <v>10</v>
      </c>
      <c r="I559" s="75">
        <v>19489</v>
      </c>
      <c r="K559" s="75" t="str">
        <f>IFERROR(VLOOKUP(J559,'NQ10'!$B$9:$C$145,2,0),"")</f>
        <v/>
      </c>
    </row>
    <row r="560" spans="1:11" ht="15" customHeight="1" x14ac:dyDescent="0.25">
      <c r="A560" s="75">
        <v>0</v>
      </c>
      <c r="D560" s="75">
        <v>173</v>
      </c>
      <c r="F560" s="75" t="s">
        <v>10</v>
      </c>
      <c r="I560" s="75">
        <v>19489</v>
      </c>
      <c r="K560" s="75" t="str">
        <f>IFERROR(VLOOKUP(J560,'NQ10'!$B$9:$C$145,2,0),"")</f>
        <v/>
      </c>
    </row>
    <row r="561" spans="1:11" ht="15" customHeight="1" x14ac:dyDescent="0.25">
      <c r="A561" s="75">
        <v>0</v>
      </c>
      <c r="D561" s="75">
        <v>2</v>
      </c>
      <c r="F561" s="75" t="s">
        <v>10</v>
      </c>
      <c r="I561" s="75">
        <v>19489</v>
      </c>
      <c r="K561" s="75" t="str">
        <f>IFERROR(VLOOKUP(J561,'NQ10'!$B$9:$C$145,2,0),"")</f>
        <v/>
      </c>
    </row>
    <row r="562" spans="1:11" ht="15" customHeight="1" x14ac:dyDescent="0.25">
      <c r="A562" s="75">
        <v>0</v>
      </c>
      <c r="D562" s="75">
        <v>0</v>
      </c>
      <c r="F562" s="75" t="s">
        <v>10</v>
      </c>
      <c r="I562" s="75">
        <v>19489</v>
      </c>
      <c r="K562" s="75" t="str">
        <f>IFERROR(VLOOKUP(J562,'NQ10'!$B$9:$C$145,2,0),"")</f>
        <v/>
      </c>
    </row>
    <row r="563" spans="1:11" ht="15" customHeight="1" x14ac:dyDescent="0.25">
      <c r="A563" s="75">
        <v>0</v>
      </c>
      <c r="D563" s="75">
        <v>55</v>
      </c>
      <c r="F563" s="75" t="s">
        <v>10</v>
      </c>
      <c r="I563" s="75">
        <v>19489</v>
      </c>
      <c r="K563" s="75" t="str">
        <f>IFERROR(VLOOKUP(J563,'NQ10'!$B$9:$C$145,2,0),"")</f>
        <v/>
      </c>
    </row>
    <row r="564" spans="1:11" ht="15" customHeight="1" x14ac:dyDescent="0.25">
      <c r="A564" s="75">
        <v>0</v>
      </c>
      <c r="D564" s="75">
        <v>24</v>
      </c>
      <c r="F564" s="75" t="s">
        <v>10</v>
      </c>
      <c r="I564" s="75">
        <v>19489</v>
      </c>
      <c r="K564" s="75" t="str">
        <f>IFERROR(VLOOKUP(J564,'NQ10'!$B$9:$C$145,2,0),"")</f>
        <v/>
      </c>
    </row>
    <row r="565" spans="1:11" ht="15" customHeight="1" x14ac:dyDescent="0.25">
      <c r="A565" s="75">
        <v>0</v>
      </c>
      <c r="D565" s="75">
        <v>15</v>
      </c>
      <c r="F565" s="75" t="s">
        <v>10</v>
      </c>
      <c r="I565" s="75">
        <v>19489</v>
      </c>
      <c r="K565" s="75" t="str">
        <f>IFERROR(VLOOKUP(J565,'NQ10'!$B$9:$C$145,2,0),"")</f>
        <v/>
      </c>
    </row>
    <row r="566" spans="1:11" ht="15" customHeight="1" x14ac:dyDescent="0.25">
      <c r="A566" s="75">
        <v>0</v>
      </c>
      <c r="D566" s="75">
        <v>0</v>
      </c>
      <c r="F566" s="75" t="s">
        <v>10</v>
      </c>
      <c r="I566" s="75">
        <v>19489</v>
      </c>
      <c r="K566" s="75" t="str">
        <f>IFERROR(VLOOKUP(J566,'NQ10'!$B$9:$C$145,2,0),"")</f>
        <v/>
      </c>
    </row>
    <row r="567" spans="1:11" ht="15" customHeight="1" x14ac:dyDescent="0.25">
      <c r="A567" s="75">
        <v>0</v>
      </c>
      <c r="D567" s="75">
        <v>9913</v>
      </c>
      <c r="F567" s="75" t="s">
        <v>10</v>
      </c>
      <c r="I567" s="75">
        <v>19489</v>
      </c>
      <c r="K567" s="75" t="str">
        <f>IFERROR(VLOOKUP(J567,'NQ10'!$B$9:$C$145,2,0),"")</f>
        <v/>
      </c>
    </row>
    <row r="568" spans="1:11" ht="15" customHeight="1" x14ac:dyDescent="0.25">
      <c r="A568" s="75">
        <v>0</v>
      </c>
      <c r="D568" s="75">
        <v>3209</v>
      </c>
      <c r="F568" s="75" t="s">
        <v>10</v>
      </c>
      <c r="I568" s="75">
        <v>19489</v>
      </c>
      <c r="K568" s="75" t="str">
        <f>IFERROR(VLOOKUP(J568,'NQ10'!$B$9:$C$145,2,0),"")</f>
        <v/>
      </c>
    </row>
    <row r="569" spans="1:11" ht="15" customHeight="1" x14ac:dyDescent="0.25">
      <c r="A569" s="75">
        <v>0</v>
      </c>
      <c r="D569" s="75">
        <v>32</v>
      </c>
      <c r="F569" s="75" t="s">
        <v>10</v>
      </c>
      <c r="I569" s="75">
        <v>19489</v>
      </c>
      <c r="K569" s="75" t="str">
        <f>IFERROR(VLOOKUP(J569,'NQ10'!$B$9:$C$145,2,0),"")</f>
        <v/>
      </c>
    </row>
    <row r="570" spans="1:11" ht="15" customHeight="1" x14ac:dyDescent="0.25">
      <c r="A570" s="75">
        <v>0</v>
      </c>
      <c r="D570" s="75">
        <v>2500</v>
      </c>
      <c r="F570" s="75" t="s">
        <v>10</v>
      </c>
      <c r="I570" s="75">
        <v>19489</v>
      </c>
      <c r="K570" s="75" t="str">
        <f>IFERROR(VLOOKUP(J570,'NQ10'!$B$9:$C$145,2,0),"")</f>
        <v/>
      </c>
    </row>
    <row r="571" spans="1:11" ht="15" customHeight="1" x14ac:dyDescent="0.25">
      <c r="A571" s="75">
        <v>0</v>
      </c>
      <c r="D571" s="75">
        <v>2258</v>
      </c>
      <c r="F571" s="75" t="s">
        <v>10</v>
      </c>
      <c r="I571" s="75">
        <v>19489</v>
      </c>
      <c r="K571" s="75" t="str">
        <f>IFERROR(VLOOKUP(J571,'NQ10'!$B$9:$C$145,2,0),"")</f>
        <v/>
      </c>
    </row>
    <row r="572" spans="1:11" ht="15" customHeight="1" x14ac:dyDescent="0.25">
      <c r="A572" s="75">
        <v>0</v>
      </c>
      <c r="D572" s="75">
        <v>130</v>
      </c>
      <c r="F572" s="75" t="s">
        <v>10</v>
      </c>
      <c r="I572" s="75">
        <v>19489</v>
      </c>
      <c r="K572" s="75" t="str">
        <f>IFERROR(VLOOKUP(J572,'NQ10'!$B$9:$C$145,2,0),"")</f>
        <v/>
      </c>
    </row>
    <row r="573" spans="1:11" ht="15" customHeight="1" x14ac:dyDescent="0.25">
      <c r="A573" s="75">
        <v>0</v>
      </c>
      <c r="D573" s="75">
        <v>50109</v>
      </c>
      <c r="F573" s="75" t="s">
        <v>10</v>
      </c>
      <c r="I573" s="75">
        <v>19489</v>
      </c>
      <c r="K573" s="75" t="str">
        <f>IFERROR(VLOOKUP(J573,'NQ10'!$B$9:$C$145,2,0),"")</f>
        <v/>
      </c>
    </row>
    <row r="574" spans="1:11" ht="15" customHeight="1" x14ac:dyDescent="0.25">
      <c r="A574" s="75">
        <v>0</v>
      </c>
      <c r="D574" s="75">
        <v>0</v>
      </c>
      <c r="F574" s="75" t="s">
        <v>10</v>
      </c>
      <c r="I574" s="75">
        <v>19489</v>
      </c>
      <c r="K574" s="75" t="str">
        <f>IFERROR(VLOOKUP(J574,'NQ10'!$B$9:$C$145,2,0),"")</f>
        <v/>
      </c>
    </row>
    <row r="575" spans="1:11" ht="15" customHeight="1" x14ac:dyDescent="0.25">
      <c r="A575" s="75">
        <v>0</v>
      </c>
      <c r="D575" s="75">
        <v>2</v>
      </c>
      <c r="F575" s="75" t="s">
        <v>10</v>
      </c>
      <c r="I575" s="75">
        <v>19489</v>
      </c>
      <c r="K575" s="75" t="str">
        <f>IFERROR(VLOOKUP(J575,'NQ10'!$B$9:$C$145,2,0),"")</f>
        <v/>
      </c>
    </row>
    <row r="576" spans="1:11" ht="15" customHeight="1" x14ac:dyDescent="0.25">
      <c r="A576" s="75">
        <v>0</v>
      </c>
      <c r="D576" s="75">
        <v>72</v>
      </c>
      <c r="F576" s="75" t="s">
        <v>10</v>
      </c>
      <c r="I576" s="75">
        <v>19489</v>
      </c>
      <c r="K576" s="75" t="str">
        <f>IFERROR(VLOOKUP(J576,'NQ10'!$B$9:$C$145,2,0),"")</f>
        <v/>
      </c>
    </row>
    <row r="577" spans="1:11" ht="15" customHeight="1" x14ac:dyDescent="0.25">
      <c r="A577" s="75">
        <v>0</v>
      </c>
      <c r="D577" s="75">
        <v>217</v>
      </c>
      <c r="F577" s="75" t="s">
        <v>10</v>
      </c>
      <c r="I577" s="75">
        <v>19489</v>
      </c>
      <c r="K577" s="75" t="str">
        <f>IFERROR(VLOOKUP(J577,'NQ10'!$B$9:$C$145,2,0),"")</f>
        <v/>
      </c>
    </row>
    <row r="578" spans="1:11" ht="15" customHeight="1" x14ac:dyDescent="0.25">
      <c r="A578" s="75">
        <v>0</v>
      </c>
      <c r="D578" s="75">
        <v>1125</v>
      </c>
      <c r="F578" s="75" t="s">
        <v>10</v>
      </c>
      <c r="I578" s="75">
        <v>19489</v>
      </c>
      <c r="K578" s="75" t="str">
        <f>IFERROR(VLOOKUP(J578,'NQ10'!$B$9:$C$145,2,0),"")</f>
        <v/>
      </c>
    </row>
    <row r="579" spans="1:11" ht="15" customHeight="1" x14ac:dyDescent="0.25">
      <c r="A579" s="75">
        <v>0</v>
      </c>
      <c r="D579" s="75">
        <v>2048</v>
      </c>
      <c r="F579" s="75" t="s">
        <v>10</v>
      </c>
      <c r="I579" s="75">
        <v>19489</v>
      </c>
      <c r="K579" s="75" t="str">
        <f>IFERROR(VLOOKUP(J579,'NQ10'!$B$9:$C$145,2,0),"")</f>
        <v/>
      </c>
    </row>
    <row r="580" spans="1:11" ht="15" customHeight="1" x14ac:dyDescent="0.25">
      <c r="A580" s="75">
        <v>0</v>
      </c>
      <c r="D580" s="75">
        <v>7</v>
      </c>
      <c r="F580" s="75" t="s">
        <v>10</v>
      </c>
      <c r="I580" s="75">
        <v>19489</v>
      </c>
      <c r="K580" s="75" t="str">
        <f>IFERROR(VLOOKUP(J580,'NQ10'!$B$9:$C$145,2,0),"")</f>
        <v/>
      </c>
    </row>
    <row r="581" spans="1:11" ht="15" customHeight="1" x14ac:dyDescent="0.25">
      <c r="A581" s="75">
        <v>0</v>
      </c>
      <c r="D581" s="75">
        <v>113</v>
      </c>
      <c r="F581" s="75" t="s">
        <v>10</v>
      </c>
      <c r="I581" s="75">
        <v>19489</v>
      </c>
      <c r="K581" s="75" t="str">
        <f>IFERROR(VLOOKUP(J581,'NQ10'!$B$9:$C$145,2,0),"")</f>
        <v/>
      </c>
    </row>
    <row r="582" spans="1:11" ht="15" customHeight="1" x14ac:dyDescent="0.25">
      <c r="A582" s="75">
        <v>0</v>
      </c>
      <c r="D582" s="75">
        <v>183</v>
      </c>
      <c r="F582" s="75" t="s">
        <v>10</v>
      </c>
      <c r="I582" s="75">
        <v>19489</v>
      </c>
      <c r="K582" s="75" t="str">
        <f>IFERROR(VLOOKUP(J582,'NQ10'!$B$9:$C$145,2,0),"")</f>
        <v/>
      </c>
    </row>
    <row r="583" spans="1:11" ht="15" customHeight="1" x14ac:dyDescent="0.25">
      <c r="A583" s="75">
        <v>0</v>
      </c>
      <c r="D583" s="75">
        <v>998</v>
      </c>
      <c r="F583" s="75" t="s">
        <v>10</v>
      </c>
      <c r="I583" s="75">
        <v>19489</v>
      </c>
      <c r="K583" s="75" t="str">
        <f>IFERROR(VLOOKUP(J583,'NQ10'!$B$9:$C$145,2,0),"")</f>
        <v/>
      </c>
    </row>
    <row r="584" spans="1:11" ht="15" customHeight="1" x14ac:dyDescent="0.25">
      <c r="A584" s="75">
        <v>0</v>
      </c>
      <c r="D584" s="75">
        <v>682</v>
      </c>
      <c r="F584" s="75" t="s">
        <v>10</v>
      </c>
      <c r="I584" s="75">
        <v>19489</v>
      </c>
      <c r="K584" s="75" t="str">
        <f>IFERROR(VLOOKUP(J584,'NQ10'!$B$9:$C$145,2,0),"")</f>
        <v/>
      </c>
    </row>
    <row r="585" spans="1:11" ht="15" customHeight="1" x14ac:dyDescent="0.25">
      <c r="A585" s="75">
        <v>0</v>
      </c>
      <c r="D585" s="75">
        <v>357</v>
      </c>
      <c r="F585" s="75" t="s">
        <v>10</v>
      </c>
      <c r="I585" s="75">
        <v>19489</v>
      </c>
      <c r="K585" s="75" t="str">
        <f>IFERROR(VLOOKUP(J585,'NQ10'!$B$9:$C$145,2,0),"")</f>
        <v/>
      </c>
    </row>
    <row r="586" spans="1:11" ht="15" customHeight="1" x14ac:dyDescent="0.25">
      <c r="A586" s="75">
        <v>0</v>
      </c>
      <c r="D586" s="75">
        <v>512</v>
      </c>
      <c r="F586" s="75" t="s">
        <v>10</v>
      </c>
      <c r="I586" s="75">
        <v>19489</v>
      </c>
      <c r="K586" s="75" t="str">
        <f>IFERROR(VLOOKUP(J586,'NQ10'!$B$9:$C$145,2,0),"")</f>
        <v/>
      </c>
    </row>
    <row r="587" spans="1:11" ht="15" customHeight="1" x14ac:dyDescent="0.25">
      <c r="A587" s="75">
        <v>0</v>
      </c>
      <c r="D587" s="75">
        <v>20</v>
      </c>
      <c r="F587" s="75" t="s">
        <v>10</v>
      </c>
      <c r="I587" s="75">
        <v>19489</v>
      </c>
      <c r="K587" s="75" t="str">
        <f>IFERROR(VLOOKUP(J587,'NQ10'!$B$9:$C$145,2,0),"")</f>
        <v/>
      </c>
    </row>
    <row r="588" spans="1:11" ht="15" customHeight="1" x14ac:dyDescent="0.25">
      <c r="A588" s="75">
        <v>0</v>
      </c>
      <c r="D588" s="75">
        <v>33</v>
      </c>
      <c r="F588" s="75" t="s">
        <v>10</v>
      </c>
      <c r="I588" s="75">
        <v>19489</v>
      </c>
      <c r="K588" s="75" t="str">
        <f>IFERROR(VLOOKUP(J588,'NQ10'!$B$9:$C$145,2,0),"")</f>
        <v/>
      </c>
    </row>
    <row r="589" spans="1:11" ht="15" customHeight="1" x14ac:dyDescent="0.25">
      <c r="A589" s="75">
        <v>0</v>
      </c>
      <c r="D589" s="75">
        <v>62</v>
      </c>
      <c r="F589" s="75" t="s">
        <v>10</v>
      </c>
      <c r="I589" s="75">
        <v>19489</v>
      </c>
      <c r="K589" s="75" t="str">
        <f>IFERROR(VLOOKUP(J589,'NQ10'!$B$9:$C$145,2,0),"")</f>
        <v/>
      </c>
    </row>
    <row r="590" spans="1:11" ht="15" customHeight="1" x14ac:dyDescent="0.25">
      <c r="A590" s="75">
        <v>0</v>
      </c>
      <c r="D590" s="75">
        <v>473</v>
      </c>
      <c r="F590" s="75" t="s">
        <v>10</v>
      </c>
      <c r="I590" s="75">
        <v>19489</v>
      </c>
      <c r="K590" s="75" t="str">
        <f>IFERROR(VLOOKUP(J590,'NQ10'!$B$9:$C$145,2,0),"")</f>
        <v/>
      </c>
    </row>
    <row r="591" spans="1:11" ht="15" customHeight="1" x14ac:dyDescent="0.25">
      <c r="A591" s="75">
        <v>0</v>
      </c>
      <c r="D591" s="75">
        <v>13</v>
      </c>
      <c r="F591" s="75" t="s">
        <v>10</v>
      </c>
      <c r="I591" s="75">
        <v>19489</v>
      </c>
      <c r="K591" s="75" t="str">
        <f>IFERROR(VLOOKUP(J591,'NQ10'!$B$9:$C$145,2,0),"")</f>
        <v/>
      </c>
    </row>
    <row r="592" spans="1:11" ht="15" customHeight="1" x14ac:dyDescent="0.25">
      <c r="A592" s="75">
        <v>0</v>
      </c>
      <c r="D592" s="75">
        <v>181</v>
      </c>
      <c r="F592" s="75" t="s">
        <v>10</v>
      </c>
      <c r="I592" s="75">
        <v>19489</v>
      </c>
      <c r="K592" s="75" t="str">
        <f>IFERROR(VLOOKUP(J592,'NQ10'!$B$9:$C$145,2,0),"")</f>
        <v/>
      </c>
    </row>
    <row r="593" spans="1:11" ht="15" customHeight="1" x14ac:dyDescent="0.25">
      <c r="A593" s="75">
        <v>0</v>
      </c>
      <c r="D593" s="75">
        <v>129</v>
      </c>
      <c r="F593" s="75" t="s">
        <v>10</v>
      </c>
      <c r="I593" s="75">
        <v>19489</v>
      </c>
      <c r="K593" s="75" t="str">
        <f>IFERROR(VLOOKUP(J593,'NQ10'!$B$9:$C$145,2,0),"")</f>
        <v/>
      </c>
    </row>
    <row r="594" spans="1:11" ht="15" customHeight="1" x14ac:dyDescent="0.25">
      <c r="A594" s="75">
        <v>0</v>
      </c>
      <c r="D594" s="75">
        <v>59</v>
      </c>
      <c r="F594" s="75" t="s">
        <v>10</v>
      </c>
      <c r="I594" s="75">
        <v>19489</v>
      </c>
      <c r="K594" s="75" t="str">
        <f>IFERROR(VLOOKUP(J594,'NQ10'!$B$9:$C$145,2,0),"")</f>
        <v/>
      </c>
    </row>
    <row r="595" spans="1:11" ht="15" customHeight="1" x14ac:dyDescent="0.25">
      <c r="A595" s="75">
        <v>0</v>
      </c>
      <c r="D595" s="75">
        <v>581</v>
      </c>
      <c r="F595" s="75" t="s">
        <v>10</v>
      </c>
      <c r="I595" s="75">
        <v>19489</v>
      </c>
      <c r="K595" s="75" t="str">
        <f>IFERROR(VLOOKUP(J595,'NQ10'!$B$9:$C$145,2,0),"")</f>
        <v/>
      </c>
    </row>
    <row r="596" spans="1:11" ht="15" customHeight="1" x14ac:dyDescent="0.25">
      <c r="A596" s="75">
        <v>0</v>
      </c>
      <c r="D596" s="75">
        <v>94</v>
      </c>
      <c r="F596" s="75" t="s">
        <v>10</v>
      </c>
      <c r="I596" s="75">
        <v>19489</v>
      </c>
      <c r="K596" s="75" t="str">
        <f>IFERROR(VLOOKUP(J596,'NQ10'!$B$9:$C$145,2,0),"")</f>
        <v/>
      </c>
    </row>
    <row r="597" spans="1:11" ht="15" customHeight="1" x14ac:dyDescent="0.25">
      <c r="A597" s="75">
        <v>0</v>
      </c>
      <c r="D597" s="75">
        <v>372</v>
      </c>
      <c r="F597" s="75" t="s">
        <v>10</v>
      </c>
      <c r="I597" s="75">
        <v>19489</v>
      </c>
      <c r="K597" s="75" t="str">
        <f>IFERROR(VLOOKUP(J597,'NQ10'!$B$9:$C$145,2,0),"")</f>
        <v/>
      </c>
    </row>
    <row r="598" spans="1:11" ht="15" customHeight="1" x14ac:dyDescent="0.25">
      <c r="A598" s="75">
        <v>0</v>
      </c>
      <c r="D598" s="75">
        <v>170</v>
      </c>
      <c r="F598" s="75" t="s">
        <v>10</v>
      </c>
      <c r="I598" s="75">
        <v>19489</v>
      </c>
      <c r="K598" s="75" t="str">
        <f>IFERROR(VLOOKUP(J598,'NQ10'!$B$9:$C$145,2,0),"")</f>
        <v/>
      </c>
    </row>
    <row r="599" spans="1:11" ht="15" customHeight="1" x14ac:dyDescent="0.25">
      <c r="A599" s="75">
        <v>0</v>
      </c>
      <c r="D599" s="75">
        <v>689</v>
      </c>
      <c r="F599" s="75" t="s">
        <v>10</v>
      </c>
      <c r="I599" s="75">
        <v>19489</v>
      </c>
      <c r="K599" s="75" t="str">
        <f>IFERROR(VLOOKUP(J599,'NQ10'!$B$9:$C$145,2,0),"")</f>
        <v/>
      </c>
    </row>
    <row r="600" spans="1:11" ht="15" customHeight="1" x14ac:dyDescent="0.25">
      <c r="A600" s="75">
        <v>0</v>
      </c>
      <c r="D600" s="75">
        <v>55</v>
      </c>
      <c r="F600" s="75" t="s">
        <v>10</v>
      </c>
      <c r="I600" s="75">
        <v>19489</v>
      </c>
      <c r="K600" s="75" t="str">
        <f>IFERROR(VLOOKUP(J600,'NQ10'!$B$9:$C$145,2,0),"")</f>
        <v/>
      </c>
    </row>
    <row r="601" spans="1:11" ht="15" customHeight="1" x14ac:dyDescent="0.25">
      <c r="A601" s="75">
        <v>0</v>
      </c>
      <c r="D601" s="75">
        <v>6</v>
      </c>
      <c r="F601" s="75" t="s">
        <v>10</v>
      </c>
      <c r="I601" s="75">
        <v>19489</v>
      </c>
      <c r="K601" s="75" t="str">
        <f>IFERROR(VLOOKUP(J601,'NQ10'!$B$9:$C$145,2,0),"")</f>
        <v/>
      </c>
    </row>
    <row r="602" spans="1:11" ht="15" customHeight="1" x14ac:dyDescent="0.25">
      <c r="A602" s="75">
        <v>0</v>
      </c>
      <c r="D602" s="75">
        <v>3</v>
      </c>
      <c r="F602" s="75" t="s">
        <v>10</v>
      </c>
      <c r="I602" s="75">
        <v>19489</v>
      </c>
      <c r="K602" s="75" t="str">
        <f>IFERROR(VLOOKUP(J602,'NQ10'!$B$9:$C$145,2,0),"")</f>
        <v/>
      </c>
    </row>
    <row r="603" spans="1:11" ht="15" customHeight="1" x14ac:dyDescent="0.25">
      <c r="A603" s="75">
        <v>0</v>
      </c>
      <c r="D603" s="75">
        <v>31</v>
      </c>
      <c r="F603" s="75" t="s">
        <v>10</v>
      </c>
      <c r="I603" s="75">
        <v>19489</v>
      </c>
      <c r="K603" s="75" t="str">
        <f>IFERROR(VLOOKUP(J603,'NQ10'!$B$9:$C$145,2,0),"")</f>
        <v/>
      </c>
    </row>
    <row r="604" spans="1:11" ht="15" customHeight="1" x14ac:dyDescent="0.25">
      <c r="A604" s="75">
        <v>0</v>
      </c>
      <c r="D604" s="75">
        <v>374</v>
      </c>
      <c r="F604" s="75" t="s">
        <v>10</v>
      </c>
      <c r="I604" s="75">
        <v>19489</v>
      </c>
      <c r="K604" s="75" t="str">
        <f>IFERROR(VLOOKUP(J604,'NQ10'!$B$9:$C$145,2,0),"")</f>
        <v/>
      </c>
    </row>
    <row r="605" spans="1:11" ht="15" customHeight="1" x14ac:dyDescent="0.25">
      <c r="A605" s="75">
        <v>0</v>
      </c>
      <c r="D605" s="75">
        <v>85</v>
      </c>
      <c r="F605" s="75" t="s">
        <v>10</v>
      </c>
      <c r="I605" s="75">
        <v>19489</v>
      </c>
      <c r="K605" s="75" t="str">
        <f>IFERROR(VLOOKUP(J605,'NQ10'!$B$9:$C$145,2,0),"")</f>
        <v/>
      </c>
    </row>
    <row r="606" spans="1:11" ht="15" customHeight="1" x14ac:dyDescent="0.25">
      <c r="A606" s="75">
        <v>0</v>
      </c>
      <c r="D606" s="75">
        <v>1232</v>
      </c>
      <c r="F606" s="75" t="s">
        <v>10</v>
      </c>
      <c r="I606" s="75">
        <v>19489</v>
      </c>
      <c r="K606" s="75" t="str">
        <f>IFERROR(VLOOKUP(J606,'NQ10'!$B$9:$C$145,2,0),"")</f>
        <v/>
      </c>
    </row>
    <row r="607" spans="1:11" ht="15" customHeight="1" x14ac:dyDescent="0.25">
      <c r="A607" s="75">
        <v>0</v>
      </c>
      <c r="D607" s="75">
        <v>0</v>
      </c>
      <c r="F607" s="75" t="s">
        <v>10</v>
      </c>
      <c r="I607" s="75">
        <v>19489</v>
      </c>
      <c r="K607" s="75" t="str">
        <f>IFERROR(VLOOKUP(J607,'NQ10'!$B$9:$C$145,2,0),"")</f>
        <v/>
      </c>
    </row>
    <row r="608" spans="1:11" ht="15" customHeight="1" x14ac:dyDescent="0.25">
      <c r="A608" s="75">
        <v>0</v>
      </c>
      <c r="D608" s="75">
        <v>24</v>
      </c>
      <c r="F608" s="75" t="s">
        <v>10</v>
      </c>
      <c r="I608" s="75">
        <v>19489</v>
      </c>
      <c r="K608" s="75" t="str">
        <f>IFERROR(VLOOKUP(J608,'NQ10'!$B$9:$C$145,2,0),"")</f>
        <v/>
      </c>
    </row>
    <row r="609" spans="1:11" ht="15" customHeight="1" x14ac:dyDescent="0.25">
      <c r="A609" s="75">
        <v>0</v>
      </c>
      <c r="D609" s="75">
        <v>350</v>
      </c>
      <c r="F609" s="75" t="s">
        <v>10</v>
      </c>
      <c r="I609" s="75">
        <v>19489</v>
      </c>
      <c r="K609" s="75" t="str">
        <f>IFERROR(VLOOKUP(J609,'NQ10'!$B$9:$C$145,2,0),"")</f>
        <v/>
      </c>
    </row>
    <row r="610" spans="1:11" ht="15" customHeight="1" x14ac:dyDescent="0.25">
      <c r="A610" s="75">
        <v>0</v>
      </c>
      <c r="D610" s="75">
        <v>80</v>
      </c>
      <c r="F610" s="75" t="s">
        <v>10</v>
      </c>
      <c r="I610" s="75">
        <v>19489</v>
      </c>
      <c r="K610" s="75" t="str">
        <f>IFERROR(VLOOKUP(J610,'NQ10'!$B$9:$C$145,2,0),"")</f>
        <v/>
      </c>
    </row>
    <row r="611" spans="1:11" ht="15" customHeight="1" x14ac:dyDescent="0.25">
      <c r="A611" s="75">
        <v>0</v>
      </c>
      <c r="D611" s="75">
        <v>19</v>
      </c>
      <c r="F611" s="75" t="s">
        <v>10</v>
      </c>
      <c r="I611" s="75">
        <v>19489</v>
      </c>
      <c r="K611" s="75" t="str">
        <f>IFERROR(VLOOKUP(J611,'NQ10'!$B$9:$C$145,2,0),"")</f>
        <v/>
      </c>
    </row>
    <row r="612" spans="1:11" ht="15" customHeight="1" x14ac:dyDescent="0.25">
      <c r="A612" s="75">
        <v>0</v>
      </c>
      <c r="D612" s="75">
        <v>64</v>
      </c>
      <c r="F612" s="75" t="s">
        <v>10</v>
      </c>
      <c r="I612" s="75">
        <v>19489</v>
      </c>
      <c r="K612" s="75" t="str">
        <f>IFERROR(VLOOKUP(J612,'NQ10'!$B$9:$C$145,2,0),"")</f>
        <v/>
      </c>
    </row>
    <row r="613" spans="1:11" ht="15" customHeight="1" x14ac:dyDescent="0.25">
      <c r="A613" s="75">
        <v>0</v>
      </c>
      <c r="D613" s="75">
        <v>132</v>
      </c>
      <c r="F613" s="75" t="s">
        <v>10</v>
      </c>
      <c r="I613" s="75">
        <v>19489</v>
      </c>
      <c r="K613" s="75" t="str">
        <f>IFERROR(VLOOKUP(J613,'NQ10'!$B$9:$C$145,2,0),"")</f>
        <v/>
      </c>
    </row>
    <row r="614" spans="1:11" ht="15" customHeight="1" x14ac:dyDescent="0.25">
      <c r="A614" s="75">
        <v>0</v>
      </c>
      <c r="D614" s="75">
        <v>3</v>
      </c>
      <c r="F614" s="75" t="s">
        <v>10</v>
      </c>
      <c r="I614" s="75">
        <v>19489</v>
      </c>
      <c r="K614" s="75" t="str">
        <f>IFERROR(VLOOKUP(J614,'NQ10'!$B$9:$C$145,2,0),"")</f>
        <v/>
      </c>
    </row>
    <row r="615" spans="1:11" ht="15" customHeight="1" x14ac:dyDescent="0.25">
      <c r="A615" s="75">
        <v>0</v>
      </c>
      <c r="D615" s="75">
        <v>30</v>
      </c>
      <c r="F615" s="75" t="s">
        <v>10</v>
      </c>
      <c r="I615" s="75">
        <v>19489</v>
      </c>
      <c r="K615" s="75" t="str">
        <f>IFERROR(VLOOKUP(J615,'NQ10'!$B$9:$C$145,2,0),"")</f>
        <v/>
      </c>
    </row>
    <row r="616" spans="1:11" ht="15" customHeight="1" x14ac:dyDescent="0.25">
      <c r="A616" s="75">
        <v>0</v>
      </c>
      <c r="D616" s="75">
        <v>36</v>
      </c>
      <c r="F616" s="75" t="s">
        <v>10</v>
      </c>
      <c r="I616" s="75">
        <v>19489</v>
      </c>
      <c r="K616" s="75" t="str">
        <f>IFERROR(VLOOKUP(J616,'NQ10'!$B$9:$C$145,2,0),"")</f>
        <v/>
      </c>
    </row>
    <row r="617" spans="1:11" ht="15" customHeight="1" x14ac:dyDescent="0.25">
      <c r="A617" s="75">
        <v>0</v>
      </c>
      <c r="D617" s="75">
        <v>361</v>
      </c>
      <c r="F617" s="75" t="s">
        <v>10</v>
      </c>
      <c r="I617" s="75">
        <v>19489</v>
      </c>
      <c r="K617" s="75" t="str">
        <f>IFERROR(VLOOKUP(J617,'NQ10'!$B$9:$C$145,2,0),"")</f>
        <v/>
      </c>
    </row>
    <row r="618" spans="1:11" ht="15" customHeight="1" x14ac:dyDescent="0.25">
      <c r="A618" s="75">
        <v>0</v>
      </c>
      <c r="D618" s="75">
        <v>1941</v>
      </c>
      <c r="F618" s="75" t="s">
        <v>10</v>
      </c>
      <c r="I618" s="75">
        <v>19489</v>
      </c>
      <c r="K618" s="75" t="str">
        <f>IFERROR(VLOOKUP(J618,'NQ10'!$B$9:$C$145,2,0),"")</f>
        <v/>
      </c>
    </row>
    <row r="619" spans="1:11" ht="15" customHeight="1" x14ac:dyDescent="0.25">
      <c r="A619" s="75">
        <v>0</v>
      </c>
      <c r="D619" s="75">
        <v>40</v>
      </c>
      <c r="F619" s="75" t="s">
        <v>10</v>
      </c>
      <c r="I619" s="75">
        <v>19489</v>
      </c>
      <c r="K619" s="75" t="str">
        <f>IFERROR(VLOOKUP(J619,'NQ10'!$B$9:$C$145,2,0),"")</f>
        <v/>
      </c>
    </row>
    <row r="620" spans="1:11" ht="15" customHeight="1" x14ac:dyDescent="0.25">
      <c r="A620" s="75">
        <v>0</v>
      </c>
      <c r="D620" s="75">
        <v>75</v>
      </c>
      <c r="F620" s="75" t="s">
        <v>10</v>
      </c>
      <c r="I620" s="75">
        <v>19489</v>
      </c>
      <c r="K620" s="75" t="str">
        <f>IFERROR(VLOOKUP(J620,'NQ10'!$B$9:$C$145,2,0),"")</f>
        <v/>
      </c>
    </row>
    <row r="621" spans="1:11" ht="15" customHeight="1" x14ac:dyDescent="0.25">
      <c r="A621" s="75">
        <v>0</v>
      </c>
      <c r="D621" s="75">
        <v>226</v>
      </c>
      <c r="F621" s="75" t="s">
        <v>10</v>
      </c>
      <c r="I621" s="75">
        <v>19489</v>
      </c>
      <c r="K621" s="75" t="str">
        <f>IFERROR(VLOOKUP(J621,'NQ10'!$B$9:$C$145,2,0),"")</f>
        <v/>
      </c>
    </row>
    <row r="622" spans="1:11" ht="15" customHeight="1" x14ac:dyDescent="0.25">
      <c r="A622" s="75">
        <v>0</v>
      </c>
      <c r="D622" s="75">
        <v>2011</v>
      </c>
      <c r="F622" s="75" t="s">
        <v>10</v>
      </c>
      <c r="I622" s="75">
        <v>19489</v>
      </c>
      <c r="K622" s="75" t="str">
        <f>IFERROR(VLOOKUP(J622,'NQ10'!$B$9:$C$145,2,0),"")</f>
        <v/>
      </c>
    </row>
    <row r="623" spans="1:11" ht="15" customHeight="1" x14ac:dyDescent="0.25">
      <c r="A623" s="75">
        <v>0</v>
      </c>
      <c r="D623" s="75">
        <v>501</v>
      </c>
      <c r="F623" s="75" t="s">
        <v>10</v>
      </c>
      <c r="I623" s="75">
        <v>19489</v>
      </c>
      <c r="K623" s="75" t="str">
        <f>IFERROR(VLOOKUP(J623,'NQ10'!$B$9:$C$145,2,0),"")</f>
        <v/>
      </c>
    </row>
    <row r="624" spans="1:11" ht="15" customHeight="1" x14ac:dyDescent="0.25">
      <c r="A624" s="75">
        <v>0</v>
      </c>
      <c r="D624" s="75">
        <v>849</v>
      </c>
      <c r="F624" s="75" t="s">
        <v>10</v>
      </c>
      <c r="I624" s="75">
        <v>19489</v>
      </c>
      <c r="K624" s="75" t="str">
        <f>IFERROR(VLOOKUP(J624,'NQ10'!$B$9:$C$145,2,0),"")</f>
        <v/>
      </c>
    </row>
    <row r="625" spans="1:11" ht="15" customHeight="1" x14ac:dyDescent="0.25">
      <c r="A625" s="75">
        <v>0</v>
      </c>
      <c r="D625" s="75">
        <v>181</v>
      </c>
      <c r="F625" s="75" t="s">
        <v>10</v>
      </c>
      <c r="I625" s="75">
        <v>19489</v>
      </c>
      <c r="K625" s="75" t="str">
        <f>IFERROR(VLOOKUP(J625,'NQ10'!$B$9:$C$145,2,0),"")</f>
        <v/>
      </c>
    </row>
    <row r="626" spans="1:11" ht="15" customHeight="1" x14ac:dyDescent="0.25">
      <c r="A626" s="75">
        <v>0</v>
      </c>
      <c r="D626" s="75">
        <v>730</v>
      </c>
      <c r="F626" s="75" t="s">
        <v>10</v>
      </c>
      <c r="I626" s="75">
        <v>19489</v>
      </c>
      <c r="K626" s="75" t="str">
        <f>IFERROR(VLOOKUP(J626,'NQ10'!$B$9:$C$145,2,0),"")</f>
        <v/>
      </c>
    </row>
    <row r="627" spans="1:11" ht="15" customHeight="1" x14ac:dyDescent="0.25">
      <c r="A627" s="75">
        <v>0</v>
      </c>
      <c r="D627" s="75">
        <v>604</v>
      </c>
      <c r="F627" s="75" t="s">
        <v>10</v>
      </c>
      <c r="I627" s="75">
        <v>19489</v>
      </c>
      <c r="K627" s="75" t="str">
        <f>IFERROR(VLOOKUP(J627,'NQ10'!$B$9:$C$145,2,0),"")</f>
        <v/>
      </c>
    </row>
    <row r="628" spans="1:11" ht="15" customHeight="1" x14ac:dyDescent="0.25">
      <c r="A628" s="75">
        <v>0</v>
      </c>
      <c r="D628" s="75">
        <v>178</v>
      </c>
      <c r="F628" s="75" t="s">
        <v>10</v>
      </c>
      <c r="I628" s="75">
        <v>19489</v>
      </c>
      <c r="K628" s="75" t="str">
        <f>IFERROR(VLOOKUP(J628,'NQ10'!$B$9:$C$145,2,0),"")</f>
        <v/>
      </c>
    </row>
    <row r="629" spans="1:11" ht="15" customHeight="1" x14ac:dyDescent="0.25">
      <c r="A629" s="75">
        <v>0</v>
      </c>
      <c r="D629" s="75">
        <v>2422</v>
      </c>
      <c r="F629" s="75" t="s">
        <v>10</v>
      </c>
      <c r="I629" s="75">
        <v>19489</v>
      </c>
      <c r="K629" s="75" t="str">
        <f>IFERROR(VLOOKUP(J629,'NQ10'!$B$9:$C$145,2,0),"")</f>
        <v/>
      </c>
    </row>
    <row r="630" spans="1:11" ht="15" customHeight="1" x14ac:dyDescent="0.25">
      <c r="A630" s="75">
        <v>0</v>
      </c>
      <c r="D630" s="75">
        <v>550</v>
      </c>
      <c r="F630" s="75" t="s">
        <v>10</v>
      </c>
      <c r="I630" s="75">
        <v>19489</v>
      </c>
      <c r="K630" s="75" t="str">
        <f>IFERROR(VLOOKUP(J630,'NQ10'!$B$9:$C$145,2,0),"")</f>
        <v/>
      </c>
    </row>
    <row r="631" spans="1:11" ht="15" customHeight="1" x14ac:dyDescent="0.25">
      <c r="A631" s="75">
        <v>0</v>
      </c>
      <c r="D631" s="75">
        <v>0</v>
      </c>
      <c r="F631" s="75" t="s">
        <v>10</v>
      </c>
      <c r="I631" s="75">
        <v>19489</v>
      </c>
      <c r="K631" s="75" t="str">
        <f>IFERROR(VLOOKUP(J631,'NQ10'!$B$9:$C$145,2,0),"")</f>
        <v/>
      </c>
    </row>
    <row r="632" spans="1:11" ht="15" customHeight="1" x14ac:dyDescent="0.25">
      <c r="A632" s="75">
        <v>0</v>
      </c>
      <c r="D632" s="75">
        <v>10383</v>
      </c>
      <c r="F632" s="75" t="s">
        <v>10</v>
      </c>
      <c r="I632" s="75">
        <v>19489</v>
      </c>
      <c r="K632" s="75" t="str">
        <f>IFERROR(VLOOKUP(J632,'NQ10'!$B$9:$C$145,2,0),"")</f>
        <v/>
      </c>
    </row>
    <row r="633" spans="1:11" ht="15" customHeight="1" x14ac:dyDescent="0.25">
      <c r="A633" s="75">
        <v>0</v>
      </c>
      <c r="D633" s="75">
        <v>170</v>
      </c>
      <c r="F633" s="75" t="s">
        <v>10</v>
      </c>
      <c r="I633" s="75">
        <v>19489</v>
      </c>
      <c r="K633" s="75" t="str">
        <f>IFERROR(VLOOKUP(J633,'NQ10'!$B$9:$C$145,2,0),"")</f>
        <v/>
      </c>
    </row>
    <row r="634" spans="1:11" ht="15" customHeight="1" x14ac:dyDescent="0.25">
      <c r="A634" s="75">
        <v>0</v>
      </c>
      <c r="D634" s="75">
        <v>0</v>
      </c>
      <c r="F634" s="75" t="s">
        <v>10</v>
      </c>
      <c r="I634" s="75">
        <v>19489</v>
      </c>
      <c r="K634" s="75" t="str">
        <f>IFERROR(VLOOKUP(J634,'NQ10'!$B$9:$C$145,2,0),"")</f>
        <v/>
      </c>
    </row>
    <row r="635" spans="1:11" ht="15" customHeight="1" x14ac:dyDescent="0.25">
      <c r="A635" s="75">
        <v>0</v>
      </c>
      <c r="D635" s="75">
        <v>65</v>
      </c>
      <c r="F635" s="75" t="s">
        <v>10</v>
      </c>
      <c r="I635" s="75">
        <v>19489</v>
      </c>
      <c r="K635" s="75" t="str">
        <f>IFERROR(VLOOKUP(J635,'NQ10'!$B$9:$C$145,2,0),"")</f>
        <v/>
      </c>
    </row>
    <row r="636" spans="1:11" ht="15" customHeight="1" x14ac:dyDescent="0.25">
      <c r="A636" s="75">
        <v>0</v>
      </c>
      <c r="D636" s="75">
        <v>511</v>
      </c>
      <c r="F636" s="75" t="s">
        <v>10</v>
      </c>
      <c r="I636" s="75">
        <v>19489</v>
      </c>
      <c r="K636" s="75" t="str">
        <f>IFERROR(VLOOKUP(J636,'NQ10'!$B$9:$C$145,2,0),"")</f>
        <v/>
      </c>
    </row>
    <row r="637" spans="1:11" ht="15" customHeight="1" x14ac:dyDescent="0.25">
      <c r="A637" s="75">
        <v>0</v>
      </c>
      <c r="D637" s="75">
        <v>157</v>
      </c>
      <c r="F637" s="75" t="s">
        <v>10</v>
      </c>
      <c r="I637" s="75">
        <v>19489</v>
      </c>
      <c r="K637" s="75" t="str">
        <f>IFERROR(VLOOKUP(J637,'NQ10'!$B$9:$C$145,2,0),"")</f>
        <v/>
      </c>
    </row>
    <row r="638" spans="1:11" ht="15" customHeight="1" x14ac:dyDescent="0.25">
      <c r="A638" s="75">
        <v>0</v>
      </c>
      <c r="D638" s="75">
        <v>5</v>
      </c>
      <c r="F638" s="75" t="s">
        <v>10</v>
      </c>
      <c r="I638" s="75">
        <v>19489</v>
      </c>
      <c r="K638" s="75" t="str">
        <f>IFERROR(VLOOKUP(J638,'NQ10'!$B$9:$C$145,2,0),"")</f>
        <v/>
      </c>
    </row>
    <row r="639" spans="1:11" ht="15" customHeight="1" x14ac:dyDescent="0.25">
      <c r="A639" s="75">
        <v>0</v>
      </c>
      <c r="D639" s="75">
        <v>95</v>
      </c>
      <c r="F639" s="75" t="s">
        <v>10</v>
      </c>
      <c r="I639" s="75">
        <v>19489</v>
      </c>
      <c r="K639" s="75" t="str">
        <f>IFERROR(VLOOKUP(J639,'NQ10'!$B$9:$C$145,2,0),"")</f>
        <v/>
      </c>
    </row>
    <row r="640" spans="1:11" ht="15" customHeight="1" x14ac:dyDescent="0.25">
      <c r="A640" s="75">
        <v>0</v>
      </c>
      <c r="D640" s="75">
        <v>412</v>
      </c>
      <c r="F640" s="75" t="s">
        <v>10</v>
      </c>
      <c r="I640" s="75">
        <v>19489</v>
      </c>
      <c r="K640" s="75" t="str">
        <f>IFERROR(VLOOKUP(J640,'NQ10'!$B$9:$C$145,2,0),"")</f>
        <v/>
      </c>
    </row>
    <row r="641" spans="1:11" ht="15" customHeight="1" x14ac:dyDescent="0.25">
      <c r="A641" s="75">
        <v>0</v>
      </c>
      <c r="D641" s="75">
        <v>3562</v>
      </c>
      <c r="F641" s="75" t="s">
        <v>10</v>
      </c>
      <c r="I641" s="75">
        <v>19489</v>
      </c>
      <c r="K641" s="75" t="str">
        <f>IFERROR(VLOOKUP(J641,'NQ10'!$B$9:$C$145,2,0),"")</f>
        <v/>
      </c>
    </row>
    <row r="642" spans="1:11" ht="15" customHeight="1" x14ac:dyDescent="0.25">
      <c r="A642" s="75">
        <v>0</v>
      </c>
      <c r="D642" s="75">
        <v>124</v>
      </c>
      <c r="F642" s="75" t="s">
        <v>10</v>
      </c>
      <c r="I642" s="75">
        <v>19489</v>
      </c>
      <c r="K642" s="75" t="str">
        <f>IFERROR(VLOOKUP(J642,'NQ10'!$B$9:$C$145,2,0),"")</f>
        <v/>
      </c>
    </row>
    <row r="643" spans="1:11" ht="15" customHeight="1" x14ac:dyDescent="0.25">
      <c r="A643" s="75">
        <v>0</v>
      </c>
      <c r="D643" s="75">
        <v>367</v>
      </c>
      <c r="F643" s="75" t="s">
        <v>10</v>
      </c>
      <c r="I643" s="75">
        <v>19489</v>
      </c>
      <c r="K643" s="75" t="str">
        <f>IFERROR(VLOOKUP(J643,'NQ10'!$B$9:$C$145,2,0),"")</f>
        <v/>
      </c>
    </row>
    <row r="644" spans="1:11" ht="15" customHeight="1" x14ac:dyDescent="0.25">
      <c r="A644" s="75">
        <v>0</v>
      </c>
      <c r="D644" s="75">
        <v>175</v>
      </c>
      <c r="F644" s="75" t="s">
        <v>10</v>
      </c>
      <c r="I644" s="75">
        <v>19489</v>
      </c>
      <c r="K644" s="75" t="str">
        <f>IFERROR(VLOOKUP(J644,'NQ10'!$B$9:$C$145,2,0),"")</f>
        <v/>
      </c>
    </row>
    <row r="645" spans="1:11" ht="15" customHeight="1" x14ac:dyDescent="0.25">
      <c r="A645" s="75">
        <v>0</v>
      </c>
      <c r="D645" s="75">
        <v>2</v>
      </c>
      <c r="F645" s="75" t="s">
        <v>10</v>
      </c>
      <c r="I645" s="75">
        <v>19489</v>
      </c>
      <c r="K645" s="75" t="str">
        <f>IFERROR(VLOOKUP(J645,'NQ10'!$B$9:$C$145,2,0),"")</f>
        <v/>
      </c>
    </row>
    <row r="646" spans="1:11" ht="15" customHeight="1" x14ac:dyDescent="0.25">
      <c r="A646" s="75">
        <v>0</v>
      </c>
      <c r="D646" s="75">
        <v>67365</v>
      </c>
      <c r="F646" s="75" t="s">
        <v>10</v>
      </c>
      <c r="I646" s="75">
        <v>19489</v>
      </c>
      <c r="K646" s="75" t="str">
        <f>IFERROR(VLOOKUP(J646,'NQ10'!$B$9:$C$145,2,0),"")</f>
        <v/>
      </c>
    </row>
    <row r="647" spans="1:11" ht="15" customHeight="1" x14ac:dyDescent="0.25">
      <c r="A647" s="75">
        <v>0</v>
      </c>
      <c r="D647" s="75">
        <v>3387</v>
      </c>
      <c r="F647" s="75" t="s">
        <v>10</v>
      </c>
      <c r="I647" s="75">
        <v>19489</v>
      </c>
      <c r="K647" s="75" t="str">
        <f>IFERROR(VLOOKUP(J647,'NQ10'!$B$9:$C$145,2,0),"")</f>
        <v/>
      </c>
    </row>
    <row r="648" spans="1:11" ht="15" customHeight="1" x14ac:dyDescent="0.25">
      <c r="A648" s="75">
        <v>0</v>
      </c>
      <c r="D648" s="75">
        <v>35</v>
      </c>
      <c r="F648" s="75" t="s">
        <v>10</v>
      </c>
      <c r="I648" s="75">
        <v>19489</v>
      </c>
      <c r="K648" s="75" t="str">
        <f>IFERROR(VLOOKUP(J648,'NQ10'!$B$9:$C$145,2,0),"")</f>
        <v/>
      </c>
    </row>
    <row r="649" spans="1:11" ht="15" customHeight="1" x14ac:dyDescent="0.25">
      <c r="A649" s="75">
        <v>0</v>
      </c>
      <c r="D649" s="75">
        <v>11125</v>
      </c>
      <c r="F649" s="75" t="s">
        <v>10</v>
      </c>
      <c r="I649" s="75">
        <v>19489</v>
      </c>
      <c r="K649" s="75" t="str">
        <f>IFERROR(VLOOKUP(J649,'NQ10'!$B$9:$C$145,2,0),"")</f>
        <v/>
      </c>
    </row>
    <row r="650" spans="1:11" ht="15" customHeight="1" x14ac:dyDescent="0.25">
      <c r="A650" s="75">
        <v>0</v>
      </c>
      <c r="D650" s="75">
        <v>77021</v>
      </c>
      <c r="F650" s="75" t="s">
        <v>10</v>
      </c>
      <c r="I650" s="75">
        <v>19489</v>
      </c>
      <c r="K650" s="75" t="str">
        <f>IFERROR(VLOOKUP(J650,'NQ10'!$B$9:$C$145,2,0),"")</f>
        <v/>
      </c>
    </row>
    <row r="651" spans="1:11" ht="15" customHeight="1" x14ac:dyDescent="0.25">
      <c r="A651" s="75">
        <v>0</v>
      </c>
      <c r="D651" s="75">
        <v>20414</v>
      </c>
      <c r="F651" s="75" t="s">
        <v>10</v>
      </c>
      <c r="I651" s="75">
        <v>19489</v>
      </c>
      <c r="K651" s="75" t="str">
        <f>IFERROR(VLOOKUP(J651,'NQ10'!$B$9:$C$145,2,0),"")</f>
        <v/>
      </c>
    </row>
    <row r="652" spans="1:11" ht="15" customHeight="1" x14ac:dyDescent="0.25">
      <c r="A652" s="75">
        <v>0</v>
      </c>
      <c r="D652" s="75">
        <v>133</v>
      </c>
      <c r="F652" s="75" t="s">
        <v>10</v>
      </c>
      <c r="I652" s="75">
        <v>19489</v>
      </c>
      <c r="K652" s="75" t="str">
        <f>IFERROR(VLOOKUP(J652,'NQ10'!$B$9:$C$145,2,0),"")</f>
        <v/>
      </c>
    </row>
    <row r="653" spans="1:11" ht="15" customHeight="1" x14ac:dyDescent="0.25">
      <c r="A653" s="75">
        <v>0</v>
      </c>
      <c r="D653" s="75">
        <v>1475</v>
      </c>
      <c r="F653" s="75" t="s">
        <v>10</v>
      </c>
      <c r="I653" s="75">
        <v>19489</v>
      </c>
      <c r="K653" s="75" t="str">
        <f>IFERROR(VLOOKUP(J653,'NQ10'!$B$9:$C$145,2,0),"")</f>
        <v/>
      </c>
    </row>
    <row r="654" spans="1:11" ht="15" customHeight="1" x14ac:dyDescent="0.25">
      <c r="A654" s="75">
        <v>0</v>
      </c>
      <c r="D654" s="75">
        <v>2324</v>
      </c>
      <c r="F654" s="75" t="s">
        <v>10</v>
      </c>
      <c r="I654" s="75">
        <v>19489</v>
      </c>
      <c r="K654" s="75" t="str">
        <f>IFERROR(VLOOKUP(J654,'NQ10'!$B$9:$C$145,2,0),"")</f>
        <v/>
      </c>
    </row>
    <row r="655" spans="1:11" ht="15" customHeight="1" x14ac:dyDescent="0.25">
      <c r="A655" s="75">
        <v>0</v>
      </c>
      <c r="D655" s="75">
        <v>0</v>
      </c>
      <c r="F655" s="75" t="s">
        <v>10</v>
      </c>
      <c r="I655" s="75">
        <v>19489</v>
      </c>
      <c r="K655" s="75" t="str">
        <f>IFERROR(VLOOKUP(J655,'NQ10'!$B$9:$C$145,2,0),"")</f>
        <v/>
      </c>
    </row>
    <row r="656" spans="1:11" ht="15" customHeight="1" x14ac:dyDescent="0.25">
      <c r="A656" s="75">
        <v>0</v>
      </c>
      <c r="D656" s="75">
        <v>261</v>
      </c>
      <c r="F656" s="75" t="s">
        <v>10</v>
      </c>
      <c r="I656" s="75">
        <v>19489</v>
      </c>
      <c r="K656" s="75" t="str">
        <f>IFERROR(VLOOKUP(J656,'NQ10'!$B$9:$C$145,2,0),"")</f>
        <v/>
      </c>
    </row>
    <row r="657" spans="1:11" ht="15" customHeight="1" x14ac:dyDescent="0.25">
      <c r="A657" s="75">
        <v>0</v>
      </c>
      <c r="D657" s="75">
        <v>77</v>
      </c>
      <c r="F657" s="75" t="s">
        <v>10</v>
      </c>
      <c r="I657" s="75">
        <v>19489</v>
      </c>
      <c r="K657" s="75" t="str">
        <f>IFERROR(VLOOKUP(J657,'NQ10'!$B$9:$C$145,2,0),"")</f>
        <v/>
      </c>
    </row>
    <row r="658" spans="1:11" ht="15" customHeight="1" x14ac:dyDescent="0.25">
      <c r="A658" s="75">
        <v>0</v>
      </c>
      <c r="D658" s="75">
        <v>569</v>
      </c>
      <c r="F658" s="75" t="s">
        <v>10</v>
      </c>
      <c r="I658" s="75">
        <v>19489</v>
      </c>
      <c r="K658" s="75" t="str">
        <f>IFERROR(VLOOKUP(J658,'NQ10'!$B$9:$C$145,2,0),"")</f>
        <v/>
      </c>
    </row>
    <row r="659" spans="1:11" ht="15" customHeight="1" x14ac:dyDescent="0.25">
      <c r="A659" s="75">
        <v>0</v>
      </c>
      <c r="D659" s="75">
        <v>4217</v>
      </c>
      <c r="F659" s="75" t="s">
        <v>10</v>
      </c>
      <c r="I659" s="75">
        <v>19489</v>
      </c>
      <c r="K659" s="75" t="str">
        <f>IFERROR(VLOOKUP(J659,'NQ10'!$B$9:$C$145,2,0),"")</f>
        <v/>
      </c>
    </row>
    <row r="660" spans="1:11" ht="15" customHeight="1" x14ac:dyDescent="0.25">
      <c r="A660" s="75">
        <v>0</v>
      </c>
      <c r="D660" s="75">
        <v>1603</v>
      </c>
      <c r="F660" s="75" t="s">
        <v>10</v>
      </c>
      <c r="I660" s="75">
        <v>19489</v>
      </c>
      <c r="K660" s="75" t="str">
        <f>IFERROR(VLOOKUP(J660,'NQ10'!$B$9:$C$145,2,0),"")</f>
        <v/>
      </c>
    </row>
    <row r="661" spans="1:11" ht="15" customHeight="1" x14ac:dyDescent="0.25">
      <c r="A661" s="75">
        <v>0</v>
      </c>
      <c r="D661" s="75">
        <v>252</v>
      </c>
      <c r="F661" s="75" t="s">
        <v>10</v>
      </c>
      <c r="I661" s="75">
        <v>19489</v>
      </c>
      <c r="K661" s="75" t="str">
        <f>IFERROR(VLOOKUP(J661,'NQ10'!$B$9:$C$145,2,0),"")</f>
        <v/>
      </c>
    </row>
    <row r="662" spans="1:11" ht="15" customHeight="1" x14ac:dyDescent="0.25">
      <c r="A662" s="75">
        <v>0</v>
      </c>
      <c r="D662" s="75">
        <v>4516</v>
      </c>
      <c r="F662" s="75" t="s">
        <v>10</v>
      </c>
      <c r="I662" s="75">
        <v>19489</v>
      </c>
      <c r="K662" s="75" t="str">
        <f>IFERROR(VLOOKUP(J662,'NQ10'!$B$9:$C$145,2,0),"")</f>
        <v/>
      </c>
    </row>
    <row r="663" spans="1:11" ht="15" customHeight="1" x14ac:dyDescent="0.25">
      <c r="A663" s="75">
        <v>0</v>
      </c>
      <c r="D663" s="75">
        <v>167</v>
      </c>
      <c r="F663" s="75" t="s">
        <v>10</v>
      </c>
      <c r="I663" s="75">
        <v>19489</v>
      </c>
      <c r="K663" s="75" t="str">
        <f>IFERROR(VLOOKUP(J663,'NQ10'!$B$9:$C$145,2,0),"")</f>
        <v/>
      </c>
    </row>
    <row r="664" spans="1:11" ht="15" customHeight="1" x14ac:dyDescent="0.25">
      <c r="A664" s="75">
        <v>0</v>
      </c>
      <c r="D664" s="75">
        <v>0</v>
      </c>
      <c r="F664" s="75" t="s">
        <v>10</v>
      </c>
      <c r="I664" s="75">
        <v>19489</v>
      </c>
      <c r="K664" s="75" t="str">
        <f>IFERROR(VLOOKUP(J664,'NQ10'!$B$9:$C$145,2,0),"")</f>
        <v/>
      </c>
    </row>
    <row r="665" spans="1:11" ht="15" customHeight="1" x14ac:dyDescent="0.25">
      <c r="A665" s="75">
        <v>0</v>
      </c>
      <c r="D665" s="75">
        <v>258</v>
      </c>
      <c r="F665" s="75" t="s">
        <v>10</v>
      </c>
      <c r="I665" s="75">
        <v>19489</v>
      </c>
      <c r="K665" s="75" t="str">
        <f>IFERROR(VLOOKUP(J665,'NQ10'!$B$9:$C$145,2,0),"")</f>
        <v/>
      </c>
    </row>
    <row r="666" spans="1:11" ht="15" customHeight="1" x14ac:dyDescent="0.25">
      <c r="A666" s="75">
        <v>0</v>
      </c>
      <c r="D666" s="75">
        <v>5</v>
      </c>
      <c r="F666" s="75" t="s">
        <v>10</v>
      </c>
      <c r="I666" s="75">
        <v>19489</v>
      </c>
      <c r="K666" s="75" t="str">
        <f>IFERROR(VLOOKUP(J666,'NQ10'!$B$9:$C$145,2,0),"")</f>
        <v/>
      </c>
    </row>
    <row r="667" spans="1:11" ht="15" customHeight="1" x14ac:dyDescent="0.25">
      <c r="A667" s="75">
        <v>0</v>
      </c>
      <c r="D667" s="75">
        <v>31</v>
      </c>
      <c r="F667" s="75" t="s">
        <v>10</v>
      </c>
      <c r="I667" s="75">
        <v>19489</v>
      </c>
      <c r="K667" s="75" t="str">
        <f>IFERROR(VLOOKUP(J667,'NQ10'!$B$9:$C$145,2,0),"")</f>
        <v/>
      </c>
    </row>
    <row r="668" spans="1:11" ht="15" customHeight="1" x14ac:dyDescent="0.25">
      <c r="A668" s="75">
        <v>0</v>
      </c>
      <c r="D668" s="75">
        <v>228</v>
      </c>
      <c r="F668" s="75" t="s">
        <v>10</v>
      </c>
      <c r="I668" s="75">
        <v>19489</v>
      </c>
      <c r="K668" s="75" t="str">
        <f>IFERROR(VLOOKUP(J668,'NQ10'!$B$9:$C$145,2,0),"")</f>
        <v/>
      </c>
    </row>
    <row r="669" spans="1:11" ht="15" customHeight="1" x14ac:dyDescent="0.25">
      <c r="A669" s="75">
        <v>0</v>
      </c>
      <c r="D669" s="75">
        <v>124</v>
      </c>
      <c r="F669" s="75" t="s">
        <v>10</v>
      </c>
      <c r="I669" s="75">
        <v>19489</v>
      </c>
      <c r="K669" s="75" t="str">
        <f>IFERROR(VLOOKUP(J669,'NQ10'!$B$9:$C$145,2,0),"")</f>
        <v/>
      </c>
    </row>
    <row r="670" spans="1:11" ht="15" customHeight="1" x14ac:dyDescent="0.25">
      <c r="A670" s="75">
        <v>0</v>
      </c>
      <c r="D670" s="75">
        <v>1513</v>
      </c>
      <c r="F670" s="75" t="s">
        <v>10</v>
      </c>
      <c r="I670" s="75">
        <v>19489</v>
      </c>
      <c r="K670" s="75" t="str">
        <f>IFERROR(VLOOKUP(J670,'NQ10'!$B$9:$C$145,2,0),"")</f>
        <v/>
      </c>
    </row>
    <row r="671" spans="1:11" ht="15" customHeight="1" x14ac:dyDescent="0.25">
      <c r="A671" s="75">
        <v>0</v>
      </c>
      <c r="D671" s="75">
        <v>326</v>
      </c>
      <c r="F671" s="75" t="s">
        <v>10</v>
      </c>
      <c r="I671" s="75">
        <v>19489</v>
      </c>
      <c r="K671" s="75" t="str">
        <f>IFERROR(VLOOKUP(J671,'NQ10'!$B$9:$C$145,2,0),"")</f>
        <v/>
      </c>
    </row>
    <row r="672" spans="1:11" ht="15" customHeight="1" x14ac:dyDescent="0.25">
      <c r="A672" s="75">
        <v>0</v>
      </c>
      <c r="D672" s="75">
        <v>462</v>
      </c>
      <c r="F672" s="75" t="s">
        <v>10</v>
      </c>
      <c r="I672" s="75">
        <v>19489</v>
      </c>
      <c r="K672" s="75" t="str">
        <f>IFERROR(VLOOKUP(J672,'NQ10'!$B$9:$C$145,2,0),"")</f>
        <v/>
      </c>
    </row>
    <row r="673" spans="1:11" ht="15" customHeight="1" x14ac:dyDescent="0.25">
      <c r="A673" s="75">
        <v>0</v>
      </c>
      <c r="D673" s="75">
        <v>72</v>
      </c>
      <c r="F673" s="75" t="s">
        <v>10</v>
      </c>
      <c r="I673" s="75">
        <v>19489</v>
      </c>
      <c r="K673" s="75" t="str">
        <f>IFERROR(VLOOKUP(J673,'NQ10'!$B$9:$C$145,2,0),"")</f>
        <v/>
      </c>
    </row>
    <row r="674" spans="1:11" ht="15" customHeight="1" x14ac:dyDescent="0.25">
      <c r="A674" s="75">
        <v>0</v>
      </c>
      <c r="D674" s="75">
        <v>135</v>
      </c>
      <c r="F674" s="75" t="s">
        <v>10</v>
      </c>
      <c r="I674" s="75">
        <v>19489</v>
      </c>
      <c r="K674" s="75" t="str">
        <f>IFERROR(VLOOKUP(J674,'NQ10'!$B$9:$C$145,2,0),"")</f>
        <v/>
      </c>
    </row>
    <row r="675" spans="1:11" ht="15" customHeight="1" x14ac:dyDescent="0.25">
      <c r="A675" s="75">
        <v>0</v>
      </c>
      <c r="D675" s="75">
        <v>281</v>
      </c>
      <c r="F675" s="75" t="s">
        <v>10</v>
      </c>
      <c r="I675" s="75">
        <v>19489</v>
      </c>
      <c r="K675" s="75" t="str">
        <f>IFERROR(VLOOKUP(J675,'NQ10'!$B$9:$C$145,2,0),"")</f>
        <v/>
      </c>
    </row>
    <row r="676" spans="1:11" ht="15" customHeight="1" x14ac:dyDescent="0.25">
      <c r="A676" s="75">
        <v>0</v>
      </c>
      <c r="D676" s="75">
        <v>0</v>
      </c>
      <c r="F676" s="75" t="s">
        <v>10</v>
      </c>
      <c r="I676" s="75">
        <v>19489</v>
      </c>
      <c r="K676" s="75" t="str">
        <f>IFERROR(VLOOKUP(J676,'NQ10'!$B$9:$C$145,2,0),"")</f>
        <v/>
      </c>
    </row>
    <row r="677" spans="1:11" ht="15" customHeight="1" x14ac:dyDescent="0.25">
      <c r="A677" s="75">
        <v>0</v>
      </c>
      <c r="D677" s="75">
        <v>29</v>
      </c>
      <c r="F677" s="75" t="s">
        <v>10</v>
      </c>
      <c r="I677" s="75">
        <v>19489</v>
      </c>
      <c r="K677" s="75" t="str">
        <f>IFERROR(VLOOKUP(J677,'NQ10'!$B$9:$C$145,2,0),"")</f>
        <v/>
      </c>
    </row>
    <row r="678" spans="1:11" ht="15" customHeight="1" x14ac:dyDescent="0.25">
      <c r="A678" s="75">
        <v>0</v>
      </c>
      <c r="D678" s="75">
        <v>103</v>
      </c>
      <c r="F678" s="75" t="s">
        <v>10</v>
      </c>
      <c r="I678" s="75">
        <v>19489</v>
      </c>
      <c r="K678" s="75" t="str">
        <f>IFERROR(VLOOKUP(J678,'NQ10'!$B$9:$C$145,2,0),"")</f>
        <v/>
      </c>
    </row>
    <row r="679" spans="1:11" ht="15" customHeight="1" x14ac:dyDescent="0.25">
      <c r="A679" s="75">
        <v>0</v>
      </c>
      <c r="D679" s="75">
        <v>8985</v>
      </c>
      <c r="F679" s="75" t="s">
        <v>10</v>
      </c>
      <c r="I679" s="75">
        <v>19489</v>
      </c>
      <c r="K679" s="75" t="str">
        <f>IFERROR(VLOOKUP(J679,'NQ10'!$B$9:$C$145,2,0),"")</f>
        <v/>
      </c>
    </row>
    <row r="680" spans="1:11" ht="15" customHeight="1" x14ac:dyDescent="0.25">
      <c r="A680" s="75">
        <v>0</v>
      </c>
      <c r="D680" s="75">
        <v>0</v>
      </c>
      <c r="F680" s="75" t="s">
        <v>10</v>
      </c>
      <c r="I680" s="75">
        <v>19489</v>
      </c>
      <c r="K680" s="75" t="str">
        <f>IFERROR(VLOOKUP(J680,'NQ10'!$B$9:$C$145,2,0),"")</f>
        <v/>
      </c>
    </row>
    <row r="681" spans="1:11" ht="15" customHeight="1" x14ac:dyDescent="0.25">
      <c r="A681" s="75">
        <v>0</v>
      </c>
      <c r="D681" s="75">
        <v>935</v>
      </c>
      <c r="F681" s="75" t="s">
        <v>10</v>
      </c>
      <c r="I681" s="75">
        <v>19489</v>
      </c>
      <c r="K681" s="75" t="str">
        <f>IFERROR(VLOOKUP(J681,'NQ10'!$B$9:$C$145,2,0),"")</f>
        <v/>
      </c>
    </row>
    <row r="682" spans="1:11" ht="15" customHeight="1" x14ac:dyDescent="0.25">
      <c r="A682" s="75">
        <v>0</v>
      </c>
      <c r="D682" s="75">
        <v>358</v>
      </c>
      <c r="F682" s="75" t="s">
        <v>10</v>
      </c>
      <c r="I682" s="75">
        <v>19489</v>
      </c>
      <c r="K682" s="75" t="str">
        <f>IFERROR(VLOOKUP(J682,'NQ10'!$B$9:$C$145,2,0),"")</f>
        <v/>
      </c>
    </row>
    <row r="683" spans="1:11" ht="15" customHeight="1" x14ac:dyDescent="0.25">
      <c r="A683" s="75">
        <v>0</v>
      </c>
      <c r="D683" s="75">
        <v>65</v>
      </c>
      <c r="F683" s="75" t="s">
        <v>10</v>
      </c>
      <c r="I683" s="75">
        <v>19489</v>
      </c>
      <c r="K683" s="75" t="str">
        <f>IFERROR(VLOOKUP(J683,'NQ10'!$B$9:$C$145,2,0),"")</f>
        <v/>
      </c>
    </row>
    <row r="684" spans="1:11" ht="15" customHeight="1" x14ac:dyDescent="0.25">
      <c r="A684" s="75">
        <v>0</v>
      </c>
      <c r="D684" s="75">
        <v>2</v>
      </c>
      <c r="F684" s="75" t="s">
        <v>10</v>
      </c>
      <c r="I684" s="75">
        <v>19489</v>
      </c>
      <c r="K684" s="75" t="str">
        <f>IFERROR(VLOOKUP(J684,'NQ10'!$B$9:$C$145,2,0),"")</f>
        <v/>
      </c>
    </row>
    <row r="685" spans="1:11" ht="15" customHeight="1" x14ac:dyDescent="0.25">
      <c r="A685" s="75">
        <v>0</v>
      </c>
      <c r="D685" s="75">
        <v>56</v>
      </c>
      <c r="F685" s="75" t="s">
        <v>10</v>
      </c>
      <c r="I685" s="75">
        <v>19489</v>
      </c>
      <c r="K685" s="75" t="str">
        <f>IFERROR(VLOOKUP(J685,'NQ10'!$B$9:$C$145,2,0),"")</f>
        <v/>
      </c>
    </row>
    <row r="686" spans="1:11" ht="15" customHeight="1" x14ac:dyDescent="0.25">
      <c r="A686" s="75">
        <v>0</v>
      </c>
      <c r="D686" s="75">
        <v>120</v>
      </c>
      <c r="F686" s="75" t="s">
        <v>10</v>
      </c>
      <c r="I686" s="75">
        <v>19489</v>
      </c>
      <c r="K686" s="75" t="str">
        <f>IFERROR(VLOOKUP(J686,'NQ10'!$B$9:$C$145,2,0),"")</f>
        <v/>
      </c>
    </row>
    <row r="687" spans="1:11" ht="15" customHeight="1" x14ac:dyDescent="0.25">
      <c r="A687" s="75">
        <v>0</v>
      </c>
      <c r="D687" s="75">
        <v>389</v>
      </c>
      <c r="F687" s="75" t="s">
        <v>10</v>
      </c>
      <c r="I687" s="75">
        <v>19489</v>
      </c>
      <c r="K687" s="75" t="str">
        <f>IFERROR(VLOOKUP(J687,'NQ10'!$B$9:$C$145,2,0),"")</f>
        <v/>
      </c>
    </row>
    <row r="688" spans="1:11" ht="15" customHeight="1" x14ac:dyDescent="0.25">
      <c r="A688" s="75">
        <v>0</v>
      </c>
      <c r="D688" s="75">
        <v>27</v>
      </c>
      <c r="F688" s="75" t="s">
        <v>10</v>
      </c>
      <c r="I688" s="75">
        <v>19489</v>
      </c>
      <c r="K688" s="75" t="str">
        <f>IFERROR(VLOOKUP(J688,'NQ10'!$B$9:$C$145,2,0),"")</f>
        <v/>
      </c>
    </row>
    <row r="689" spans="1:11" ht="15" customHeight="1" x14ac:dyDescent="0.25">
      <c r="A689" s="75">
        <v>0</v>
      </c>
      <c r="D689" s="75">
        <v>18</v>
      </c>
      <c r="F689" s="75" t="s">
        <v>10</v>
      </c>
      <c r="I689" s="75">
        <v>19489</v>
      </c>
      <c r="K689" s="75" t="str">
        <f>IFERROR(VLOOKUP(J689,'NQ10'!$B$9:$C$145,2,0),"")</f>
        <v/>
      </c>
    </row>
    <row r="690" spans="1:11" ht="15" customHeight="1" x14ac:dyDescent="0.25">
      <c r="A690" s="75">
        <v>0</v>
      </c>
      <c r="D690" s="75">
        <v>6</v>
      </c>
      <c r="F690" s="75" t="s">
        <v>10</v>
      </c>
      <c r="I690" s="75">
        <v>19489</v>
      </c>
      <c r="K690" s="75" t="str">
        <f>IFERROR(VLOOKUP(J690,'NQ10'!$B$9:$C$145,2,0),"")</f>
        <v/>
      </c>
    </row>
    <row r="691" spans="1:11" ht="15" customHeight="1" x14ac:dyDescent="0.25">
      <c r="A691" s="75">
        <v>0</v>
      </c>
      <c r="D691" s="75">
        <v>28</v>
      </c>
      <c r="F691" s="75" t="s">
        <v>10</v>
      </c>
      <c r="I691" s="75">
        <v>19489</v>
      </c>
      <c r="K691" s="75" t="str">
        <f>IFERROR(VLOOKUP(J691,'NQ10'!$B$9:$C$145,2,0),"")</f>
        <v/>
      </c>
    </row>
    <row r="692" spans="1:11" ht="15" customHeight="1" x14ac:dyDescent="0.25">
      <c r="A692" s="75">
        <v>0</v>
      </c>
      <c r="D692" s="75">
        <v>14</v>
      </c>
      <c r="F692" s="75" t="s">
        <v>10</v>
      </c>
      <c r="I692" s="75">
        <v>19489</v>
      </c>
      <c r="K692" s="75" t="str">
        <f>IFERROR(VLOOKUP(J692,'NQ10'!$B$9:$C$145,2,0),"")</f>
        <v/>
      </c>
    </row>
    <row r="693" spans="1:11" ht="15" customHeight="1" x14ac:dyDescent="0.25">
      <c r="A693" s="75">
        <v>0</v>
      </c>
      <c r="D693" s="75">
        <v>45</v>
      </c>
      <c r="F693" s="75" t="s">
        <v>10</v>
      </c>
      <c r="I693" s="75">
        <v>19489</v>
      </c>
      <c r="K693" s="75" t="str">
        <f>IFERROR(VLOOKUP(J693,'NQ10'!$B$9:$C$145,2,0),"")</f>
        <v/>
      </c>
    </row>
    <row r="694" spans="1:11" ht="15" customHeight="1" x14ac:dyDescent="0.25">
      <c r="A694" s="75">
        <v>0</v>
      </c>
      <c r="D694" s="75">
        <v>884</v>
      </c>
      <c r="F694" s="75" t="s">
        <v>10</v>
      </c>
      <c r="I694" s="75">
        <v>19489</v>
      </c>
      <c r="K694" s="75" t="str">
        <f>IFERROR(VLOOKUP(J694,'NQ10'!$B$9:$C$145,2,0),"")</f>
        <v/>
      </c>
    </row>
    <row r="695" spans="1:11" ht="15" customHeight="1" x14ac:dyDescent="0.25">
      <c r="A695" s="75">
        <v>0</v>
      </c>
      <c r="D695" s="75">
        <v>0</v>
      </c>
      <c r="F695" s="75" t="s">
        <v>10</v>
      </c>
      <c r="I695" s="75">
        <v>19489</v>
      </c>
      <c r="K695" s="75" t="str">
        <f>IFERROR(VLOOKUP(J695,'NQ10'!$B$9:$C$145,2,0),"")</f>
        <v/>
      </c>
    </row>
    <row r="696" spans="1:11" ht="15" customHeight="1" x14ac:dyDescent="0.25">
      <c r="A696" s="75">
        <v>0</v>
      </c>
      <c r="D696" s="75">
        <v>22</v>
      </c>
      <c r="F696" s="75" t="s">
        <v>10</v>
      </c>
      <c r="I696" s="75">
        <v>19489</v>
      </c>
      <c r="K696" s="75" t="str">
        <f>IFERROR(VLOOKUP(J696,'NQ10'!$B$9:$C$145,2,0),"")</f>
        <v/>
      </c>
    </row>
    <row r="697" spans="1:11" ht="15" customHeight="1" x14ac:dyDescent="0.25">
      <c r="A697" s="75">
        <v>0</v>
      </c>
      <c r="D697" s="75">
        <v>20963</v>
      </c>
      <c r="F697" s="75" t="s">
        <v>10</v>
      </c>
      <c r="I697" s="75">
        <v>19489</v>
      </c>
      <c r="K697" s="75" t="str">
        <f>IFERROR(VLOOKUP(J697,'NQ10'!$B$9:$C$145,2,0),"")</f>
        <v/>
      </c>
    </row>
    <row r="698" spans="1:11" ht="15" customHeight="1" x14ac:dyDescent="0.25">
      <c r="A698" s="75">
        <v>0</v>
      </c>
      <c r="D698" s="75">
        <v>7</v>
      </c>
      <c r="F698" s="75" t="s">
        <v>10</v>
      </c>
      <c r="I698" s="75">
        <v>19489</v>
      </c>
      <c r="K698" s="75" t="str">
        <f>IFERROR(VLOOKUP(J698,'NQ10'!$B$9:$C$145,2,0),"")</f>
        <v/>
      </c>
    </row>
    <row r="699" spans="1:11" ht="15" customHeight="1" x14ac:dyDescent="0.25">
      <c r="A699" s="75">
        <v>0</v>
      </c>
      <c r="D699" s="75">
        <v>162</v>
      </c>
      <c r="F699" s="75" t="s">
        <v>10</v>
      </c>
      <c r="I699" s="75">
        <v>19489</v>
      </c>
      <c r="K699" s="75" t="str">
        <f>IFERROR(VLOOKUP(J699,'NQ10'!$B$9:$C$145,2,0),"")</f>
        <v/>
      </c>
    </row>
    <row r="700" spans="1:11" ht="15" customHeight="1" x14ac:dyDescent="0.25">
      <c r="A700" s="75">
        <v>0</v>
      </c>
      <c r="D700" s="75">
        <v>463</v>
      </c>
      <c r="F700" s="75" t="s">
        <v>10</v>
      </c>
      <c r="I700" s="75">
        <v>19489</v>
      </c>
      <c r="K700" s="75" t="str">
        <f>IFERROR(VLOOKUP(J700,'NQ10'!$B$9:$C$145,2,0),"")</f>
        <v/>
      </c>
    </row>
    <row r="701" spans="1:11" ht="15" customHeight="1" x14ac:dyDescent="0.25">
      <c r="A701" s="75">
        <v>0</v>
      </c>
      <c r="D701" s="75">
        <v>371</v>
      </c>
      <c r="F701" s="75" t="s">
        <v>10</v>
      </c>
      <c r="I701" s="75">
        <v>19489</v>
      </c>
      <c r="K701" s="75" t="str">
        <f>IFERROR(VLOOKUP(J701,'NQ10'!$B$9:$C$145,2,0),"")</f>
        <v/>
      </c>
    </row>
    <row r="702" spans="1:11" ht="15" customHeight="1" x14ac:dyDescent="0.25">
      <c r="A702" s="75">
        <v>0</v>
      </c>
      <c r="D702" s="75">
        <v>674</v>
      </c>
      <c r="F702" s="75" t="s">
        <v>10</v>
      </c>
      <c r="I702" s="75">
        <v>19489</v>
      </c>
      <c r="K702" s="75" t="str">
        <f>IFERROR(VLOOKUP(J702,'NQ10'!$B$9:$C$145,2,0),"")</f>
        <v/>
      </c>
    </row>
    <row r="703" spans="1:11" ht="15" customHeight="1" x14ac:dyDescent="0.25">
      <c r="A703" s="75">
        <v>0</v>
      </c>
      <c r="D703" s="75">
        <v>1</v>
      </c>
      <c r="F703" s="75" t="s">
        <v>10</v>
      </c>
      <c r="I703" s="75">
        <v>19489</v>
      </c>
      <c r="K703" s="75" t="str">
        <f>IFERROR(VLOOKUP(J703,'NQ10'!$B$9:$C$145,2,0),"")</f>
        <v/>
      </c>
    </row>
    <row r="704" spans="1:11" ht="15" customHeight="1" x14ac:dyDescent="0.25">
      <c r="A704" s="75">
        <v>0</v>
      </c>
      <c r="D704" s="75">
        <v>3</v>
      </c>
      <c r="F704" s="75" t="s">
        <v>10</v>
      </c>
      <c r="I704" s="75">
        <v>19489</v>
      </c>
      <c r="K704" s="75" t="str">
        <f>IFERROR(VLOOKUP(J704,'NQ10'!$B$9:$C$145,2,0),"")</f>
        <v/>
      </c>
    </row>
    <row r="705" spans="1:11" ht="15" customHeight="1" x14ac:dyDescent="0.25">
      <c r="A705" s="75">
        <v>0</v>
      </c>
      <c r="D705" s="75">
        <v>11</v>
      </c>
      <c r="F705" s="75" t="s">
        <v>10</v>
      </c>
      <c r="I705" s="75">
        <v>19489</v>
      </c>
      <c r="K705" s="75" t="str">
        <f>IFERROR(VLOOKUP(J705,'NQ10'!$B$9:$C$145,2,0),"")</f>
        <v/>
      </c>
    </row>
    <row r="706" spans="1:11" ht="15" customHeight="1" x14ac:dyDescent="0.25">
      <c r="A706" s="75">
        <v>0</v>
      </c>
      <c r="D706" s="75">
        <v>22</v>
      </c>
      <c r="F706" s="75" t="s">
        <v>10</v>
      </c>
      <c r="I706" s="75">
        <v>19489</v>
      </c>
      <c r="K706" s="75" t="str">
        <f>IFERROR(VLOOKUP(J706,'NQ10'!$B$9:$C$145,2,0),"")</f>
        <v/>
      </c>
    </row>
    <row r="707" spans="1:11" ht="15" customHeight="1" x14ac:dyDescent="0.25">
      <c r="A707" s="75">
        <v>0</v>
      </c>
      <c r="D707" s="75">
        <v>0</v>
      </c>
      <c r="F707" s="75" t="s">
        <v>10</v>
      </c>
      <c r="I707" s="75">
        <v>19489</v>
      </c>
      <c r="K707" s="75" t="str">
        <f>IFERROR(VLOOKUP(J707,'NQ10'!$B$9:$C$145,2,0),"")</f>
        <v/>
      </c>
    </row>
    <row r="708" spans="1:11" ht="15" customHeight="1" x14ac:dyDescent="0.25">
      <c r="A708" s="75">
        <v>0</v>
      </c>
      <c r="D708" s="75">
        <v>2</v>
      </c>
      <c r="F708" s="75" t="s">
        <v>10</v>
      </c>
      <c r="I708" s="75">
        <v>19489</v>
      </c>
      <c r="K708" s="75" t="str">
        <f>IFERROR(VLOOKUP(J708,'NQ10'!$B$9:$C$145,2,0),"")</f>
        <v/>
      </c>
    </row>
    <row r="709" spans="1:11" ht="15" customHeight="1" x14ac:dyDescent="0.25">
      <c r="A709" s="75">
        <v>0</v>
      </c>
      <c r="D709" s="75">
        <v>2</v>
      </c>
      <c r="F709" s="75" t="s">
        <v>10</v>
      </c>
      <c r="I709" s="75">
        <v>19489</v>
      </c>
      <c r="K709" s="75" t="str">
        <f>IFERROR(VLOOKUP(J709,'NQ10'!$B$9:$C$145,2,0),"")</f>
        <v/>
      </c>
    </row>
    <row r="710" spans="1:11" ht="15" customHeight="1" x14ac:dyDescent="0.25">
      <c r="A710" s="75">
        <v>0</v>
      </c>
      <c r="D710" s="75">
        <v>3</v>
      </c>
      <c r="F710" s="75" t="s">
        <v>10</v>
      </c>
      <c r="I710" s="75">
        <v>19489</v>
      </c>
      <c r="K710" s="75" t="str">
        <f>IFERROR(VLOOKUP(J710,'NQ10'!$B$9:$C$145,2,0),"")</f>
        <v/>
      </c>
    </row>
    <row r="711" spans="1:11" ht="15" customHeight="1" x14ac:dyDescent="0.25">
      <c r="A711" s="75">
        <v>0</v>
      </c>
      <c r="D711" s="75">
        <v>3</v>
      </c>
      <c r="F711" s="75" t="s">
        <v>10</v>
      </c>
      <c r="I711" s="75">
        <v>19489</v>
      </c>
      <c r="K711" s="75" t="str">
        <f>IFERROR(VLOOKUP(J711,'NQ10'!$B$9:$C$145,2,0),"")</f>
        <v/>
      </c>
    </row>
    <row r="712" spans="1:11" ht="15" customHeight="1" x14ac:dyDescent="0.25">
      <c r="A712" s="75">
        <v>0</v>
      </c>
      <c r="D712" s="75">
        <v>327</v>
      </c>
      <c r="F712" s="75" t="s">
        <v>10</v>
      </c>
      <c r="I712" s="75">
        <v>19489</v>
      </c>
      <c r="K712" s="75" t="str">
        <f>IFERROR(VLOOKUP(J712,'NQ10'!$B$9:$C$145,2,0),"")</f>
        <v/>
      </c>
    </row>
    <row r="713" spans="1:11" ht="15" customHeight="1" x14ac:dyDescent="0.25">
      <c r="A713" s="75">
        <v>0</v>
      </c>
      <c r="D713" s="75">
        <v>3</v>
      </c>
      <c r="F713" s="75" t="s">
        <v>10</v>
      </c>
      <c r="I713" s="75">
        <v>19489</v>
      </c>
      <c r="K713" s="75" t="str">
        <f>IFERROR(VLOOKUP(J713,'NQ10'!$B$9:$C$145,2,0),"")</f>
        <v/>
      </c>
    </row>
    <row r="714" spans="1:11" ht="15" customHeight="1" x14ac:dyDescent="0.25">
      <c r="A714" s="75">
        <v>0</v>
      </c>
      <c r="D714" s="75">
        <v>0</v>
      </c>
      <c r="F714" s="75" t="s">
        <v>10</v>
      </c>
      <c r="I714" s="75">
        <v>19489</v>
      </c>
      <c r="K714" s="75" t="str">
        <f>IFERROR(VLOOKUP(J714,'NQ10'!$B$9:$C$145,2,0),"")</f>
        <v/>
      </c>
    </row>
    <row r="715" spans="1:11" ht="15" customHeight="1" x14ac:dyDescent="0.25">
      <c r="A715" s="75">
        <v>0</v>
      </c>
      <c r="D715" s="75">
        <v>166</v>
      </c>
      <c r="F715" s="75" t="s">
        <v>10</v>
      </c>
      <c r="I715" s="75">
        <v>19489</v>
      </c>
      <c r="K715" s="75" t="str">
        <f>IFERROR(VLOOKUP(J715,'NQ10'!$B$9:$C$145,2,0),"")</f>
        <v/>
      </c>
    </row>
    <row r="716" spans="1:11" ht="15" customHeight="1" x14ac:dyDescent="0.25">
      <c r="A716" s="75">
        <v>0</v>
      </c>
      <c r="D716" s="75">
        <v>1411</v>
      </c>
      <c r="F716" s="75" t="s">
        <v>10</v>
      </c>
      <c r="I716" s="75">
        <v>19489</v>
      </c>
      <c r="K716" s="75" t="str">
        <f>IFERROR(VLOOKUP(J716,'NQ10'!$B$9:$C$145,2,0),"")</f>
        <v/>
      </c>
    </row>
    <row r="717" spans="1:11" ht="15" customHeight="1" x14ac:dyDescent="0.25">
      <c r="A717" s="75">
        <v>0</v>
      </c>
      <c r="D717" s="75">
        <v>522</v>
      </c>
      <c r="F717" s="75" t="s">
        <v>10</v>
      </c>
      <c r="I717" s="75">
        <v>19489</v>
      </c>
      <c r="K717" s="75" t="str">
        <f>IFERROR(VLOOKUP(J717,'NQ10'!$B$9:$C$145,2,0),"")</f>
        <v/>
      </c>
    </row>
    <row r="718" spans="1:11" ht="15" customHeight="1" x14ac:dyDescent="0.25">
      <c r="A718" s="75">
        <v>0</v>
      </c>
      <c r="D718" s="75">
        <v>6</v>
      </c>
      <c r="F718" s="75" t="s">
        <v>10</v>
      </c>
      <c r="I718" s="75">
        <v>19489</v>
      </c>
      <c r="K718" s="75" t="str">
        <f>IFERROR(VLOOKUP(J718,'NQ10'!$B$9:$C$145,2,0),"")</f>
        <v/>
      </c>
    </row>
    <row r="719" spans="1:11" ht="15" customHeight="1" x14ac:dyDescent="0.25">
      <c r="A719" s="75">
        <v>0</v>
      </c>
      <c r="D719" s="75">
        <v>4840</v>
      </c>
      <c r="F719" s="75" t="s">
        <v>10</v>
      </c>
      <c r="I719" s="75">
        <v>19489</v>
      </c>
      <c r="K719" s="75" t="str">
        <f>IFERROR(VLOOKUP(J719,'NQ10'!$B$9:$C$145,2,0),"")</f>
        <v/>
      </c>
    </row>
    <row r="720" spans="1:11" ht="15" customHeight="1" x14ac:dyDescent="0.25">
      <c r="A720" s="75">
        <v>0</v>
      </c>
      <c r="D720" s="75">
        <v>4257</v>
      </c>
      <c r="F720" s="75" t="s">
        <v>10</v>
      </c>
      <c r="I720" s="75">
        <v>19489</v>
      </c>
      <c r="K720" s="75" t="str">
        <f>IFERROR(VLOOKUP(J720,'NQ10'!$B$9:$C$145,2,0),"")</f>
        <v/>
      </c>
    </row>
    <row r="721" spans="1:11" ht="15" customHeight="1" x14ac:dyDescent="0.25">
      <c r="A721" s="75">
        <v>0</v>
      </c>
      <c r="D721" s="75">
        <v>81</v>
      </c>
      <c r="F721" s="75" t="s">
        <v>10</v>
      </c>
      <c r="I721" s="75">
        <v>19489</v>
      </c>
      <c r="K721" s="75" t="str">
        <f>IFERROR(VLOOKUP(J721,'NQ10'!$B$9:$C$145,2,0),"")</f>
        <v/>
      </c>
    </row>
    <row r="722" spans="1:11" ht="15" customHeight="1" x14ac:dyDescent="0.25">
      <c r="A722" s="75">
        <v>0</v>
      </c>
      <c r="D722" s="75">
        <v>5</v>
      </c>
      <c r="F722" s="75" t="s">
        <v>10</v>
      </c>
      <c r="I722" s="75">
        <v>19489</v>
      </c>
      <c r="K722" s="75" t="str">
        <f>IFERROR(VLOOKUP(J722,'NQ10'!$B$9:$C$145,2,0),"")</f>
        <v/>
      </c>
    </row>
    <row r="723" spans="1:11" ht="15" customHeight="1" x14ac:dyDescent="0.25">
      <c r="A723" s="75">
        <v>0</v>
      </c>
      <c r="D723" s="75">
        <v>60</v>
      </c>
      <c r="F723" s="75" t="s">
        <v>10</v>
      </c>
      <c r="I723" s="75">
        <v>19489</v>
      </c>
      <c r="K723" s="75" t="str">
        <f>IFERROR(VLOOKUP(J723,'NQ10'!$B$9:$C$145,2,0),"")</f>
        <v/>
      </c>
    </row>
    <row r="724" spans="1:11" ht="15" customHeight="1" x14ac:dyDescent="0.25">
      <c r="A724" s="75">
        <v>0</v>
      </c>
      <c r="D724" s="75">
        <v>723</v>
      </c>
      <c r="F724" s="75" t="s">
        <v>10</v>
      </c>
      <c r="I724" s="75">
        <v>19489</v>
      </c>
      <c r="K724" s="75" t="str">
        <f>IFERROR(VLOOKUP(J724,'NQ10'!$B$9:$C$145,2,0),"")</f>
        <v/>
      </c>
    </row>
    <row r="725" spans="1:11" ht="15" customHeight="1" x14ac:dyDescent="0.25">
      <c r="A725" s="75">
        <v>0</v>
      </c>
      <c r="D725" s="75">
        <v>12</v>
      </c>
      <c r="F725" s="75" t="s">
        <v>10</v>
      </c>
      <c r="I725" s="75">
        <v>19489</v>
      </c>
      <c r="K725" s="75" t="str">
        <f>IFERROR(VLOOKUP(J725,'NQ10'!$B$9:$C$145,2,0),"")</f>
        <v/>
      </c>
    </row>
    <row r="726" spans="1:11" ht="15" customHeight="1" x14ac:dyDescent="0.25">
      <c r="A726" s="75">
        <v>0</v>
      </c>
      <c r="D726" s="75">
        <v>6</v>
      </c>
      <c r="F726" s="75" t="s">
        <v>10</v>
      </c>
      <c r="I726" s="75">
        <v>19489</v>
      </c>
      <c r="K726" s="75" t="str">
        <f>IFERROR(VLOOKUP(J726,'NQ10'!$B$9:$C$145,2,0),"")</f>
        <v/>
      </c>
    </row>
    <row r="727" spans="1:11" ht="15" customHeight="1" x14ac:dyDescent="0.25">
      <c r="A727" s="75">
        <v>0</v>
      </c>
      <c r="D727" s="75">
        <v>111</v>
      </c>
      <c r="F727" s="75" t="s">
        <v>10</v>
      </c>
      <c r="I727" s="75">
        <v>19489</v>
      </c>
      <c r="K727" s="75" t="str">
        <f>IFERROR(VLOOKUP(J727,'NQ10'!$B$9:$C$145,2,0),"")</f>
        <v/>
      </c>
    </row>
    <row r="728" spans="1:11" ht="15" customHeight="1" x14ac:dyDescent="0.25">
      <c r="A728" s="75">
        <v>0</v>
      </c>
      <c r="D728" s="75">
        <v>2</v>
      </c>
      <c r="F728" s="75" t="s">
        <v>10</v>
      </c>
      <c r="I728" s="75">
        <v>19489</v>
      </c>
      <c r="K728" s="75" t="str">
        <f>IFERROR(VLOOKUP(J728,'NQ10'!$B$9:$C$145,2,0),"")</f>
        <v/>
      </c>
    </row>
    <row r="729" spans="1:11" ht="15" customHeight="1" x14ac:dyDescent="0.25">
      <c r="A729" s="75">
        <v>0</v>
      </c>
      <c r="D729" s="75">
        <v>65</v>
      </c>
      <c r="F729" s="75" t="s">
        <v>10</v>
      </c>
      <c r="I729" s="75">
        <v>19489</v>
      </c>
      <c r="K729" s="75" t="str">
        <f>IFERROR(VLOOKUP(J729,'NQ10'!$B$9:$C$145,2,0),"")</f>
        <v/>
      </c>
    </row>
    <row r="730" spans="1:11" ht="15" customHeight="1" x14ac:dyDescent="0.25">
      <c r="A730" s="75">
        <v>0</v>
      </c>
      <c r="D730" s="75">
        <v>34</v>
      </c>
      <c r="F730" s="75" t="s">
        <v>10</v>
      </c>
      <c r="I730" s="75">
        <v>19489</v>
      </c>
      <c r="K730" s="75" t="str">
        <f>IFERROR(VLOOKUP(J730,'NQ10'!$B$9:$C$145,2,0),"")</f>
        <v/>
      </c>
    </row>
    <row r="731" spans="1:11" ht="15" customHeight="1" x14ac:dyDescent="0.25">
      <c r="A731" s="75">
        <v>0</v>
      </c>
      <c r="D731" s="75">
        <v>16338</v>
      </c>
      <c r="F731" s="75" t="s">
        <v>10</v>
      </c>
      <c r="I731" s="75">
        <v>19489</v>
      </c>
      <c r="K731" s="75" t="str">
        <f>IFERROR(VLOOKUP(J731,'NQ10'!$B$9:$C$145,2,0),"")</f>
        <v/>
      </c>
    </row>
    <row r="732" spans="1:11" ht="15" customHeight="1" x14ac:dyDescent="0.25">
      <c r="A732" s="75">
        <v>0</v>
      </c>
      <c r="D732" s="75">
        <v>501</v>
      </c>
      <c r="F732" s="75" t="s">
        <v>10</v>
      </c>
      <c r="I732" s="75">
        <v>19489</v>
      </c>
      <c r="K732" s="75" t="str">
        <f>IFERROR(VLOOKUP(J732,'NQ10'!$B$9:$C$145,2,0),"")</f>
        <v/>
      </c>
    </row>
    <row r="733" spans="1:11" ht="15" customHeight="1" x14ac:dyDescent="0.25">
      <c r="A733" s="75">
        <v>0</v>
      </c>
      <c r="D733" s="75">
        <v>78</v>
      </c>
      <c r="F733" s="75" t="s">
        <v>10</v>
      </c>
      <c r="I733" s="75">
        <v>19489</v>
      </c>
      <c r="K733" s="75" t="str">
        <f>IFERROR(VLOOKUP(J733,'NQ10'!$B$9:$C$145,2,0),"")</f>
        <v/>
      </c>
    </row>
    <row r="734" spans="1:11" ht="15" customHeight="1" x14ac:dyDescent="0.25">
      <c r="A734" s="75">
        <v>0</v>
      </c>
      <c r="D734" s="75">
        <v>245</v>
      </c>
      <c r="F734" s="75" t="s">
        <v>10</v>
      </c>
      <c r="I734" s="75">
        <v>19489</v>
      </c>
      <c r="K734" s="75" t="str">
        <f>IFERROR(VLOOKUP(J734,'NQ10'!$B$9:$C$145,2,0),"")</f>
        <v/>
      </c>
    </row>
    <row r="735" spans="1:11" ht="15" customHeight="1" x14ac:dyDescent="0.25">
      <c r="A735" s="75">
        <v>0</v>
      </c>
      <c r="D735" s="75">
        <v>3</v>
      </c>
      <c r="F735" s="75" t="s">
        <v>10</v>
      </c>
      <c r="I735" s="75">
        <v>19489</v>
      </c>
      <c r="K735" s="75" t="str">
        <f>IFERROR(VLOOKUP(J735,'NQ10'!$B$9:$C$145,2,0),"")</f>
        <v/>
      </c>
    </row>
    <row r="736" spans="1:11" ht="15" customHeight="1" x14ac:dyDescent="0.25">
      <c r="A736" s="75">
        <v>0</v>
      </c>
      <c r="D736" s="75">
        <v>230</v>
      </c>
      <c r="F736" s="75" t="s">
        <v>10</v>
      </c>
      <c r="I736" s="75">
        <v>19489</v>
      </c>
      <c r="K736" s="75" t="str">
        <f>IFERROR(VLOOKUP(J736,'NQ10'!$B$9:$C$145,2,0),"")</f>
        <v/>
      </c>
    </row>
    <row r="737" spans="1:11" ht="15" customHeight="1" x14ac:dyDescent="0.25">
      <c r="A737" s="75">
        <v>0</v>
      </c>
      <c r="D737" s="75">
        <v>323</v>
      </c>
      <c r="F737" s="75" t="s">
        <v>10</v>
      </c>
      <c r="I737" s="75">
        <v>19489</v>
      </c>
      <c r="K737" s="75" t="str">
        <f>IFERROR(VLOOKUP(J737,'NQ10'!$B$9:$C$145,2,0),"")</f>
        <v/>
      </c>
    </row>
    <row r="738" spans="1:11" ht="15" customHeight="1" x14ac:dyDescent="0.25">
      <c r="A738" s="75">
        <v>0</v>
      </c>
      <c r="D738" s="75">
        <v>242</v>
      </c>
      <c r="F738" s="75" t="s">
        <v>10</v>
      </c>
      <c r="I738" s="75">
        <v>19489</v>
      </c>
      <c r="K738" s="75" t="str">
        <f>IFERROR(VLOOKUP(J738,'NQ10'!$B$9:$C$145,2,0),"")</f>
        <v/>
      </c>
    </row>
    <row r="739" spans="1:11" ht="15" customHeight="1" x14ac:dyDescent="0.25">
      <c r="A739" s="75">
        <v>0</v>
      </c>
      <c r="D739" s="75">
        <v>936</v>
      </c>
      <c r="F739" s="75" t="s">
        <v>10</v>
      </c>
      <c r="I739" s="75">
        <v>19489</v>
      </c>
      <c r="K739" s="75" t="str">
        <f>IFERROR(VLOOKUP(J739,'NQ10'!$B$9:$C$145,2,0),"")</f>
        <v/>
      </c>
    </row>
    <row r="740" spans="1:11" ht="15" customHeight="1" x14ac:dyDescent="0.25">
      <c r="A740" s="75">
        <v>0</v>
      </c>
      <c r="D740" s="75">
        <v>14</v>
      </c>
      <c r="F740" s="75" t="s">
        <v>10</v>
      </c>
      <c r="I740" s="75">
        <v>19489</v>
      </c>
      <c r="K740" s="75" t="str">
        <f>IFERROR(VLOOKUP(J740,'NQ10'!$B$9:$C$145,2,0),"")</f>
        <v/>
      </c>
    </row>
    <row r="741" spans="1:11" ht="15" customHeight="1" x14ac:dyDescent="0.25">
      <c r="A741" s="75">
        <v>0</v>
      </c>
      <c r="D741" s="75">
        <v>28</v>
      </c>
      <c r="F741" s="75" t="s">
        <v>10</v>
      </c>
      <c r="I741" s="75">
        <v>19489</v>
      </c>
      <c r="K741" s="75" t="str">
        <f>IFERROR(VLOOKUP(J741,'NQ10'!$B$9:$C$145,2,0),"")</f>
        <v/>
      </c>
    </row>
    <row r="742" spans="1:11" ht="15" customHeight="1" x14ac:dyDescent="0.25">
      <c r="A742" s="75">
        <v>0</v>
      </c>
      <c r="D742" s="75">
        <v>26</v>
      </c>
      <c r="F742" s="75" t="s">
        <v>10</v>
      </c>
      <c r="I742" s="75">
        <v>19489</v>
      </c>
      <c r="K742" s="75" t="str">
        <f>IFERROR(VLOOKUP(J742,'NQ10'!$B$9:$C$145,2,0),"")</f>
        <v/>
      </c>
    </row>
    <row r="743" spans="1:11" ht="15" customHeight="1" x14ac:dyDescent="0.25">
      <c r="A743" s="75">
        <v>0</v>
      </c>
      <c r="D743" s="75">
        <v>38</v>
      </c>
      <c r="F743" s="75" t="s">
        <v>10</v>
      </c>
      <c r="I743" s="75">
        <v>19489</v>
      </c>
      <c r="K743" s="75" t="str">
        <f>IFERROR(VLOOKUP(J743,'NQ10'!$B$9:$C$145,2,0),"")</f>
        <v/>
      </c>
    </row>
    <row r="744" spans="1:11" ht="15" customHeight="1" x14ac:dyDescent="0.25">
      <c r="A744" s="75">
        <v>0</v>
      </c>
      <c r="D744" s="75">
        <v>35</v>
      </c>
      <c r="F744" s="75" t="s">
        <v>10</v>
      </c>
      <c r="I744" s="75">
        <v>19489</v>
      </c>
      <c r="K744" s="75" t="str">
        <f>IFERROR(VLOOKUP(J744,'NQ10'!$B$9:$C$145,2,0),"")</f>
        <v/>
      </c>
    </row>
    <row r="745" spans="1:11" ht="15" customHeight="1" x14ac:dyDescent="0.25">
      <c r="A745" s="75">
        <v>0</v>
      </c>
      <c r="D745" s="75">
        <v>49</v>
      </c>
      <c r="F745" s="75" t="s">
        <v>10</v>
      </c>
      <c r="I745" s="75">
        <v>19489</v>
      </c>
      <c r="K745" s="75" t="str">
        <f>IFERROR(VLOOKUP(J745,'NQ10'!$B$9:$C$145,2,0),"")</f>
        <v/>
      </c>
    </row>
    <row r="746" spans="1:11" ht="15" customHeight="1" x14ac:dyDescent="0.25">
      <c r="A746" s="75">
        <v>0</v>
      </c>
      <c r="D746" s="75">
        <v>80</v>
      </c>
      <c r="F746" s="75" t="s">
        <v>10</v>
      </c>
      <c r="I746" s="75">
        <v>19489</v>
      </c>
      <c r="K746" s="75" t="str">
        <f>IFERROR(VLOOKUP(J746,'NQ10'!$B$9:$C$145,2,0),"")</f>
        <v/>
      </c>
    </row>
    <row r="747" spans="1:11" ht="15" customHeight="1" x14ac:dyDescent="0.25">
      <c r="A747" s="75">
        <v>0</v>
      </c>
      <c r="D747" s="75">
        <v>3</v>
      </c>
      <c r="F747" s="75" t="s">
        <v>10</v>
      </c>
      <c r="I747" s="75">
        <v>19489</v>
      </c>
      <c r="K747" s="75" t="str">
        <f>IFERROR(VLOOKUP(J747,'NQ10'!$B$9:$C$145,2,0),"")</f>
        <v/>
      </c>
    </row>
    <row r="748" spans="1:11" ht="15" customHeight="1" x14ac:dyDescent="0.25">
      <c r="A748" s="75">
        <v>0</v>
      </c>
      <c r="D748" s="75">
        <v>3</v>
      </c>
      <c r="F748" s="75" t="s">
        <v>10</v>
      </c>
      <c r="I748" s="75">
        <v>19489</v>
      </c>
      <c r="K748" s="75" t="str">
        <f>IFERROR(VLOOKUP(J748,'NQ10'!$B$9:$C$145,2,0),"")</f>
        <v/>
      </c>
    </row>
    <row r="749" spans="1:11" ht="15" customHeight="1" x14ac:dyDescent="0.25">
      <c r="A749" s="75">
        <v>0</v>
      </c>
      <c r="D749" s="75">
        <v>155</v>
      </c>
      <c r="F749" s="75" t="s">
        <v>10</v>
      </c>
      <c r="I749" s="75">
        <v>19489</v>
      </c>
      <c r="K749" s="75" t="str">
        <f>IFERROR(VLOOKUP(J749,'NQ10'!$B$9:$C$145,2,0),"")</f>
        <v/>
      </c>
    </row>
    <row r="750" spans="1:11" ht="15" customHeight="1" x14ac:dyDescent="0.25">
      <c r="A750" s="75">
        <v>0</v>
      </c>
      <c r="D750" s="75">
        <v>0</v>
      </c>
      <c r="F750" s="75" t="s">
        <v>10</v>
      </c>
      <c r="I750" s="75">
        <v>19489</v>
      </c>
      <c r="K750" s="75" t="str">
        <f>IFERROR(VLOOKUP(J750,'NQ10'!$B$9:$C$145,2,0),"")</f>
        <v/>
      </c>
    </row>
    <row r="751" spans="1:11" ht="15" customHeight="1" x14ac:dyDescent="0.25">
      <c r="A751" s="75">
        <v>0</v>
      </c>
      <c r="D751" s="75">
        <v>0</v>
      </c>
      <c r="F751" s="75" t="s">
        <v>10</v>
      </c>
      <c r="I751" s="75">
        <v>19489</v>
      </c>
      <c r="K751" s="75" t="str">
        <f>IFERROR(VLOOKUP(J751,'NQ10'!$B$9:$C$145,2,0),"")</f>
        <v/>
      </c>
    </row>
    <row r="752" spans="1:11" ht="15" customHeight="1" x14ac:dyDescent="0.25">
      <c r="A752" s="75">
        <v>0</v>
      </c>
      <c r="D752" s="75">
        <v>0</v>
      </c>
      <c r="F752" s="75" t="s">
        <v>10</v>
      </c>
      <c r="I752" s="75">
        <v>19489</v>
      </c>
      <c r="K752" s="75" t="str">
        <f>IFERROR(VLOOKUP(J752,'NQ10'!$B$9:$C$145,2,0),"")</f>
        <v/>
      </c>
    </row>
    <row r="753" spans="1:11" ht="15" customHeight="1" x14ac:dyDescent="0.25">
      <c r="A753" s="75">
        <v>0</v>
      </c>
      <c r="D753" s="75">
        <v>0</v>
      </c>
      <c r="F753" s="75" t="s">
        <v>10</v>
      </c>
      <c r="I753" s="75">
        <v>19489</v>
      </c>
      <c r="K753" s="75" t="str">
        <f>IFERROR(VLOOKUP(J753,'NQ10'!$B$9:$C$145,2,0),"")</f>
        <v/>
      </c>
    </row>
    <row r="754" spans="1:11" ht="15" customHeight="1" x14ac:dyDescent="0.25">
      <c r="A754" s="75">
        <v>0</v>
      </c>
      <c r="D754" s="75">
        <v>2266</v>
      </c>
      <c r="F754" s="75" t="s">
        <v>10</v>
      </c>
      <c r="I754" s="75">
        <v>19489</v>
      </c>
      <c r="K754" s="75" t="str">
        <f>IFERROR(VLOOKUP(J754,'NQ10'!$B$9:$C$145,2,0),"")</f>
        <v/>
      </c>
    </row>
    <row r="755" spans="1:11" ht="15" customHeight="1" x14ac:dyDescent="0.25">
      <c r="A755" s="75">
        <v>0</v>
      </c>
      <c r="D755" s="75">
        <v>0</v>
      </c>
      <c r="F755" s="75" t="s">
        <v>10</v>
      </c>
      <c r="I755" s="75">
        <v>19489</v>
      </c>
      <c r="K755" s="75" t="str">
        <f>IFERROR(VLOOKUP(J755,'NQ10'!$B$9:$C$145,2,0),"")</f>
        <v/>
      </c>
    </row>
    <row r="756" spans="1:11" ht="15" customHeight="1" x14ac:dyDescent="0.25">
      <c r="A756" s="75">
        <v>0</v>
      </c>
      <c r="D756" s="75">
        <v>0</v>
      </c>
      <c r="F756" s="75" t="s">
        <v>10</v>
      </c>
      <c r="I756" s="75">
        <v>19489</v>
      </c>
      <c r="K756" s="75" t="str">
        <f>IFERROR(VLOOKUP(J756,'NQ10'!$B$9:$C$145,2,0),"")</f>
        <v/>
      </c>
    </row>
    <row r="757" spans="1:11" ht="15" customHeight="1" x14ac:dyDescent="0.25">
      <c r="A757" s="75">
        <v>0</v>
      </c>
      <c r="D757" s="75">
        <v>2353</v>
      </c>
      <c r="F757" s="75" t="s">
        <v>10</v>
      </c>
      <c r="I757" s="75">
        <v>19489</v>
      </c>
      <c r="K757" s="75" t="str">
        <f>IFERROR(VLOOKUP(J757,'NQ10'!$B$9:$C$145,2,0),"")</f>
        <v/>
      </c>
    </row>
    <row r="758" spans="1:11" ht="15" customHeight="1" x14ac:dyDescent="0.25">
      <c r="A758" s="75">
        <v>0</v>
      </c>
      <c r="D758" s="75">
        <v>780</v>
      </c>
      <c r="F758" s="75" t="s">
        <v>10</v>
      </c>
      <c r="I758" s="75">
        <v>19489</v>
      </c>
      <c r="K758" s="75" t="str">
        <f>IFERROR(VLOOKUP(J758,'NQ10'!$B$9:$C$145,2,0),"")</f>
        <v/>
      </c>
    </row>
    <row r="759" spans="1:11" ht="15" customHeight="1" x14ac:dyDescent="0.25">
      <c r="A759" s="75">
        <v>0</v>
      </c>
      <c r="D759" s="75">
        <v>0</v>
      </c>
      <c r="F759" s="75" t="s">
        <v>10</v>
      </c>
      <c r="I759" s="75">
        <v>19489</v>
      </c>
      <c r="K759" s="75" t="str">
        <f>IFERROR(VLOOKUP(J759,'NQ10'!$B$9:$C$145,2,0),"")</f>
        <v/>
      </c>
    </row>
    <row r="760" spans="1:11" ht="15" customHeight="1" x14ac:dyDescent="0.25">
      <c r="A760" s="75">
        <v>0</v>
      </c>
      <c r="D760" s="75">
        <v>315</v>
      </c>
      <c r="F760" s="75" t="s">
        <v>10</v>
      </c>
      <c r="I760" s="75">
        <v>19489</v>
      </c>
      <c r="K760" s="75" t="str">
        <f>IFERROR(VLOOKUP(J760,'NQ10'!$B$9:$C$145,2,0),"")</f>
        <v/>
      </c>
    </row>
    <row r="761" spans="1:11" ht="15" customHeight="1" x14ac:dyDescent="0.25">
      <c r="A761" s="75">
        <v>0</v>
      </c>
      <c r="D761" s="75">
        <v>58</v>
      </c>
      <c r="F761" s="75" t="s">
        <v>10</v>
      </c>
      <c r="I761" s="75">
        <v>19489</v>
      </c>
      <c r="K761" s="75" t="str">
        <f>IFERROR(VLOOKUP(J761,'NQ10'!$B$9:$C$145,2,0),"")</f>
        <v/>
      </c>
    </row>
    <row r="762" spans="1:11" ht="15" customHeight="1" x14ac:dyDescent="0.25">
      <c r="A762" s="75">
        <v>0</v>
      </c>
      <c r="D762" s="75">
        <v>1</v>
      </c>
      <c r="F762" s="75" t="s">
        <v>10</v>
      </c>
      <c r="I762" s="75">
        <v>19489</v>
      </c>
      <c r="K762" s="75" t="str">
        <f>IFERROR(VLOOKUP(J762,'NQ10'!$B$9:$C$145,2,0),"")</f>
        <v/>
      </c>
    </row>
    <row r="763" spans="1:11" ht="15" customHeight="1" x14ac:dyDescent="0.25">
      <c r="A763" s="75">
        <v>0</v>
      </c>
      <c r="D763" s="75">
        <v>1</v>
      </c>
      <c r="F763" s="75" t="s">
        <v>10</v>
      </c>
      <c r="I763" s="75">
        <v>19489</v>
      </c>
      <c r="K763" s="75" t="str">
        <f>IFERROR(VLOOKUP(J763,'NQ10'!$B$9:$C$145,2,0),"")</f>
        <v/>
      </c>
    </row>
    <row r="764" spans="1:11" ht="15" customHeight="1" x14ac:dyDescent="0.25">
      <c r="A764" s="75">
        <v>0</v>
      </c>
      <c r="D764" s="75">
        <v>2944</v>
      </c>
      <c r="F764" s="75" t="s">
        <v>10</v>
      </c>
      <c r="I764" s="75">
        <v>19489</v>
      </c>
      <c r="K764" s="75" t="str">
        <f>IFERROR(VLOOKUP(J764,'NQ10'!$B$9:$C$145,2,0),"")</f>
        <v/>
      </c>
    </row>
    <row r="765" spans="1:11" ht="15" customHeight="1" x14ac:dyDescent="0.25">
      <c r="A765" s="75">
        <v>0</v>
      </c>
      <c r="D765" s="75">
        <v>215</v>
      </c>
      <c r="F765" s="75" t="s">
        <v>10</v>
      </c>
      <c r="I765" s="75">
        <v>19489</v>
      </c>
      <c r="K765" s="75" t="str">
        <f>IFERROR(VLOOKUP(J765,'NQ10'!$B$9:$C$145,2,0),"")</f>
        <v/>
      </c>
    </row>
    <row r="766" spans="1:11" ht="15" customHeight="1" x14ac:dyDescent="0.25">
      <c r="A766" s="75">
        <v>0</v>
      </c>
      <c r="D766" s="75">
        <v>0</v>
      </c>
      <c r="F766" s="75" t="s">
        <v>10</v>
      </c>
      <c r="I766" s="75">
        <v>19489</v>
      </c>
      <c r="K766" s="75" t="str">
        <f>IFERROR(VLOOKUP(J766,'NQ10'!$B$9:$C$145,2,0),"")</f>
        <v/>
      </c>
    </row>
    <row r="767" spans="1:11" ht="15" customHeight="1" x14ac:dyDescent="0.25">
      <c r="A767" s="75">
        <v>0</v>
      </c>
      <c r="D767" s="75">
        <v>62</v>
      </c>
      <c r="F767" s="75" t="s">
        <v>10</v>
      </c>
      <c r="I767" s="75">
        <v>19489</v>
      </c>
      <c r="K767" s="75" t="str">
        <f>IFERROR(VLOOKUP(J767,'NQ10'!$B$9:$C$145,2,0),"")</f>
        <v/>
      </c>
    </row>
    <row r="768" spans="1:11" ht="15" customHeight="1" x14ac:dyDescent="0.25">
      <c r="A768" s="75">
        <v>0</v>
      </c>
      <c r="C768" s="75" t="s">
        <v>10</v>
      </c>
      <c r="D768" s="75">
        <v>521</v>
      </c>
      <c r="F768" s="75" t="s">
        <v>10</v>
      </c>
      <c r="H768" s="75" t="s">
        <v>475</v>
      </c>
      <c r="I768" s="75">
        <v>19489</v>
      </c>
      <c r="K768" s="75" t="str">
        <f>IFERROR(VLOOKUP(J768,'NQ10'!$B$9:$C$145,2,0),"")</f>
        <v/>
      </c>
    </row>
    <row r="769" spans="1:11" ht="15" customHeight="1" x14ac:dyDescent="0.25">
      <c r="A769" s="75">
        <v>0</v>
      </c>
      <c r="C769" s="75" t="s">
        <v>10</v>
      </c>
      <c r="D769" s="75">
        <v>2685</v>
      </c>
      <c r="F769" s="75" t="s">
        <v>10</v>
      </c>
      <c r="H769" s="75" t="s">
        <v>475</v>
      </c>
      <c r="I769" s="75">
        <v>19489</v>
      </c>
      <c r="K769" s="75" t="str">
        <f>IFERROR(VLOOKUP(J769,'NQ10'!$B$9:$C$145,2,0),"")</f>
        <v/>
      </c>
    </row>
    <row r="770" spans="1:11" ht="15" customHeight="1" x14ac:dyDescent="0.25">
      <c r="A770" s="75">
        <v>0</v>
      </c>
      <c r="C770" s="75" t="s">
        <v>10</v>
      </c>
      <c r="D770" s="75">
        <v>1895</v>
      </c>
      <c r="F770" s="75" t="s">
        <v>10</v>
      </c>
      <c r="H770" s="75" t="s">
        <v>10</v>
      </c>
      <c r="I770" s="75">
        <v>19489</v>
      </c>
      <c r="K770" s="75" t="str">
        <f>IFERROR(VLOOKUP(J770,'NQ10'!$B$9:$C$145,2,0),"")</f>
        <v/>
      </c>
    </row>
    <row r="771" spans="1:11" ht="15" customHeight="1" x14ac:dyDescent="0.25">
      <c r="A771" s="75">
        <v>0</v>
      </c>
      <c r="C771" s="75" t="s">
        <v>10</v>
      </c>
      <c r="D771" s="75">
        <v>5722</v>
      </c>
      <c r="F771" s="75" t="s">
        <v>10</v>
      </c>
      <c r="H771" s="75" t="s">
        <v>10</v>
      </c>
      <c r="I771" s="75">
        <v>19489</v>
      </c>
      <c r="K771" s="75" t="str">
        <f>IFERROR(VLOOKUP(J771,'NQ10'!$B$9:$C$145,2,0),"")</f>
        <v/>
      </c>
    </row>
    <row r="772" spans="1:11" ht="15" customHeight="1" x14ac:dyDescent="0.25">
      <c r="A772" s="75">
        <v>0</v>
      </c>
      <c r="C772" s="75" t="s">
        <v>10</v>
      </c>
      <c r="D772" s="75">
        <v>115</v>
      </c>
      <c r="F772" s="75" t="s">
        <v>10</v>
      </c>
      <c r="H772" s="75" t="s">
        <v>10</v>
      </c>
      <c r="I772" s="75">
        <v>19489</v>
      </c>
      <c r="K772" s="75" t="str">
        <f>IFERROR(VLOOKUP(J772,'NQ10'!$B$9:$C$145,2,0),"")</f>
        <v/>
      </c>
    </row>
    <row r="773" spans="1:11" ht="15" customHeight="1" x14ac:dyDescent="0.25">
      <c r="A773" s="75">
        <v>0</v>
      </c>
      <c r="C773" s="75" t="s">
        <v>10</v>
      </c>
      <c r="D773" s="75">
        <v>7365</v>
      </c>
      <c r="F773" s="75" t="s">
        <v>10</v>
      </c>
      <c r="H773" s="75" t="s">
        <v>10</v>
      </c>
      <c r="I773" s="75">
        <v>19489</v>
      </c>
      <c r="K773" s="75" t="str">
        <f>IFERROR(VLOOKUP(J773,'NQ10'!$B$9:$C$145,2,0),"")</f>
        <v/>
      </c>
    </row>
    <row r="774" spans="1:11" ht="15" customHeight="1" x14ac:dyDescent="0.25">
      <c r="A774" s="75">
        <v>0</v>
      </c>
      <c r="C774" s="75" t="s">
        <v>10</v>
      </c>
      <c r="D774" s="75">
        <v>13506</v>
      </c>
      <c r="F774" s="75" t="s">
        <v>10</v>
      </c>
      <c r="H774" s="75" t="s">
        <v>10</v>
      </c>
      <c r="I774" s="75">
        <v>19489</v>
      </c>
      <c r="K774" s="75" t="str">
        <f>IFERROR(VLOOKUP(J774,'NQ10'!$B$9:$C$145,2,0),"")</f>
        <v/>
      </c>
    </row>
    <row r="775" spans="1:11" ht="15" customHeight="1" x14ac:dyDescent="0.25">
      <c r="A775" s="75">
        <v>0</v>
      </c>
      <c r="C775" s="75" t="s">
        <v>10</v>
      </c>
      <c r="D775" s="75">
        <v>1974</v>
      </c>
      <c r="F775" s="75" t="s">
        <v>10</v>
      </c>
      <c r="H775" s="75" t="s">
        <v>10</v>
      </c>
      <c r="I775" s="75">
        <v>19489</v>
      </c>
      <c r="K775" s="75" t="str">
        <f>IFERROR(VLOOKUP(J775,'NQ10'!$B$9:$C$145,2,0),"")</f>
        <v/>
      </c>
    </row>
    <row r="776" spans="1:11" ht="15" customHeight="1" x14ac:dyDescent="0.25">
      <c r="A776" s="75">
        <v>0</v>
      </c>
      <c r="C776" s="75" t="s">
        <v>10</v>
      </c>
      <c r="D776" s="75">
        <v>102182</v>
      </c>
      <c r="F776" s="75" t="s">
        <v>10</v>
      </c>
      <c r="H776" s="75" t="s">
        <v>10</v>
      </c>
      <c r="I776" s="75">
        <v>19489</v>
      </c>
      <c r="K776" s="75" t="str">
        <f>IFERROR(VLOOKUP(J776,'NQ10'!$B$9:$C$145,2,0),"")</f>
        <v/>
      </c>
    </row>
    <row r="777" spans="1:11" ht="15" customHeight="1" x14ac:dyDescent="0.25">
      <c r="A777" s="75">
        <v>0</v>
      </c>
      <c r="C777" s="75" t="s">
        <v>10</v>
      </c>
      <c r="D777" s="75">
        <v>23887</v>
      </c>
      <c r="F777" s="75" t="s">
        <v>10</v>
      </c>
      <c r="H777" s="75" t="s">
        <v>164</v>
      </c>
      <c r="I777" s="75">
        <v>19489</v>
      </c>
      <c r="K777" s="75" t="str">
        <f>IFERROR(VLOOKUP(J777,'NQ10'!$B$9:$C$145,2,0),"")</f>
        <v/>
      </c>
    </row>
    <row r="778" spans="1:11" ht="15" customHeight="1" x14ac:dyDescent="0.25">
      <c r="A778" s="75">
        <v>0</v>
      </c>
      <c r="C778" s="75" t="s">
        <v>10</v>
      </c>
      <c r="D778" s="75">
        <v>42544</v>
      </c>
      <c r="F778" s="75" t="s">
        <v>10</v>
      </c>
      <c r="H778" s="75" t="s">
        <v>10</v>
      </c>
      <c r="I778" s="75">
        <v>19489</v>
      </c>
      <c r="K778" s="75" t="str">
        <f>IFERROR(VLOOKUP(J778,'NQ10'!$B$9:$C$145,2,0),"")</f>
        <v/>
      </c>
    </row>
    <row r="779" spans="1:11" ht="15" customHeight="1" x14ac:dyDescent="0.25">
      <c r="A779" s="75">
        <v>0</v>
      </c>
      <c r="C779" s="75" t="s">
        <v>10</v>
      </c>
      <c r="D779" s="75">
        <v>8241</v>
      </c>
      <c r="F779" s="75" t="s">
        <v>10</v>
      </c>
      <c r="H779" s="75" t="s">
        <v>164</v>
      </c>
      <c r="I779" s="75">
        <v>19489</v>
      </c>
      <c r="K779" s="75" t="str">
        <f>IFERROR(VLOOKUP(J779,'NQ10'!$B$9:$C$145,2,0),"")</f>
        <v/>
      </c>
    </row>
    <row r="780" spans="1:11" ht="15" customHeight="1" x14ac:dyDescent="0.25">
      <c r="A780" s="75">
        <v>0</v>
      </c>
      <c r="C780" s="75" t="s">
        <v>10</v>
      </c>
      <c r="D780" s="75">
        <v>9002</v>
      </c>
      <c r="F780" s="75" t="s">
        <v>10</v>
      </c>
      <c r="H780" s="75" t="s">
        <v>216</v>
      </c>
      <c r="I780" s="75">
        <v>19489</v>
      </c>
      <c r="K780" s="75" t="str">
        <f>IFERROR(VLOOKUP(J780,'NQ10'!$B$9:$C$145,2,0),"")</f>
        <v/>
      </c>
    </row>
    <row r="781" spans="1:11" ht="15" customHeight="1" x14ac:dyDescent="0.25">
      <c r="A781" s="75">
        <v>0</v>
      </c>
      <c r="C781" s="75" t="s">
        <v>10</v>
      </c>
      <c r="D781" s="75">
        <v>160</v>
      </c>
      <c r="F781" s="75" t="s">
        <v>10</v>
      </c>
      <c r="H781" s="75" t="s">
        <v>10</v>
      </c>
      <c r="I781" s="75">
        <v>19489</v>
      </c>
      <c r="K781" s="75" t="str">
        <f>IFERROR(VLOOKUP(J781,'NQ10'!$B$9:$C$145,2,0),"")</f>
        <v/>
      </c>
    </row>
    <row r="782" spans="1:11" ht="15" customHeight="1" x14ac:dyDescent="0.25">
      <c r="A782" s="75">
        <v>0</v>
      </c>
      <c r="C782" s="75" t="s">
        <v>10</v>
      </c>
      <c r="D782" s="75">
        <v>4916</v>
      </c>
      <c r="F782" s="75" t="s">
        <v>10</v>
      </c>
      <c r="H782" s="75" t="s">
        <v>10</v>
      </c>
      <c r="I782" s="75">
        <v>19489</v>
      </c>
      <c r="K782" s="75" t="str">
        <f>IFERROR(VLOOKUP(J782,'NQ10'!$B$9:$C$145,2,0),"")</f>
        <v/>
      </c>
    </row>
    <row r="783" spans="1:11" ht="15" customHeight="1" x14ac:dyDescent="0.25">
      <c r="A783" s="75">
        <v>0</v>
      </c>
      <c r="C783" s="75" t="s">
        <v>10</v>
      </c>
      <c r="D783" s="75">
        <v>11586</v>
      </c>
      <c r="F783" s="75" t="s">
        <v>10</v>
      </c>
      <c r="H783" s="75" t="s">
        <v>164</v>
      </c>
      <c r="I783" s="75">
        <v>19489</v>
      </c>
      <c r="K783" s="75" t="str">
        <f>IFERROR(VLOOKUP(J783,'NQ10'!$B$9:$C$145,2,0),"")</f>
        <v/>
      </c>
    </row>
    <row r="784" spans="1:11" ht="15" customHeight="1" x14ac:dyDescent="0.25">
      <c r="A784" s="75">
        <v>0</v>
      </c>
      <c r="C784" s="75" t="s">
        <v>10</v>
      </c>
      <c r="D784" s="75">
        <v>7987</v>
      </c>
      <c r="F784" s="75" t="s">
        <v>10</v>
      </c>
      <c r="H784" s="75" t="s">
        <v>164</v>
      </c>
      <c r="I784" s="75">
        <v>19489</v>
      </c>
      <c r="K784" s="75" t="str">
        <f>IFERROR(VLOOKUP(J784,'NQ10'!$B$9:$C$145,2,0),"")</f>
        <v/>
      </c>
    </row>
    <row r="785" spans="1:11" ht="15" customHeight="1" x14ac:dyDescent="0.25">
      <c r="A785" s="75">
        <v>0</v>
      </c>
      <c r="C785" s="75" t="s">
        <v>10</v>
      </c>
      <c r="D785" s="75">
        <v>7077</v>
      </c>
      <c r="F785" s="75" t="s">
        <v>10</v>
      </c>
      <c r="H785" s="75" t="s">
        <v>10</v>
      </c>
      <c r="I785" s="75">
        <v>19489</v>
      </c>
      <c r="K785" s="75" t="str">
        <f>IFERROR(VLOOKUP(J785,'NQ10'!$B$9:$C$145,2,0),"")</f>
        <v/>
      </c>
    </row>
    <row r="786" spans="1:11" ht="15" customHeight="1" x14ac:dyDescent="0.25">
      <c r="A786" s="75">
        <v>0</v>
      </c>
      <c r="C786" s="75" t="s">
        <v>10</v>
      </c>
      <c r="D786" s="75">
        <v>6667</v>
      </c>
      <c r="F786" s="75" t="s">
        <v>10</v>
      </c>
      <c r="H786" s="75" t="s">
        <v>164</v>
      </c>
      <c r="I786" s="75">
        <v>19489</v>
      </c>
      <c r="K786" s="75" t="str">
        <f>IFERROR(VLOOKUP(J786,'NQ10'!$B$9:$C$145,2,0),"")</f>
        <v/>
      </c>
    </row>
    <row r="787" spans="1:11" ht="15" customHeight="1" x14ac:dyDescent="0.25">
      <c r="A787" s="75">
        <v>0</v>
      </c>
      <c r="C787" s="75" t="s">
        <v>10</v>
      </c>
      <c r="D787" s="75">
        <v>4314</v>
      </c>
      <c r="F787" s="75" t="s">
        <v>10</v>
      </c>
      <c r="H787" s="75" t="s">
        <v>10</v>
      </c>
      <c r="I787" s="75">
        <v>19489</v>
      </c>
      <c r="K787" s="75" t="str">
        <f>IFERROR(VLOOKUP(J787,'NQ10'!$B$9:$C$145,2,0),"")</f>
        <v/>
      </c>
    </row>
    <row r="788" spans="1:11" ht="15" customHeight="1" x14ac:dyDescent="0.25">
      <c r="A788" s="75">
        <v>0</v>
      </c>
      <c r="C788" s="75" t="s">
        <v>10</v>
      </c>
      <c r="D788" s="75">
        <v>17356</v>
      </c>
      <c r="F788" s="75" t="s">
        <v>10</v>
      </c>
      <c r="H788" s="75" t="s">
        <v>164</v>
      </c>
      <c r="I788" s="75">
        <v>19489</v>
      </c>
      <c r="K788" s="75" t="str">
        <f>IFERROR(VLOOKUP(J788,'NQ10'!$B$9:$C$145,2,0),"")</f>
        <v/>
      </c>
    </row>
    <row r="789" spans="1:11" ht="15" customHeight="1" x14ac:dyDescent="0.25">
      <c r="A789" s="75">
        <v>0</v>
      </c>
      <c r="C789" s="75" t="s">
        <v>10</v>
      </c>
      <c r="D789" s="75">
        <v>11531</v>
      </c>
      <c r="F789" s="75" t="s">
        <v>10</v>
      </c>
      <c r="H789" s="75" t="s">
        <v>216</v>
      </c>
      <c r="I789" s="75">
        <v>19489</v>
      </c>
      <c r="K789" s="75" t="str">
        <f>IFERROR(VLOOKUP(J789,'NQ10'!$B$9:$C$145,2,0),"")</f>
        <v/>
      </c>
    </row>
    <row r="790" spans="1:11" ht="15" customHeight="1" x14ac:dyDescent="0.25">
      <c r="A790" s="75">
        <v>0</v>
      </c>
      <c r="C790" s="75" t="s">
        <v>10</v>
      </c>
      <c r="D790" s="75">
        <v>6091</v>
      </c>
      <c r="F790" s="75" t="s">
        <v>10</v>
      </c>
      <c r="H790" s="75" t="s">
        <v>10</v>
      </c>
      <c r="I790" s="75">
        <v>19489</v>
      </c>
      <c r="K790" s="75" t="str">
        <f>IFERROR(VLOOKUP(J790,'NQ10'!$B$9:$C$145,2,0),"")</f>
        <v/>
      </c>
    </row>
    <row r="791" spans="1:11" ht="15" customHeight="1" x14ac:dyDescent="0.25">
      <c r="A791" s="75">
        <v>0</v>
      </c>
      <c r="C791" s="75" t="s">
        <v>10</v>
      </c>
      <c r="D791" s="75">
        <v>178</v>
      </c>
      <c r="F791" s="75" t="s">
        <v>10</v>
      </c>
      <c r="H791" s="75" t="s">
        <v>10</v>
      </c>
      <c r="I791" s="75">
        <v>19489</v>
      </c>
      <c r="K791" s="75" t="str">
        <f>IFERROR(VLOOKUP(J791,'NQ10'!$B$9:$C$145,2,0),"")</f>
        <v/>
      </c>
    </row>
    <row r="792" spans="1:11" ht="15" customHeight="1" x14ac:dyDescent="0.25">
      <c r="A792" s="75">
        <v>0</v>
      </c>
      <c r="C792" s="75" t="s">
        <v>10</v>
      </c>
      <c r="D792" s="75">
        <v>4275</v>
      </c>
      <c r="F792" s="75" t="s">
        <v>10</v>
      </c>
      <c r="H792" s="75" t="s">
        <v>10</v>
      </c>
      <c r="I792" s="75">
        <v>19489</v>
      </c>
      <c r="K792" s="75" t="str">
        <f>IFERROR(VLOOKUP(J792,'NQ10'!$B$9:$C$145,2,0),"")</f>
        <v/>
      </c>
    </row>
    <row r="793" spans="1:11" ht="15" customHeight="1" x14ac:dyDescent="0.25">
      <c r="A793" s="75">
        <v>0</v>
      </c>
      <c r="C793" s="75" t="s">
        <v>10</v>
      </c>
      <c r="D793" s="75">
        <v>1279</v>
      </c>
      <c r="F793" s="75" t="s">
        <v>10</v>
      </c>
      <c r="H793" s="75" t="s">
        <v>10</v>
      </c>
      <c r="I793" s="75">
        <v>19489</v>
      </c>
      <c r="K793" s="75" t="str">
        <f>IFERROR(VLOOKUP(J793,'NQ10'!$B$9:$C$145,2,0),"")</f>
        <v/>
      </c>
    </row>
    <row r="794" spans="1:11" ht="15" customHeight="1" x14ac:dyDescent="0.25">
      <c r="A794" s="75">
        <v>0</v>
      </c>
      <c r="C794" s="75" t="s">
        <v>10</v>
      </c>
      <c r="D794" s="75">
        <v>15279</v>
      </c>
      <c r="F794" s="75" t="s">
        <v>10</v>
      </c>
      <c r="H794" s="75" t="s">
        <v>216</v>
      </c>
      <c r="I794" s="75">
        <v>19489</v>
      </c>
      <c r="K794" s="75" t="str">
        <f>IFERROR(VLOOKUP(J794,'NQ10'!$B$9:$C$145,2,0),"")</f>
        <v/>
      </c>
    </row>
    <row r="795" spans="1:11" ht="15" customHeight="1" x14ac:dyDescent="0.25">
      <c r="A795" s="75">
        <v>0</v>
      </c>
      <c r="C795" s="75" t="s">
        <v>10</v>
      </c>
      <c r="D795" s="75">
        <v>17934</v>
      </c>
      <c r="F795" s="75" t="s">
        <v>10</v>
      </c>
      <c r="H795" s="75" t="s">
        <v>164</v>
      </c>
      <c r="I795" s="75">
        <v>19489</v>
      </c>
      <c r="K795" s="75" t="str">
        <f>IFERROR(VLOOKUP(J795,'NQ10'!$B$9:$C$145,2,0),"")</f>
        <v/>
      </c>
    </row>
    <row r="796" spans="1:11" ht="15" customHeight="1" x14ac:dyDescent="0.25">
      <c r="A796" s="75">
        <v>0</v>
      </c>
      <c r="C796" s="75" t="s">
        <v>10</v>
      </c>
      <c r="D796" s="75">
        <v>17017</v>
      </c>
      <c r="F796" s="75" t="s">
        <v>10</v>
      </c>
      <c r="H796" s="75" t="s">
        <v>164</v>
      </c>
      <c r="I796" s="75">
        <v>19489</v>
      </c>
      <c r="K796" s="75" t="str">
        <f>IFERROR(VLOOKUP(J796,'NQ10'!$B$9:$C$145,2,0),"")</f>
        <v/>
      </c>
    </row>
    <row r="797" spans="1:11" ht="15" customHeight="1" x14ac:dyDescent="0.25">
      <c r="A797" s="75">
        <v>0</v>
      </c>
      <c r="C797" s="75" t="s">
        <v>10</v>
      </c>
      <c r="D797" s="75">
        <v>7507</v>
      </c>
      <c r="F797" s="75" t="s">
        <v>10</v>
      </c>
      <c r="H797" s="75" t="s">
        <v>10</v>
      </c>
      <c r="I797" s="75">
        <v>19489</v>
      </c>
      <c r="K797" s="75" t="str">
        <f>IFERROR(VLOOKUP(J797,'NQ10'!$B$9:$C$145,2,0),"")</f>
        <v/>
      </c>
    </row>
    <row r="798" spans="1:11" ht="15" customHeight="1" x14ac:dyDescent="0.25">
      <c r="A798" s="75">
        <v>0</v>
      </c>
      <c r="C798" s="75" t="s">
        <v>10</v>
      </c>
      <c r="D798" s="75">
        <v>263</v>
      </c>
      <c r="F798" s="75" t="s">
        <v>10</v>
      </c>
      <c r="H798" s="75" t="s">
        <v>10</v>
      </c>
      <c r="I798" s="75">
        <v>19489</v>
      </c>
      <c r="K798" s="75" t="str">
        <f>IFERROR(VLOOKUP(J798,'NQ10'!$B$9:$C$145,2,0),"")</f>
        <v/>
      </c>
    </row>
    <row r="799" spans="1:11" ht="15" customHeight="1" x14ac:dyDescent="0.25">
      <c r="A799" s="75">
        <v>0</v>
      </c>
      <c r="C799" s="75" t="s">
        <v>10</v>
      </c>
      <c r="D799" s="75">
        <v>1802</v>
      </c>
      <c r="F799" s="75" t="s">
        <v>10</v>
      </c>
      <c r="H799" s="75" t="s">
        <v>10</v>
      </c>
      <c r="I799" s="75">
        <v>19489</v>
      </c>
      <c r="K799" s="75" t="str">
        <f>IFERROR(VLOOKUP(J799,'NQ10'!$B$9:$C$145,2,0),"")</f>
        <v/>
      </c>
    </row>
    <row r="800" spans="1:11" ht="15" customHeight="1" x14ac:dyDescent="0.25">
      <c r="A800" s="75">
        <v>0</v>
      </c>
      <c r="C800" s="75" t="s">
        <v>10</v>
      </c>
      <c r="D800" s="75">
        <v>10771</v>
      </c>
      <c r="F800" s="75" t="s">
        <v>10</v>
      </c>
      <c r="H800" s="75" t="s">
        <v>216</v>
      </c>
      <c r="I800" s="75">
        <v>19489</v>
      </c>
      <c r="K800" s="75" t="str">
        <f>IFERROR(VLOOKUP(J800,'NQ10'!$B$9:$C$145,2,0),"")</f>
        <v/>
      </c>
    </row>
    <row r="801" spans="1:11" ht="15" customHeight="1" x14ac:dyDescent="0.25">
      <c r="A801" s="75">
        <v>0</v>
      </c>
      <c r="C801" s="75" t="s">
        <v>10</v>
      </c>
      <c r="D801" s="75">
        <v>13296</v>
      </c>
      <c r="F801" s="75" t="s">
        <v>10</v>
      </c>
      <c r="H801" s="75" t="s">
        <v>164</v>
      </c>
      <c r="I801" s="75">
        <v>19489</v>
      </c>
      <c r="K801" s="75" t="str">
        <f>IFERROR(VLOOKUP(J801,'NQ10'!$B$9:$C$145,2,0),"")</f>
        <v/>
      </c>
    </row>
    <row r="802" spans="1:11" ht="15" customHeight="1" x14ac:dyDescent="0.25">
      <c r="A802" s="75">
        <v>0</v>
      </c>
      <c r="C802" s="75" t="s">
        <v>10</v>
      </c>
      <c r="D802" s="75">
        <v>100</v>
      </c>
      <c r="F802" s="75" t="s">
        <v>10</v>
      </c>
      <c r="H802" s="75" t="s">
        <v>10</v>
      </c>
      <c r="I802" s="75">
        <v>19489</v>
      </c>
      <c r="K802" s="75" t="str">
        <f>IFERROR(VLOOKUP(J802,'NQ10'!$B$9:$C$145,2,0),"")</f>
        <v/>
      </c>
    </row>
    <row r="803" spans="1:11" ht="15" customHeight="1" x14ac:dyDescent="0.25">
      <c r="A803" s="75">
        <v>0</v>
      </c>
      <c r="C803" s="75" t="s">
        <v>10</v>
      </c>
      <c r="D803" s="75">
        <v>558801</v>
      </c>
      <c r="F803" s="75" t="s">
        <v>10</v>
      </c>
      <c r="H803" s="75" t="s">
        <v>10</v>
      </c>
      <c r="I803" s="75">
        <v>19489</v>
      </c>
      <c r="K803" s="75" t="str">
        <f>IFERROR(VLOOKUP(J803,'NQ10'!$B$9:$C$145,2,0),"")</f>
        <v/>
      </c>
    </row>
    <row r="804" spans="1:11" ht="15" customHeight="1" x14ac:dyDescent="0.25">
      <c r="A804" s="75">
        <v>0</v>
      </c>
      <c r="C804" s="75" t="s">
        <v>10</v>
      </c>
      <c r="D804" s="75">
        <v>4103</v>
      </c>
      <c r="F804" s="75" t="s">
        <v>10</v>
      </c>
      <c r="H804" s="75" t="s">
        <v>10</v>
      </c>
      <c r="I804" s="75">
        <v>19489</v>
      </c>
      <c r="K804" s="75" t="str">
        <f>IFERROR(VLOOKUP(J804,'NQ10'!$B$9:$C$145,2,0),"")</f>
        <v/>
      </c>
    </row>
    <row r="805" spans="1:11" ht="15" customHeight="1" x14ac:dyDescent="0.25">
      <c r="A805" s="75">
        <v>0</v>
      </c>
      <c r="C805" s="75" t="s">
        <v>10</v>
      </c>
      <c r="D805" s="75">
        <v>5916</v>
      </c>
      <c r="F805" s="75" t="s">
        <v>10</v>
      </c>
      <c r="H805" s="75" t="s">
        <v>10</v>
      </c>
      <c r="I805" s="75">
        <v>19489</v>
      </c>
      <c r="K805" s="75" t="str">
        <f>IFERROR(VLOOKUP(J805,'NQ10'!$B$9:$C$145,2,0),"")</f>
        <v/>
      </c>
    </row>
    <row r="806" spans="1:11" ht="15" customHeight="1" x14ac:dyDescent="0.25">
      <c r="A806" s="75">
        <v>0</v>
      </c>
      <c r="C806" s="75" t="s">
        <v>10</v>
      </c>
      <c r="D806" s="75">
        <v>2577</v>
      </c>
      <c r="F806" s="75" t="s">
        <v>10</v>
      </c>
      <c r="H806" s="75" t="s">
        <v>10</v>
      </c>
      <c r="I806" s="75">
        <v>19489</v>
      </c>
      <c r="K806" s="75" t="str">
        <f>IFERROR(VLOOKUP(J806,'NQ10'!$B$9:$C$145,2,0),"")</f>
        <v/>
      </c>
    </row>
    <row r="807" spans="1:11" ht="15" customHeight="1" x14ac:dyDescent="0.25">
      <c r="A807" s="75">
        <v>0</v>
      </c>
      <c r="C807" s="75" t="s">
        <v>10</v>
      </c>
      <c r="D807" s="75">
        <v>3080</v>
      </c>
      <c r="F807" s="75" t="s">
        <v>10</v>
      </c>
      <c r="H807" s="75" t="s">
        <v>10</v>
      </c>
      <c r="I807" s="75">
        <v>19489</v>
      </c>
      <c r="K807" s="75" t="str">
        <f>IFERROR(VLOOKUP(J807,'NQ10'!$B$9:$C$145,2,0),"")</f>
        <v/>
      </c>
    </row>
    <row r="808" spans="1:11" ht="15" customHeight="1" x14ac:dyDescent="0.25">
      <c r="A808" s="75">
        <v>0</v>
      </c>
      <c r="C808" s="75" t="s">
        <v>10</v>
      </c>
      <c r="D808" s="75">
        <v>4299</v>
      </c>
      <c r="F808" s="75" t="s">
        <v>10</v>
      </c>
      <c r="H808" s="75" t="s">
        <v>10</v>
      </c>
      <c r="I808" s="75">
        <v>19489</v>
      </c>
      <c r="K808" s="75" t="str">
        <f>IFERROR(VLOOKUP(J808,'NQ10'!$B$9:$C$145,2,0),"")</f>
        <v/>
      </c>
    </row>
    <row r="809" spans="1:11" ht="15" customHeight="1" x14ac:dyDescent="0.25">
      <c r="A809" s="75">
        <v>0</v>
      </c>
      <c r="C809" s="75" t="s">
        <v>10</v>
      </c>
      <c r="D809" s="75">
        <v>14284</v>
      </c>
      <c r="F809" s="75" t="s">
        <v>10</v>
      </c>
      <c r="H809" s="75" t="s">
        <v>216</v>
      </c>
      <c r="I809" s="75">
        <v>19489</v>
      </c>
      <c r="K809" s="75" t="str">
        <f>IFERROR(VLOOKUP(J809,'NQ10'!$B$9:$C$145,2,0),"")</f>
        <v/>
      </c>
    </row>
    <row r="810" spans="1:11" ht="15" customHeight="1" x14ac:dyDescent="0.25">
      <c r="A810" s="75">
        <v>0</v>
      </c>
      <c r="C810" s="75" t="s">
        <v>10</v>
      </c>
      <c r="D810" s="75">
        <v>7912</v>
      </c>
      <c r="F810" s="75" t="s">
        <v>10</v>
      </c>
      <c r="H810" s="75" t="s">
        <v>10</v>
      </c>
      <c r="I810" s="75">
        <v>19489</v>
      </c>
      <c r="K810" s="75" t="str">
        <f>IFERROR(VLOOKUP(J810,'NQ10'!$B$9:$C$145,2,0),"")</f>
        <v/>
      </c>
    </row>
    <row r="811" spans="1:11" ht="15" customHeight="1" x14ac:dyDescent="0.25">
      <c r="A811" s="75">
        <v>0</v>
      </c>
      <c r="C811" s="75" t="s">
        <v>10</v>
      </c>
      <c r="D811" s="75">
        <v>1440</v>
      </c>
      <c r="F811" s="75" t="s">
        <v>10</v>
      </c>
      <c r="H811" s="75" t="s">
        <v>10</v>
      </c>
      <c r="I811" s="75">
        <v>19489</v>
      </c>
      <c r="K811" s="75" t="str">
        <f>IFERROR(VLOOKUP(J811,'NQ10'!$B$9:$C$145,2,0),"")</f>
        <v/>
      </c>
    </row>
    <row r="812" spans="1:11" ht="15" customHeight="1" x14ac:dyDescent="0.25">
      <c r="A812" s="75">
        <v>0</v>
      </c>
      <c r="C812" s="75" t="s">
        <v>10</v>
      </c>
      <c r="D812" s="75">
        <v>26751</v>
      </c>
      <c r="F812" s="75" t="s">
        <v>10</v>
      </c>
      <c r="H812" s="75" t="s">
        <v>10</v>
      </c>
      <c r="I812" s="75">
        <v>19489</v>
      </c>
      <c r="K812" s="75" t="str">
        <f>IFERROR(VLOOKUP(J812,'NQ10'!$B$9:$C$145,2,0),"")</f>
        <v/>
      </c>
    </row>
    <row r="813" spans="1:11" ht="15" customHeight="1" x14ac:dyDescent="0.25">
      <c r="A813" s="75">
        <v>0</v>
      </c>
      <c r="C813" s="75" t="s">
        <v>10</v>
      </c>
      <c r="D813" s="75">
        <v>6278</v>
      </c>
      <c r="F813" s="75" t="s">
        <v>10</v>
      </c>
      <c r="H813" s="75" t="s">
        <v>10</v>
      </c>
      <c r="I813" s="75">
        <v>19489</v>
      </c>
      <c r="K813" s="75" t="str">
        <f>IFERROR(VLOOKUP(J813,'NQ10'!$B$9:$C$145,2,0),"")</f>
        <v/>
      </c>
    </row>
    <row r="814" spans="1:11" ht="15" customHeight="1" x14ac:dyDescent="0.25">
      <c r="A814" s="75">
        <v>0</v>
      </c>
      <c r="C814" s="75" t="s">
        <v>10</v>
      </c>
      <c r="D814" s="75">
        <v>1714</v>
      </c>
      <c r="F814" s="75" t="s">
        <v>10</v>
      </c>
      <c r="H814" s="75" t="s">
        <v>10</v>
      </c>
      <c r="I814" s="75">
        <v>19489</v>
      </c>
      <c r="K814" s="75" t="str">
        <f>IFERROR(VLOOKUP(J814,'NQ10'!$B$9:$C$145,2,0),"")</f>
        <v/>
      </c>
    </row>
    <row r="815" spans="1:11" ht="15" customHeight="1" x14ac:dyDescent="0.25">
      <c r="A815" s="75">
        <v>0</v>
      </c>
      <c r="C815" s="75" t="s">
        <v>10</v>
      </c>
      <c r="D815" s="75">
        <v>20084</v>
      </c>
      <c r="F815" s="75" t="s">
        <v>10</v>
      </c>
      <c r="H815" s="75" t="s">
        <v>10</v>
      </c>
      <c r="I815" s="75">
        <v>19489</v>
      </c>
      <c r="K815" s="75" t="str">
        <f>IFERROR(VLOOKUP(J815,'NQ10'!$B$9:$C$145,2,0),"")</f>
        <v/>
      </c>
    </row>
    <row r="816" spans="1:11" ht="15" customHeight="1" x14ac:dyDescent="0.25">
      <c r="A816" s="75">
        <v>0</v>
      </c>
      <c r="C816" s="75" t="s">
        <v>10</v>
      </c>
      <c r="D816" s="75">
        <v>1695</v>
      </c>
      <c r="F816" s="75" t="s">
        <v>10</v>
      </c>
      <c r="H816" s="75" t="s">
        <v>10</v>
      </c>
      <c r="I816" s="75">
        <v>19489</v>
      </c>
      <c r="K816" s="75" t="str">
        <f>IFERROR(VLOOKUP(J816,'NQ10'!$B$9:$C$145,2,0),"")</f>
        <v/>
      </c>
    </row>
    <row r="817" spans="1:11" ht="15" customHeight="1" x14ac:dyDescent="0.25">
      <c r="A817" s="75">
        <v>0</v>
      </c>
      <c r="C817" s="75" t="s">
        <v>10</v>
      </c>
      <c r="D817" s="75">
        <v>24751</v>
      </c>
      <c r="F817" s="75" t="s">
        <v>10</v>
      </c>
      <c r="H817" s="75" t="s">
        <v>10</v>
      </c>
      <c r="I817" s="75">
        <v>19489</v>
      </c>
      <c r="K817" s="75" t="str">
        <f>IFERROR(VLOOKUP(J817,'NQ10'!$B$9:$C$145,2,0),"")</f>
        <v/>
      </c>
    </row>
    <row r="818" spans="1:11" ht="15" customHeight="1" x14ac:dyDescent="0.25">
      <c r="A818" s="75">
        <v>0</v>
      </c>
      <c r="C818" s="75" t="s">
        <v>10</v>
      </c>
      <c r="D818" s="75">
        <v>4903</v>
      </c>
      <c r="F818" s="75" t="s">
        <v>10</v>
      </c>
      <c r="H818" s="75" t="s">
        <v>10</v>
      </c>
      <c r="I818" s="75">
        <v>19489</v>
      </c>
      <c r="K818" s="75" t="str">
        <f>IFERROR(VLOOKUP(J818,'NQ10'!$B$9:$C$145,2,0),"")</f>
        <v/>
      </c>
    </row>
    <row r="819" spans="1:11" ht="15" customHeight="1" x14ac:dyDescent="0.25">
      <c r="A819" s="75">
        <v>0</v>
      </c>
      <c r="C819" s="75" t="s">
        <v>10</v>
      </c>
      <c r="D819" s="75">
        <v>5211</v>
      </c>
      <c r="F819" s="75" t="s">
        <v>10</v>
      </c>
      <c r="H819" s="75" t="s">
        <v>10</v>
      </c>
      <c r="I819" s="75">
        <v>19489</v>
      </c>
      <c r="K819" s="75" t="str">
        <f>IFERROR(VLOOKUP(J819,'NQ10'!$B$9:$C$145,2,0),"")</f>
        <v/>
      </c>
    </row>
    <row r="820" spans="1:11" ht="15" customHeight="1" x14ac:dyDescent="0.25">
      <c r="A820" s="75">
        <v>0</v>
      </c>
      <c r="C820" s="75" t="s">
        <v>10</v>
      </c>
      <c r="D820" s="75">
        <v>32981</v>
      </c>
      <c r="F820" s="75" t="s">
        <v>10</v>
      </c>
      <c r="H820" s="75" t="s">
        <v>10</v>
      </c>
      <c r="I820" s="75">
        <v>19489</v>
      </c>
      <c r="K820" s="75" t="str">
        <f>IFERROR(VLOOKUP(J820,'NQ10'!$B$9:$C$145,2,0),"")</f>
        <v/>
      </c>
    </row>
    <row r="821" spans="1:11" ht="15" customHeight="1" x14ac:dyDescent="0.25">
      <c r="A821" s="75">
        <v>0</v>
      </c>
      <c r="C821" s="75" t="s">
        <v>10</v>
      </c>
      <c r="D821" s="75">
        <v>9308</v>
      </c>
      <c r="F821" s="75" t="s">
        <v>10</v>
      </c>
      <c r="H821" s="75" t="s">
        <v>10</v>
      </c>
      <c r="I821" s="75">
        <v>19489</v>
      </c>
      <c r="K821" s="75" t="str">
        <f>IFERROR(VLOOKUP(J821,'NQ10'!$B$9:$C$145,2,0),"")</f>
        <v/>
      </c>
    </row>
    <row r="822" spans="1:11" ht="15" customHeight="1" x14ac:dyDescent="0.25">
      <c r="A822" s="75">
        <v>0</v>
      </c>
      <c r="C822" s="75" t="s">
        <v>10</v>
      </c>
      <c r="D822" s="75">
        <v>2537</v>
      </c>
      <c r="F822" s="75" t="s">
        <v>10</v>
      </c>
      <c r="H822" s="75" t="s">
        <v>10</v>
      </c>
      <c r="I822" s="75">
        <v>19489</v>
      </c>
      <c r="K822" s="75" t="str">
        <f>IFERROR(VLOOKUP(J822,'NQ10'!$B$9:$C$145,2,0),"")</f>
        <v/>
      </c>
    </row>
    <row r="823" spans="1:11" ht="15" customHeight="1" x14ac:dyDescent="0.25">
      <c r="A823" s="75">
        <v>0</v>
      </c>
      <c r="C823" s="75" t="s">
        <v>10</v>
      </c>
      <c r="D823" s="75">
        <v>5289</v>
      </c>
      <c r="F823" s="75" t="s">
        <v>10</v>
      </c>
      <c r="H823" s="75" t="s">
        <v>10</v>
      </c>
      <c r="I823" s="75">
        <v>19489</v>
      </c>
      <c r="K823" s="75" t="str">
        <f>IFERROR(VLOOKUP(J823,'NQ10'!$B$9:$C$145,2,0),"")</f>
        <v/>
      </c>
    </row>
    <row r="824" spans="1:11" ht="15" customHeight="1" x14ac:dyDescent="0.25">
      <c r="A824" s="75">
        <v>0</v>
      </c>
      <c r="C824" s="75" t="s">
        <v>10</v>
      </c>
      <c r="D824" s="75">
        <v>6010</v>
      </c>
      <c r="F824" s="75" t="s">
        <v>10</v>
      </c>
      <c r="H824" s="75" t="s">
        <v>10</v>
      </c>
      <c r="I824" s="75">
        <v>19489</v>
      </c>
      <c r="K824" s="75" t="str">
        <f>IFERROR(VLOOKUP(J824,'NQ10'!$B$9:$C$145,2,0),"")</f>
        <v/>
      </c>
    </row>
    <row r="825" spans="1:11" ht="15" customHeight="1" x14ac:dyDescent="0.25">
      <c r="A825" s="75">
        <v>0</v>
      </c>
      <c r="C825" s="75" t="s">
        <v>10</v>
      </c>
      <c r="D825" s="75">
        <v>4875</v>
      </c>
      <c r="F825" s="75" t="s">
        <v>10</v>
      </c>
      <c r="H825" s="75" t="s">
        <v>10</v>
      </c>
      <c r="I825" s="75">
        <v>19489</v>
      </c>
      <c r="K825" s="75" t="str">
        <f>IFERROR(VLOOKUP(J825,'NQ10'!$B$9:$C$145,2,0),"")</f>
        <v/>
      </c>
    </row>
    <row r="826" spans="1:11" ht="15" customHeight="1" x14ac:dyDescent="0.25">
      <c r="A826" s="75">
        <v>0</v>
      </c>
      <c r="C826" s="75" t="s">
        <v>10</v>
      </c>
      <c r="D826" s="75">
        <v>1831</v>
      </c>
      <c r="F826" s="75" t="s">
        <v>10</v>
      </c>
      <c r="H826" s="75" t="s">
        <v>10</v>
      </c>
      <c r="I826" s="75">
        <v>19489</v>
      </c>
      <c r="K826" s="75" t="str">
        <f>IFERROR(VLOOKUP(J826,'NQ10'!$B$9:$C$145,2,0),"")</f>
        <v/>
      </c>
    </row>
    <row r="827" spans="1:11" ht="15" customHeight="1" x14ac:dyDescent="0.25">
      <c r="A827" s="75">
        <v>0</v>
      </c>
      <c r="C827" s="75" t="s">
        <v>10</v>
      </c>
      <c r="D827" s="75">
        <v>3639</v>
      </c>
      <c r="F827" s="75" t="s">
        <v>10</v>
      </c>
      <c r="H827" s="75" t="s">
        <v>10</v>
      </c>
      <c r="I827" s="75">
        <v>19489</v>
      </c>
      <c r="K827" s="75" t="str">
        <f>IFERROR(VLOOKUP(J827,'NQ10'!$B$9:$C$145,2,0),"")</f>
        <v/>
      </c>
    </row>
    <row r="828" spans="1:11" ht="15" customHeight="1" x14ac:dyDescent="0.25">
      <c r="A828" s="75">
        <v>0</v>
      </c>
      <c r="C828" s="75" t="s">
        <v>10</v>
      </c>
      <c r="D828" s="75">
        <v>6472</v>
      </c>
      <c r="F828" s="75" t="s">
        <v>10</v>
      </c>
      <c r="H828" s="75" t="s">
        <v>10</v>
      </c>
      <c r="I828" s="75">
        <v>19489</v>
      </c>
      <c r="K828" s="75" t="str">
        <f>IFERROR(VLOOKUP(J828,'NQ10'!$B$9:$C$145,2,0),"")</f>
        <v/>
      </c>
    </row>
    <row r="829" spans="1:11" ht="15" customHeight="1" x14ac:dyDescent="0.25">
      <c r="A829" s="75">
        <v>0</v>
      </c>
      <c r="C829" s="75" t="s">
        <v>10</v>
      </c>
      <c r="D829" s="75">
        <v>6239</v>
      </c>
      <c r="F829" s="75" t="s">
        <v>10</v>
      </c>
      <c r="H829" s="75" t="s">
        <v>10</v>
      </c>
      <c r="I829" s="75">
        <v>19489</v>
      </c>
      <c r="K829" s="75" t="str">
        <f>IFERROR(VLOOKUP(J829,'NQ10'!$B$9:$C$145,2,0),"")</f>
        <v/>
      </c>
    </row>
    <row r="830" spans="1:11" ht="15" customHeight="1" x14ac:dyDescent="0.25">
      <c r="A830" s="75">
        <v>0</v>
      </c>
      <c r="C830" s="75" t="s">
        <v>10</v>
      </c>
      <c r="D830" s="75">
        <v>3987</v>
      </c>
      <c r="F830" s="75" t="s">
        <v>10</v>
      </c>
      <c r="H830" s="75" t="s">
        <v>10</v>
      </c>
      <c r="I830" s="75">
        <v>19489</v>
      </c>
      <c r="K830" s="75" t="str">
        <f>IFERROR(VLOOKUP(J830,'NQ10'!$B$9:$C$145,2,0),"")</f>
        <v/>
      </c>
    </row>
    <row r="831" spans="1:11" ht="15" customHeight="1" x14ac:dyDescent="0.25">
      <c r="A831" s="75">
        <v>0</v>
      </c>
      <c r="C831" s="75" t="s">
        <v>10</v>
      </c>
      <c r="D831" s="75">
        <v>3924</v>
      </c>
      <c r="F831" s="75" t="s">
        <v>10</v>
      </c>
      <c r="H831" s="75" t="s">
        <v>10</v>
      </c>
      <c r="I831" s="75">
        <v>19489</v>
      </c>
      <c r="K831" s="75" t="str">
        <f>IFERROR(VLOOKUP(J831,'NQ10'!$B$9:$C$145,2,0),"")</f>
        <v/>
      </c>
    </row>
    <row r="832" spans="1:11" ht="15" customHeight="1" x14ac:dyDescent="0.25">
      <c r="A832" s="75">
        <v>0</v>
      </c>
      <c r="C832" s="75" t="s">
        <v>10</v>
      </c>
      <c r="D832" s="75">
        <v>3259</v>
      </c>
      <c r="F832" s="75" t="s">
        <v>10</v>
      </c>
      <c r="H832" s="75" t="s">
        <v>10</v>
      </c>
      <c r="I832" s="75">
        <v>19489</v>
      </c>
      <c r="K832" s="75" t="str">
        <f>IFERROR(VLOOKUP(J832,'NQ10'!$B$9:$C$145,2,0),"")</f>
        <v/>
      </c>
    </row>
    <row r="833" spans="1:11" ht="15" customHeight="1" x14ac:dyDescent="0.25">
      <c r="A833" s="75">
        <v>0</v>
      </c>
      <c r="C833" s="75" t="s">
        <v>10</v>
      </c>
      <c r="D833" s="75">
        <v>2886</v>
      </c>
      <c r="F833" s="75" t="s">
        <v>10</v>
      </c>
      <c r="H833" s="75" t="s">
        <v>10</v>
      </c>
      <c r="I833" s="75">
        <v>19489</v>
      </c>
      <c r="K833" s="75" t="str">
        <f>IFERROR(VLOOKUP(J833,'NQ10'!$B$9:$C$145,2,0),"")</f>
        <v/>
      </c>
    </row>
    <row r="834" spans="1:11" ht="15" customHeight="1" x14ac:dyDescent="0.25">
      <c r="A834" s="75">
        <v>0</v>
      </c>
      <c r="C834" s="75" t="s">
        <v>10</v>
      </c>
      <c r="D834" s="75">
        <v>8320</v>
      </c>
      <c r="F834" s="75" t="s">
        <v>10</v>
      </c>
      <c r="H834" s="75" t="s">
        <v>10</v>
      </c>
      <c r="I834" s="75">
        <v>19489</v>
      </c>
      <c r="K834" s="75" t="str">
        <f>IFERROR(VLOOKUP(J834,'NQ10'!$B$9:$C$145,2,0),"")</f>
        <v/>
      </c>
    </row>
    <row r="835" spans="1:11" ht="15" customHeight="1" x14ac:dyDescent="0.25">
      <c r="A835" s="75">
        <v>0</v>
      </c>
      <c r="C835" s="75" t="s">
        <v>10</v>
      </c>
      <c r="D835" s="75">
        <v>3621</v>
      </c>
      <c r="F835" s="75" t="s">
        <v>10</v>
      </c>
      <c r="H835" s="75" t="s">
        <v>10</v>
      </c>
      <c r="I835" s="75">
        <v>19489</v>
      </c>
      <c r="K835" s="75" t="str">
        <f>IFERROR(VLOOKUP(J835,'NQ10'!$B$9:$C$145,2,0),"")</f>
        <v/>
      </c>
    </row>
    <row r="836" spans="1:11" ht="15" customHeight="1" x14ac:dyDescent="0.25">
      <c r="A836" s="75">
        <v>0</v>
      </c>
      <c r="C836" s="75" t="s">
        <v>10</v>
      </c>
      <c r="D836" s="75">
        <v>3404</v>
      </c>
      <c r="F836" s="75" t="s">
        <v>10</v>
      </c>
      <c r="H836" s="75" t="s">
        <v>10</v>
      </c>
      <c r="I836" s="75">
        <v>19489</v>
      </c>
      <c r="K836" s="75" t="str">
        <f>IFERROR(VLOOKUP(J836,'NQ10'!$B$9:$C$145,2,0),"")</f>
        <v/>
      </c>
    </row>
    <row r="837" spans="1:11" ht="15" customHeight="1" x14ac:dyDescent="0.25">
      <c r="A837" s="75">
        <v>0</v>
      </c>
      <c r="C837" s="75" t="s">
        <v>10</v>
      </c>
      <c r="D837" s="75">
        <v>1353</v>
      </c>
      <c r="F837" s="75" t="s">
        <v>10</v>
      </c>
      <c r="H837" s="75" t="s">
        <v>10</v>
      </c>
      <c r="I837" s="75">
        <v>19489</v>
      </c>
      <c r="K837" s="75" t="str">
        <f>IFERROR(VLOOKUP(J837,'NQ10'!$B$9:$C$145,2,0),"")</f>
        <v/>
      </c>
    </row>
    <row r="838" spans="1:11" ht="15" customHeight="1" x14ac:dyDescent="0.25">
      <c r="A838" s="75">
        <v>0</v>
      </c>
      <c r="C838" s="75" t="s">
        <v>10</v>
      </c>
      <c r="D838" s="75">
        <v>1862</v>
      </c>
      <c r="F838" s="75" t="s">
        <v>10</v>
      </c>
      <c r="H838" s="75" t="s">
        <v>10</v>
      </c>
      <c r="I838" s="75">
        <v>19489</v>
      </c>
      <c r="K838" s="75" t="str">
        <f>IFERROR(VLOOKUP(J838,'NQ10'!$B$9:$C$145,2,0),"")</f>
        <v/>
      </c>
    </row>
    <row r="839" spans="1:11" ht="15" customHeight="1" x14ac:dyDescent="0.25">
      <c r="A839" s="75">
        <v>0</v>
      </c>
      <c r="C839" s="75" t="s">
        <v>10</v>
      </c>
      <c r="D839" s="75">
        <v>1285</v>
      </c>
      <c r="F839" s="75" t="s">
        <v>10</v>
      </c>
      <c r="H839" s="75" t="s">
        <v>10</v>
      </c>
      <c r="I839" s="75">
        <v>19489</v>
      </c>
      <c r="K839" s="75" t="str">
        <f>IFERROR(VLOOKUP(J839,'NQ10'!$B$9:$C$145,2,0),"")</f>
        <v/>
      </c>
    </row>
    <row r="840" spans="1:11" ht="15" customHeight="1" x14ac:dyDescent="0.25">
      <c r="A840" s="75">
        <v>0</v>
      </c>
      <c r="C840" s="75" t="s">
        <v>10</v>
      </c>
      <c r="D840" s="75">
        <v>18465</v>
      </c>
      <c r="F840" s="75" t="s">
        <v>10</v>
      </c>
      <c r="H840" s="75" t="s">
        <v>10</v>
      </c>
      <c r="I840" s="75">
        <v>19489</v>
      </c>
      <c r="K840" s="75" t="str">
        <f>IFERROR(VLOOKUP(J840,'NQ10'!$B$9:$C$145,2,0),"")</f>
        <v/>
      </c>
    </row>
    <row r="841" spans="1:11" ht="15" customHeight="1" x14ac:dyDescent="0.25">
      <c r="A841" s="75">
        <v>0</v>
      </c>
      <c r="C841" s="75" t="s">
        <v>10</v>
      </c>
      <c r="D841" s="75">
        <v>2055</v>
      </c>
      <c r="F841" s="75" t="s">
        <v>10</v>
      </c>
      <c r="H841" s="75" t="s">
        <v>10</v>
      </c>
      <c r="I841" s="75">
        <v>19489</v>
      </c>
      <c r="K841" s="75" t="str">
        <f>IFERROR(VLOOKUP(J841,'NQ10'!$B$9:$C$145,2,0),"")</f>
        <v/>
      </c>
    </row>
    <row r="842" spans="1:11" ht="15" customHeight="1" x14ac:dyDescent="0.25">
      <c r="A842" s="75">
        <v>0</v>
      </c>
      <c r="C842" s="75" t="s">
        <v>10</v>
      </c>
      <c r="D842" s="75">
        <v>14301</v>
      </c>
      <c r="F842" s="75" t="s">
        <v>10</v>
      </c>
      <c r="H842" s="75" t="s">
        <v>10</v>
      </c>
      <c r="I842" s="75">
        <v>19489</v>
      </c>
      <c r="K842" s="75" t="str">
        <f>IFERROR(VLOOKUP(J842,'NQ10'!$B$9:$C$145,2,0),"")</f>
        <v/>
      </c>
    </row>
    <row r="843" spans="1:11" ht="15" customHeight="1" x14ac:dyDescent="0.25">
      <c r="A843" s="75">
        <v>0</v>
      </c>
      <c r="C843" s="75" t="s">
        <v>10</v>
      </c>
      <c r="D843" s="75">
        <v>6309</v>
      </c>
      <c r="F843" s="75" t="s">
        <v>10</v>
      </c>
      <c r="H843" s="75" t="s">
        <v>10</v>
      </c>
      <c r="I843" s="75">
        <v>19489</v>
      </c>
      <c r="K843" s="75" t="str">
        <f>IFERROR(VLOOKUP(J843,'NQ10'!$B$9:$C$145,2,0),"")</f>
        <v/>
      </c>
    </row>
    <row r="844" spans="1:11" ht="15" customHeight="1" x14ac:dyDescent="0.25">
      <c r="A844" s="75">
        <v>0</v>
      </c>
      <c r="C844" s="75" t="s">
        <v>10</v>
      </c>
      <c r="D844" s="75">
        <v>5523</v>
      </c>
      <c r="F844" s="75" t="s">
        <v>10</v>
      </c>
      <c r="H844" s="75" t="s">
        <v>10</v>
      </c>
      <c r="I844" s="75">
        <v>19489</v>
      </c>
      <c r="K844" s="75" t="str">
        <f>IFERROR(VLOOKUP(J844,'NQ10'!$B$9:$C$145,2,0),"")</f>
        <v/>
      </c>
    </row>
    <row r="845" spans="1:11" ht="15" customHeight="1" x14ac:dyDescent="0.25">
      <c r="A845" s="75">
        <v>0</v>
      </c>
      <c r="C845" s="75" t="s">
        <v>10</v>
      </c>
      <c r="D845" s="75">
        <v>5308</v>
      </c>
      <c r="F845" s="75" t="s">
        <v>10</v>
      </c>
      <c r="H845" s="75" t="s">
        <v>10</v>
      </c>
      <c r="I845" s="75">
        <v>19489</v>
      </c>
      <c r="K845" s="75" t="str">
        <f>IFERROR(VLOOKUP(J845,'NQ10'!$B$9:$C$145,2,0),"")</f>
        <v/>
      </c>
    </row>
    <row r="846" spans="1:11" ht="15" customHeight="1" x14ac:dyDescent="0.25">
      <c r="A846" s="75">
        <v>0</v>
      </c>
      <c r="C846" s="75" t="s">
        <v>10</v>
      </c>
      <c r="D846" s="75">
        <v>5800</v>
      </c>
      <c r="F846" s="75" t="s">
        <v>10</v>
      </c>
      <c r="H846" s="75" t="s">
        <v>10</v>
      </c>
      <c r="I846" s="75">
        <v>19489</v>
      </c>
      <c r="K846" s="75" t="str">
        <f>IFERROR(VLOOKUP(J846,'NQ10'!$B$9:$C$145,2,0),"")</f>
        <v/>
      </c>
    </row>
    <row r="847" spans="1:11" ht="15" customHeight="1" x14ac:dyDescent="0.25">
      <c r="A847" s="75">
        <v>0</v>
      </c>
      <c r="C847" s="75" t="s">
        <v>10</v>
      </c>
      <c r="D847" s="75">
        <v>883</v>
      </c>
      <c r="F847" s="75" t="s">
        <v>10</v>
      </c>
      <c r="H847" s="75" t="s">
        <v>10</v>
      </c>
      <c r="I847" s="75">
        <v>19489</v>
      </c>
      <c r="K847" s="75" t="str">
        <f>IFERROR(VLOOKUP(J847,'NQ10'!$B$9:$C$145,2,0),"")</f>
        <v/>
      </c>
    </row>
    <row r="848" spans="1:11" ht="15" customHeight="1" x14ac:dyDescent="0.25">
      <c r="A848" s="75">
        <v>0</v>
      </c>
      <c r="C848" s="75" t="s">
        <v>10</v>
      </c>
      <c r="D848" s="75">
        <v>4361</v>
      </c>
      <c r="F848" s="75" t="s">
        <v>10</v>
      </c>
      <c r="H848" s="75" t="s">
        <v>10</v>
      </c>
      <c r="I848" s="75">
        <v>19489</v>
      </c>
      <c r="K848" s="75" t="str">
        <f>IFERROR(VLOOKUP(J848,'NQ10'!$B$9:$C$145,2,0),"")</f>
        <v/>
      </c>
    </row>
    <row r="849" spans="1:11" ht="15" customHeight="1" x14ac:dyDescent="0.25">
      <c r="A849" s="75">
        <v>0</v>
      </c>
      <c r="C849" s="75" t="s">
        <v>10</v>
      </c>
      <c r="D849" s="75">
        <v>4887</v>
      </c>
      <c r="F849" s="75" t="s">
        <v>10</v>
      </c>
      <c r="H849" s="75" t="s">
        <v>10</v>
      </c>
      <c r="I849" s="75">
        <v>19489</v>
      </c>
      <c r="K849" s="75" t="str">
        <f>IFERROR(VLOOKUP(J849,'NQ10'!$B$9:$C$145,2,0),"")</f>
        <v/>
      </c>
    </row>
    <row r="850" spans="1:11" ht="15" customHeight="1" x14ac:dyDescent="0.25">
      <c r="A850" s="75">
        <v>0</v>
      </c>
      <c r="C850" s="75" t="s">
        <v>10</v>
      </c>
      <c r="D850" s="75">
        <v>3789</v>
      </c>
      <c r="F850" s="75" t="s">
        <v>10</v>
      </c>
      <c r="H850" s="75" t="s">
        <v>10</v>
      </c>
      <c r="I850" s="75">
        <v>19489</v>
      </c>
      <c r="K850" s="75" t="str">
        <f>IFERROR(VLOOKUP(J850,'NQ10'!$B$9:$C$145,2,0),"")</f>
        <v/>
      </c>
    </row>
    <row r="851" spans="1:11" ht="15" customHeight="1" x14ac:dyDescent="0.25">
      <c r="A851" s="75">
        <v>0</v>
      </c>
      <c r="C851" s="75" t="s">
        <v>10</v>
      </c>
      <c r="D851" s="75">
        <v>308</v>
      </c>
      <c r="F851" s="75" t="s">
        <v>10</v>
      </c>
      <c r="H851" s="75" t="s">
        <v>10</v>
      </c>
      <c r="I851" s="75">
        <v>19489</v>
      </c>
      <c r="K851" s="75" t="str">
        <f>IFERROR(VLOOKUP(J851,'NQ10'!$B$9:$C$145,2,0),"")</f>
        <v/>
      </c>
    </row>
    <row r="852" spans="1:11" ht="15" customHeight="1" x14ac:dyDescent="0.25">
      <c r="A852" s="75">
        <v>0</v>
      </c>
      <c r="C852" s="75" t="s">
        <v>10</v>
      </c>
      <c r="D852" s="75">
        <v>6478</v>
      </c>
      <c r="F852" s="75" t="s">
        <v>10</v>
      </c>
      <c r="H852" s="75" t="s">
        <v>10</v>
      </c>
      <c r="I852" s="75">
        <v>19489</v>
      </c>
      <c r="K852" s="75" t="str">
        <f>IFERROR(VLOOKUP(J852,'NQ10'!$B$9:$C$145,2,0),"")</f>
        <v/>
      </c>
    </row>
    <row r="853" spans="1:11" ht="15" customHeight="1" x14ac:dyDescent="0.25">
      <c r="A853" s="75">
        <v>0</v>
      </c>
      <c r="C853" s="75" t="s">
        <v>10</v>
      </c>
      <c r="D853" s="75">
        <v>5732</v>
      </c>
      <c r="F853" s="75" t="s">
        <v>10</v>
      </c>
      <c r="H853" s="75" t="s">
        <v>10</v>
      </c>
      <c r="I853" s="75">
        <v>19489</v>
      </c>
      <c r="K853" s="75" t="str">
        <f>IFERROR(VLOOKUP(J853,'NQ10'!$B$9:$C$145,2,0),"")</f>
        <v/>
      </c>
    </row>
    <row r="854" spans="1:11" ht="15" customHeight="1" x14ac:dyDescent="0.25">
      <c r="A854" s="75">
        <v>0</v>
      </c>
      <c r="C854" s="75" t="s">
        <v>10</v>
      </c>
      <c r="D854" s="75">
        <v>5471</v>
      </c>
      <c r="F854" s="75" t="s">
        <v>10</v>
      </c>
      <c r="H854" s="75" t="s">
        <v>10</v>
      </c>
      <c r="I854" s="75">
        <v>19489</v>
      </c>
      <c r="K854" s="75" t="str">
        <f>IFERROR(VLOOKUP(J854,'NQ10'!$B$9:$C$145,2,0),"")</f>
        <v/>
      </c>
    </row>
    <row r="855" spans="1:11" ht="15" customHeight="1" x14ac:dyDescent="0.25">
      <c r="A855" s="75">
        <v>0</v>
      </c>
      <c r="C855" s="75" t="s">
        <v>10</v>
      </c>
      <c r="D855" s="75">
        <v>10881</v>
      </c>
      <c r="F855" s="75" t="s">
        <v>10</v>
      </c>
      <c r="H855" s="75" t="s">
        <v>10</v>
      </c>
      <c r="I855" s="75">
        <v>19489</v>
      </c>
      <c r="K855" s="75" t="str">
        <f>IFERROR(VLOOKUP(J855,'NQ10'!$B$9:$C$145,2,0),"")</f>
        <v/>
      </c>
    </row>
    <row r="856" spans="1:11" ht="15" customHeight="1" x14ac:dyDescent="0.25">
      <c r="A856" s="75">
        <v>0</v>
      </c>
      <c r="C856" s="75" t="s">
        <v>10</v>
      </c>
      <c r="D856" s="75">
        <v>12645</v>
      </c>
      <c r="F856" s="75" t="s">
        <v>10</v>
      </c>
      <c r="H856" s="75" t="s">
        <v>10</v>
      </c>
      <c r="I856" s="75">
        <v>19489</v>
      </c>
      <c r="K856" s="75" t="str">
        <f>IFERROR(VLOOKUP(J856,'NQ10'!$B$9:$C$145,2,0),"")</f>
        <v/>
      </c>
    </row>
    <row r="857" spans="1:11" ht="15" customHeight="1" x14ac:dyDescent="0.25">
      <c r="A857" s="75">
        <v>0</v>
      </c>
      <c r="C857" s="75" t="s">
        <v>10</v>
      </c>
      <c r="D857" s="75">
        <v>219</v>
      </c>
      <c r="F857" s="75" t="s">
        <v>10</v>
      </c>
      <c r="H857" s="75" t="s">
        <v>407</v>
      </c>
      <c r="I857" s="75">
        <v>19489</v>
      </c>
      <c r="K857" s="75" t="str">
        <f>IFERROR(VLOOKUP(J857,'NQ10'!$B$9:$C$145,2,0),"")</f>
        <v/>
      </c>
    </row>
    <row r="858" spans="1:11" ht="15" customHeight="1" x14ac:dyDescent="0.25">
      <c r="A858" s="75">
        <v>0</v>
      </c>
      <c r="C858" s="75" t="s">
        <v>10</v>
      </c>
      <c r="D858" s="75">
        <v>23896</v>
      </c>
      <c r="F858" s="75" t="s">
        <v>10</v>
      </c>
      <c r="H858" s="75" t="s">
        <v>10</v>
      </c>
      <c r="I858" s="75">
        <v>19489</v>
      </c>
      <c r="K858" s="75" t="str">
        <f>IFERROR(VLOOKUP(J858,'NQ10'!$B$9:$C$145,2,0),"")</f>
        <v/>
      </c>
    </row>
    <row r="859" spans="1:11" ht="15" customHeight="1" x14ac:dyDescent="0.25">
      <c r="A859" s="75">
        <v>0</v>
      </c>
      <c r="C859" s="75" t="s">
        <v>10</v>
      </c>
      <c r="D859" s="75">
        <v>1060</v>
      </c>
      <c r="F859" s="75" t="s">
        <v>10</v>
      </c>
      <c r="H859" s="75" t="s">
        <v>10</v>
      </c>
      <c r="I859" s="75">
        <v>19489</v>
      </c>
      <c r="K859" s="75" t="str">
        <f>IFERROR(VLOOKUP(J859,'NQ10'!$B$9:$C$145,2,0),"")</f>
        <v/>
      </c>
    </row>
    <row r="860" spans="1:11" ht="15" customHeight="1" x14ac:dyDescent="0.25">
      <c r="A860" s="75">
        <v>0</v>
      </c>
      <c r="C860" s="75" t="s">
        <v>10</v>
      </c>
      <c r="D860" s="75">
        <v>11590</v>
      </c>
      <c r="F860" s="75" t="s">
        <v>10</v>
      </c>
      <c r="H860" s="75" t="s">
        <v>10</v>
      </c>
      <c r="I860" s="75">
        <v>19489</v>
      </c>
      <c r="K860" s="75" t="str">
        <f>IFERROR(VLOOKUP(J860,'NQ10'!$B$9:$C$145,2,0),"")</f>
        <v/>
      </c>
    </row>
    <row r="861" spans="1:11" ht="15" customHeight="1" x14ac:dyDescent="0.25">
      <c r="A861" s="75">
        <v>0</v>
      </c>
      <c r="C861" s="75" t="s">
        <v>10</v>
      </c>
      <c r="D861" s="75">
        <v>1793</v>
      </c>
      <c r="F861" s="75" t="s">
        <v>10</v>
      </c>
      <c r="H861" s="75" t="s">
        <v>10</v>
      </c>
      <c r="I861" s="75">
        <v>19489</v>
      </c>
      <c r="K861" s="75" t="str">
        <f>IFERROR(VLOOKUP(J861,'NQ10'!$B$9:$C$145,2,0),"")</f>
        <v/>
      </c>
    </row>
    <row r="862" spans="1:11" ht="15" customHeight="1" x14ac:dyDescent="0.25">
      <c r="A862" s="75">
        <v>0</v>
      </c>
      <c r="C862" s="75" t="s">
        <v>10</v>
      </c>
      <c r="D862" s="75">
        <v>6419</v>
      </c>
      <c r="F862" s="75" t="s">
        <v>10</v>
      </c>
      <c r="H862" s="75" t="s">
        <v>10</v>
      </c>
      <c r="I862" s="75">
        <v>19489</v>
      </c>
      <c r="K862" s="75" t="str">
        <f>IFERROR(VLOOKUP(J862,'NQ10'!$B$9:$C$145,2,0),"")</f>
        <v/>
      </c>
    </row>
    <row r="863" spans="1:11" ht="15" customHeight="1" x14ac:dyDescent="0.25">
      <c r="A863" s="75">
        <v>0</v>
      </c>
      <c r="C863" s="75" t="s">
        <v>10</v>
      </c>
      <c r="D863" s="75">
        <v>575</v>
      </c>
      <c r="F863" s="75" t="s">
        <v>10</v>
      </c>
      <c r="H863" s="75" t="s">
        <v>10</v>
      </c>
      <c r="I863" s="75">
        <v>19489</v>
      </c>
      <c r="K863" s="75" t="str">
        <f>IFERROR(VLOOKUP(J863,'NQ10'!$B$9:$C$145,2,0),"")</f>
        <v/>
      </c>
    </row>
    <row r="864" spans="1:11" ht="15" customHeight="1" x14ac:dyDescent="0.25">
      <c r="A864" s="75">
        <v>0</v>
      </c>
      <c r="C864" s="75" t="s">
        <v>10</v>
      </c>
      <c r="D864" s="75">
        <v>13781</v>
      </c>
      <c r="F864" s="75" t="s">
        <v>10</v>
      </c>
      <c r="H864" s="75" t="s">
        <v>10</v>
      </c>
      <c r="I864" s="75">
        <v>19489</v>
      </c>
      <c r="K864" s="75" t="str">
        <f>IFERROR(VLOOKUP(J864,'NQ10'!$B$9:$C$145,2,0),"")</f>
        <v/>
      </c>
    </row>
    <row r="865" spans="1:11" ht="15" customHeight="1" x14ac:dyDescent="0.25">
      <c r="A865" s="75">
        <v>0</v>
      </c>
      <c r="C865" s="75" t="s">
        <v>10</v>
      </c>
      <c r="D865" s="75">
        <v>7815</v>
      </c>
      <c r="F865" s="75" t="s">
        <v>10</v>
      </c>
      <c r="H865" s="75" t="s">
        <v>10</v>
      </c>
      <c r="I865" s="75">
        <v>19489</v>
      </c>
      <c r="K865" s="75" t="str">
        <f>IFERROR(VLOOKUP(J865,'NQ10'!$B$9:$C$145,2,0),"")</f>
        <v/>
      </c>
    </row>
    <row r="866" spans="1:11" ht="15" customHeight="1" x14ac:dyDescent="0.25">
      <c r="A866" s="75">
        <v>0</v>
      </c>
      <c r="C866" s="75" t="s">
        <v>10</v>
      </c>
      <c r="D866" s="75">
        <v>35459</v>
      </c>
      <c r="F866" s="75" t="s">
        <v>10</v>
      </c>
      <c r="H866" s="75" t="s">
        <v>10</v>
      </c>
      <c r="I866" s="75">
        <v>19489</v>
      </c>
      <c r="K866" s="75" t="str">
        <f>IFERROR(VLOOKUP(J866,'NQ10'!$B$9:$C$145,2,0),"")</f>
        <v/>
      </c>
    </row>
    <row r="867" spans="1:11" ht="15" customHeight="1" x14ac:dyDescent="0.25">
      <c r="A867" s="75">
        <v>0</v>
      </c>
      <c r="C867" s="75" t="s">
        <v>10</v>
      </c>
      <c r="D867" s="75">
        <v>19915</v>
      </c>
      <c r="F867" s="75" t="s">
        <v>10</v>
      </c>
      <c r="H867" s="75" t="s">
        <v>10</v>
      </c>
      <c r="I867" s="75">
        <v>19489</v>
      </c>
      <c r="K867" s="75" t="str">
        <f>IFERROR(VLOOKUP(J867,'NQ10'!$B$9:$C$145,2,0),"")</f>
        <v/>
      </c>
    </row>
    <row r="868" spans="1:11" ht="15" customHeight="1" x14ac:dyDescent="0.25">
      <c r="A868" s="75">
        <v>0</v>
      </c>
      <c r="C868" s="75" t="s">
        <v>10</v>
      </c>
      <c r="D868" s="75">
        <v>7260</v>
      </c>
      <c r="F868" s="75" t="s">
        <v>10</v>
      </c>
      <c r="H868" s="75" t="s">
        <v>10</v>
      </c>
      <c r="I868" s="75">
        <v>19489</v>
      </c>
      <c r="K868" s="75" t="str">
        <f>IFERROR(VLOOKUP(J868,'NQ10'!$B$9:$C$145,2,0),"")</f>
        <v/>
      </c>
    </row>
    <row r="869" spans="1:11" ht="15" customHeight="1" x14ac:dyDescent="0.25">
      <c r="A869" s="75">
        <v>0</v>
      </c>
      <c r="C869" s="75" t="s">
        <v>10</v>
      </c>
      <c r="D869" s="75">
        <v>8055</v>
      </c>
      <c r="F869" s="75" t="s">
        <v>10</v>
      </c>
      <c r="H869" s="75" t="s">
        <v>10</v>
      </c>
      <c r="I869" s="75">
        <v>19489</v>
      </c>
      <c r="K869" s="75" t="str">
        <f>IFERROR(VLOOKUP(J869,'NQ10'!$B$9:$C$145,2,0),"")</f>
        <v/>
      </c>
    </row>
    <row r="870" spans="1:11" ht="15" customHeight="1" x14ac:dyDescent="0.25">
      <c r="A870" s="75">
        <v>0</v>
      </c>
      <c r="C870" s="75" t="s">
        <v>10</v>
      </c>
      <c r="D870" s="75">
        <v>1744</v>
      </c>
      <c r="F870" s="75" t="s">
        <v>10</v>
      </c>
      <c r="H870" s="75" t="s">
        <v>10</v>
      </c>
      <c r="I870" s="75">
        <v>19489</v>
      </c>
      <c r="K870" s="75" t="str">
        <f>IFERROR(VLOOKUP(J870,'NQ10'!$B$9:$C$145,2,0),"")</f>
        <v/>
      </c>
    </row>
    <row r="871" spans="1:11" ht="15" customHeight="1" x14ac:dyDescent="0.25">
      <c r="A871" s="75">
        <v>0</v>
      </c>
      <c r="C871" s="75" t="s">
        <v>10</v>
      </c>
      <c r="D871" s="75">
        <v>49889</v>
      </c>
      <c r="F871" s="75" t="s">
        <v>10</v>
      </c>
      <c r="H871" s="75" t="s">
        <v>10</v>
      </c>
      <c r="I871" s="75">
        <v>19489</v>
      </c>
      <c r="K871" s="75" t="str">
        <f>IFERROR(VLOOKUP(J871,'NQ10'!$B$9:$C$145,2,0),"")</f>
        <v/>
      </c>
    </row>
    <row r="872" spans="1:11" ht="15" customHeight="1" x14ac:dyDescent="0.25">
      <c r="A872" s="75">
        <v>0</v>
      </c>
      <c r="C872" s="75" t="s">
        <v>10</v>
      </c>
      <c r="D872" s="75">
        <v>1524</v>
      </c>
      <c r="F872" s="75" t="s">
        <v>10</v>
      </c>
      <c r="H872" s="75" t="s">
        <v>10</v>
      </c>
      <c r="I872" s="75">
        <v>19489</v>
      </c>
      <c r="K872" s="75" t="str">
        <f>IFERROR(VLOOKUP(J872,'NQ10'!$B$9:$C$145,2,0),"")</f>
        <v/>
      </c>
    </row>
    <row r="873" spans="1:11" ht="15" customHeight="1" x14ac:dyDescent="0.25">
      <c r="A873" s="75">
        <v>0</v>
      </c>
      <c r="C873" s="75" t="s">
        <v>10</v>
      </c>
      <c r="D873" s="75">
        <v>8029</v>
      </c>
      <c r="F873" s="75" t="s">
        <v>10</v>
      </c>
      <c r="H873" s="75" t="s">
        <v>10</v>
      </c>
      <c r="I873" s="75">
        <v>19489</v>
      </c>
      <c r="K873" s="75" t="str">
        <f>IFERROR(VLOOKUP(J873,'NQ10'!$B$9:$C$145,2,0),"")</f>
        <v/>
      </c>
    </row>
    <row r="874" spans="1:11" ht="15" customHeight="1" x14ac:dyDescent="0.25">
      <c r="A874" s="75">
        <v>0</v>
      </c>
      <c r="C874" s="75" t="s">
        <v>10</v>
      </c>
      <c r="D874" s="75">
        <v>10118</v>
      </c>
      <c r="F874" s="75" t="s">
        <v>10</v>
      </c>
      <c r="H874" s="75" t="s">
        <v>10</v>
      </c>
      <c r="I874" s="75">
        <v>19489</v>
      </c>
      <c r="K874" s="75" t="str">
        <f>IFERROR(VLOOKUP(J874,'NQ10'!$B$9:$C$145,2,0),"")</f>
        <v/>
      </c>
    </row>
    <row r="875" spans="1:11" ht="15" customHeight="1" x14ac:dyDescent="0.25">
      <c r="A875" s="75">
        <v>0</v>
      </c>
      <c r="C875" s="75" t="s">
        <v>10</v>
      </c>
      <c r="D875" s="75">
        <v>20194</v>
      </c>
      <c r="F875" s="75" t="s">
        <v>10</v>
      </c>
      <c r="H875" s="75" t="s">
        <v>10</v>
      </c>
      <c r="I875" s="75">
        <v>19489</v>
      </c>
      <c r="K875" s="75" t="str">
        <f>IFERROR(VLOOKUP(J875,'NQ10'!$B$9:$C$145,2,0),"")</f>
        <v/>
      </c>
    </row>
    <row r="876" spans="1:11" ht="15" customHeight="1" x14ac:dyDescent="0.25">
      <c r="A876" s="75">
        <v>0</v>
      </c>
      <c r="C876" s="75" t="s">
        <v>10</v>
      </c>
      <c r="D876" s="75">
        <v>3553</v>
      </c>
      <c r="F876" s="75" t="s">
        <v>10</v>
      </c>
      <c r="H876" s="75" t="s">
        <v>10</v>
      </c>
      <c r="I876" s="75">
        <v>19489</v>
      </c>
      <c r="K876" s="75" t="str">
        <f>IFERROR(VLOOKUP(J876,'NQ10'!$B$9:$C$145,2,0),"")</f>
        <v/>
      </c>
    </row>
    <row r="877" spans="1:11" ht="15" customHeight="1" x14ac:dyDescent="0.25">
      <c r="A877" s="75">
        <v>0</v>
      </c>
      <c r="C877" s="75" t="s">
        <v>10</v>
      </c>
      <c r="D877" s="75">
        <v>768</v>
      </c>
      <c r="F877" s="75" t="s">
        <v>10</v>
      </c>
      <c r="H877" s="75" t="s">
        <v>10</v>
      </c>
      <c r="I877" s="75">
        <v>19489</v>
      </c>
      <c r="K877" s="75" t="str">
        <f>IFERROR(VLOOKUP(J877,'NQ10'!$B$9:$C$145,2,0),"")</f>
        <v/>
      </c>
    </row>
    <row r="878" spans="1:11" ht="15" customHeight="1" x14ac:dyDescent="0.25">
      <c r="A878" s="75">
        <v>0</v>
      </c>
      <c r="C878" s="75" t="s">
        <v>10</v>
      </c>
      <c r="D878" s="75">
        <v>12441</v>
      </c>
      <c r="F878" s="75" t="s">
        <v>10</v>
      </c>
      <c r="H878" s="75" t="s">
        <v>10</v>
      </c>
      <c r="I878" s="75">
        <v>19489</v>
      </c>
      <c r="K878" s="75" t="str">
        <f>IFERROR(VLOOKUP(J878,'NQ10'!$B$9:$C$145,2,0),"")</f>
        <v/>
      </c>
    </row>
    <row r="879" spans="1:11" ht="15" customHeight="1" x14ac:dyDescent="0.25">
      <c r="A879" s="75">
        <v>0</v>
      </c>
      <c r="C879" s="75" t="s">
        <v>10</v>
      </c>
      <c r="D879" s="75">
        <v>6716</v>
      </c>
      <c r="F879" s="75" t="s">
        <v>10</v>
      </c>
      <c r="H879" s="75" t="s">
        <v>10</v>
      </c>
      <c r="I879" s="75">
        <v>19489</v>
      </c>
      <c r="K879" s="75" t="str">
        <f>IFERROR(VLOOKUP(J879,'NQ10'!$B$9:$C$145,2,0),"")</f>
        <v/>
      </c>
    </row>
    <row r="880" spans="1:11" ht="15" customHeight="1" x14ac:dyDescent="0.25">
      <c r="A880" s="75">
        <v>0</v>
      </c>
      <c r="C880" s="75" t="s">
        <v>10</v>
      </c>
      <c r="D880" s="75">
        <v>15782</v>
      </c>
      <c r="F880" s="75" t="s">
        <v>10</v>
      </c>
      <c r="H880" s="75" t="s">
        <v>10</v>
      </c>
      <c r="I880" s="75">
        <v>19489</v>
      </c>
      <c r="K880" s="75" t="str">
        <f>IFERROR(VLOOKUP(J880,'NQ10'!$B$9:$C$145,2,0),"")</f>
        <v/>
      </c>
    </row>
    <row r="881" spans="1:11" ht="15" customHeight="1" x14ac:dyDescent="0.25">
      <c r="A881" s="75">
        <v>0</v>
      </c>
      <c r="C881" s="75" t="s">
        <v>10</v>
      </c>
      <c r="D881" s="75">
        <v>10819</v>
      </c>
      <c r="F881" s="75" t="s">
        <v>10</v>
      </c>
      <c r="H881" s="75" t="s">
        <v>10</v>
      </c>
      <c r="I881" s="75">
        <v>19489</v>
      </c>
      <c r="K881" s="75" t="str">
        <f>IFERROR(VLOOKUP(J881,'NQ10'!$B$9:$C$145,2,0),"")</f>
        <v/>
      </c>
    </row>
    <row r="882" spans="1:11" ht="15" customHeight="1" x14ac:dyDescent="0.25">
      <c r="A882" s="75">
        <v>0</v>
      </c>
      <c r="C882" s="75" t="s">
        <v>10</v>
      </c>
      <c r="D882" s="75">
        <v>10698</v>
      </c>
      <c r="F882" s="75" t="s">
        <v>10</v>
      </c>
      <c r="H882" s="75" t="s">
        <v>10</v>
      </c>
      <c r="I882" s="75">
        <v>19489</v>
      </c>
      <c r="K882" s="75" t="str">
        <f>IFERROR(VLOOKUP(J882,'NQ10'!$B$9:$C$145,2,0),"")</f>
        <v/>
      </c>
    </row>
    <row r="883" spans="1:11" ht="15" customHeight="1" x14ac:dyDescent="0.25">
      <c r="A883" s="75">
        <v>0</v>
      </c>
      <c r="C883" s="75" t="s">
        <v>10</v>
      </c>
      <c r="D883" s="75">
        <v>9844</v>
      </c>
      <c r="F883" s="75" t="s">
        <v>10</v>
      </c>
      <c r="H883" s="75" t="s">
        <v>10</v>
      </c>
      <c r="I883" s="75">
        <v>19489</v>
      </c>
      <c r="K883" s="75" t="str">
        <f>IFERROR(VLOOKUP(J883,'NQ10'!$B$9:$C$145,2,0),"")</f>
        <v/>
      </c>
    </row>
    <row r="884" spans="1:11" ht="15" customHeight="1" x14ac:dyDescent="0.25">
      <c r="A884" s="75">
        <v>0</v>
      </c>
      <c r="C884" s="75" t="s">
        <v>10</v>
      </c>
      <c r="D884" s="75">
        <v>652</v>
      </c>
      <c r="F884" s="75" t="s">
        <v>10</v>
      </c>
      <c r="H884" s="75" t="s">
        <v>10</v>
      </c>
      <c r="I884" s="75">
        <v>19489</v>
      </c>
      <c r="K884" s="75" t="str">
        <f>IFERROR(VLOOKUP(J884,'NQ10'!$B$9:$C$145,2,0),"")</f>
        <v/>
      </c>
    </row>
    <row r="885" spans="1:11" ht="15" customHeight="1" x14ac:dyDescent="0.25">
      <c r="A885" s="75">
        <v>0</v>
      </c>
      <c r="C885" s="75" t="s">
        <v>10</v>
      </c>
      <c r="D885" s="75">
        <v>752</v>
      </c>
      <c r="F885" s="75" t="s">
        <v>10</v>
      </c>
      <c r="H885" s="75" t="s">
        <v>10</v>
      </c>
      <c r="I885" s="75">
        <v>19489</v>
      </c>
      <c r="K885" s="75" t="str">
        <f>IFERROR(VLOOKUP(J885,'NQ10'!$B$9:$C$145,2,0),"")</f>
        <v/>
      </c>
    </row>
    <row r="886" spans="1:11" ht="15" customHeight="1" x14ac:dyDescent="0.25">
      <c r="A886" s="75">
        <v>0</v>
      </c>
      <c r="C886" s="75" t="s">
        <v>10</v>
      </c>
      <c r="D886" s="75">
        <v>745</v>
      </c>
      <c r="F886" s="75" t="s">
        <v>10</v>
      </c>
      <c r="H886" s="75" t="s">
        <v>10</v>
      </c>
      <c r="I886" s="75">
        <v>19489</v>
      </c>
      <c r="K886" s="75" t="str">
        <f>IFERROR(VLOOKUP(J886,'NQ10'!$B$9:$C$145,2,0),"")</f>
        <v/>
      </c>
    </row>
    <row r="887" spans="1:11" ht="15" customHeight="1" x14ac:dyDescent="0.25">
      <c r="A887" s="75">
        <v>0</v>
      </c>
      <c r="C887" s="75" t="s">
        <v>10</v>
      </c>
      <c r="D887" s="75">
        <v>420</v>
      </c>
      <c r="F887" s="75" t="s">
        <v>10</v>
      </c>
      <c r="H887" s="75" t="s">
        <v>10</v>
      </c>
      <c r="I887" s="75">
        <v>19489</v>
      </c>
      <c r="K887" s="75" t="str">
        <f>IFERROR(VLOOKUP(J887,'NQ10'!$B$9:$C$145,2,0),"")</f>
        <v/>
      </c>
    </row>
    <row r="888" spans="1:11" ht="15" customHeight="1" x14ac:dyDescent="0.25">
      <c r="A888" s="75">
        <v>0</v>
      </c>
      <c r="C888" s="75" t="s">
        <v>10</v>
      </c>
      <c r="D888" s="75">
        <v>236</v>
      </c>
      <c r="F888" s="75" t="s">
        <v>10</v>
      </c>
      <c r="H888" s="75" t="s">
        <v>10</v>
      </c>
      <c r="I888" s="75">
        <v>19489</v>
      </c>
      <c r="K888" s="75" t="str">
        <f>IFERROR(VLOOKUP(J888,'NQ10'!$B$9:$C$145,2,0),"")</f>
        <v/>
      </c>
    </row>
    <row r="889" spans="1:11" ht="15" customHeight="1" x14ac:dyDescent="0.25">
      <c r="A889" s="75">
        <v>0</v>
      </c>
      <c r="C889" s="75" t="s">
        <v>10</v>
      </c>
      <c r="D889" s="75">
        <v>630</v>
      </c>
      <c r="F889" s="75" t="s">
        <v>10</v>
      </c>
      <c r="H889" s="75" t="s">
        <v>10</v>
      </c>
      <c r="I889" s="75">
        <v>19489</v>
      </c>
      <c r="K889" s="75" t="str">
        <f>IFERROR(VLOOKUP(J889,'NQ10'!$B$9:$C$145,2,0),"")</f>
        <v/>
      </c>
    </row>
    <row r="890" spans="1:11" ht="15" customHeight="1" x14ac:dyDescent="0.25">
      <c r="A890" s="75">
        <v>0</v>
      </c>
      <c r="C890" s="75" t="s">
        <v>10</v>
      </c>
      <c r="D890" s="75">
        <v>13045</v>
      </c>
      <c r="F890" s="75" t="s">
        <v>10</v>
      </c>
      <c r="H890" s="75" t="s">
        <v>10</v>
      </c>
      <c r="I890" s="75">
        <v>19489</v>
      </c>
      <c r="K890" s="75" t="str">
        <f>IFERROR(VLOOKUP(J890,'NQ10'!$B$9:$C$145,2,0),"")</f>
        <v/>
      </c>
    </row>
    <row r="891" spans="1:11" ht="15" customHeight="1" x14ac:dyDescent="0.25">
      <c r="A891" s="75">
        <v>0</v>
      </c>
      <c r="C891" s="75" t="s">
        <v>10</v>
      </c>
      <c r="D891" s="75">
        <v>435</v>
      </c>
      <c r="F891" s="75" t="s">
        <v>10</v>
      </c>
      <c r="H891" s="75" t="s">
        <v>10</v>
      </c>
      <c r="I891" s="75">
        <v>19489</v>
      </c>
      <c r="K891" s="75" t="str">
        <f>IFERROR(VLOOKUP(J891,'NQ10'!$B$9:$C$145,2,0),"")</f>
        <v/>
      </c>
    </row>
    <row r="892" spans="1:11" ht="15" customHeight="1" x14ac:dyDescent="0.25">
      <c r="A892" s="75">
        <v>0</v>
      </c>
      <c r="C892" s="75" t="s">
        <v>10</v>
      </c>
      <c r="D892" s="75">
        <v>4735</v>
      </c>
      <c r="F892" s="75" t="s">
        <v>10</v>
      </c>
      <c r="H892" s="75" t="s">
        <v>10</v>
      </c>
      <c r="I892" s="75">
        <v>19489</v>
      </c>
      <c r="K892" s="75" t="str">
        <f>IFERROR(VLOOKUP(J892,'NQ10'!$B$9:$C$145,2,0),"")</f>
        <v/>
      </c>
    </row>
    <row r="893" spans="1:11" ht="15" customHeight="1" x14ac:dyDescent="0.25">
      <c r="A893" s="75">
        <v>0</v>
      </c>
      <c r="C893" s="75" t="s">
        <v>10</v>
      </c>
      <c r="D893" s="75">
        <v>546</v>
      </c>
      <c r="F893" s="75" t="s">
        <v>10</v>
      </c>
      <c r="H893" s="75" t="s">
        <v>10</v>
      </c>
      <c r="I893" s="75">
        <v>19489</v>
      </c>
      <c r="K893" s="75" t="str">
        <f>IFERROR(VLOOKUP(J893,'NQ10'!$B$9:$C$145,2,0),"")</f>
        <v/>
      </c>
    </row>
    <row r="894" spans="1:11" ht="15" customHeight="1" x14ac:dyDescent="0.25">
      <c r="A894" s="75">
        <v>0</v>
      </c>
      <c r="C894" s="75" t="s">
        <v>10</v>
      </c>
      <c r="D894" s="75">
        <v>1261</v>
      </c>
      <c r="F894" s="75" t="s">
        <v>10</v>
      </c>
      <c r="H894" s="75" t="s">
        <v>10</v>
      </c>
      <c r="I894" s="75">
        <v>19489</v>
      </c>
      <c r="K894" s="75" t="str">
        <f>IFERROR(VLOOKUP(J894,'NQ10'!$B$9:$C$145,2,0),"")</f>
        <v/>
      </c>
    </row>
    <row r="895" spans="1:11" ht="15" customHeight="1" x14ac:dyDescent="0.25">
      <c r="A895" s="75">
        <v>0</v>
      </c>
      <c r="C895" s="75" t="s">
        <v>10</v>
      </c>
      <c r="D895" s="75">
        <v>3100</v>
      </c>
      <c r="F895" s="75" t="s">
        <v>10</v>
      </c>
      <c r="H895" s="75" t="s">
        <v>10</v>
      </c>
      <c r="I895" s="75">
        <v>19489</v>
      </c>
      <c r="K895" s="75" t="str">
        <f>IFERROR(VLOOKUP(J895,'NQ10'!$B$9:$C$145,2,0),"")</f>
        <v/>
      </c>
    </row>
    <row r="896" spans="1:11" ht="15" customHeight="1" x14ac:dyDescent="0.25">
      <c r="A896" s="75">
        <v>0</v>
      </c>
      <c r="C896" s="75" t="s">
        <v>10</v>
      </c>
      <c r="D896" s="75">
        <v>4357</v>
      </c>
      <c r="F896" s="75" t="s">
        <v>10</v>
      </c>
      <c r="H896" s="75" t="s">
        <v>10</v>
      </c>
      <c r="I896" s="75">
        <v>19489</v>
      </c>
      <c r="K896" s="75" t="str">
        <f>IFERROR(VLOOKUP(J896,'NQ10'!$B$9:$C$145,2,0),"")</f>
        <v/>
      </c>
    </row>
    <row r="897" spans="1:11" ht="15" customHeight="1" x14ac:dyDescent="0.25">
      <c r="A897" s="75">
        <v>0</v>
      </c>
      <c r="C897" s="75" t="s">
        <v>10</v>
      </c>
      <c r="D897" s="75">
        <v>690</v>
      </c>
      <c r="F897" s="75" t="s">
        <v>10</v>
      </c>
      <c r="H897" s="75" t="s">
        <v>10</v>
      </c>
      <c r="I897" s="75">
        <v>19489</v>
      </c>
      <c r="K897" s="75" t="str">
        <f>IFERROR(VLOOKUP(J897,'NQ10'!$B$9:$C$145,2,0),"")</f>
        <v/>
      </c>
    </row>
    <row r="898" spans="1:11" ht="15" customHeight="1" x14ac:dyDescent="0.25">
      <c r="A898" s="75">
        <v>0</v>
      </c>
      <c r="C898" s="75" t="s">
        <v>10</v>
      </c>
      <c r="D898" s="75">
        <v>19256</v>
      </c>
      <c r="F898" s="75" t="s">
        <v>10</v>
      </c>
      <c r="H898" s="75" t="s">
        <v>10</v>
      </c>
      <c r="I898" s="75">
        <v>19489</v>
      </c>
      <c r="K898" s="75" t="str">
        <f>IFERROR(VLOOKUP(J898,'NQ10'!$B$9:$C$145,2,0),"")</f>
        <v/>
      </c>
    </row>
    <row r="899" spans="1:11" ht="15" customHeight="1" x14ac:dyDescent="0.25">
      <c r="A899" s="75">
        <v>0</v>
      </c>
      <c r="C899" s="75" t="s">
        <v>10</v>
      </c>
      <c r="D899" s="75">
        <v>7806</v>
      </c>
      <c r="F899" s="75" t="s">
        <v>10</v>
      </c>
      <c r="H899" s="75" t="s">
        <v>10</v>
      </c>
      <c r="I899" s="75">
        <v>19489</v>
      </c>
      <c r="K899" s="75" t="str">
        <f>IFERROR(VLOOKUP(J899,'NQ10'!$B$9:$C$145,2,0),"")</f>
        <v/>
      </c>
    </row>
    <row r="900" spans="1:11" ht="15" customHeight="1" x14ac:dyDescent="0.25">
      <c r="A900" s="75">
        <v>0</v>
      </c>
      <c r="C900" s="75" t="s">
        <v>10</v>
      </c>
      <c r="D900" s="75">
        <v>11268</v>
      </c>
      <c r="F900" s="75" t="s">
        <v>10</v>
      </c>
      <c r="H900" s="75" t="s">
        <v>10</v>
      </c>
      <c r="I900" s="75">
        <v>19489</v>
      </c>
      <c r="K900" s="75" t="str">
        <f>IFERROR(VLOOKUP(J900,'NQ10'!$B$9:$C$145,2,0),"")</f>
        <v/>
      </c>
    </row>
    <row r="901" spans="1:11" ht="15" customHeight="1" x14ac:dyDescent="0.25">
      <c r="A901" s="75">
        <v>0</v>
      </c>
      <c r="C901" s="75" t="s">
        <v>10</v>
      </c>
      <c r="D901" s="75">
        <v>925</v>
      </c>
      <c r="F901" s="75" t="s">
        <v>10</v>
      </c>
      <c r="H901" s="75" t="s">
        <v>10</v>
      </c>
      <c r="I901" s="75">
        <v>19489</v>
      </c>
      <c r="K901" s="75" t="str">
        <f>IFERROR(VLOOKUP(J901,'NQ10'!$B$9:$C$145,2,0),"")</f>
        <v/>
      </c>
    </row>
    <row r="902" spans="1:11" ht="15" customHeight="1" x14ac:dyDescent="0.25">
      <c r="A902" s="75">
        <v>0</v>
      </c>
      <c r="C902" s="75" t="s">
        <v>10</v>
      </c>
      <c r="D902" s="75">
        <v>14692</v>
      </c>
      <c r="F902" s="75" t="s">
        <v>10</v>
      </c>
      <c r="H902" s="75" t="s">
        <v>10</v>
      </c>
      <c r="I902" s="75">
        <v>19489</v>
      </c>
      <c r="K902" s="75" t="str">
        <f>IFERROR(VLOOKUP(J902,'NQ10'!$B$9:$C$145,2,0),"")</f>
        <v/>
      </c>
    </row>
    <row r="903" spans="1:11" ht="15" customHeight="1" x14ac:dyDescent="0.25">
      <c r="A903" s="75">
        <v>0</v>
      </c>
      <c r="C903" s="75" t="s">
        <v>10</v>
      </c>
      <c r="D903" s="75">
        <v>3765</v>
      </c>
      <c r="F903" s="75" t="s">
        <v>10</v>
      </c>
      <c r="H903" s="75" t="s">
        <v>10</v>
      </c>
      <c r="I903" s="75">
        <v>19489</v>
      </c>
      <c r="K903" s="75" t="str">
        <f>IFERROR(VLOOKUP(J903,'NQ10'!$B$9:$C$145,2,0),"")</f>
        <v/>
      </c>
    </row>
    <row r="904" spans="1:11" ht="15" customHeight="1" x14ac:dyDescent="0.25">
      <c r="A904" s="75">
        <v>0</v>
      </c>
      <c r="C904" s="75" t="s">
        <v>10</v>
      </c>
      <c r="D904" s="75">
        <v>14047</v>
      </c>
      <c r="F904" s="75" t="s">
        <v>10</v>
      </c>
      <c r="H904" s="75" t="s">
        <v>10</v>
      </c>
      <c r="I904" s="75">
        <v>19489</v>
      </c>
      <c r="K904" s="75" t="str">
        <f>IFERROR(VLOOKUP(J904,'NQ10'!$B$9:$C$145,2,0),"")</f>
        <v/>
      </c>
    </row>
    <row r="905" spans="1:11" ht="15" customHeight="1" x14ac:dyDescent="0.25">
      <c r="A905" s="75">
        <v>0</v>
      </c>
      <c r="C905" s="75" t="s">
        <v>10</v>
      </c>
      <c r="D905" s="75">
        <v>9559</v>
      </c>
      <c r="F905" s="75" t="s">
        <v>10</v>
      </c>
      <c r="H905" s="75" t="s">
        <v>10</v>
      </c>
      <c r="I905" s="75">
        <v>19489</v>
      </c>
      <c r="K905" s="75" t="str">
        <f>IFERROR(VLOOKUP(J905,'NQ10'!$B$9:$C$145,2,0),"")</f>
        <v/>
      </c>
    </row>
    <row r="906" spans="1:11" ht="15" customHeight="1" x14ac:dyDescent="0.25">
      <c r="A906" s="75">
        <v>0</v>
      </c>
      <c r="C906" s="75" t="s">
        <v>10</v>
      </c>
      <c r="D906" s="75">
        <v>10748</v>
      </c>
      <c r="F906" s="75" t="s">
        <v>10</v>
      </c>
      <c r="H906" s="75" t="s">
        <v>10</v>
      </c>
      <c r="I906" s="75">
        <v>19489</v>
      </c>
      <c r="K906" s="75" t="str">
        <f>IFERROR(VLOOKUP(J906,'NQ10'!$B$9:$C$145,2,0),"")</f>
        <v/>
      </c>
    </row>
    <row r="907" spans="1:11" ht="15" customHeight="1" x14ac:dyDescent="0.25">
      <c r="A907" s="75">
        <v>0</v>
      </c>
      <c r="C907" s="75" t="s">
        <v>10</v>
      </c>
      <c r="D907" s="75">
        <v>12079</v>
      </c>
      <c r="F907" s="75" t="s">
        <v>10</v>
      </c>
      <c r="H907" s="75" t="s">
        <v>10</v>
      </c>
      <c r="I907" s="75">
        <v>19489</v>
      </c>
      <c r="K907" s="75" t="str">
        <f>IFERROR(VLOOKUP(J907,'NQ10'!$B$9:$C$145,2,0),"")</f>
        <v/>
      </c>
    </row>
    <row r="908" spans="1:11" ht="15" customHeight="1" x14ac:dyDescent="0.25">
      <c r="A908" s="75">
        <v>0</v>
      </c>
      <c r="C908" s="75" t="s">
        <v>10</v>
      </c>
      <c r="D908" s="75">
        <v>27307</v>
      </c>
      <c r="F908" s="75" t="s">
        <v>10</v>
      </c>
      <c r="H908" s="75" t="s">
        <v>10</v>
      </c>
      <c r="I908" s="75">
        <v>19489</v>
      </c>
      <c r="K908" s="75" t="str">
        <f>IFERROR(VLOOKUP(J908,'NQ10'!$B$9:$C$145,2,0),"")</f>
        <v/>
      </c>
    </row>
    <row r="909" spans="1:11" ht="15" customHeight="1" x14ac:dyDescent="0.25">
      <c r="A909" s="75">
        <v>0</v>
      </c>
      <c r="C909" s="75" t="s">
        <v>10</v>
      </c>
      <c r="D909" s="75">
        <v>1503</v>
      </c>
      <c r="F909" s="75" t="s">
        <v>10</v>
      </c>
      <c r="H909" s="75" t="s">
        <v>10</v>
      </c>
      <c r="I909" s="75">
        <v>19489</v>
      </c>
      <c r="K909" s="75" t="str">
        <f>IFERROR(VLOOKUP(J909,'NQ10'!$B$9:$C$145,2,0),"")</f>
        <v/>
      </c>
    </row>
    <row r="910" spans="1:11" ht="15" customHeight="1" x14ac:dyDescent="0.25">
      <c r="A910" s="75">
        <v>0</v>
      </c>
      <c r="C910" s="75" t="s">
        <v>10</v>
      </c>
      <c r="D910" s="75">
        <v>804</v>
      </c>
      <c r="F910" s="75" t="s">
        <v>10</v>
      </c>
      <c r="H910" s="75" t="s">
        <v>10</v>
      </c>
      <c r="I910" s="75">
        <v>19489</v>
      </c>
      <c r="K910" s="75" t="str">
        <f>IFERROR(VLOOKUP(J910,'NQ10'!$B$9:$C$145,2,0),"")</f>
        <v/>
      </c>
    </row>
    <row r="911" spans="1:11" ht="15" customHeight="1" x14ac:dyDescent="0.25">
      <c r="A911" s="75">
        <v>0</v>
      </c>
      <c r="C911" s="75" t="s">
        <v>10</v>
      </c>
      <c r="D911" s="75">
        <v>7612</v>
      </c>
      <c r="F911" s="75" t="s">
        <v>10</v>
      </c>
      <c r="H911" s="75" t="s">
        <v>10</v>
      </c>
      <c r="I911" s="75">
        <v>19489</v>
      </c>
      <c r="K911" s="75" t="str">
        <f>IFERROR(VLOOKUP(J911,'NQ10'!$B$9:$C$145,2,0),"")</f>
        <v/>
      </c>
    </row>
    <row r="912" spans="1:11" ht="15" customHeight="1" x14ac:dyDescent="0.25">
      <c r="A912" s="75">
        <v>0</v>
      </c>
      <c r="C912" s="75" t="s">
        <v>10</v>
      </c>
      <c r="D912" s="75">
        <v>182</v>
      </c>
      <c r="F912" s="75" t="s">
        <v>10</v>
      </c>
      <c r="H912" s="75" t="s">
        <v>10</v>
      </c>
      <c r="I912" s="75">
        <v>19489</v>
      </c>
      <c r="K912" s="75" t="str">
        <f>IFERROR(VLOOKUP(J912,'NQ10'!$B$9:$C$145,2,0),"")</f>
        <v/>
      </c>
    </row>
    <row r="913" spans="1:11" ht="15" customHeight="1" x14ac:dyDescent="0.25">
      <c r="A913" s="75">
        <v>0</v>
      </c>
      <c r="C913" s="75" t="s">
        <v>10</v>
      </c>
      <c r="D913" s="75">
        <v>508</v>
      </c>
      <c r="F913" s="75" t="s">
        <v>10</v>
      </c>
      <c r="H913" s="75" t="s">
        <v>10</v>
      </c>
      <c r="I913" s="75">
        <v>19489</v>
      </c>
      <c r="K913" s="75" t="str">
        <f>IFERROR(VLOOKUP(J913,'NQ10'!$B$9:$C$145,2,0),"")</f>
        <v/>
      </c>
    </row>
    <row r="914" spans="1:11" ht="15" customHeight="1" x14ac:dyDescent="0.25">
      <c r="A914" s="75">
        <v>0</v>
      </c>
      <c r="C914" s="75" t="s">
        <v>10</v>
      </c>
      <c r="D914" s="75">
        <v>7162</v>
      </c>
      <c r="F914" s="75" t="s">
        <v>10</v>
      </c>
      <c r="H914" s="75" t="s">
        <v>10</v>
      </c>
      <c r="I914" s="75">
        <v>19489</v>
      </c>
      <c r="K914" s="75" t="str">
        <f>IFERROR(VLOOKUP(J914,'NQ10'!$B$9:$C$145,2,0),"")</f>
        <v/>
      </c>
    </row>
    <row r="915" spans="1:11" ht="15" customHeight="1" x14ac:dyDescent="0.25">
      <c r="A915" s="75">
        <v>0</v>
      </c>
      <c r="C915" s="75" t="s">
        <v>10</v>
      </c>
      <c r="D915" s="75">
        <v>518</v>
      </c>
      <c r="F915" s="75" t="s">
        <v>10</v>
      </c>
      <c r="H915" s="75" t="s">
        <v>10</v>
      </c>
      <c r="I915" s="75">
        <v>19489</v>
      </c>
      <c r="K915" s="75" t="str">
        <f>IFERROR(VLOOKUP(J915,'NQ10'!$B$9:$C$145,2,0),"")</f>
        <v/>
      </c>
    </row>
    <row r="916" spans="1:11" ht="15" customHeight="1" x14ac:dyDescent="0.25">
      <c r="A916" s="75">
        <v>0</v>
      </c>
      <c r="C916" s="75" t="s">
        <v>10</v>
      </c>
      <c r="D916" s="75">
        <v>12133</v>
      </c>
      <c r="F916" s="75" t="s">
        <v>10</v>
      </c>
      <c r="H916" s="75" t="s">
        <v>10</v>
      </c>
      <c r="I916" s="75">
        <v>19489</v>
      </c>
      <c r="K916" s="75" t="str">
        <f>IFERROR(VLOOKUP(J916,'NQ10'!$B$9:$C$145,2,0),"")</f>
        <v/>
      </c>
    </row>
    <row r="917" spans="1:11" ht="15" customHeight="1" x14ac:dyDescent="0.25">
      <c r="A917" s="75">
        <v>0</v>
      </c>
      <c r="C917" s="75" t="s">
        <v>10</v>
      </c>
      <c r="D917" s="75">
        <v>6452</v>
      </c>
      <c r="F917" s="75" t="s">
        <v>10</v>
      </c>
      <c r="H917" s="75" t="s">
        <v>10</v>
      </c>
      <c r="I917" s="75">
        <v>19489</v>
      </c>
      <c r="K917" s="75" t="str">
        <f>IFERROR(VLOOKUP(J917,'NQ10'!$B$9:$C$145,2,0),"")</f>
        <v/>
      </c>
    </row>
    <row r="918" spans="1:11" ht="15" customHeight="1" x14ac:dyDescent="0.25">
      <c r="A918" s="75">
        <v>0</v>
      </c>
      <c r="C918" s="75" t="s">
        <v>10</v>
      </c>
      <c r="D918" s="75">
        <v>2908</v>
      </c>
      <c r="F918" s="75" t="s">
        <v>10</v>
      </c>
      <c r="H918" s="75" t="s">
        <v>10</v>
      </c>
      <c r="I918" s="75">
        <v>19489</v>
      </c>
      <c r="K918" s="75" t="str">
        <f>IFERROR(VLOOKUP(J918,'NQ10'!$B$9:$C$145,2,0),"")</f>
        <v/>
      </c>
    </row>
    <row r="919" spans="1:11" ht="15" customHeight="1" x14ac:dyDescent="0.25">
      <c r="A919" s="75">
        <v>0</v>
      </c>
      <c r="C919" s="75" t="s">
        <v>10</v>
      </c>
      <c r="D919" s="75">
        <v>2465</v>
      </c>
      <c r="F919" s="75" t="s">
        <v>10</v>
      </c>
      <c r="H919" s="75" t="s">
        <v>10</v>
      </c>
      <c r="I919" s="75">
        <v>19489</v>
      </c>
      <c r="K919" s="75" t="str">
        <f>IFERROR(VLOOKUP(J919,'NQ10'!$B$9:$C$145,2,0),"")</f>
        <v/>
      </c>
    </row>
    <row r="920" spans="1:11" ht="15" customHeight="1" x14ac:dyDescent="0.25">
      <c r="A920" s="75">
        <v>0</v>
      </c>
      <c r="C920" s="75" t="s">
        <v>10</v>
      </c>
      <c r="D920" s="75">
        <v>9930</v>
      </c>
      <c r="F920" s="75" t="s">
        <v>10</v>
      </c>
      <c r="H920" s="75" t="s">
        <v>10</v>
      </c>
      <c r="I920" s="75">
        <v>19489</v>
      </c>
      <c r="K920" s="75" t="str">
        <f>IFERROR(VLOOKUP(J920,'NQ10'!$B$9:$C$145,2,0),"")</f>
        <v/>
      </c>
    </row>
    <row r="921" spans="1:11" ht="15" customHeight="1" x14ac:dyDescent="0.25">
      <c r="A921" s="75">
        <v>1</v>
      </c>
      <c r="C921" s="75" t="s">
        <v>10</v>
      </c>
      <c r="D921" s="75">
        <v>17743</v>
      </c>
      <c r="F921" s="75" t="s">
        <v>10</v>
      </c>
      <c r="H921" s="75" t="s">
        <v>10</v>
      </c>
      <c r="I921" s="75">
        <v>19489</v>
      </c>
      <c r="K921" s="75" t="str">
        <f>IFERROR(VLOOKUP(J921,'NQ10'!$B$9:$C$145,2,0),"")</f>
        <v/>
      </c>
    </row>
    <row r="922" spans="1:11" ht="15" customHeight="1" x14ac:dyDescent="0.25">
      <c r="A922" s="75">
        <v>1</v>
      </c>
      <c r="C922" s="75" t="s">
        <v>10</v>
      </c>
      <c r="D922" s="75">
        <v>3483</v>
      </c>
      <c r="F922" s="75" t="s">
        <v>10</v>
      </c>
      <c r="H922" s="75" t="s">
        <v>10</v>
      </c>
      <c r="I922" s="75">
        <v>19489</v>
      </c>
      <c r="K922" s="75" t="str">
        <f>IFERROR(VLOOKUP(J922,'NQ10'!$B$9:$C$145,2,0),"")</f>
        <v/>
      </c>
    </row>
    <row r="923" spans="1:11" ht="15" customHeight="1" x14ac:dyDescent="0.25">
      <c r="A923" s="75">
        <v>1</v>
      </c>
      <c r="C923" s="75" t="s">
        <v>10</v>
      </c>
      <c r="D923" s="75">
        <v>617</v>
      </c>
      <c r="F923" s="75" t="s">
        <v>10</v>
      </c>
      <c r="H923" s="75" t="s">
        <v>10</v>
      </c>
      <c r="I923" s="75">
        <v>19489</v>
      </c>
      <c r="K923" s="75" t="str">
        <f>IFERROR(VLOOKUP(J923,'NQ10'!$B$9:$C$145,2,0),"")</f>
        <v/>
      </c>
    </row>
    <row r="924" spans="1:11" ht="15" customHeight="1" x14ac:dyDescent="0.25">
      <c r="A924" s="75">
        <v>1</v>
      </c>
      <c r="C924" s="75" t="s">
        <v>10</v>
      </c>
      <c r="D924" s="75">
        <v>2481</v>
      </c>
      <c r="F924" s="75" t="s">
        <v>10</v>
      </c>
      <c r="H924" s="75" t="s">
        <v>10</v>
      </c>
      <c r="I924" s="75">
        <v>19489</v>
      </c>
      <c r="K924" s="75" t="str">
        <f>IFERROR(VLOOKUP(J924,'NQ10'!$B$9:$C$145,2,0),"")</f>
        <v/>
      </c>
    </row>
    <row r="925" spans="1:11" ht="15" customHeight="1" x14ac:dyDescent="0.25">
      <c r="A925" s="75">
        <v>1</v>
      </c>
      <c r="C925" s="75" t="s">
        <v>10</v>
      </c>
      <c r="D925" s="75">
        <v>36569</v>
      </c>
      <c r="F925" s="75" t="s">
        <v>10</v>
      </c>
      <c r="H925" s="75" t="s">
        <v>10</v>
      </c>
      <c r="I925" s="75">
        <v>19489</v>
      </c>
      <c r="K925" s="75" t="str">
        <f>IFERROR(VLOOKUP(J925,'NQ10'!$B$9:$C$145,2,0),"")</f>
        <v/>
      </c>
    </row>
    <row r="926" spans="1:11" ht="15" customHeight="1" x14ac:dyDescent="0.25">
      <c r="A926" s="75">
        <v>1</v>
      </c>
      <c r="C926" s="75" t="s">
        <v>10</v>
      </c>
      <c r="D926" s="75">
        <v>11360</v>
      </c>
      <c r="F926" s="75" t="s">
        <v>10</v>
      </c>
      <c r="H926" s="75" t="s">
        <v>10</v>
      </c>
      <c r="I926" s="75">
        <v>19489</v>
      </c>
      <c r="K926" s="75" t="str">
        <f>IFERROR(VLOOKUP(J926,'NQ10'!$B$9:$C$145,2,0),"")</f>
        <v/>
      </c>
    </row>
    <row r="927" spans="1:11" ht="15" customHeight="1" x14ac:dyDescent="0.25">
      <c r="A927" s="75">
        <v>1</v>
      </c>
      <c r="C927" s="75" t="s">
        <v>10</v>
      </c>
      <c r="D927" s="75">
        <v>41141</v>
      </c>
      <c r="F927" s="75" t="s">
        <v>10</v>
      </c>
      <c r="H927" s="75" t="s">
        <v>10</v>
      </c>
      <c r="I927" s="75">
        <v>19489</v>
      </c>
      <c r="K927" s="75" t="str">
        <f>IFERROR(VLOOKUP(J927,'NQ10'!$B$9:$C$145,2,0),"")</f>
        <v/>
      </c>
    </row>
    <row r="928" spans="1:11" ht="15" customHeight="1" x14ac:dyDescent="0.25">
      <c r="A928" s="75">
        <v>1</v>
      </c>
      <c r="C928" s="75" t="s">
        <v>10</v>
      </c>
      <c r="D928" s="75">
        <v>13147</v>
      </c>
      <c r="F928" s="75" t="s">
        <v>10</v>
      </c>
      <c r="H928" s="75" t="s">
        <v>10</v>
      </c>
      <c r="I928" s="75">
        <v>19489</v>
      </c>
      <c r="K928" s="75" t="str">
        <f>IFERROR(VLOOKUP(J928,'NQ10'!$B$9:$C$145,2,0),"")</f>
        <v/>
      </c>
    </row>
    <row r="929" spans="1:11" ht="15" customHeight="1" x14ac:dyDescent="0.25">
      <c r="A929" s="75">
        <v>1</v>
      </c>
      <c r="C929" s="75" t="s">
        <v>10</v>
      </c>
      <c r="D929" s="75">
        <v>30691</v>
      </c>
      <c r="F929" s="75" t="s">
        <v>10</v>
      </c>
      <c r="H929" s="75" t="s">
        <v>10</v>
      </c>
      <c r="I929" s="75">
        <v>19489</v>
      </c>
      <c r="K929" s="75" t="str">
        <f>IFERROR(VLOOKUP(J929,'NQ10'!$B$9:$C$145,2,0),"")</f>
        <v/>
      </c>
    </row>
    <row r="930" spans="1:11" ht="15" customHeight="1" x14ac:dyDescent="0.25">
      <c r="A930" s="75">
        <v>1</v>
      </c>
      <c r="C930" s="75" t="s">
        <v>10</v>
      </c>
      <c r="D930" s="75">
        <v>21873</v>
      </c>
      <c r="F930" s="75" t="s">
        <v>10</v>
      </c>
      <c r="H930" s="75" t="s">
        <v>10</v>
      </c>
      <c r="I930" s="75">
        <v>19489</v>
      </c>
      <c r="K930" s="75" t="str">
        <f>IFERROR(VLOOKUP(J930,'NQ10'!$B$9:$C$145,2,0),"")</f>
        <v/>
      </c>
    </row>
    <row r="931" spans="1:11" ht="15" customHeight="1" x14ac:dyDescent="0.25">
      <c r="A931" s="75">
        <v>1</v>
      </c>
      <c r="C931" s="75" t="s">
        <v>10</v>
      </c>
      <c r="D931" s="75">
        <v>16725</v>
      </c>
      <c r="F931" s="75" t="s">
        <v>10</v>
      </c>
      <c r="H931" s="75" t="s">
        <v>10</v>
      </c>
      <c r="I931" s="75">
        <v>19489</v>
      </c>
      <c r="K931" s="75" t="str">
        <f>IFERROR(VLOOKUP(J931,'NQ10'!$B$9:$C$145,2,0),"")</f>
        <v/>
      </c>
    </row>
    <row r="932" spans="1:11" ht="15" customHeight="1" x14ac:dyDescent="0.25">
      <c r="A932" s="75">
        <v>1</v>
      </c>
      <c r="C932" s="75" t="s">
        <v>10</v>
      </c>
      <c r="D932" s="75">
        <v>3915</v>
      </c>
      <c r="F932" s="75" t="s">
        <v>10</v>
      </c>
      <c r="H932" s="75" t="s">
        <v>10</v>
      </c>
      <c r="I932" s="75">
        <v>19489</v>
      </c>
      <c r="K932" s="75" t="str">
        <f>IFERROR(VLOOKUP(J932,'NQ10'!$B$9:$C$145,2,0),"")</f>
        <v/>
      </c>
    </row>
    <row r="933" spans="1:11" ht="15" customHeight="1" x14ac:dyDescent="0.25">
      <c r="A933" s="75">
        <v>1</v>
      </c>
      <c r="C933" s="75" t="s">
        <v>10</v>
      </c>
      <c r="D933" s="75">
        <v>14844</v>
      </c>
      <c r="F933" s="75" t="s">
        <v>10</v>
      </c>
      <c r="H933" s="75" t="s">
        <v>10</v>
      </c>
      <c r="I933" s="75">
        <v>19489</v>
      </c>
      <c r="K933" s="75" t="str">
        <f>IFERROR(VLOOKUP(J933,'NQ10'!$B$9:$C$145,2,0),"")</f>
        <v/>
      </c>
    </row>
    <row r="934" spans="1:11" ht="15" customHeight="1" x14ac:dyDescent="0.25">
      <c r="A934" s="75">
        <v>1</v>
      </c>
      <c r="C934" s="75" t="s">
        <v>10</v>
      </c>
      <c r="D934" s="75">
        <v>0</v>
      </c>
      <c r="F934" s="75" t="s">
        <v>10</v>
      </c>
      <c r="H934" s="75" t="s">
        <v>10</v>
      </c>
      <c r="I934" s="75">
        <v>19489</v>
      </c>
      <c r="K934" s="75" t="str">
        <f>IFERROR(VLOOKUP(J934,'NQ10'!$B$9:$C$145,2,0),"")</f>
        <v/>
      </c>
    </row>
    <row r="935" spans="1:11" ht="15" customHeight="1" x14ac:dyDescent="0.25">
      <c r="A935" s="75">
        <v>1</v>
      </c>
      <c r="C935" s="75" t="s">
        <v>10</v>
      </c>
      <c r="D935" s="75">
        <v>12374</v>
      </c>
      <c r="F935" s="75" t="s">
        <v>10</v>
      </c>
      <c r="H935" s="75" t="s">
        <v>10</v>
      </c>
      <c r="I935" s="75">
        <v>19489</v>
      </c>
      <c r="K935" s="75" t="str">
        <f>IFERROR(VLOOKUP(J935,'NQ10'!$B$9:$C$145,2,0),"")</f>
        <v/>
      </c>
    </row>
    <row r="936" spans="1:11" ht="15" customHeight="1" x14ac:dyDescent="0.25">
      <c r="A936" s="75">
        <v>1</v>
      </c>
      <c r="C936" s="75" t="s">
        <v>10</v>
      </c>
      <c r="D936" s="75">
        <v>21565</v>
      </c>
      <c r="F936" s="75" t="s">
        <v>10</v>
      </c>
      <c r="H936" s="75" t="s">
        <v>10</v>
      </c>
      <c r="I936" s="75">
        <v>19489</v>
      </c>
      <c r="K936" s="75" t="str">
        <f>IFERROR(VLOOKUP(J936,'NQ10'!$B$9:$C$145,2,0),"")</f>
        <v/>
      </c>
    </row>
    <row r="937" spans="1:11" ht="15" customHeight="1" x14ac:dyDescent="0.25">
      <c r="A937" s="75">
        <v>1</v>
      </c>
      <c r="C937" s="75" t="s">
        <v>10</v>
      </c>
      <c r="D937" s="75">
        <v>9288</v>
      </c>
      <c r="F937" s="75" t="s">
        <v>10</v>
      </c>
      <c r="H937" s="75" t="s">
        <v>10</v>
      </c>
      <c r="I937" s="75">
        <v>19489</v>
      </c>
      <c r="K937" s="75" t="str">
        <f>IFERROR(VLOOKUP(J937,'NQ10'!$B$9:$C$145,2,0),"")</f>
        <v/>
      </c>
    </row>
    <row r="938" spans="1:11" ht="15" customHeight="1" x14ac:dyDescent="0.25">
      <c r="A938" s="75">
        <v>1</v>
      </c>
      <c r="C938" s="75" t="s">
        <v>10</v>
      </c>
      <c r="D938" s="75">
        <v>49784</v>
      </c>
      <c r="F938" s="75" t="s">
        <v>10</v>
      </c>
      <c r="H938" s="75" t="s">
        <v>10</v>
      </c>
      <c r="I938" s="75">
        <v>19489</v>
      </c>
      <c r="K938" s="75" t="str">
        <f>IFERROR(VLOOKUP(J938,'NQ10'!$B$9:$C$145,2,0),"")</f>
        <v/>
      </c>
    </row>
    <row r="939" spans="1:11" ht="15" customHeight="1" x14ac:dyDescent="0.25">
      <c r="A939" s="75">
        <v>1</v>
      </c>
      <c r="C939" s="75" t="s">
        <v>10</v>
      </c>
      <c r="D939" s="75">
        <v>16260</v>
      </c>
      <c r="F939" s="75" t="s">
        <v>10</v>
      </c>
      <c r="H939" s="75" t="s">
        <v>10</v>
      </c>
      <c r="I939" s="75">
        <v>19489</v>
      </c>
      <c r="K939" s="75" t="str">
        <f>IFERROR(VLOOKUP(J939,'NQ10'!$B$9:$C$145,2,0),"")</f>
        <v/>
      </c>
    </row>
    <row r="940" spans="1:11" ht="15" customHeight="1" x14ac:dyDescent="0.25">
      <c r="A940" s="75">
        <v>1</v>
      </c>
      <c r="C940" s="75" t="s">
        <v>10</v>
      </c>
      <c r="D940" s="75">
        <v>12755</v>
      </c>
      <c r="F940" s="75" t="s">
        <v>10</v>
      </c>
      <c r="H940" s="75" t="s">
        <v>10</v>
      </c>
      <c r="I940" s="75">
        <v>19489</v>
      </c>
      <c r="K940" s="75" t="str">
        <f>IFERROR(VLOOKUP(J940,'NQ10'!$B$9:$C$145,2,0),"")</f>
        <v/>
      </c>
    </row>
    <row r="941" spans="1:11" ht="15" customHeight="1" x14ac:dyDescent="0.25">
      <c r="A941" s="75">
        <v>1</v>
      </c>
      <c r="C941" s="75" t="s">
        <v>10</v>
      </c>
      <c r="D941" s="75">
        <v>5728</v>
      </c>
      <c r="F941" s="75" t="s">
        <v>10</v>
      </c>
      <c r="H941" s="75" t="s">
        <v>10</v>
      </c>
      <c r="I941" s="75">
        <v>19489</v>
      </c>
      <c r="K941" s="75" t="str">
        <f>IFERROR(VLOOKUP(J941,'NQ10'!$B$9:$C$145,2,0),"")</f>
        <v/>
      </c>
    </row>
    <row r="942" spans="1:11" ht="15" customHeight="1" x14ac:dyDescent="0.25">
      <c r="A942" s="75">
        <v>1</v>
      </c>
      <c r="C942" s="75" t="s">
        <v>10</v>
      </c>
      <c r="D942" s="75">
        <v>3914</v>
      </c>
      <c r="F942" s="75" t="s">
        <v>10</v>
      </c>
      <c r="H942" s="75" t="s">
        <v>10</v>
      </c>
      <c r="I942" s="75">
        <v>19489</v>
      </c>
      <c r="K942" s="75" t="str">
        <f>IFERROR(VLOOKUP(J942,'NQ10'!$B$9:$C$145,2,0),"")</f>
        <v/>
      </c>
    </row>
    <row r="943" spans="1:11" ht="15" customHeight="1" x14ac:dyDescent="0.25">
      <c r="A943" s="75">
        <v>1</v>
      </c>
      <c r="C943" s="75" t="s">
        <v>10</v>
      </c>
      <c r="D943" s="75">
        <v>6697</v>
      </c>
      <c r="F943" s="75" t="s">
        <v>10</v>
      </c>
      <c r="H943" s="75" t="s">
        <v>10</v>
      </c>
      <c r="I943" s="75">
        <v>19489</v>
      </c>
      <c r="K943" s="75" t="str">
        <f>IFERROR(VLOOKUP(J943,'NQ10'!$B$9:$C$145,2,0),"")</f>
        <v/>
      </c>
    </row>
    <row r="944" spans="1:11" ht="15" customHeight="1" x14ac:dyDescent="0.25">
      <c r="A944" s="75">
        <v>1</v>
      </c>
      <c r="C944" s="75" t="s">
        <v>10</v>
      </c>
      <c r="D944" s="75">
        <v>8515</v>
      </c>
      <c r="F944" s="75" t="s">
        <v>10</v>
      </c>
      <c r="H944" s="75" t="s">
        <v>10</v>
      </c>
      <c r="I944" s="75">
        <v>19489</v>
      </c>
      <c r="K944" s="75" t="str">
        <f>IFERROR(VLOOKUP(J944,'NQ10'!$B$9:$C$145,2,0),"")</f>
        <v/>
      </c>
    </row>
    <row r="945" spans="1:11" ht="15" customHeight="1" x14ac:dyDescent="0.25">
      <c r="A945" s="75">
        <v>1</v>
      </c>
      <c r="C945" s="75" t="s">
        <v>10</v>
      </c>
      <c r="D945" s="75">
        <v>10974</v>
      </c>
      <c r="F945" s="75" t="s">
        <v>10</v>
      </c>
      <c r="H945" s="75" t="s">
        <v>10</v>
      </c>
      <c r="I945" s="75">
        <v>19489</v>
      </c>
      <c r="K945" s="75" t="str">
        <f>IFERROR(VLOOKUP(J945,'NQ10'!$B$9:$C$145,2,0),"")</f>
        <v/>
      </c>
    </row>
    <row r="946" spans="1:11" ht="15" customHeight="1" x14ac:dyDescent="0.25">
      <c r="A946" s="75">
        <v>1</v>
      </c>
      <c r="C946" s="75" t="s">
        <v>10</v>
      </c>
      <c r="D946" s="75">
        <v>210</v>
      </c>
      <c r="F946" s="75" t="s">
        <v>10</v>
      </c>
      <c r="H946" s="75" t="s">
        <v>10</v>
      </c>
      <c r="I946" s="75">
        <v>19489</v>
      </c>
      <c r="K946" s="75" t="str">
        <f>IFERROR(VLOOKUP(J946,'NQ10'!$B$9:$C$145,2,0),"")</f>
        <v/>
      </c>
    </row>
    <row r="947" spans="1:11" ht="15" customHeight="1" x14ac:dyDescent="0.25">
      <c r="A947" s="75">
        <v>1</v>
      </c>
      <c r="C947" s="75" t="s">
        <v>10</v>
      </c>
      <c r="D947" s="75">
        <v>5295</v>
      </c>
      <c r="F947" s="75" t="s">
        <v>10</v>
      </c>
      <c r="H947" s="75" t="s">
        <v>10</v>
      </c>
      <c r="I947" s="75">
        <v>19489</v>
      </c>
      <c r="K947" s="75" t="str">
        <f>IFERROR(VLOOKUP(J947,'NQ10'!$B$9:$C$145,2,0),"")</f>
        <v/>
      </c>
    </row>
    <row r="948" spans="1:11" ht="15" customHeight="1" x14ac:dyDescent="0.25">
      <c r="A948" s="75">
        <v>1</v>
      </c>
      <c r="C948" s="75" t="s">
        <v>10</v>
      </c>
      <c r="D948" s="75">
        <v>2204</v>
      </c>
      <c r="F948" s="75" t="s">
        <v>10</v>
      </c>
      <c r="H948" s="75" t="s">
        <v>10</v>
      </c>
      <c r="I948" s="75">
        <v>19489</v>
      </c>
      <c r="K948" s="75" t="str">
        <f>IFERROR(VLOOKUP(J948,'NQ10'!$B$9:$C$145,2,0),"")</f>
        <v/>
      </c>
    </row>
    <row r="949" spans="1:11" ht="15" customHeight="1" x14ac:dyDescent="0.25">
      <c r="A949" s="75">
        <v>1</v>
      </c>
      <c r="C949" s="75" t="s">
        <v>10</v>
      </c>
      <c r="D949" s="75">
        <v>630</v>
      </c>
      <c r="F949" s="75" t="s">
        <v>10</v>
      </c>
      <c r="H949" s="75" t="s">
        <v>10</v>
      </c>
      <c r="I949" s="75">
        <v>19489</v>
      </c>
      <c r="K949" s="75" t="str">
        <f>IFERROR(VLOOKUP(J949,'NQ10'!$B$9:$C$145,2,0),"")</f>
        <v/>
      </c>
    </row>
    <row r="950" spans="1:11" ht="15" customHeight="1" x14ac:dyDescent="0.25">
      <c r="A950" s="75">
        <v>1</v>
      </c>
      <c r="C950" s="75" t="s">
        <v>10</v>
      </c>
      <c r="D950" s="75">
        <v>1639</v>
      </c>
      <c r="F950" s="75" t="s">
        <v>10</v>
      </c>
      <c r="H950" s="75" t="s">
        <v>10</v>
      </c>
      <c r="I950" s="75">
        <v>19489</v>
      </c>
      <c r="K950" s="75" t="str">
        <f>IFERROR(VLOOKUP(J950,'NQ10'!$B$9:$C$145,2,0),"")</f>
        <v/>
      </c>
    </row>
    <row r="951" spans="1:11" ht="15" customHeight="1" x14ac:dyDescent="0.25">
      <c r="A951" s="75">
        <v>1</v>
      </c>
      <c r="C951" s="75" t="s">
        <v>10</v>
      </c>
      <c r="D951" s="75">
        <v>14488</v>
      </c>
      <c r="F951" s="75" t="s">
        <v>10</v>
      </c>
      <c r="H951" s="75" t="s">
        <v>10</v>
      </c>
      <c r="I951" s="75">
        <v>19489</v>
      </c>
      <c r="K951" s="75" t="str">
        <f>IFERROR(VLOOKUP(J951,'NQ10'!$B$9:$C$145,2,0),"")</f>
        <v/>
      </c>
    </row>
    <row r="952" spans="1:11" ht="15" customHeight="1" x14ac:dyDescent="0.25">
      <c r="A952" s="75">
        <v>1</v>
      </c>
      <c r="C952" s="75" t="s">
        <v>10</v>
      </c>
      <c r="D952" s="75">
        <v>745</v>
      </c>
      <c r="F952" s="75" t="s">
        <v>10</v>
      </c>
      <c r="H952" s="75" t="s">
        <v>10</v>
      </c>
      <c r="I952" s="75">
        <v>19489</v>
      </c>
      <c r="K952" s="75" t="str">
        <f>IFERROR(VLOOKUP(J952,'NQ10'!$B$9:$C$145,2,0),"")</f>
        <v/>
      </c>
    </row>
    <row r="953" spans="1:11" ht="15" customHeight="1" x14ac:dyDescent="0.25">
      <c r="A953" s="75">
        <v>1</v>
      </c>
      <c r="C953" s="75" t="s">
        <v>10</v>
      </c>
      <c r="D953" s="75">
        <v>142</v>
      </c>
      <c r="F953" s="75" t="s">
        <v>10</v>
      </c>
      <c r="H953" s="75" t="s">
        <v>10</v>
      </c>
      <c r="I953" s="75">
        <v>19489</v>
      </c>
      <c r="K953" s="75" t="str">
        <f>IFERROR(VLOOKUP(J953,'NQ10'!$B$9:$C$145,2,0),"")</f>
        <v/>
      </c>
    </row>
    <row r="954" spans="1:11" ht="15" customHeight="1" x14ac:dyDescent="0.25">
      <c r="A954" s="75">
        <v>1</v>
      </c>
      <c r="C954" s="75" t="s">
        <v>10</v>
      </c>
      <c r="D954" s="75">
        <v>2059</v>
      </c>
      <c r="F954" s="75" t="s">
        <v>10</v>
      </c>
      <c r="H954" s="75" t="s">
        <v>10</v>
      </c>
      <c r="I954" s="75">
        <v>19489</v>
      </c>
      <c r="K954" s="75" t="str">
        <f>IFERROR(VLOOKUP(J954,'NQ10'!$B$9:$C$145,2,0),"")</f>
        <v/>
      </c>
    </row>
    <row r="955" spans="1:11" ht="15" customHeight="1" x14ac:dyDescent="0.25">
      <c r="A955" s="75">
        <v>1</v>
      </c>
      <c r="C955" s="75" t="s">
        <v>10</v>
      </c>
      <c r="D955" s="75">
        <v>971</v>
      </c>
      <c r="F955" s="75" t="s">
        <v>10</v>
      </c>
      <c r="H955" s="75" t="s">
        <v>10</v>
      </c>
      <c r="I955" s="75">
        <v>19489</v>
      </c>
      <c r="K955" s="75" t="str">
        <f>IFERROR(VLOOKUP(J955,'NQ10'!$B$9:$C$145,2,0),"")</f>
        <v/>
      </c>
    </row>
    <row r="956" spans="1:11" ht="15" customHeight="1" x14ac:dyDescent="0.25">
      <c r="A956" s="75">
        <v>1</v>
      </c>
      <c r="C956" s="75" t="s">
        <v>10</v>
      </c>
      <c r="D956" s="75">
        <v>7778</v>
      </c>
      <c r="F956" s="75" t="s">
        <v>10</v>
      </c>
      <c r="H956" s="75" t="s">
        <v>10</v>
      </c>
      <c r="I956" s="75">
        <v>19489</v>
      </c>
      <c r="K956" s="75" t="str">
        <f>IFERROR(VLOOKUP(J956,'NQ10'!$B$9:$C$145,2,0),"")</f>
        <v/>
      </c>
    </row>
    <row r="957" spans="1:11" ht="15" customHeight="1" x14ac:dyDescent="0.25">
      <c r="A957" s="75">
        <v>1</v>
      </c>
      <c r="C957" s="75" t="s">
        <v>10</v>
      </c>
      <c r="D957" s="75">
        <v>3025</v>
      </c>
      <c r="F957" s="75" t="s">
        <v>10</v>
      </c>
      <c r="H957" s="75" t="s">
        <v>10</v>
      </c>
      <c r="I957" s="75">
        <v>19489</v>
      </c>
      <c r="K957" s="75" t="str">
        <f>IFERROR(VLOOKUP(J957,'NQ10'!$B$9:$C$145,2,0),"")</f>
        <v/>
      </c>
    </row>
    <row r="958" spans="1:11" ht="15" customHeight="1" x14ac:dyDescent="0.25">
      <c r="A958" s="75">
        <v>1</v>
      </c>
      <c r="C958" s="75" t="s">
        <v>10</v>
      </c>
      <c r="D958" s="75">
        <v>371</v>
      </c>
      <c r="F958" s="75" t="s">
        <v>10</v>
      </c>
      <c r="H958" s="75" t="s">
        <v>10</v>
      </c>
      <c r="I958" s="75">
        <v>19489</v>
      </c>
      <c r="K958" s="75" t="str">
        <f>IFERROR(VLOOKUP(J958,'NQ10'!$B$9:$C$145,2,0),"")</f>
        <v/>
      </c>
    </row>
    <row r="959" spans="1:11" ht="15" customHeight="1" x14ac:dyDescent="0.25">
      <c r="A959" s="75">
        <v>1</v>
      </c>
      <c r="C959" s="75" t="s">
        <v>10</v>
      </c>
      <c r="D959" s="75">
        <v>0</v>
      </c>
      <c r="F959" s="75" t="s">
        <v>10</v>
      </c>
      <c r="H959" s="75" t="s">
        <v>10</v>
      </c>
      <c r="I959" s="75">
        <v>19489</v>
      </c>
      <c r="K959" s="75" t="str">
        <f>IFERROR(VLOOKUP(J959,'NQ10'!$B$9:$C$145,2,0),"")</f>
        <v/>
      </c>
    </row>
    <row r="960" spans="1:11" ht="15" customHeight="1" x14ac:dyDescent="0.25">
      <c r="A960" s="75">
        <v>1</v>
      </c>
      <c r="C960" s="75" t="s">
        <v>10</v>
      </c>
      <c r="D960" s="75">
        <v>107</v>
      </c>
      <c r="F960" s="75" t="s">
        <v>10</v>
      </c>
      <c r="H960" s="75" t="s">
        <v>10</v>
      </c>
      <c r="I960" s="75">
        <v>19489</v>
      </c>
      <c r="K960" s="75" t="str">
        <f>IFERROR(VLOOKUP(J960,'NQ10'!$B$9:$C$145,2,0),"")</f>
        <v/>
      </c>
    </row>
    <row r="961" spans="1:11" ht="15" customHeight="1" x14ac:dyDescent="0.25">
      <c r="A961" s="75">
        <v>1</v>
      </c>
      <c r="C961" s="75" t="s">
        <v>10</v>
      </c>
      <c r="D961" s="75">
        <v>2917</v>
      </c>
      <c r="F961" s="75" t="s">
        <v>10</v>
      </c>
      <c r="H961" s="75" t="s">
        <v>10</v>
      </c>
      <c r="I961" s="75">
        <v>19489</v>
      </c>
      <c r="K961" s="75" t="str">
        <f>IFERROR(VLOOKUP(J961,'NQ10'!$B$9:$C$145,2,0),"")</f>
        <v/>
      </c>
    </row>
    <row r="962" spans="1:11" ht="15" customHeight="1" x14ac:dyDescent="0.25">
      <c r="A962" s="75">
        <v>1</v>
      </c>
      <c r="C962" s="75" t="s">
        <v>10</v>
      </c>
      <c r="D962" s="75">
        <v>119</v>
      </c>
      <c r="F962" s="75" t="s">
        <v>10</v>
      </c>
      <c r="H962" s="75" t="s">
        <v>10</v>
      </c>
      <c r="I962" s="75">
        <v>19489</v>
      </c>
      <c r="K962" s="75" t="str">
        <f>IFERROR(VLOOKUP(J962,'NQ10'!$B$9:$C$145,2,0),"")</f>
        <v/>
      </c>
    </row>
    <row r="963" spans="1:11" ht="15" customHeight="1" x14ac:dyDescent="0.25">
      <c r="A963" s="75">
        <v>1</v>
      </c>
      <c r="C963" s="75" t="s">
        <v>10</v>
      </c>
      <c r="D963" s="75">
        <v>271</v>
      </c>
      <c r="F963" s="75" t="s">
        <v>10</v>
      </c>
      <c r="H963" s="75" t="s">
        <v>10</v>
      </c>
      <c r="I963" s="75">
        <v>19489</v>
      </c>
      <c r="K963" s="75" t="str">
        <f>IFERROR(VLOOKUP(J963,'NQ10'!$B$9:$C$145,2,0),"")</f>
        <v/>
      </c>
    </row>
    <row r="964" spans="1:11" ht="15" customHeight="1" x14ac:dyDescent="0.25">
      <c r="A964" s="75">
        <v>1</v>
      </c>
      <c r="C964" s="75" t="s">
        <v>10</v>
      </c>
      <c r="D964" s="75">
        <v>4880</v>
      </c>
      <c r="F964" s="75" t="s">
        <v>10</v>
      </c>
      <c r="H964" s="75" t="s">
        <v>10</v>
      </c>
      <c r="I964" s="75">
        <v>19489</v>
      </c>
      <c r="K964" s="75" t="str">
        <f>IFERROR(VLOOKUP(J964,'NQ10'!$B$9:$C$145,2,0),"")</f>
        <v/>
      </c>
    </row>
    <row r="965" spans="1:11" ht="15" customHeight="1" x14ac:dyDescent="0.25">
      <c r="A965" s="75">
        <v>1</v>
      </c>
      <c r="C965" s="75" t="s">
        <v>10</v>
      </c>
      <c r="D965" s="75">
        <v>1023</v>
      </c>
      <c r="F965" s="75" t="s">
        <v>10</v>
      </c>
      <c r="H965" s="75" t="s">
        <v>10</v>
      </c>
      <c r="I965" s="75">
        <v>19489</v>
      </c>
      <c r="K965" s="75" t="str">
        <f>IFERROR(VLOOKUP(J965,'NQ10'!$B$9:$C$145,2,0),"")</f>
        <v/>
      </c>
    </row>
    <row r="966" spans="1:11" ht="15" customHeight="1" x14ac:dyDescent="0.25">
      <c r="A966" s="75">
        <v>1</v>
      </c>
      <c r="C966" s="75" t="s">
        <v>10</v>
      </c>
      <c r="D966" s="75">
        <v>1040</v>
      </c>
      <c r="F966" s="75" t="s">
        <v>10</v>
      </c>
      <c r="H966" s="75" t="s">
        <v>10</v>
      </c>
      <c r="I966" s="75">
        <v>19489</v>
      </c>
      <c r="K966" s="75" t="str">
        <f>IFERROR(VLOOKUP(J966,'NQ10'!$B$9:$C$145,2,0),"")</f>
        <v/>
      </c>
    </row>
    <row r="967" spans="1:11" ht="15" customHeight="1" x14ac:dyDescent="0.25">
      <c r="A967" s="75">
        <v>1</v>
      </c>
      <c r="C967" s="75" t="s">
        <v>10</v>
      </c>
      <c r="D967" s="75">
        <v>8039</v>
      </c>
      <c r="F967" s="75" t="s">
        <v>10</v>
      </c>
      <c r="H967" s="75" t="s">
        <v>10</v>
      </c>
      <c r="I967" s="75">
        <v>19489</v>
      </c>
      <c r="K967" s="75" t="str">
        <f>IFERROR(VLOOKUP(J967,'NQ10'!$B$9:$C$145,2,0),"")</f>
        <v/>
      </c>
    </row>
    <row r="968" spans="1:11" ht="15" customHeight="1" x14ac:dyDescent="0.25">
      <c r="A968" s="75">
        <v>1</v>
      </c>
      <c r="C968" s="75" t="s">
        <v>10</v>
      </c>
      <c r="D968" s="75">
        <v>10679</v>
      </c>
      <c r="F968" s="75" t="s">
        <v>10</v>
      </c>
      <c r="H968" s="75" t="s">
        <v>10</v>
      </c>
      <c r="I968" s="75">
        <v>19489</v>
      </c>
      <c r="K968" s="75" t="str">
        <f>IFERROR(VLOOKUP(J968,'NQ10'!$B$9:$C$145,2,0),"")</f>
        <v/>
      </c>
    </row>
    <row r="969" spans="1:11" ht="15" customHeight="1" x14ac:dyDescent="0.25">
      <c r="A969" s="75">
        <v>1</v>
      </c>
      <c r="C969" s="75" t="s">
        <v>10</v>
      </c>
      <c r="D969" s="75">
        <v>23333</v>
      </c>
      <c r="F969" s="75" t="s">
        <v>10</v>
      </c>
      <c r="H969" s="75" t="s">
        <v>10</v>
      </c>
      <c r="I969" s="75">
        <v>19489</v>
      </c>
      <c r="K969" s="75" t="str">
        <f>IFERROR(VLOOKUP(J969,'NQ10'!$B$9:$C$145,2,0),"")</f>
        <v/>
      </c>
    </row>
    <row r="970" spans="1:11" ht="15" customHeight="1" x14ac:dyDescent="0.25">
      <c r="A970" s="75">
        <v>1</v>
      </c>
      <c r="C970" s="75" t="s">
        <v>10</v>
      </c>
      <c r="D970" s="75">
        <v>16323</v>
      </c>
      <c r="F970" s="75" t="s">
        <v>10</v>
      </c>
      <c r="H970" s="75" t="s">
        <v>10</v>
      </c>
      <c r="I970" s="75">
        <v>19489</v>
      </c>
      <c r="K970" s="75" t="str">
        <f>IFERROR(VLOOKUP(J970,'NQ10'!$B$9:$C$145,2,0),"")</f>
        <v/>
      </c>
    </row>
    <row r="971" spans="1:11" ht="15" customHeight="1" x14ac:dyDescent="0.25">
      <c r="A971" s="75">
        <v>1</v>
      </c>
      <c r="C971" s="75" t="s">
        <v>10</v>
      </c>
      <c r="D971" s="75">
        <v>2701</v>
      </c>
      <c r="F971" s="75" t="s">
        <v>10</v>
      </c>
      <c r="H971" s="75" t="s">
        <v>10</v>
      </c>
      <c r="I971" s="75">
        <v>19489</v>
      </c>
      <c r="K971" s="75" t="str">
        <f>IFERROR(VLOOKUP(J971,'NQ10'!$B$9:$C$145,2,0),"")</f>
        <v/>
      </c>
    </row>
    <row r="972" spans="1:11" ht="15" customHeight="1" x14ac:dyDescent="0.25">
      <c r="A972" s="75">
        <v>1</v>
      </c>
      <c r="C972" s="75" t="s">
        <v>10</v>
      </c>
      <c r="D972" s="75">
        <v>512</v>
      </c>
      <c r="F972" s="75" t="s">
        <v>10</v>
      </c>
      <c r="H972" s="75" t="s">
        <v>10</v>
      </c>
      <c r="I972" s="75">
        <v>19489</v>
      </c>
      <c r="K972" s="75" t="str">
        <f>IFERROR(VLOOKUP(J972,'NQ10'!$B$9:$C$145,2,0),"")</f>
        <v/>
      </c>
    </row>
    <row r="973" spans="1:11" ht="15" customHeight="1" x14ac:dyDescent="0.25">
      <c r="A973" s="75">
        <v>1</v>
      </c>
      <c r="C973" s="75" t="s">
        <v>10</v>
      </c>
      <c r="D973" s="75">
        <v>3928</v>
      </c>
      <c r="F973" s="75" t="s">
        <v>10</v>
      </c>
      <c r="H973" s="75" t="s">
        <v>10</v>
      </c>
      <c r="I973" s="75">
        <v>19489</v>
      </c>
      <c r="K973" s="75" t="str">
        <f>IFERROR(VLOOKUP(J973,'NQ10'!$B$9:$C$145,2,0),"")</f>
        <v/>
      </c>
    </row>
    <row r="974" spans="1:11" ht="15" customHeight="1" x14ac:dyDescent="0.25">
      <c r="A974" s="75">
        <v>1</v>
      </c>
      <c r="C974" s="75" t="s">
        <v>10</v>
      </c>
      <c r="D974" s="75">
        <v>5033</v>
      </c>
      <c r="F974" s="75" t="s">
        <v>10</v>
      </c>
      <c r="H974" s="75" t="s">
        <v>10</v>
      </c>
      <c r="I974" s="75">
        <v>19489</v>
      </c>
      <c r="K974" s="75" t="str">
        <f>IFERROR(VLOOKUP(J974,'NQ10'!$B$9:$C$145,2,0),"")</f>
        <v/>
      </c>
    </row>
    <row r="975" spans="1:11" ht="15" customHeight="1" x14ac:dyDescent="0.25">
      <c r="A975" s="75">
        <v>1</v>
      </c>
      <c r="C975" s="75" t="s">
        <v>10</v>
      </c>
      <c r="D975" s="75">
        <v>1139</v>
      </c>
      <c r="F975" s="75" t="s">
        <v>10</v>
      </c>
      <c r="H975" s="75" t="s">
        <v>10</v>
      </c>
      <c r="I975" s="75">
        <v>19489</v>
      </c>
      <c r="K975" s="75" t="str">
        <f>IFERROR(VLOOKUP(J975,'NQ10'!$B$9:$C$145,2,0),"")</f>
        <v/>
      </c>
    </row>
    <row r="976" spans="1:11" ht="15" customHeight="1" x14ac:dyDescent="0.25">
      <c r="A976" s="75">
        <v>1</v>
      </c>
      <c r="B976" s="75">
        <v>1</v>
      </c>
      <c r="C976" s="75" t="s">
        <v>10</v>
      </c>
      <c r="D976" s="75">
        <v>11717</v>
      </c>
      <c r="F976" s="75" t="s">
        <v>10</v>
      </c>
      <c r="H976" s="75" t="s">
        <v>10</v>
      </c>
      <c r="I976" s="75">
        <v>19489</v>
      </c>
      <c r="K976" s="75" t="str">
        <f>IFERROR(VLOOKUP(J976,'NQ10'!$B$9:$C$145,2,0),"")</f>
        <v/>
      </c>
    </row>
    <row r="977" spans="1:11" ht="15" customHeight="1" x14ac:dyDescent="0.25">
      <c r="A977" s="75">
        <v>1</v>
      </c>
      <c r="B977" s="75">
        <v>3</v>
      </c>
      <c r="C977" s="75" t="s">
        <v>10</v>
      </c>
      <c r="D977" s="75">
        <v>6650</v>
      </c>
      <c r="F977" s="75" t="s">
        <v>10</v>
      </c>
      <c r="H977" s="75" t="s">
        <v>10</v>
      </c>
      <c r="I977" s="75">
        <v>19489</v>
      </c>
      <c r="K977" s="75" t="str">
        <f>IFERROR(VLOOKUP(J977,'NQ10'!$B$9:$C$145,2,0),"")</f>
        <v/>
      </c>
    </row>
    <row r="978" spans="1:11" ht="15" customHeight="1" x14ac:dyDescent="0.25">
      <c r="A978" s="75">
        <v>1</v>
      </c>
      <c r="B978" s="75">
        <v>8</v>
      </c>
      <c r="C978" s="75" t="s">
        <v>10</v>
      </c>
      <c r="D978" s="75">
        <v>14115</v>
      </c>
      <c r="F978" s="75" t="s">
        <v>10</v>
      </c>
      <c r="H978" s="75" t="s">
        <v>10</v>
      </c>
      <c r="I978" s="75">
        <v>19489</v>
      </c>
      <c r="K978" s="75" t="str">
        <f>IFERROR(VLOOKUP(J978,'NQ10'!$B$9:$C$145,2,0),"")</f>
        <v/>
      </c>
    </row>
    <row r="979" spans="1:11" ht="15" customHeight="1" x14ac:dyDescent="0.25">
      <c r="A979" s="75">
        <v>1</v>
      </c>
      <c r="B979" s="75">
        <v>9</v>
      </c>
      <c r="C979" s="75" t="s">
        <v>10</v>
      </c>
      <c r="D979" s="75">
        <v>23222</v>
      </c>
      <c r="F979" s="75" t="s">
        <v>10</v>
      </c>
      <c r="H979" s="75" t="s">
        <v>10</v>
      </c>
      <c r="I979" s="75">
        <v>19489</v>
      </c>
      <c r="K979" s="75" t="str">
        <f>IFERROR(VLOOKUP(J979,'NQ10'!$B$9:$C$145,2,0),"")</f>
        <v/>
      </c>
    </row>
    <row r="980" spans="1:11" ht="15" customHeight="1" x14ac:dyDescent="0.25">
      <c r="A980" s="75">
        <v>1</v>
      </c>
      <c r="B980" s="75">
        <v>13</v>
      </c>
      <c r="C980" s="75" t="s">
        <v>10</v>
      </c>
      <c r="D980" s="75">
        <v>3367</v>
      </c>
      <c r="F980" s="75" t="s">
        <v>10</v>
      </c>
      <c r="H980" s="75" t="s">
        <v>10</v>
      </c>
      <c r="I980" s="75">
        <v>19489</v>
      </c>
      <c r="K980" s="75" t="str">
        <f>IFERROR(VLOOKUP(J980,'NQ10'!$B$9:$C$145,2,0),"")</f>
        <v/>
      </c>
    </row>
    <row r="981" spans="1:11" ht="15" customHeight="1" x14ac:dyDescent="0.25">
      <c r="A981" s="75">
        <v>1</v>
      </c>
      <c r="B981" s="75">
        <v>17</v>
      </c>
      <c r="C981" s="75" t="s">
        <v>10</v>
      </c>
      <c r="D981" s="75">
        <v>5445</v>
      </c>
      <c r="F981" s="75" t="s">
        <v>10</v>
      </c>
      <c r="H981" s="75" t="s">
        <v>10</v>
      </c>
      <c r="I981" s="75">
        <v>19489</v>
      </c>
      <c r="K981" s="75" t="str">
        <f>IFERROR(VLOOKUP(J981,'NQ10'!$B$9:$C$145,2,0),"")</f>
        <v/>
      </c>
    </row>
    <row r="982" spans="1:11" ht="15" customHeight="1" x14ac:dyDescent="0.25">
      <c r="A982" s="75">
        <v>1</v>
      </c>
      <c r="B982" s="75">
        <v>19</v>
      </c>
      <c r="C982" s="75" t="s">
        <v>10</v>
      </c>
      <c r="D982" s="75">
        <v>9343</v>
      </c>
      <c r="F982" s="75" t="s">
        <v>10</v>
      </c>
      <c r="H982" s="75" t="s">
        <v>10</v>
      </c>
      <c r="I982" s="75">
        <v>19489</v>
      </c>
      <c r="K982" s="75" t="str">
        <f>IFERROR(VLOOKUP(J982,'NQ10'!$B$9:$C$145,2,0),"")</f>
        <v/>
      </c>
    </row>
    <row r="983" spans="1:11" ht="15" customHeight="1" x14ac:dyDescent="0.25">
      <c r="A983" s="75">
        <v>1</v>
      </c>
      <c r="B983" s="75">
        <v>21</v>
      </c>
      <c r="C983" s="75" t="s">
        <v>10</v>
      </c>
      <c r="D983" s="75">
        <v>7755</v>
      </c>
      <c r="F983" s="75" t="s">
        <v>10</v>
      </c>
      <c r="H983" s="75" t="s">
        <v>10</v>
      </c>
      <c r="I983" s="75">
        <v>19489</v>
      </c>
      <c r="K983" s="75" t="str">
        <f>IFERROR(VLOOKUP(J983,'NQ10'!$B$9:$C$145,2,0),"")</f>
        <v/>
      </c>
    </row>
    <row r="984" spans="1:11" ht="15" customHeight="1" x14ac:dyDescent="0.25">
      <c r="A984" s="75">
        <v>1</v>
      </c>
      <c r="B984" s="75">
        <v>22</v>
      </c>
      <c r="C984" s="75" t="s">
        <v>10</v>
      </c>
      <c r="D984" s="75">
        <v>9811</v>
      </c>
      <c r="F984" s="75" t="s">
        <v>10</v>
      </c>
      <c r="H984" s="75" t="s">
        <v>10</v>
      </c>
      <c r="I984" s="75">
        <v>19489</v>
      </c>
      <c r="K984" s="75" t="str">
        <f>IFERROR(VLOOKUP(J984,'NQ10'!$B$9:$C$145,2,0),"")</f>
        <v/>
      </c>
    </row>
    <row r="985" spans="1:11" ht="15" customHeight="1" x14ac:dyDescent="0.25">
      <c r="A985" s="75">
        <v>1</v>
      </c>
      <c r="B985" s="75">
        <v>24</v>
      </c>
      <c r="C985" s="75" t="s">
        <v>10</v>
      </c>
      <c r="D985" s="75">
        <v>16020</v>
      </c>
      <c r="F985" s="75" t="s">
        <v>10</v>
      </c>
      <c r="H985" s="75" t="s">
        <v>10</v>
      </c>
      <c r="I985" s="75">
        <v>19489</v>
      </c>
      <c r="K985" s="75" t="str">
        <f>IFERROR(VLOOKUP(J985,'NQ10'!$B$9:$C$145,2,0),"")</f>
        <v/>
      </c>
    </row>
    <row r="986" spans="1:11" ht="15" customHeight="1" x14ac:dyDescent="0.25">
      <c r="A986" s="75">
        <v>1</v>
      </c>
      <c r="B986" s="75">
        <v>25</v>
      </c>
      <c r="C986" s="75" t="s">
        <v>10</v>
      </c>
      <c r="D986" s="75">
        <v>22352</v>
      </c>
      <c r="F986" s="75" t="s">
        <v>10</v>
      </c>
      <c r="H986" s="75" t="s">
        <v>10</v>
      </c>
      <c r="I986" s="75">
        <v>19489</v>
      </c>
      <c r="K986" s="75" t="str">
        <f>IFERROR(VLOOKUP(J986,'NQ10'!$B$9:$C$145,2,0),"")</f>
        <v/>
      </c>
    </row>
    <row r="987" spans="1:11" ht="15" customHeight="1" x14ac:dyDescent="0.25">
      <c r="A987" s="75">
        <v>1</v>
      </c>
      <c r="B987" s="75">
        <v>30</v>
      </c>
      <c r="C987" s="75" t="s">
        <v>10</v>
      </c>
      <c r="D987" s="75">
        <v>11841</v>
      </c>
      <c r="F987" s="75" t="s">
        <v>10</v>
      </c>
      <c r="H987" s="75" t="s">
        <v>10</v>
      </c>
      <c r="I987" s="75">
        <v>19489</v>
      </c>
      <c r="K987" s="75" t="str">
        <f>IFERROR(VLOOKUP(J987,'NQ10'!$B$9:$C$145,2,0),"")</f>
        <v/>
      </c>
    </row>
    <row r="988" spans="1:11" ht="15" customHeight="1" x14ac:dyDescent="0.25">
      <c r="A988" s="75">
        <v>1</v>
      </c>
      <c r="B988" s="75">
        <v>31</v>
      </c>
      <c r="C988" s="75" t="s">
        <v>10</v>
      </c>
      <c r="D988" s="75">
        <v>11242</v>
      </c>
      <c r="F988" s="75" t="s">
        <v>10</v>
      </c>
      <c r="H988" s="75" t="s">
        <v>10</v>
      </c>
      <c r="I988" s="75">
        <v>19489</v>
      </c>
      <c r="K988" s="75" t="str">
        <f>IFERROR(VLOOKUP(J988,'NQ10'!$B$9:$C$145,2,0),"")</f>
        <v/>
      </c>
    </row>
    <row r="989" spans="1:11" ht="15" customHeight="1" x14ac:dyDescent="0.25">
      <c r="A989" s="75">
        <v>1</v>
      </c>
      <c r="B989" s="75">
        <v>32</v>
      </c>
      <c r="C989" s="75" t="s">
        <v>10</v>
      </c>
      <c r="D989" s="75">
        <v>22254</v>
      </c>
      <c r="F989" s="75" t="s">
        <v>10</v>
      </c>
      <c r="H989" s="75" t="s">
        <v>10</v>
      </c>
      <c r="I989" s="75">
        <v>19489</v>
      </c>
      <c r="K989" s="75" t="str">
        <f>IFERROR(VLOOKUP(J989,'NQ10'!$B$9:$C$145,2,0),"")</f>
        <v/>
      </c>
    </row>
    <row r="990" spans="1:11" ht="15" customHeight="1" x14ac:dyDescent="0.25">
      <c r="A990" s="75">
        <v>1</v>
      </c>
      <c r="B990" s="75">
        <v>35</v>
      </c>
      <c r="C990" s="75" t="s">
        <v>10</v>
      </c>
      <c r="D990" s="75">
        <v>52160</v>
      </c>
      <c r="F990" s="75" t="s">
        <v>10</v>
      </c>
      <c r="H990" s="75" t="s">
        <v>10</v>
      </c>
      <c r="I990" s="75">
        <v>19489</v>
      </c>
      <c r="K990" s="75" t="str">
        <f>IFERROR(VLOOKUP(J990,'NQ10'!$B$9:$C$145,2,0),"")</f>
        <v/>
      </c>
    </row>
    <row r="991" spans="1:11" ht="15" customHeight="1" x14ac:dyDescent="0.25">
      <c r="A991" s="75">
        <v>1</v>
      </c>
      <c r="B991" s="75">
        <v>36</v>
      </c>
      <c r="C991" s="75" t="s">
        <v>10</v>
      </c>
      <c r="D991" s="75">
        <v>4792</v>
      </c>
      <c r="F991" s="75" t="s">
        <v>10</v>
      </c>
      <c r="H991" s="75" t="s">
        <v>10</v>
      </c>
      <c r="I991" s="75">
        <v>19489</v>
      </c>
      <c r="K991" s="75" t="str">
        <f>IFERROR(VLOOKUP(J991,'NQ10'!$B$9:$C$145,2,0),"")</f>
        <v/>
      </c>
    </row>
    <row r="992" spans="1:11" ht="15" customHeight="1" x14ac:dyDescent="0.25">
      <c r="A992" s="75">
        <v>1</v>
      </c>
      <c r="B992" s="75">
        <v>37</v>
      </c>
      <c r="C992" s="75" t="s">
        <v>10</v>
      </c>
      <c r="D992" s="75">
        <v>15100</v>
      </c>
      <c r="F992" s="75" t="s">
        <v>10</v>
      </c>
      <c r="H992" s="75" t="s">
        <v>10</v>
      </c>
      <c r="I992" s="75">
        <v>19489</v>
      </c>
      <c r="K992" s="75" t="str">
        <f>IFERROR(VLOOKUP(J992,'NQ10'!$B$9:$C$145,2,0),"")</f>
        <v/>
      </c>
    </row>
    <row r="993" spans="1:11" ht="15" customHeight="1" x14ac:dyDescent="0.25">
      <c r="A993" s="75">
        <v>1</v>
      </c>
      <c r="B993" s="75">
        <v>38</v>
      </c>
      <c r="C993" s="75" t="s">
        <v>10</v>
      </c>
      <c r="D993" s="75">
        <v>7524</v>
      </c>
      <c r="F993" s="75" t="s">
        <v>10</v>
      </c>
      <c r="H993" s="75" t="s">
        <v>10</v>
      </c>
      <c r="I993" s="75">
        <v>19489</v>
      </c>
      <c r="K993" s="75" t="str">
        <f>IFERROR(VLOOKUP(J993,'NQ10'!$B$9:$C$145,2,0),"")</f>
        <v/>
      </c>
    </row>
    <row r="994" spans="1:11" ht="15" customHeight="1" x14ac:dyDescent="0.25">
      <c r="A994" s="75">
        <v>1</v>
      </c>
      <c r="B994" s="75">
        <v>41</v>
      </c>
      <c r="C994" s="75" t="s">
        <v>10</v>
      </c>
      <c r="D994" s="75">
        <v>5160</v>
      </c>
      <c r="F994" s="75" t="s">
        <v>10</v>
      </c>
      <c r="H994" s="75" t="s">
        <v>10</v>
      </c>
      <c r="I994" s="75">
        <v>19489</v>
      </c>
      <c r="K994" s="75" t="str">
        <f>IFERROR(VLOOKUP(J994,'NQ10'!$B$9:$C$145,2,0),"")</f>
        <v/>
      </c>
    </row>
    <row r="995" spans="1:11" ht="15" customHeight="1" x14ac:dyDescent="0.25">
      <c r="A995" s="75">
        <v>1</v>
      </c>
      <c r="B995" s="75">
        <v>43</v>
      </c>
      <c r="C995" s="75" t="s">
        <v>10</v>
      </c>
      <c r="D995" s="75">
        <v>12822</v>
      </c>
      <c r="F995" s="75" t="s">
        <v>10</v>
      </c>
      <c r="H995" s="75" t="s">
        <v>10</v>
      </c>
      <c r="I995" s="75">
        <v>19489</v>
      </c>
      <c r="K995" s="75" t="str">
        <f>IFERROR(VLOOKUP(J995,'NQ10'!$B$9:$C$145,2,0),"")</f>
        <v/>
      </c>
    </row>
    <row r="996" spans="1:11" ht="15" customHeight="1" x14ac:dyDescent="0.25">
      <c r="A996" s="75">
        <v>1</v>
      </c>
      <c r="B996" s="75">
        <v>44</v>
      </c>
      <c r="C996" s="75" t="s">
        <v>10</v>
      </c>
      <c r="D996" s="75">
        <v>4526</v>
      </c>
      <c r="F996" s="75" t="s">
        <v>10</v>
      </c>
      <c r="H996" s="75" t="s">
        <v>10</v>
      </c>
      <c r="I996" s="75">
        <v>19489</v>
      </c>
      <c r="K996" s="75" t="str">
        <f>IFERROR(VLOOKUP(J996,'NQ10'!$B$9:$C$145,2,0),"")</f>
        <v/>
      </c>
    </row>
    <row r="997" spans="1:11" ht="15" customHeight="1" x14ac:dyDescent="0.25">
      <c r="A997" s="75">
        <v>1</v>
      </c>
      <c r="B997" s="75">
        <v>45</v>
      </c>
      <c r="C997" s="75" t="s">
        <v>10</v>
      </c>
      <c r="D997" s="75">
        <v>8659</v>
      </c>
      <c r="F997" s="75" t="s">
        <v>10</v>
      </c>
      <c r="H997" s="75" t="s">
        <v>10</v>
      </c>
      <c r="I997" s="75">
        <v>19489</v>
      </c>
      <c r="K997" s="75" t="str">
        <f>IFERROR(VLOOKUP(J997,'NQ10'!$B$9:$C$145,2,0),"")</f>
        <v/>
      </c>
    </row>
    <row r="998" spans="1:11" ht="15" customHeight="1" x14ac:dyDescent="0.25">
      <c r="A998" s="75">
        <v>1</v>
      </c>
      <c r="B998" s="75">
        <v>47</v>
      </c>
      <c r="C998" s="75" t="s">
        <v>10</v>
      </c>
      <c r="D998" s="75">
        <v>2615</v>
      </c>
      <c r="F998" s="75" t="s">
        <v>10</v>
      </c>
      <c r="H998" s="75" t="s">
        <v>10</v>
      </c>
      <c r="I998" s="75">
        <v>19489</v>
      </c>
      <c r="K998" s="75" t="str">
        <f>IFERROR(VLOOKUP(J998,'NQ10'!$B$9:$C$145,2,0),"")</f>
        <v/>
      </c>
    </row>
    <row r="999" spans="1:11" ht="15" customHeight="1" x14ac:dyDescent="0.25">
      <c r="A999" s="75">
        <v>1</v>
      </c>
      <c r="B999" s="75">
        <v>49</v>
      </c>
      <c r="C999" s="75" t="s">
        <v>10</v>
      </c>
      <c r="D999" s="75">
        <v>10077</v>
      </c>
      <c r="F999" s="75" t="s">
        <v>10</v>
      </c>
      <c r="H999" s="75" t="s">
        <v>10</v>
      </c>
      <c r="I999" s="75">
        <v>19489</v>
      </c>
      <c r="K999" s="75" t="str">
        <f>IFERROR(VLOOKUP(J999,'NQ10'!$B$9:$C$145,2,0),"")</f>
        <v/>
      </c>
    </row>
    <row r="1000" spans="1:11" ht="15" customHeight="1" x14ac:dyDescent="0.25">
      <c r="A1000" s="75">
        <v>1</v>
      </c>
      <c r="B1000" s="75">
        <v>50</v>
      </c>
      <c r="C1000" s="75" t="s">
        <v>10</v>
      </c>
      <c r="D1000" s="75">
        <v>9162</v>
      </c>
      <c r="F1000" s="75" t="s">
        <v>10</v>
      </c>
      <c r="H1000" s="75" t="s">
        <v>10</v>
      </c>
      <c r="I1000" s="75">
        <v>19489</v>
      </c>
      <c r="K1000" s="75" t="str">
        <f>IFERROR(VLOOKUP(J1000,'NQ10'!$B$9:$C$145,2,0),"")</f>
        <v/>
      </c>
    </row>
    <row r="1001" spans="1:11" ht="15" customHeight="1" x14ac:dyDescent="0.25">
      <c r="A1001" s="75">
        <v>1</v>
      </c>
      <c r="B1001" s="75">
        <v>53</v>
      </c>
      <c r="C1001" s="75" t="s">
        <v>10</v>
      </c>
      <c r="D1001" s="75">
        <v>10369</v>
      </c>
      <c r="F1001" s="75" t="s">
        <v>10</v>
      </c>
      <c r="H1001" s="75" t="s">
        <v>10</v>
      </c>
      <c r="I1001" s="75">
        <v>19489</v>
      </c>
      <c r="K1001" s="75" t="str">
        <f>IFERROR(VLOOKUP(J1001,'NQ10'!$B$9:$C$145,2,0),"")</f>
        <v/>
      </c>
    </row>
    <row r="1002" spans="1:11" ht="15" customHeight="1" x14ac:dyDescent="0.25">
      <c r="A1002" s="75">
        <v>1</v>
      </c>
      <c r="B1002" s="75">
        <v>56</v>
      </c>
      <c r="C1002" s="75" t="s">
        <v>10</v>
      </c>
      <c r="D1002" s="75">
        <v>6020</v>
      </c>
      <c r="F1002" s="75" t="s">
        <v>10</v>
      </c>
      <c r="H1002" s="75" t="s">
        <v>10</v>
      </c>
      <c r="I1002" s="75">
        <v>19489</v>
      </c>
      <c r="K1002" s="75" t="str">
        <f>IFERROR(VLOOKUP(J1002,'NQ10'!$B$9:$C$145,2,0),"")</f>
        <v/>
      </c>
    </row>
    <row r="1003" spans="1:11" ht="15" customHeight="1" x14ac:dyDescent="0.25">
      <c r="A1003" s="75">
        <v>1</v>
      </c>
      <c r="B1003" s="75">
        <v>57</v>
      </c>
      <c r="C1003" s="75" t="s">
        <v>10</v>
      </c>
      <c r="D1003" s="75">
        <v>5003</v>
      </c>
      <c r="F1003" s="75" t="s">
        <v>10</v>
      </c>
      <c r="H1003" s="75" t="s">
        <v>10</v>
      </c>
      <c r="I1003" s="75">
        <v>19489</v>
      </c>
      <c r="K1003" s="75" t="str">
        <f>IFERROR(VLOOKUP(J1003,'NQ10'!$B$9:$C$145,2,0),"")</f>
        <v/>
      </c>
    </row>
    <row r="1004" spans="1:11" ht="15" customHeight="1" x14ac:dyDescent="0.25">
      <c r="A1004" s="75">
        <v>1</v>
      </c>
      <c r="B1004" s="75">
        <v>58</v>
      </c>
      <c r="C1004" s="75" t="s">
        <v>10</v>
      </c>
      <c r="D1004" s="75">
        <v>7226</v>
      </c>
      <c r="F1004" s="75" t="s">
        <v>10</v>
      </c>
      <c r="H1004" s="75" t="s">
        <v>10</v>
      </c>
      <c r="I1004" s="75">
        <v>19489</v>
      </c>
      <c r="K1004" s="75" t="str">
        <f>IFERROR(VLOOKUP(J1004,'NQ10'!$B$9:$C$145,2,0),"")</f>
        <v/>
      </c>
    </row>
    <row r="1005" spans="1:11" ht="15" customHeight="1" x14ac:dyDescent="0.25">
      <c r="A1005" s="75">
        <v>1</v>
      </c>
      <c r="B1005" s="75">
        <v>60</v>
      </c>
      <c r="C1005" s="75" t="s">
        <v>10</v>
      </c>
      <c r="D1005" s="75">
        <v>6068</v>
      </c>
      <c r="F1005" s="75" t="s">
        <v>10</v>
      </c>
      <c r="H1005" s="75" t="s">
        <v>10</v>
      </c>
      <c r="I1005" s="75">
        <v>19489</v>
      </c>
      <c r="K1005" s="75" t="str">
        <f>IFERROR(VLOOKUP(J1005,'NQ10'!$B$9:$C$145,2,0),"")</f>
        <v/>
      </c>
    </row>
    <row r="1006" spans="1:11" ht="15" customHeight="1" x14ac:dyDescent="0.25">
      <c r="A1006" s="75">
        <v>1</v>
      </c>
      <c r="B1006" s="75">
        <v>62</v>
      </c>
      <c r="C1006" s="75" t="s">
        <v>10</v>
      </c>
      <c r="D1006" s="75">
        <v>8743</v>
      </c>
      <c r="F1006" s="75" t="s">
        <v>10</v>
      </c>
      <c r="H1006" s="75" t="s">
        <v>10</v>
      </c>
      <c r="I1006" s="75">
        <v>19489</v>
      </c>
      <c r="K1006" s="75" t="str">
        <f>IFERROR(VLOOKUP(J1006,'NQ10'!$B$9:$C$145,2,0),"")</f>
        <v/>
      </c>
    </row>
    <row r="1007" spans="1:11" ht="15" customHeight="1" x14ac:dyDescent="0.25">
      <c r="A1007" s="75">
        <v>1</v>
      </c>
      <c r="B1007" s="75">
        <v>64</v>
      </c>
      <c r="C1007" s="75" t="s">
        <v>10</v>
      </c>
      <c r="D1007" s="75">
        <v>6002</v>
      </c>
      <c r="F1007" s="75" t="s">
        <v>10</v>
      </c>
      <c r="H1007" s="75" t="s">
        <v>10</v>
      </c>
      <c r="I1007" s="75">
        <v>19489</v>
      </c>
      <c r="K1007" s="75" t="str">
        <f>IFERROR(VLOOKUP(J1007,'NQ10'!$B$9:$C$145,2,0),"")</f>
        <v/>
      </c>
    </row>
    <row r="1008" spans="1:11" ht="15" customHeight="1" x14ac:dyDescent="0.25">
      <c r="A1008" s="75">
        <v>1</v>
      </c>
      <c r="B1008" s="75">
        <v>65</v>
      </c>
      <c r="C1008" s="75" t="s">
        <v>10</v>
      </c>
      <c r="D1008" s="75">
        <v>7348</v>
      </c>
      <c r="F1008" s="75" t="s">
        <v>10</v>
      </c>
      <c r="H1008" s="75" t="s">
        <v>10</v>
      </c>
      <c r="I1008" s="75">
        <v>19489</v>
      </c>
      <c r="K1008" s="75" t="str">
        <f>IFERROR(VLOOKUP(J1008,'NQ10'!$B$9:$C$145,2,0),"")</f>
        <v/>
      </c>
    </row>
    <row r="1009" spans="1:11" ht="15" customHeight="1" x14ac:dyDescent="0.25">
      <c r="A1009" s="75">
        <v>1</v>
      </c>
      <c r="B1009" s="75">
        <v>66</v>
      </c>
      <c r="C1009" s="75" t="s">
        <v>10</v>
      </c>
      <c r="D1009" s="75">
        <v>6666</v>
      </c>
      <c r="F1009" s="75" t="s">
        <v>10</v>
      </c>
      <c r="H1009" s="75" t="s">
        <v>10</v>
      </c>
      <c r="I1009" s="75">
        <v>19489</v>
      </c>
      <c r="K1009" s="75" t="str">
        <f>IFERROR(VLOOKUP(J1009,'NQ10'!$B$9:$C$145,2,0),"")</f>
        <v/>
      </c>
    </row>
    <row r="1010" spans="1:11" ht="15" customHeight="1" x14ac:dyDescent="0.25">
      <c r="A1010" s="75">
        <v>1</v>
      </c>
      <c r="B1010" s="75">
        <v>71</v>
      </c>
      <c r="C1010" s="75" t="s">
        <v>10</v>
      </c>
      <c r="D1010" s="75">
        <v>5103</v>
      </c>
      <c r="F1010" s="75" t="s">
        <v>10</v>
      </c>
      <c r="H1010" s="75" t="s">
        <v>10</v>
      </c>
      <c r="I1010" s="75">
        <v>19489</v>
      </c>
      <c r="K1010" s="75" t="str">
        <f>IFERROR(VLOOKUP(J1010,'NQ10'!$B$9:$C$145,2,0),"")</f>
        <v/>
      </c>
    </row>
    <row r="1011" spans="1:11" ht="15" customHeight="1" x14ac:dyDescent="0.25">
      <c r="A1011" s="75">
        <v>1</v>
      </c>
      <c r="B1011" s="75">
        <v>72</v>
      </c>
      <c r="C1011" s="75" t="s">
        <v>10</v>
      </c>
      <c r="D1011" s="75">
        <v>4074</v>
      </c>
      <c r="F1011" s="75" t="s">
        <v>10</v>
      </c>
      <c r="H1011" s="75" t="s">
        <v>10</v>
      </c>
      <c r="I1011" s="75">
        <v>19489</v>
      </c>
      <c r="K1011" s="75" t="str">
        <f>IFERROR(VLOOKUP(J1011,'NQ10'!$B$9:$C$145,2,0),"")</f>
        <v/>
      </c>
    </row>
    <row r="1012" spans="1:11" ht="15" customHeight="1" x14ac:dyDescent="0.25">
      <c r="A1012" s="75">
        <v>1</v>
      </c>
      <c r="B1012" s="75">
        <v>75</v>
      </c>
      <c r="C1012" s="75" t="s">
        <v>10</v>
      </c>
      <c r="D1012" s="75">
        <v>1397</v>
      </c>
      <c r="F1012" s="75" t="s">
        <v>10</v>
      </c>
      <c r="H1012" s="75" t="s">
        <v>10</v>
      </c>
      <c r="I1012" s="75">
        <v>19489</v>
      </c>
      <c r="K1012" s="75" t="str">
        <f>IFERROR(VLOOKUP(J1012,'NQ10'!$B$9:$C$145,2,0),"")</f>
        <v/>
      </c>
    </row>
    <row r="1013" spans="1:11" ht="15" customHeight="1" x14ac:dyDescent="0.25">
      <c r="A1013" s="75">
        <v>1</v>
      </c>
      <c r="B1013" s="75">
        <v>77</v>
      </c>
      <c r="C1013" s="75" t="s">
        <v>10</v>
      </c>
      <c r="D1013" s="75">
        <v>1975</v>
      </c>
      <c r="F1013" s="75" t="s">
        <v>10</v>
      </c>
      <c r="H1013" s="75" t="s">
        <v>10</v>
      </c>
      <c r="I1013" s="75">
        <v>19489</v>
      </c>
      <c r="K1013" s="75" t="str">
        <f>IFERROR(VLOOKUP(J1013,'NQ10'!$B$9:$C$145,2,0),"")</f>
        <v/>
      </c>
    </row>
    <row r="1014" spans="1:11" ht="15" customHeight="1" x14ac:dyDescent="0.25">
      <c r="A1014" s="75">
        <v>1</v>
      </c>
      <c r="B1014" s="75">
        <v>80</v>
      </c>
      <c r="C1014" s="75" t="s">
        <v>10</v>
      </c>
      <c r="D1014" s="75">
        <v>3684</v>
      </c>
      <c r="F1014" s="75" t="s">
        <v>10</v>
      </c>
      <c r="H1014" s="75" t="s">
        <v>10</v>
      </c>
      <c r="I1014" s="75">
        <v>19489</v>
      </c>
      <c r="K1014" s="75" t="str">
        <f>IFERROR(VLOOKUP(J1014,'NQ10'!$B$9:$C$145,2,0),"")</f>
        <v/>
      </c>
    </row>
    <row r="1015" spans="1:11" ht="15" customHeight="1" x14ac:dyDescent="0.25">
      <c r="A1015" s="75">
        <v>1</v>
      </c>
      <c r="B1015" s="75">
        <v>81</v>
      </c>
      <c r="C1015" s="75" t="s">
        <v>10</v>
      </c>
      <c r="D1015" s="75">
        <v>1892</v>
      </c>
      <c r="F1015" s="75" t="s">
        <v>10</v>
      </c>
      <c r="H1015" s="75" t="s">
        <v>10</v>
      </c>
      <c r="I1015" s="75">
        <v>19489</v>
      </c>
      <c r="K1015" s="75" t="str">
        <f>IFERROR(VLOOKUP(J1015,'NQ10'!$B$9:$C$145,2,0),"")</f>
        <v/>
      </c>
    </row>
    <row r="1016" spans="1:11" ht="15" customHeight="1" x14ac:dyDescent="0.25">
      <c r="A1016" s="75">
        <v>1</v>
      </c>
      <c r="B1016" s="75">
        <v>82</v>
      </c>
      <c r="C1016" s="75" t="s">
        <v>10</v>
      </c>
      <c r="D1016" s="75">
        <v>5687</v>
      </c>
      <c r="F1016" s="75" t="s">
        <v>10</v>
      </c>
      <c r="H1016" s="75" t="s">
        <v>10</v>
      </c>
      <c r="I1016" s="75">
        <v>19489</v>
      </c>
      <c r="K1016" s="75" t="str">
        <f>IFERROR(VLOOKUP(J1016,'NQ10'!$B$9:$C$145,2,0),"")</f>
        <v/>
      </c>
    </row>
    <row r="1017" spans="1:11" ht="15" customHeight="1" x14ac:dyDescent="0.25">
      <c r="A1017" s="75">
        <v>1</v>
      </c>
      <c r="B1017" s="75">
        <v>84</v>
      </c>
      <c r="C1017" s="75" t="s">
        <v>10</v>
      </c>
      <c r="D1017" s="75">
        <v>12129</v>
      </c>
      <c r="F1017" s="75" t="s">
        <v>10</v>
      </c>
      <c r="H1017" s="75" t="s">
        <v>10</v>
      </c>
      <c r="I1017" s="75">
        <v>19489</v>
      </c>
      <c r="K1017" s="75" t="str">
        <f>IFERROR(VLOOKUP(J1017,'NQ10'!$B$9:$C$145,2,0),"")</f>
        <v/>
      </c>
    </row>
    <row r="1018" spans="1:11" ht="15" customHeight="1" x14ac:dyDescent="0.25">
      <c r="A1018" s="75">
        <v>1</v>
      </c>
      <c r="B1018" s="75">
        <v>86</v>
      </c>
      <c r="C1018" s="75" t="s">
        <v>10</v>
      </c>
      <c r="D1018" s="75">
        <v>13645</v>
      </c>
      <c r="F1018" s="75" t="s">
        <v>10</v>
      </c>
      <c r="H1018" s="75" t="s">
        <v>10</v>
      </c>
      <c r="I1018" s="75">
        <v>19489</v>
      </c>
      <c r="K1018" s="75" t="str">
        <f>IFERROR(VLOOKUP(J1018,'NQ10'!$B$9:$C$145,2,0),"")</f>
        <v/>
      </c>
    </row>
    <row r="1019" spans="1:11" ht="15" customHeight="1" x14ac:dyDescent="0.25">
      <c r="A1019" s="75">
        <v>1</v>
      </c>
      <c r="B1019" s="75">
        <v>87</v>
      </c>
      <c r="C1019" s="75" t="s">
        <v>10</v>
      </c>
      <c r="D1019" s="75">
        <v>4551</v>
      </c>
      <c r="F1019" s="75" t="s">
        <v>10</v>
      </c>
      <c r="H1019" s="75" t="s">
        <v>10</v>
      </c>
      <c r="I1019" s="75">
        <v>19489</v>
      </c>
      <c r="K1019" s="75" t="str">
        <f>IFERROR(VLOOKUP(J1019,'NQ10'!$B$9:$C$145,2,0),"")</f>
        <v/>
      </c>
    </row>
    <row r="1020" spans="1:11" ht="15" customHeight="1" x14ac:dyDescent="0.25">
      <c r="A1020" s="75">
        <v>1</v>
      </c>
      <c r="B1020" s="75">
        <v>96</v>
      </c>
      <c r="C1020" s="75" t="s">
        <v>10</v>
      </c>
      <c r="D1020" s="75">
        <v>3987</v>
      </c>
      <c r="F1020" s="75" t="s">
        <v>10</v>
      </c>
      <c r="H1020" s="75" t="s">
        <v>10</v>
      </c>
      <c r="I1020" s="75">
        <v>19489</v>
      </c>
      <c r="K1020" s="75" t="str">
        <f>IFERROR(VLOOKUP(J1020,'NQ10'!$B$9:$C$145,2,0),"")</f>
        <v/>
      </c>
    </row>
    <row r="1021" spans="1:11" ht="15" customHeight="1" x14ac:dyDescent="0.25">
      <c r="A1021" s="75">
        <v>1</v>
      </c>
      <c r="B1021" s="75">
        <v>98</v>
      </c>
      <c r="C1021" s="75" t="s">
        <v>10</v>
      </c>
      <c r="D1021" s="75">
        <v>6810</v>
      </c>
      <c r="F1021" s="75" t="s">
        <v>10</v>
      </c>
      <c r="H1021" s="75" t="s">
        <v>10</v>
      </c>
      <c r="I1021" s="75">
        <v>19489</v>
      </c>
      <c r="K1021" s="75" t="str">
        <f>IFERROR(VLOOKUP(J1021,'NQ10'!$B$9:$C$145,2,0),"")</f>
        <v/>
      </c>
    </row>
    <row r="1022" spans="1:11" ht="15" customHeight="1" x14ac:dyDescent="0.25">
      <c r="A1022" s="75">
        <v>1</v>
      </c>
      <c r="B1022" s="75">
        <v>99</v>
      </c>
      <c r="C1022" s="75" t="s">
        <v>10</v>
      </c>
      <c r="D1022" s="75">
        <v>6882</v>
      </c>
      <c r="F1022" s="75" t="s">
        <v>10</v>
      </c>
      <c r="H1022" s="75" t="s">
        <v>10</v>
      </c>
      <c r="I1022" s="75">
        <v>19489</v>
      </c>
      <c r="K1022" s="75" t="str">
        <f>IFERROR(VLOOKUP(J1022,'NQ10'!$B$9:$C$145,2,0),"")</f>
        <v/>
      </c>
    </row>
    <row r="1023" spans="1:11" ht="15" customHeight="1" x14ac:dyDescent="0.25">
      <c r="A1023" s="75">
        <v>1</v>
      </c>
      <c r="B1023" s="75">
        <v>102</v>
      </c>
      <c r="C1023" s="75" t="s">
        <v>10</v>
      </c>
      <c r="D1023" s="75">
        <v>12261</v>
      </c>
      <c r="F1023" s="75" t="s">
        <v>10</v>
      </c>
      <c r="H1023" s="75" t="s">
        <v>10</v>
      </c>
      <c r="I1023" s="75">
        <v>19489</v>
      </c>
      <c r="K1023" s="75" t="str">
        <f>IFERROR(VLOOKUP(J1023,'NQ10'!$B$9:$C$145,2,0),"")</f>
        <v/>
      </c>
    </row>
    <row r="1024" spans="1:11" ht="15" customHeight="1" x14ac:dyDescent="0.25">
      <c r="A1024" s="75">
        <v>1</v>
      </c>
      <c r="B1024" s="75">
        <v>103</v>
      </c>
      <c r="C1024" s="75" t="s">
        <v>10</v>
      </c>
      <c r="D1024" s="75">
        <v>1138</v>
      </c>
      <c r="F1024" s="75" t="s">
        <v>10</v>
      </c>
      <c r="H1024" s="75" t="s">
        <v>10</v>
      </c>
      <c r="I1024" s="75">
        <v>19489</v>
      </c>
      <c r="K1024" s="75" t="str">
        <f>IFERROR(VLOOKUP(J1024,'NQ10'!$B$9:$C$145,2,0),"")</f>
        <v/>
      </c>
    </row>
    <row r="1025" spans="1:11" ht="15" customHeight="1" x14ac:dyDescent="0.25">
      <c r="A1025" s="75">
        <v>1</v>
      </c>
      <c r="B1025" s="75">
        <v>104</v>
      </c>
      <c r="C1025" s="75" t="s">
        <v>10</v>
      </c>
      <c r="D1025" s="75">
        <v>6063</v>
      </c>
      <c r="F1025" s="75" t="s">
        <v>10</v>
      </c>
      <c r="H1025" s="75" t="s">
        <v>10</v>
      </c>
      <c r="I1025" s="75">
        <v>19489</v>
      </c>
      <c r="K1025" s="75" t="str">
        <f>IFERROR(VLOOKUP(J1025,'NQ10'!$B$9:$C$145,2,0),"")</f>
        <v/>
      </c>
    </row>
    <row r="1026" spans="1:11" ht="15" customHeight="1" x14ac:dyDescent="0.25">
      <c r="A1026" s="75">
        <v>1</v>
      </c>
      <c r="B1026" s="75">
        <v>106</v>
      </c>
      <c r="C1026" s="75" t="s">
        <v>10</v>
      </c>
      <c r="D1026" s="75">
        <v>5891</v>
      </c>
      <c r="F1026" s="75" t="s">
        <v>10</v>
      </c>
      <c r="H1026" s="75" t="s">
        <v>10</v>
      </c>
      <c r="I1026" s="75">
        <v>19489</v>
      </c>
      <c r="K1026" s="75" t="str">
        <f>IFERROR(VLOOKUP(J1026,'NQ10'!$B$9:$C$145,2,0),"")</f>
        <v/>
      </c>
    </row>
    <row r="1027" spans="1:11" ht="15" customHeight="1" x14ac:dyDescent="0.25">
      <c r="A1027" s="75">
        <v>1</v>
      </c>
      <c r="B1027" s="75">
        <v>107</v>
      </c>
      <c r="C1027" s="75" t="s">
        <v>10</v>
      </c>
      <c r="D1027" s="75">
        <v>3364</v>
      </c>
      <c r="F1027" s="75" t="s">
        <v>10</v>
      </c>
      <c r="H1027" s="75" t="s">
        <v>10</v>
      </c>
      <c r="I1027" s="75">
        <v>19489</v>
      </c>
      <c r="K1027" s="75" t="str">
        <f>IFERROR(VLOOKUP(J1027,'NQ10'!$B$9:$C$145,2,0),"")</f>
        <v/>
      </c>
    </row>
    <row r="1028" spans="1:11" ht="15" customHeight="1" x14ac:dyDescent="0.25">
      <c r="A1028" s="75">
        <v>1</v>
      </c>
      <c r="B1028" s="75">
        <v>108</v>
      </c>
      <c r="C1028" s="75" t="s">
        <v>10</v>
      </c>
      <c r="D1028" s="75">
        <v>5894</v>
      </c>
      <c r="F1028" s="75" t="s">
        <v>10</v>
      </c>
      <c r="H1028" s="75" t="s">
        <v>10</v>
      </c>
      <c r="I1028" s="75">
        <v>19489</v>
      </c>
      <c r="K1028" s="75" t="str">
        <f>IFERROR(VLOOKUP(J1028,'NQ10'!$B$9:$C$145,2,0),"")</f>
        <v/>
      </c>
    </row>
    <row r="1029" spans="1:11" ht="15" customHeight="1" x14ac:dyDescent="0.25">
      <c r="A1029" s="75">
        <v>1</v>
      </c>
      <c r="B1029" s="75">
        <v>115</v>
      </c>
      <c r="C1029" s="75" t="s">
        <v>10</v>
      </c>
      <c r="D1029" s="75">
        <v>4088</v>
      </c>
      <c r="F1029" s="75" t="s">
        <v>10</v>
      </c>
      <c r="H1029" s="75" t="s">
        <v>10</v>
      </c>
      <c r="I1029" s="75">
        <v>19489</v>
      </c>
      <c r="K1029" s="75" t="str">
        <f>IFERROR(VLOOKUP(J1029,'NQ10'!$B$9:$C$145,2,0),"")</f>
        <v/>
      </c>
    </row>
    <row r="1030" spans="1:11" ht="15" customHeight="1" x14ac:dyDescent="0.25">
      <c r="A1030" s="75">
        <v>1</v>
      </c>
      <c r="B1030" s="75">
        <v>118</v>
      </c>
      <c r="C1030" s="75" t="s">
        <v>10</v>
      </c>
      <c r="D1030" s="75">
        <v>2581</v>
      </c>
      <c r="F1030" s="75" t="s">
        <v>10</v>
      </c>
      <c r="H1030" s="75" t="s">
        <v>10</v>
      </c>
      <c r="I1030" s="75">
        <v>19489</v>
      </c>
      <c r="K1030" s="75" t="str">
        <f>IFERROR(VLOOKUP(J1030,'NQ10'!$B$9:$C$145,2,0),"")</f>
        <v/>
      </c>
    </row>
    <row r="1031" spans="1:11" ht="15" customHeight="1" x14ac:dyDescent="0.25">
      <c r="A1031" s="75">
        <v>1</v>
      </c>
      <c r="B1031" s="75">
        <v>120</v>
      </c>
      <c r="C1031" s="75" t="s">
        <v>10</v>
      </c>
      <c r="D1031" s="75">
        <v>4959</v>
      </c>
      <c r="F1031" s="75" t="s">
        <v>10</v>
      </c>
      <c r="H1031" s="75" t="s">
        <v>10</v>
      </c>
      <c r="I1031" s="75">
        <v>19489</v>
      </c>
      <c r="K1031" s="75" t="str">
        <f>IFERROR(VLOOKUP(J1031,'NQ10'!$B$9:$C$145,2,0),"")</f>
        <v/>
      </c>
    </row>
    <row r="1032" spans="1:11" ht="15" customHeight="1" x14ac:dyDescent="0.25">
      <c r="A1032" s="75">
        <v>1</v>
      </c>
      <c r="B1032" s="75">
        <v>121</v>
      </c>
      <c r="C1032" s="75" t="s">
        <v>10</v>
      </c>
      <c r="D1032" s="75">
        <v>3054</v>
      </c>
      <c r="F1032" s="75" t="s">
        <v>10</v>
      </c>
      <c r="H1032" s="75" t="s">
        <v>10</v>
      </c>
      <c r="I1032" s="75">
        <v>19489</v>
      </c>
      <c r="K1032" s="75" t="str">
        <f>IFERROR(VLOOKUP(J1032,'NQ10'!$B$9:$C$145,2,0),"")</f>
        <v/>
      </c>
    </row>
    <row r="1033" spans="1:11" ht="15" customHeight="1" x14ac:dyDescent="0.25">
      <c r="A1033" s="75">
        <v>1</v>
      </c>
      <c r="B1033" s="75">
        <v>123</v>
      </c>
      <c r="C1033" s="75" t="s">
        <v>10</v>
      </c>
      <c r="D1033" s="75">
        <v>11108</v>
      </c>
      <c r="F1033" s="75" t="s">
        <v>10</v>
      </c>
      <c r="H1033" s="75" t="s">
        <v>10</v>
      </c>
      <c r="I1033" s="75">
        <v>19489</v>
      </c>
      <c r="K1033" s="75" t="str">
        <f>IFERROR(VLOOKUP(J1033,'NQ10'!$B$9:$C$145,2,0),"")</f>
        <v/>
      </c>
    </row>
    <row r="1034" spans="1:11" ht="15" customHeight="1" x14ac:dyDescent="0.25">
      <c r="A1034" s="75">
        <v>1</v>
      </c>
      <c r="B1034" s="75">
        <v>126</v>
      </c>
      <c r="C1034" s="75" t="s">
        <v>10</v>
      </c>
      <c r="D1034" s="75">
        <v>5736</v>
      </c>
      <c r="F1034" s="75" t="s">
        <v>10</v>
      </c>
      <c r="H1034" s="75" t="s">
        <v>10</v>
      </c>
      <c r="I1034" s="75">
        <v>19489</v>
      </c>
      <c r="K1034" s="75" t="str">
        <f>IFERROR(VLOOKUP(J1034,'NQ10'!$B$9:$C$145,2,0),"")</f>
        <v/>
      </c>
    </row>
    <row r="1035" spans="1:11" ht="15" customHeight="1" x14ac:dyDescent="0.25">
      <c r="A1035" s="75">
        <v>1</v>
      </c>
      <c r="B1035" s="75">
        <v>130</v>
      </c>
      <c r="C1035" s="75" t="s">
        <v>10</v>
      </c>
      <c r="D1035" s="75">
        <v>4585</v>
      </c>
      <c r="F1035" s="75" t="s">
        <v>10</v>
      </c>
      <c r="H1035" s="75" t="s">
        <v>10</v>
      </c>
      <c r="I1035" s="75">
        <v>19489</v>
      </c>
      <c r="K1035" s="75" t="str">
        <f>IFERROR(VLOOKUP(J1035,'NQ10'!$B$9:$C$145,2,0),"")</f>
        <v/>
      </c>
    </row>
    <row r="1036" spans="1:11" ht="15" customHeight="1" x14ac:dyDescent="0.25">
      <c r="A1036" s="75">
        <v>1</v>
      </c>
      <c r="B1036" s="75">
        <v>136</v>
      </c>
      <c r="C1036" s="75" t="s">
        <v>10</v>
      </c>
      <c r="D1036" s="75">
        <v>16066</v>
      </c>
      <c r="F1036" s="75" t="s">
        <v>10</v>
      </c>
      <c r="H1036" s="75" t="s">
        <v>10</v>
      </c>
      <c r="I1036" s="75">
        <v>19489</v>
      </c>
      <c r="K1036" s="75" t="str">
        <f>IFERROR(VLOOKUP(J1036,'NQ10'!$B$9:$C$145,2,0),"")</f>
        <v/>
      </c>
    </row>
    <row r="1037" spans="1:11" ht="15" customHeight="1" x14ac:dyDescent="0.25">
      <c r="A1037" s="75">
        <v>1</v>
      </c>
      <c r="B1037" s="75">
        <v>137</v>
      </c>
      <c r="C1037" s="75" t="s">
        <v>10</v>
      </c>
      <c r="D1037" s="75">
        <v>2895</v>
      </c>
      <c r="F1037" s="75" t="s">
        <v>10</v>
      </c>
      <c r="H1037" s="75" t="s">
        <v>10</v>
      </c>
      <c r="I1037" s="75">
        <v>19489</v>
      </c>
      <c r="K1037" s="75" t="str">
        <f>IFERROR(VLOOKUP(J1037,'NQ10'!$B$9:$C$145,2,0),"")</f>
        <v/>
      </c>
    </row>
    <row r="1038" spans="1:11" ht="15" customHeight="1" x14ac:dyDescent="0.25">
      <c r="A1038" s="75">
        <v>1</v>
      </c>
      <c r="B1038" s="75">
        <v>138</v>
      </c>
      <c r="C1038" s="75" t="s">
        <v>10</v>
      </c>
      <c r="D1038" s="75">
        <v>9161</v>
      </c>
      <c r="F1038" s="75" t="s">
        <v>10</v>
      </c>
      <c r="H1038" s="75" t="s">
        <v>10</v>
      </c>
      <c r="I1038" s="75">
        <v>19489</v>
      </c>
      <c r="K1038" s="75" t="str">
        <f>IFERROR(VLOOKUP(J1038,'NQ10'!$B$9:$C$145,2,0),"")</f>
        <v/>
      </c>
    </row>
    <row r="1039" spans="1:11" ht="15" customHeight="1" x14ac:dyDescent="0.25">
      <c r="A1039" s="75">
        <v>1</v>
      </c>
      <c r="B1039" s="75">
        <v>143</v>
      </c>
      <c r="C1039" s="75" t="s">
        <v>10</v>
      </c>
      <c r="D1039" s="75">
        <v>3567</v>
      </c>
      <c r="F1039" s="75" t="s">
        <v>10</v>
      </c>
      <c r="H1039" s="75" t="s">
        <v>10</v>
      </c>
      <c r="I1039" s="75">
        <v>19489</v>
      </c>
      <c r="K1039" s="75" t="str">
        <f>IFERROR(VLOOKUP(J1039,'NQ10'!$B$9:$C$145,2,0),"")</f>
        <v/>
      </c>
    </row>
    <row r="1040" spans="1:11" ht="15" customHeight="1" x14ac:dyDescent="0.25">
      <c r="A1040" s="75">
        <v>1</v>
      </c>
      <c r="B1040" s="75">
        <v>144</v>
      </c>
      <c r="C1040" s="75" t="s">
        <v>10</v>
      </c>
      <c r="D1040" s="75">
        <v>6324</v>
      </c>
      <c r="F1040" s="75" t="s">
        <v>10</v>
      </c>
      <c r="H1040" s="75" t="s">
        <v>10</v>
      </c>
      <c r="I1040" s="75">
        <v>19489</v>
      </c>
      <c r="K1040" s="75" t="str">
        <f>IFERROR(VLOOKUP(J1040,'NQ10'!$B$9:$C$145,2,0),"")</f>
        <v/>
      </c>
    </row>
    <row r="1041" spans="1:11" ht="15" customHeight="1" x14ac:dyDescent="0.25">
      <c r="A1041" s="75">
        <v>1</v>
      </c>
      <c r="B1041" s="75">
        <v>146</v>
      </c>
      <c r="C1041" s="75" t="s">
        <v>10</v>
      </c>
      <c r="D1041" s="75">
        <v>3575</v>
      </c>
      <c r="F1041" s="75" t="s">
        <v>10</v>
      </c>
      <c r="H1041" s="75" t="s">
        <v>10</v>
      </c>
      <c r="I1041" s="75">
        <v>19489</v>
      </c>
      <c r="K1041" s="75" t="str">
        <f>IFERROR(VLOOKUP(J1041,'NQ10'!$B$9:$C$145,2,0),"")</f>
        <v/>
      </c>
    </row>
    <row r="1042" spans="1:11" ht="15" customHeight="1" x14ac:dyDescent="0.25">
      <c r="A1042" s="75">
        <v>1</v>
      </c>
      <c r="B1042" s="75">
        <v>147</v>
      </c>
      <c r="C1042" s="75" t="s">
        <v>10</v>
      </c>
      <c r="D1042" s="75">
        <v>1301</v>
      </c>
      <c r="F1042" s="75" t="s">
        <v>10</v>
      </c>
      <c r="H1042" s="75" t="s">
        <v>10</v>
      </c>
      <c r="I1042" s="75">
        <v>19489</v>
      </c>
      <c r="K1042" s="75" t="str">
        <f>IFERROR(VLOOKUP(J1042,'NQ10'!$B$9:$C$145,2,0),"")</f>
        <v/>
      </c>
    </row>
    <row r="1043" spans="1:11" ht="15" customHeight="1" x14ac:dyDescent="0.25">
      <c r="A1043" s="75">
        <v>1</v>
      </c>
      <c r="B1043" s="75">
        <v>148</v>
      </c>
      <c r="C1043" s="75" t="s">
        <v>10</v>
      </c>
      <c r="D1043" s="75">
        <v>1355</v>
      </c>
      <c r="F1043" s="75" t="s">
        <v>10</v>
      </c>
      <c r="H1043" s="75" t="s">
        <v>10</v>
      </c>
      <c r="I1043" s="75">
        <v>19489</v>
      </c>
      <c r="K1043" s="75" t="str">
        <f>IFERROR(VLOOKUP(J1043,'NQ10'!$B$9:$C$145,2,0),"")</f>
        <v/>
      </c>
    </row>
    <row r="1044" spans="1:11" ht="15" customHeight="1" x14ac:dyDescent="0.25">
      <c r="A1044" s="75">
        <v>1</v>
      </c>
      <c r="B1044" s="75">
        <v>153</v>
      </c>
      <c r="C1044" s="75" t="s">
        <v>10</v>
      </c>
      <c r="D1044" s="75">
        <v>7404</v>
      </c>
      <c r="F1044" s="75" t="s">
        <v>10</v>
      </c>
      <c r="H1044" s="75" t="s">
        <v>10</v>
      </c>
      <c r="I1044" s="75">
        <v>19489</v>
      </c>
      <c r="K1044" s="75" t="str">
        <f>IFERROR(VLOOKUP(J1044,'NQ10'!$B$9:$C$145,2,0),"")</f>
        <v/>
      </c>
    </row>
    <row r="1045" spans="1:11" ht="15" customHeight="1" x14ac:dyDescent="0.25">
      <c r="A1045" s="75">
        <v>1</v>
      </c>
      <c r="B1045" s="75">
        <v>155</v>
      </c>
      <c r="C1045" s="75" t="s">
        <v>10</v>
      </c>
      <c r="D1045" s="75">
        <v>7399</v>
      </c>
      <c r="F1045" s="75" t="s">
        <v>10</v>
      </c>
      <c r="H1045" s="75" t="s">
        <v>10</v>
      </c>
      <c r="I1045" s="75">
        <v>19489</v>
      </c>
      <c r="K1045" s="75" t="str">
        <f>IFERROR(VLOOKUP(J1045,'NQ10'!$B$9:$C$145,2,0),"")</f>
        <v/>
      </c>
    </row>
    <row r="1046" spans="1:11" ht="15" customHeight="1" x14ac:dyDescent="0.25">
      <c r="A1046" s="75">
        <v>1</v>
      </c>
      <c r="B1046" s="75">
        <v>156</v>
      </c>
      <c r="C1046" s="75" t="s">
        <v>10</v>
      </c>
      <c r="D1046" s="75">
        <v>2989</v>
      </c>
      <c r="F1046" s="75" t="s">
        <v>10</v>
      </c>
      <c r="H1046" s="75" t="s">
        <v>10</v>
      </c>
      <c r="I1046" s="75">
        <v>19489</v>
      </c>
      <c r="K1046" s="75" t="str">
        <f>IFERROR(VLOOKUP(J1046,'NQ10'!$B$9:$C$145,2,0),"")</f>
        <v/>
      </c>
    </row>
    <row r="1047" spans="1:11" ht="15" customHeight="1" x14ac:dyDescent="0.25">
      <c r="A1047" s="75">
        <v>1</v>
      </c>
      <c r="B1047" s="75">
        <v>161</v>
      </c>
      <c r="C1047" s="75" t="s">
        <v>10</v>
      </c>
      <c r="D1047" s="75">
        <v>19478</v>
      </c>
      <c r="F1047" s="75" t="s">
        <v>10</v>
      </c>
      <c r="H1047" s="75" t="s">
        <v>10</v>
      </c>
      <c r="I1047" s="75">
        <v>19489</v>
      </c>
      <c r="K1047" s="75" t="str">
        <f>IFERROR(VLOOKUP(J1047,'NQ10'!$B$9:$C$145,2,0),"")</f>
        <v/>
      </c>
    </row>
    <row r="1048" spans="1:11" ht="15" customHeight="1" x14ac:dyDescent="0.25">
      <c r="A1048" s="75">
        <v>1</v>
      </c>
      <c r="B1048" s="75">
        <v>163</v>
      </c>
      <c r="C1048" s="75" t="s">
        <v>10</v>
      </c>
      <c r="D1048" s="75">
        <v>3427</v>
      </c>
      <c r="F1048" s="75" t="s">
        <v>10</v>
      </c>
      <c r="H1048" s="75" t="s">
        <v>10</v>
      </c>
      <c r="I1048" s="75">
        <v>19489</v>
      </c>
      <c r="K1048" s="75" t="str">
        <f>IFERROR(VLOOKUP(J1048,'NQ10'!$B$9:$C$145,2,0),"")</f>
        <v/>
      </c>
    </row>
    <row r="1049" spans="1:11" ht="15" customHeight="1" x14ac:dyDescent="0.25">
      <c r="A1049" s="75">
        <v>1</v>
      </c>
      <c r="B1049" s="75">
        <v>166</v>
      </c>
      <c r="C1049" s="75" t="s">
        <v>10</v>
      </c>
      <c r="D1049" s="75">
        <v>2002</v>
      </c>
      <c r="F1049" s="75" t="s">
        <v>10</v>
      </c>
      <c r="H1049" s="75" t="s">
        <v>10</v>
      </c>
      <c r="I1049" s="75">
        <v>19489</v>
      </c>
      <c r="K1049" s="75" t="str">
        <f>IFERROR(VLOOKUP(J1049,'NQ10'!$B$9:$C$145,2,0),"")</f>
        <v/>
      </c>
    </row>
    <row r="1050" spans="1:11" ht="15" customHeight="1" x14ac:dyDescent="0.25">
      <c r="A1050" s="75">
        <v>1</v>
      </c>
      <c r="B1050" s="75">
        <v>168</v>
      </c>
      <c r="C1050" s="75" t="s">
        <v>10</v>
      </c>
      <c r="D1050" s="75">
        <v>2418</v>
      </c>
      <c r="F1050" s="75" t="s">
        <v>10</v>
      </c>
      <c r="H1050" s="75" t="s">
        <v>10</v>
      </c>
      <c r="I1050" s="75">
        <v>19489</v>
      </c>
      <c r="K1050" s="75" t="str">
        <f>IFERROR(VLOOKUP(J1050,'NQ10'!$B$9:$C$145,2,0),"")</f>
        <v/>
      </c>
    </row>
    <row r="1051" spans="1:11" ht="15" customHeight="1" x14ac:dyDescent="0.25">
      <c r="A1051" s="75">
        <v>1</v>
      </c>
      <c r="B1051" s="75">
        <v>169</v>
      </c>
      <c r="C1051" s="75" t="s">
        <v>10</v>
      </c>
      <c r="D1051" s="75">
        <v>4526</v>
      </c>
      <c r="F1051" s="75" t="s">
        <v>10</v>
      </c>
      <c r="H1051" s="75" t="s">
        <v>10</v>
      </c>
      <c r="I1051" s="75">
        <v>19489</v>
      </c>
      <c r="K1051" s="75" t="str">
        <f>IFERROR(VLOOKUP(J1051,'NQ10'!$B$9:$C$145,2,0),"")</f>
        <v/>
      </c>
    </row>
    <row r="1052" spans="1:11" ht="15" customHeight="1" x14ac:dyDescent="0.25">
      <c r="A1052" s="75">
        <v>1</v>
      </c>
      <c r="B1052" s="75">
        <v>171</v>
      </c>
      <c r="C1052" s="75" t="s">
        <v>10</v>
      </c>
      <c r="D1052" s="75">
        <v>1406</v>
      </c>
      <c r="F1052" s="75" t="s">
        <v>10</v>
      </c>
      <c r="H1052" s="75" t="s">
        <v>10</v>
      </c>
      <c r="I1052" s="75">
        <v>19489</v>
      </c>
      <c r="K1052" s="75" t="str">
        <f>IFERROR(VLOOKUP(J1052,'NQ10'!$B$9:$C$145,2,0),"")</f>
        <v/>
      </c>
    </row>
    <row r="1053" spans="1:11" ht="15" customHeight="1" x14ac:dyDescent="0.25">
      <c r="A1053" s="75">
        <v>1</v>
      </c>
      <c r="B1053" s="75">
        <v>175</v>
      </c>
      <c r="C1053" s="75" t="s">
        <v>10</v>
      </c>
      <c r="D1053" s="75">
        <v>2452</v>
      </c>
      <c r="F1053" s="75" t="s">
        <v>10</v>
      </c>
      <c r="H1053" s="75" t="s">
        <v>10</v>
      </c>
      <c r="I1053" s="75">
        <v>19489</v>
      </c>
      <c r="K1053" s="75" t="str">
        <f>IFERROR(VLOOKUP(J1053,'NQ10'!$B$9:$C$145,2,0),"")</f>
        <v/>
      </c>
    </row>
    <row r="1054" spans="1:11" ht="15" customHeight="1" x14ac:dyDescent="0.25">
      <c r="A1054" s="75">
        <v>1</v>
      </c>
      <c r="B1054" s="75">
        <v>181</v>
      </c>
      <c r="C1054" s="75" t="s">
        <v>10</v>
      </c>
      <c r="D1054" s="75">
        <v>2461</v>
      </c>
      <c r="F1054" s="75" t="s">
        <v>10</v>
      </c>
      <c r="H1054" s="75" t="s">
        <v>10</v>
      </c>
      <c r="I1054" s="75">
        <v>19489</v>
      </c>
      <c r="K1054" s="75" t="str">
        <f>IFERROR(VLOOKUP(J1054,'NQ10'!$B$9:$C$145,2,0),"")</f>
        <v/>
      </c>
    </row>
    <row r="1055" spans="1:11" ht="15" customHeight="1" x14ac:dyDescent="0.25">
      <c r="A1055" s="75">
        <v>1</v>
      </c>
      <c r="B1055" s="75">
        <v>182</v>
      </c>
      <c r="C1055" s="75" t="s">
        <v>10</v>
      </c>
      <c r="D1055" s="75">
        <v>25603</v>
      </c>
      <c r="F1055" s="75" t="s">
        <v>10</v>
      </c>
      <c r="H1055" s="75" t="s">
        <v>10</v>
      </c>
      <c r="I1055" s="75">
        <v>19489</v>
      </c>
      <c r="K1055" s="75" t="str">
        <f>IFERROR(VLOOKUP(J1055,'NQ10'!$B$9:$C$145,2,0),"")</f>
        <v/>
      </c>
    </row>
    <row r="1056" spans="1:11" ht="15" customHeight="1" x14ac:dyDescent="0.25">
      <c r="A1056" s="75">
        <v>1</v>
      </c>
      <c r="B1056" s="75">
        <v>183</v>
      </c>
      <c r="C1056" s="75" t="s">
        <v>10</v>
      </c>
      <c r="D1056" s="75">
        <v>8014</v>
      </c>
      <c r="F1056" s="75" t="s">
        <v>10</v>
      </c>
      <c r="H1056" s="75" t="s">
        <v>10</v>
      </c>
      <c r="I1056" s="75">
        <v>19489</v>
      </c>
      <c r="K1056" s="75" t="str">
        <f>IFERROR(VLOOKUP(J1056,'NQ10'!$B$9:$C$145,2,0),"")</f>
        <v/>
      </c>
    </row>
    <row r="1057" spans="1:11" ht="15" customHeight="1" x14ac:dyDescent="0.25">
      <c r="A1057" s="75">
        <v>1</v>
      </c>
      <c r="B1057" s="75">
        <v>184</v>
      </c>
      <c r="C1057" s="75" t="s">
        <v>10</v>
      </c>
      <c r="D1057" s="75">
        <v>1409</v>
      </c>
      <c r="F1057" s="75" t="s">
        <v>10</v>
      </c>
      <c r="H1057" s="75" t="s">
        <v>10</v>
      </c>
      <c r="I1057" s="75">
        <v>19489</v>
      </c>
      <c r="K1057" s="75" t="str">
        <f>IFERROR(VLOOKUP(J1057,'NQ10'!$B$9:$C$145,2,0),"")</f>
        <v/>
      </c>
    </row>
    <row r="1058" spans="1:11" ht="15" customHeight="1" x14ac:dyDescent="0.25">
      <c r="A1058" s="75">
        <v>1</v>
      </c>
      <c r="B1058" s="75">
        <v>187</v>
      </c>
      <c r="C1058" s="75" t="s">
        <v>10</v>
      </c>
      <c r="D1058" s="75">
        <v>4248</v>
      </c>
      <c r="F1058" s="75" t="s">
        <v>10</v>
      </c>
      <c r="H1058" s="75" t="s">
        <v>10</v>
      </c>
      <c r="I1058" s="75">
        <v>19489</v>
      </c>
      <c r="K1058" s="75" t="str">
        <f>IFERROR(VLOOKUP(J1058,'NQ10'!$B$9:$C$145,2,0),"")</f>
        <v/>
      </c>
    </row>
    <row r="1059" spans="1:11" ht="15" customHeight="1" x14ac:dyDescent="0.25">
      <c r="A1059" s="75">
        <v>1</v>
      </c>
      <c r="B1059" s="75">
        <v>188</v>
      </c>
      <c r="C1059" s="75" t="s">
        <v>10</v>
      </c>
      <c r="D1059" s="75">
        <v>4042</v>
      </c>
      <c r="F1059" s="75" t="s">
        <v>10</v>
      </c>
      <c r="H1059" s="75" t="s">
        <v>10</v>
      </c>
      <c r="I1059" s="75">
        <v>19489</v>
      </c>
      <c r="K1059" s="75" t="str">
        <f>IFERROR(VLOOKUP(J1059,'NQ10'!$B$9:$C$145,2,0),"")</f>
        <v/>
      </c>
    </row>
    <row r="1060" spans="1:11" ht="15" customHeight="1" x14ac:dyDescent="0.25">
      <c r="A1060" s="75">
        <v>1</v>
      </c>
      <c r="B1060" s="75">
        <v>191</v>
      </c>
      <c r="C1060" s="75" t="s">
        <v>10</v>
      </c>
      <c r="D1060" s="75">
        <v>18317</v>
      </c>
      <c r="F1060" s="75" t="s">
        <v>10</v>
      </c>
      <c r="H1060" s="75" t="s">
        <v>10</v>
      </c>
      <c r="I1060" s="75">
        <v>19489</v>
      </c>
      <c r="K1060" s="75" t="str">
        <f>IFERROR(VLOOKUP(J1060,'NQ10'!$B$9:$C$145,2,0),"")</f>
        <v/>
      </c>
    </row>
    <row r="1061" spans="1:11" ht="15" customHeight="1" x14ac:dyDescent="0.25">
      <c r="A1061" s="75">
        <v>1</v>
      </c>
      <c r="B1061" s="75">
        <v>193</v>
      </c>
      <c r="C1061" s="75" t="s">
        <v>10</v>
      </c>
      <c r="D1061" s="75">
        <v>4913</v>
      </c>
      <c r="F1061" s="75" t="s">
        <v>10</v>
      </c>
      <c r="H1061" s="75" t="s">
        <v>10</v>
      </c>
      <c r="I1061" s="75">
        <v>19489</v>
      </c>
      <c r="K1061" s="75" t="str">
        <f>IFERROR(VLOOKUP(J1061,'NQ10'!$B$9:$C$145,2,0),"")</f>
        <v/>
      </c>
    </row>
    <row r="1062" spans="1:11" ht="15" customHeight="1" x14ac:dyDescent="0.25">
      <c r="A1062" s="75">
        <v>1</v>
      </c>
      <c r="B1062" s="75">
        <v>198</v>
      </c>
      <c r="C1062" s="75" t="s">
        <v>10</v>
      </c>
      <c r="D1062" s="75">
        <v>3817</v>
      </c>
      <c r="F1062" s="75" t="s">
        <v>10</v>
      </c>
      <c r="H1062" s="75" t="s">
        <v>10</v>
      </c>
      <c r="I1062" s="75">
        <v>19489</v>
      </c>
      <c r="K1062" s="75" t="str">
        <f>IFERROR(VLOOKUP(J1062,'NQ10'!$B$9:$C$145,2,0),"")</f>
        <v/>
      </c>
    </row>
    <row r="1063" spans="1:11" ht="15" customHeight="1" x14ac:dyDescent="0.25">
      <c r="A1063" s="75">
        <v>1</v>
      </c>
      <c r="B1063" s="75">
        <v>199</v>
      </c>
      <c r="C1063" s="75" t="s">
        <v>10</v>
      </c>
      <c r="D1063" s="75">
        <v>8151</v>
      </c>
      <c r="F1063" s="75" t="s">
        <v>10</v>
      </c>
      <c r="H1063" s="75" t="s">
        <v>10</v>
      </c>
      <c r="I1063" s="75">
        <v>19489</v>
      </c>
      <c r="K1063" s="75" t="str">
        <f>IFERROR(VLOOKUP(J1063,'NQ10'!$B$9:$C$145,2,0),"")</f>
        <v/>
      </c>
    </row>
    <row r="1064" spans="1:11" ht="15" customHeight="1" x14ac:dyDescent="0.25">
      <c r="A1064" s="75">
        <v>1</v>
      </c>
      <c r="B1064" s="75">
        <v>201</v>
      </c>
      <c r="C1064" s="75" t="s">
        <v>10</v>
      </c>
      <c r="D1064" s="75">
        <v>15931</v>
      </c>
      <c r="F1064" s="75" t="s">
        <v>10</v>
      </c>
      <c r="H1064" s="75" t="s">
        <v>10</v>
      </c>
      <c r="I1064" s="75">
        <v>19489</v>
      </c>
      <c r="K1064" s="75" t="str">
        <f>IFERROR(VLOOKUP(J1064,'NQ10'!$B$9:$C$145,2,0),"")</f>
        <v/>
      </c>
    </row>
    <row r="1065" spans="1:11" ht="15" customHeight="1" x14ac:dyDescent="0.25">
      <c r="A1065" s="75">
        <v>1</v>
      </c>
      <c r="B1065" s="75">
        <v>202</v>
      </c>
      <c r="C1065" s="75" t="s">
        <v>10</v>
      </c>
      <c r="D1065" s="75">
        <v>5329</v>
      </c>
      <c r="F1065" s="75" t="s">
        <v>10</v>
      </c>
      <c r="H1065" s="75" t="s">
        <v>10</v>
      </c>
      <c r="I1065" s="75">
        <v>19489</v>
      </c>
      <c r="K1065" s="75" t="str">
        <f>IFERROR(VLOOKUP(J1065,'NQ10'!$B$9:$C$145,2,0),"")</f>
        <v/>
      </c>
    </row>
    <row r="1066" spans="1:11" ht="15" customHeight="1" x14ac:dyDescent="0.25">
      <c r="A1066" s="75">
        <v>1</v>
      </c>
      <c r="B1066" s="75">
        <v>203</v>
      </c>
      <c r="C1066" s="75" t="s">
        <v>10</v>
      </c>
      <c r="D1066" s="75">
        <v>3802</v>
      </c>
      <c r="F1066" s="75" t="s">
        <v>10</v>
      </c>
      <c r="H1066" s="75" t="s">
        <v>10</v>
      </c>
      <c r="I1066" s="75">
        <v>19489</v>
      </c>
      <c r="K1066" s="75" t="str">
        <f>IFERROR(VLOOKUP(J1066,'NQ10'!$B$9:$C$145,2,0),"")</f>
        <v/>
      </c>
    </row>
    <row r="1067" spans="1:11" ht="15" customHeight="1" x14ac:dyDescent="0.25">
      <c r="A1067" s="75">
        <v>1</v>
      </c>
      <c r="B1067" s="75">
        <v>205</v>
      </c>
      <c r="C1067" s="75" t="s">
        <v>10</v>
      </c>
      <c r="D1067" s="75">
        <v>19734</v>
      </c>
      <c r="F1067" s="75" t="s">
        <v>10</v>
      </c>
      <c r="H1067" s="75" t="s">
        <v>10</v>
      </c>
      <c r="I1067" s="75">
        <v>19489</v>
      </c>
      <c r="K1067" s="75" t="str">
        <f>IFERROR(VLOOKUP(J1067,'NQ10'!$B$9:$C$145,2,0),"")</f>
        <v/>
      </c>
    </row>
    <row r="1068" spans="1:11" ht="15" customHeight="1" x14ac:dyDescent="0.25">
      <c r="A1068" s="75">
        <v>1</v>
      </c>
      <c r="B1068" s="75">
        <v>207</v>
      </c>
      <c r="C1068" s="75" t="s">
        <v>10</v>
      </c>
      <c r="D1068" s="75">
        <v>744</v>
      </c>
      <c r="F1068" s="75" t="s">
        <v>10</v>
      </c>
      <c r="H1068" s="75" t="s">
        <v>10</v>
      </c>
      <c r="I1068" s="75">
        <v>19489</v>
      </c>
      <c r="K1068" s="75" t="str">
        <f>IFERROR(VLOOKUP(J1068,'NQ10'!$B$9:$C$145,2,0),"")</f>
        <v/>
      </c>
    </row>
    <row r="1069" spans="1:11" ht="15" customHeight="1" x14ac:dyDescent="0.25">
      <c r="A1069" s="75">
        <v>1</v>
      </c>
      <c r="B1069" s="75">
        <v>212</v>
      </c>
      <c r="C1069" s="75" t="s">
        <v>10</v>
      </c>
      <c r="D1069" s="75">
        <v>14670</v>
      </c>
      <c r="F1069" s="75" t="s">
        <v>10</v>
      </c>
      <c r="H1069" s="75" t="s">
        <v>10</v>
      </c>
      <c r="I1069" s="75">
        <v>19489</v>
      </c>
      <c r="K1069" s="75" t="str">
        <f>IFERROR(VLOOKUP(J1069,'NQ10'!$B$9:$C$145,2,0),"")</f>
        <v/>
      </c>
    </row>
    <row r="1070" spans="1:11" ht="15" customHeight="1" x14ac:dyDescent="0.25">
      <c r="A1070" s="75">
        <v>1</v>
      </c>
      <c r="B1070" s="75">
        <v>214</v>
      </c>
      <c r="C1070" s="75" t="s">
        <v>10</v>
      </c>
      <c r="D1070" s="75">
        <v>6602</v>
      </c>
      <c r="F1070" s="75" t="s">
        <v>10</v>
      </c>
      <c r="H1070" s="75" t="s">
        <v>10</v>
      </c>
      <c r="I1070" s="75">
        <v>19489</v>
      </c>
      <c r="K1070" s="75" t="str">
        <f>IFERROR(VLOOKUP(J1070,'NQ10'!$B$9:$C$145,2,0),"")</f>
        <v/>
      </c>
    </row>
    <row r="1071" spans="1:11" ht="15" customHeight="1" x14ac:dyDescent="0.25">
      <c r="A1071" s="75">
        <v>1</v>
      </c>
      <c r="B1071" s="75">
        <v>218</v>
      </c>
      <c r="C1071" s="75" t="s">
        <v>10</v>
      </c>
      <c r="D1071" s="75">
        <v>14191</v>
      </c>
      <c r="F1071" s="75" t="s">
        <v>10</v>
      </c>
      <c r="H1071" s="75" t="s">
        <v>10</v>
      </c>
      <c r="I1071" s="75">
        <v>19489</v>
      </c>
      <c r="K1071" s="75" t="str">
        <f>IFERROR(VLOOKUP(J1071,'NQ10'!$B$9:$C$145,2,0),"")</f>
        <v/>
      </c>
    </row>
    <row r="1072" spans="1:11" ht="15" customHeight="1" x14ac:dyDescent="0.25">
      <c r="A1072" s="75">
        <v>1</v>
      </c>
      <c r="B1072" s="75">
        <v>221</v>
      </c>
      <c r="C1072" s="75" t="s">
        <v>10</v>
      </c>
      <c r="D1072" s="75">
        <v>6827</v>
      </c>
      <c r="F1072" s="75" t="s">
        <v>10</v>
      </c>
      <c r="H1072" s="75" t="s">
        <v>10</v>
      </c>
      <c r="I1072" s="75">
        <v>19489</v>
      </c>
      <c r="K1072" s="75" t="str">
        <f>IFERROR(VLOOKUP(J1072,'NQ10'!$B$9:$C$145,2,0),"")</f>
        <v/>
      </c>
    </row>
    <row r="1073" spans="1:11" ht="15" customHeight="1" x14ac:dyDescent="0.25">
      <c r="A1073" s="75">
        <v>1</v>
      </c>
      <c r="B1073" s="75">
        <v>222</v>
      </c>
      <c r="C1073" s="75" t="s">
        <v>10</v>
      </c>
      <c r="D1073" s="75">
        <v>7044</v>
      </c>
      <c r="F1073" s="75" t="s">
        <v>10</v>
      </c>
      <c r="H1073" s="75" t="s">
        <v>10</v>
      </c>
      <c r="I1073" s="75">
        <v>19489</v>
      </c>
      <c r="K1073" s="75" t="str">
        <f>IFERROR(VLOOKUP(J1073,'NQ10'!$B$9:$C$145,2,0),"")</f>
        <v/>
      </c>
    </row>
    <row r="1074" spans="1:11" ht="15" customHeight="1" x14ac:dyDescent="0.25">
      <c r="A1074" s="75">
        <v>1</v>
      </c>
      <c r="B1074" s="75">
        <v>225</v>
      </c>
      <c r="C1074" s="75" t="s">
        <v>10</v>
      </c>
      <c r="D1074" s="75">
        <v>5370</v>
      </c>
      <c r="F1074" s="75" t="s">
        <v>10</v>
      </c>
      <c r="H1074" s="75" t="s">
        <v>10</v>
      </c>
      <c r="I1074" s="75">
        <v>19489</v>
      </c>
      <c r="K1074" s="75" t="str">
        <f>IFERROR(VLOOKUP(J1074,'NQ10'!$B$9:$C$145,2,0),"")</f>
        <v/>
      </c>
    </row>
    <row r="1075" spans="1:11" ht="15" customHeight="1" x14ac:dyDescent="0.25">
      <c r="A1075" s="75">
        <v>1</v>
      </c>
      <c r="B1075" s="75">
        <v>226</v>
      </c>
      <c r="C1075" s="75" t="s">
        <v>10</v>
      </c>
      <c r="D1075" s="75">
        <v>5808</v>
      </c>
      <c r="F1075" s="75" t="s">
        <v>10</v>
      </c>
      <c r="H1075" s="75" t="s">
        <v>10</v>
      </c>
      <c r="I1075" s="75">
        <v>19489</v>
      </c>
      <c r="K1075" s="75" t="str">
        <f>IFERROR(VLOOKUP(J1075,'NQ10'!$B$9:$C$145,2,0),"")</f>
        <v/>
      </c>
    </row>
    <row r="1076" spans="1:11" ht="15" customHeight="1" x14ac:dyDescent="0.25">
      <c r="A1076" s="75">
        <v>1</v>
      </c>
      <c r="B1076" s="75">
        <v>227</v>
      </c>
      <c r="C1076" s="75" t="s">
        <v>10</v>
      </c>
      <c r="D1076" s="75">
        <v>7523</v>
      </c>
      <c r="F1076" s="75" t="s">
        <v>10</v>
      </c>
      <c r="H1076" s="75" t="s">
        <v>10</v>
      </c>
      <c r="I1076" s="75">
        <v>19489</v>
      </c>
      <c r="K1076" s="75" t="str">
        <f>IFERROR(VLOOKUP(J1076,'NQ10'!$B$9:$C$145,2,0),"")</f>
        <v/>
      </c>
    </row>
    <row r="1077" spans="1:11" ht="15" customHeight="1" x14ac:dyDescent="0.25">
      <c r="A1077" s="75">
        <v>1</v>
      </c>
      <c r="B1077" s="75">
        <v>228</v>
      </c>
      <c r="C1077" s="75" t="s">
        <v>10</v>
      </c>
      <c r="D1077" s="75">
        <v>3878</v>
      </c>
      <c r="F1077" s="75" t="s">
        <v>10</v>
      </c>
      <c r="H1077" s="75" t="s">
        <v>10</v>
      </c>
      <c r="I1077" s="75">
        <v>19489</v>
      </c>
      <c r="K1077" s="75" t="str">
        <f>IFERROR(VLOOKUP(J1077,'NQ10'!$B$9:$C$145,2,0),"")</f>
        <v/>
      </c>
    </row>
    <row r="1078" spans="1:11" ht="15" customHeight="1" x14ac:dyDescent="0.25">
      <c r="A1078" s="75">
        <v>1</v>
      </c>
      <c r="B1078" s="75">
        <v>231</v>
      </c>
      <c r="C1078" s="75" t="s">
        <v>10</v>
      </c>
      <c r="D1078" s="75">
        <v>2530</v>
      </c>
      <c r="F1078" s="75" t="s">
        <v>10</v>
      </c>
      <c r="H1078" s="75" t="s">
        <v>10</v>
      </c>
      <c r="I1078" s="75">
        <v>19489</v>
      </c>
      <c r="K1078" s="75" t="str">
        <f>IFERROR(VLOOKUP(J1078,'NQ10'!$B$9:$C$145,2,0),"")</f>
        <v/>
      </c>
    </row>
    <row r="1079" spans="1:11" ht="15" customHeight="1" x14ac:dyDescent="0.25">
      <c r="A1079" s="75">
        <v>1</v>
      </c>
      <c r="B1079" s="75">
        <v>236</v>
      </c>
      <c r="C1079" s="75" t="s">
        <v>10</v>
      </c>
      <c r="D1079" s="75">
        <v>4434</v>
      </c>
      <c r="F1079" s="75" t="s">
        <v>10</v>
      </c>
      <c r="H1079" s="75" t="s">
        <v>10</v>
      </c>
      <c r="I1079" s="75">
        <v>19489</v>
      </c>
      <c r="K1079" s="75" t="str">
        <f>IFERROR(VLOOKUP(J1079,'NQ10'!$B$9:$C$145,2,0),"")</f>
        <v/>
      </c>
    </row>
    <row r="1080" spans="1:11" ht="15" customHeight="1" x14ac:dyDescent="0.25">
      <c r="A1080" s="75">
        <v>1</v>
      </c>
      <c r="B1080" s="75">
        <v>237</v>
      </c>
      <c r="C1080" s="75" t="s">
        <v>10</v>
      </c>
      <c r="D1080" s="75">
        <v>11234</v>
      </c>
      <c r="F1080" s="75" t="s">
        <v>10</v>
      </c>
      <c r="H1080" s="75" t="s">
        <v>10</v>
      </c>
      <c r="I1080" s="75">
        <v>19489</v>
      </c>
      <c r="K1080" s="75" t="str">
        <f>IFERROR(VLOOKUP(J1080,'NQ10'!$B$9:$C$145,2,0),"")</f>
        <v/>
      </c>
    </row>
    <row r="1081" spans="1:11" ht="15" customHeight="1" x14ac:dyDescent="0.25">
      <c r="A1081" s="75">
        <v>1</v>
      </c>
      <c r="B1081" s="75">
        <v>241</v>
      </c>
      <c r="C1081" s="75" t="s">
        <v>10</v>
      </c>
      <c r="D1081" s="75">
        <v>3525</v>
      </c>
      <c r="F1081" s="75" t="s">
        <v>10</v>
      </c>
      <c r="H1081" s="75" t="s">
        <v>10</v>
      </c>
      <c r="I1081" s="75">
        <v>19489</v>
      </c>
      <c r="K1081" s="75" t="str">
        <f>IFERROR(VLOOKUP(J1081,'NQ10'!$B$9:$C$145,2,0),"")</f>
        <v/>
      </c>
    </row>
    <row r="1082" spans="1:11" ht="15" customHeight="1" x14ac:dyDescent="0.25">
      <c r="A1082" s="75">
        <v>1</v>
      </c>
      <c r="B1082" s="75">
        <v>242</v>
      </c>
      <c r="C1082" s="75" t="s">
        <v>10</v>
      </c>
      <c r="D1082" s="75">
        <v>2037</v>
      </c>
      <c r="F1082" s="75" t="s">
        <v>10</v>
      </c>
      <c r="H1082" s="75" t="s">
        <v>10</v>
      </c>
      <c r="I1082" s="75">
        <v>19489</v>
      </c>
      <c r="K1082" s="75" t="str">
        <f>IFERROR(VLOOKUP(J1082,'NQ10'!$B$9:$C$145,2,0),"")</f>
        <v/>
      </c>
    </row>
    <row r="1083" spans="1:11" ht="15" customHeight="1" x14ac:dyDescent="0.25">
      <c r="A1083" s="75">
        <v>1</v>
      </c>
      <c r="B1083" s="75">
        <v>246</v>
      </c>
      <c r="C1083" s="75" t="s">
        <v>10</v>
      </c>
      <c r="D1083" s="75">
        <v>13249</v>
      </c>
      <c r="F1083" s="75" t="s">
        <v>10</v>
      </c>
      <c r="H1083" s="75" t="s">
        <v>10</v>
      </c>
      <c r="I1083" s="75">
        <v>19489</v>
      </c>
      <c r="K1083" s="75" t="str">
        <f>IFERROR(VLOOKUP(J1083,'NQ10'!$B$9:$C$145,2,0),"")</f>
        <v/>
      </c>
    </row>
    <row r="1084" spans="1:11" ht="15" customHeight="1" x14ac:dyDescent="0.25">
      <c r="A1084" s="75">
        <v>1</v>
      </c>
      <c r="B1084" s="75">
        <v>248</v>
      </c>
      <c r="C1084" s="75" t="s">
        <v>10</v>
      </c>
      <c r="D1084" s="75">
        <v>17465</v>
      </c>
      <c r="F1084" s="75" t="s">
        <v>10</v>
      </c>
      <c r="H1084" s="75" t="s">
        <v>10</v>
      </c>
      <c r="I1084" s="75">
        <v>19489</v>
      </c>
      <c r="K1084" s="75" t="str">
        <f>IFERROR(VLOOKUP(J1084,'NQ10'!$B$9:$C$145,2,0),"")</f>
        <v/>
      </c>
    </row>
    <row r="1085" spans="1:11" ht="15" customHeight="1" x14ac:dyDescent="0.25">
      <c r="A1085" s="75">
        <v>1</v>
      </c>
      <c r="B1085" s="75">
        <v>250</v>
      </c>
      <c r="C1085" s="75" t="s">
        <v>10</v>
      </c>
      <c r="D1085" s="75">
        <v>2249</v>
      </c>
      <c r="F1085" s="75" t="s">
        <v>10</v>
      </c>
      <c r="H1085" s="75" t="s">
        <v>10</v>
      </c>
      <c r="I1085" s="75">
        <v>19489</v>
      </c>
      <c r="K1085" s="75" t="str">
        <f>IFERROR(VLOOKUP(J1085,'NQ10'!$B$9:$C$145,2,0),"")</f>
        <v/>
      </c>
    </row>
    <row r="1086" spans="1:11" ht="15" customHeight="1" x14ac:dyDescent="0.25">
      <c r="A1086" s="75">
        <v>1</v>
      </c>
      <c r="B1086" s="75">
        <v>251</v>
      </c>
      <c r="C1086" s="75" t="s">
        <v>10</v>
      </c>
      <c r="D1086" s="75">
        <v>733</v>
      </c>
      <c r="F1086" s="75" t="s">
        <v>10</v>
      </c>
      <c r="H1086" s="75" t="s">
        <v>10</v>
      </c>
      <c r="I1086" s="75">
        <v>19489</v>
      </c>
      <c r="K1086" s="75" t="str">
        <f>IFERROR(VLOOKUP(J1086,'NQ10'!$B$9:$C$145,2,0),"")</f>
        <v/>
      </c>
    </row>
    <row r="1087" spans="1:11" ht="15" customHeight="1" x14ac:dyDescent="0.25">
      <c r="A1087" s="75">
        <v>1</v>
      </c>
      <c r="B1087" s="75">
        <v>252</v>
      </c>
      <c r="C1087" s="75" t="s">
        <v>10</v>
      </c>
      <c r="D1087" s="75">
        <v>8438</v>
      </c>
      <c r="F1087" s="75" t="s">
        <v>10</v>
      </c>
      <c r="H1087" s="75" t="s">
        <v>10</v>
      </c>
      <c r="I1087" s="75">
        <v>19489</v>
      </c>
      <c r="K1087" s="75" t="str">
        <f>IFERROR(VLOOKUP(J1087,'NQ10'!$B$9:$C$145,2,0),"")</f>
        <v/>
      </c>
    </row>
    <row r="1088" spans="1:11" ht="15" customHeight="1" x14ac:dyDescent="0.25">
      <c r="A1088" s="75">
        <v>1</v>
      </c>
      <c r="B1088" s="75">
        <v>253</v>
      </c>
      <c r="C1088" s="75" t="s">
        <v>10</v>
      </c>
      <c r="D1088" s="75">
        <v>13735</v>
      </c>
      <c r="F1088" s="75" t="s">
        <v>10</v>
      </c>
      <c r="H1088" s="75" t="s">
        <v>10</v>
      </c>
      <c r="I1088" s="75">
        <v>19489</v>
      </c>
      <c r="K1088" s="75" t="str">
        <f>IFERROR(VLOOKUP(J1088,'NQ10'!$B$9:$C$145,2,0),"")</f>
        <v/>
      </c>
    </row>
    <row r="1089" spans="1:11" ht="15" customHeight="1" x14ac:dyDescent="0.25">
      <c r="A1089" s="75">
        <v>1</v>
      </c>
      <c r="B1089" s="75">
        <v>257</v>
      </c>
      <c r="C1089" s="75" t="s">
        <v>10</v>
      </c>
      <c r="D1089" s="75">
        <v>8993</v>
      </c>
      <c r="F1089" s="75" t="s">
        <v>10</v>
      </c>
      <c r="H1089" s="75" t="s">
        <v>10</v>
      </c>
      <c r="I1089" s="75">
        <v>19489</v>
      </c>
      <c r="K1089" s="75" t="str">
        <f>IFERROR(VLOOKUP(J1089,'NQ10'!$B$9:$C$145,2,0),"")</f>
        <v/>
      </c>
    </row>
    <row r="1090" spans="1:11" ht="15" customHeight="1" x14ac:dyDescent="0.25">
      <c r="A1090" s="75">
        <v>1</v>
      </c>
      <c r="B1090" s="75">
        <v>261</v>
      </c>
      <c r="C1090" s="75" t="s">
        <v>10</v>
      </c>
      <c r="D1090" s="75">
        <v>5786</v>
      </c>
      <c r="F1090" s="75" t="s">
        <v>10</v>
      </c>
      <c r="H1090" s="75" t="s">
        <v>10</v>
      </c>
      <c r="I1090" s="75">
        <v>19489</v>
      </c>
      <c r="K1090" s="75" t="str">
        <f>IFERROR(VLOOKUP(J1090,'NQ10'!$B$9:$C$145,2,0),"")</f>
        <v/>
      </c>
    </row>
    <row r="1091" spans="1:11" ht="15" customHeight="1" x14ac:dyDescent="0.25">
      <c r="A1091" s="75">
        <v>1</v>
      </c>
      <c r="B1091" s="75">
        <v>262</v>
      </c>
      <c r="C1091" s="75" t="s">
        <v>10</v>
      </c>
      <c r="D1091" s="75">
        <v>6847</v>
      </c>
      <c r="F1091" s="75" t="s">
        <v>10</v>
      </c>
      <c r="H1091" s="75" t="s">
        <v>10</v>
      </c>
      <c r="I1091" s="75">
        <v>19489</v>
      </c>
      <c r="K1091" s="75" t="str">
        <f>IFERROR(VLOOKUP(J1091,'NQ10'!$B$9:$C$145,2,0),"")</f>
        <v/>
      </c>
    </row>
    <row r="1092" spans="1:11" ht="15" customHeight="1" x14ac:dyDescent="0.25">
      <c r="A1092" s="75">
        <v>1</v>
      </c>
      <c r="B1092" s="75">
        <v>263</v>
      </c>
      <c r="C1092" s="75" t="s">
        <v>10</v>
      </c>
      <c r="D1092" s="75">
        <v>1640</v>
      </c>
      <c r="F1092" s="75" t="s">
        <v>10</v>
      </c>
      <c r="H1092" s="75" t="s">
        <v>10</v>
      </c>
      <c r="I1092" s="75">
        <v>19489</v>
      </c>
      <c r="K1092" s="75" t="str">
        <f>IFERROR(VLOOKUP(J1092,'NQ10'!$B$9:$C$145,2,0),"")</f>
        <v/>
      </c>
    </row>
    <row r="1093" spans="1:11" ht="15" customHeight="1" x14ac:dyDescent="0.25">
      <c r="A1093" s="75">
        <v>1</v>
      </c>
      <c r="B1093" s="75">
        <v>266</v>
      </c>
      <c r="C1093" s="75" t="s">
        <v>10</v>
      </c>
      <c r="D1093" s="75">
        <v>1555</v>
      </c>
      <c r="F1093" s="75" t="s">
        <v>10</v>
      </c>
      <c r="H1093" s="75" t="s">
        <v>10</v>
      </c>
      <c r="I1093" s="75">
        <v>19489</v>
      </c>
      <c r="K1093" s="75" t="str">
        <f>IFERROR(VLOOKUP(J1093,'NQ10'!$B$9:$C$145,2,0),"")</f>
        <v/>
      </c>
    </row>
    <row r="1094" spans="1:11" ht="15" customHeight="1" x14ac:dyDescent="0.25">
      <c r="A1094" s="75">
        <v>1</v>
      </c>
      <c r="B1094" s="75">
        <v>268</v>
      </c>
      <c r="C1094" s="75" t="s">
        <v>10</v>
      </c>
      <c r="D1094" s="75">
        <v>3984</v>
      </c>
      <c r="F1094" s="75" t="s">
        <v>10</v>
      </c>
      <c r="H1094" s="75" t="s">
        <v>10</v>
      </c>
      <c r="I1094" s="75">
        <v>19489</v>
      </c>
      <c r="K1094" s="75" t="str">
        <f>IFERROR(VLOOKUP(J1094,'NQ10'!$B$9:$C$145,2,0),"")</f>
        <v/>
      </c>
    </row>
    <row r="1095" spans="1:11" ht="15" customHeight="1" x14ac:dyDescent="0.25">
      <c r="A1095" s="75">
        <v>1</v>
      </c>
      <c r="B1095" s="75">
        <v>269</v>
      </c>
      <c r="C1095" s="75" t="s">
        <v>10</v>
      </c>
      <c r="D1095" s="75">
        <v>14653</v>
      </c>
      <c r="F1095" s="75" t="s">
        <v>10</v>
      </c>
      <c r="H1095" s="75" t="s">
        <v>10</v>
      </c>
      <c r="I1095" s="75">
        <v>19489</v>
      </c>
      <c r="K1095" s="75" t="str">
        <f>IFERROR(VLOOKUP(J1095,'NQ10'!$B$9:$C$145,2,0),"")</f>
        <v/>
      </c>
    </row>
    <row r="1096" spans="1:11" ht="15" customHeight="1" x14ac:dyDescent="0.25">
      <c r="A1096" s="75">
        <v>1</v>
      </c>
      <c r="B1096" s="75">
        <v>276</v>
      </c>
      <c r="C1096" s="75" t="s">
        <v>10</v>
      </c>
      <c r="D1096" s="75">
        <v>5524</v>
      </c>
      <c r="F1096" s="75" t="s">
        <v>10</v>
      </c>
      <c r="H1096" s="75" t="s">
        <v>10</v>
      </c>
      <c r="I1096" s="75">
        <v>19489</v>
      </c>
      <c r="K1096" s="75" t="str">
        <f>IFERROR(VLOOKUP(J1096,'NQ10'!$B$9:$C$145,2,0),"")</f>
        <v/>
      </c>
    </row>
    <row r="1097" spans="1:11" ht="15" customHeight="1" x14ac:dyDescent="0.25">
      <c r="A1097" s="75">
        <v>1</v>
      </c>
      <c r="B1097" s="75">
        <v>277</v>
      </c>
      <c r="C1097" s="75" t="s">
        <v>10</v>
      </c>
      <c r="D1097" s="75">
        <v>2042</v>
      </c>
      <c r="F1097" s="75" t="s">
        <v>10</v>
      </c>
      <c r="H1097" s="75" t="s">
        <v>10</v>
      </c>
      <c r="I1097" s="75">
        <v>19489</v>
      </c>
      <c r="K1097" s="75" t="str">
        <f>IFERROR(VLOOKUP(J1097,'NQ10'!$B$9:$C$145,2,0),"")</f>
        <v/>
      </c>
    </row>
    <row r="1098" spans="1:11" ht="15" customHeight="1" x14ac:dyDescent="0.25">
      <c r="A1098" s="75">
        <v>1</v>
      </c>
      <c r="B1098" s="75">
        <v>278</v>
      </c>
      <c r="C1098" s="75" t="s">
        <v>10</v>
      </c>
      <c r="D1098" s="75">
        <v>3453</v>
      </c>
      <c r="F1098" s="75" t="s">
        <v>10</v>
      </c>
      <c r="H1098" s="75" t="s">
        <v>10</v>
      </c>
      <c r="I1098" s="75">
        <v>19489</v>
      </c>
      <c r="K1098" s="75" t="str">
        <f>IFERROR(VLOOKUP(J1098,'NQ10'!$B$9:$C$145,2,0),"")</f>
        <v/>
      </c>
    </row>
    <row r="1099" spans="1:11" ht="15" customHeight="1" x14ac:dyDescent="0.25">
      <c r="A1099" s="75">
        <v>1</v>
      </c>
      <c r="B1099" s="75">
        <v>282</v>
      </c>
      <c r="C1099" s="75" t="s">
        <v>10</v>
      </c>
      <c r="D1099" s="75">
        <v>3822</v>
      </c>
      <c r="F1099" s="75" t="s">
        <v>10</v>
      </c>
      <c r="H1099" s="75" t="s">
        <v>10</v>
      </c>
      <c r="I1099" s="75">
        <v>19489</v>
      </c>
      <c r="K1099" s="75" t="str">
        <f>IFERROR(VLOOKUP(J1099,'NQ10'!$B$9:$C$145,2,0),"")</f>
        <v/>
      </c>
    </row>
    <row r="1100" spans="1:11" ht="15" customHeight="1" x14ac:dyDescent="0.25">
      <c r="A1100" s="75">
        <v>1</v>
      </c>
      <c r="B1100" s="75">
        <v>284</v>
      </c>
      <c r="C1100" s="75" t="s">
        <v>10</v>
      </c>
      <c r="D1100" s="75">
        <v>6471</v>
      </c>
      <c r="F1100" s="75" t="s">
        <v>10</v>
      </c>
      <c r="H1100" s="75" t="s">
        <v>10</v>
      </c>
      <c r="I1100" s="75">
        <v>19489</v>
      </c>
      <c r="K1100" s="75" t="str">
        <f>IFERROR(VLOOKUP(J1100,'NQ10'!$B$9:$C$145,2,0),"")</f>
        <v/>
      </c>
    </row>
    <row r="1101" spans="1:11" ht="15" customHeight="1" x14ac:dyDescent="0.25">
      <c r="A1101" s="75">
        <v>1</v>
      </c>
      <c r="B1101" s="75">
        <v>285</v>
      </c>
      <c r="C1101" s="75" t="s">
        <v>10</v>
      </c>
      <c r="D1101" s="75">
        <v>4268</v>
      </c>
      <c r="F1101" s="75" t="s">
        <v>10</v>
      </c>
      <c r="H1101" s="75" t="s">
        <v>10</v>
      </c>
      <c r="I1101" s="75">
        <v>19489</v>
      </c>
      <c r="K1101" s="75" t="str">
        <f>IFERROR(VLOOKUP(J1101,'NQ10'!$B$9:$C$145,2,0),"")</f>
        <v/>
      </c>
    </row>
    <row r="1102" spans="1:11" ht="15" customHeight="1" x14ac:dyDescent="0.25">
      <c r="A1102" s="75">
        <v>1</v>
      </c>
      <c r="B1102" s="75">
        <v>286</v>
      </c>
      <c r="C1102" s="75" t="s">
        <v>10</v>
      </c>
      <c r="D1102" s="75">
        <v>2861</v>
      </c>
      <c r="F1102" s="75" t="s">
        <v>10</v>
      </c>
      <c r="H1102" s="75" t="s">
        <v>10</v>
      </c>
      <c r="I1102" s="75">
        <v>19489</v>
      </c>
      <c r="K1102" s="75" t="str">
        <f>IFERROR(VLOOKUP(J1102,'NQ10'!$B$9:$C$145,2,0),"")</f>
        <v/>
      </c>
    </row>
    <row r="1103" spans="1:11" ht="15" customHeight="1" x14ac:dyDescent="0.25">
      <c r="A1103" s="75">
        <v>1</v>
      </c>
      <c r="B1103" s="75">
        <v>292</v>
      </c>
      <c r="C1103" s="75" t="s">
        <v>10</v>
      </c>
      <c r="D1103" s="75">
        <v>2803</v>
      </c>
      <c r="F1103" s="75" t="s">
        <v>10</v>
      </c>
      <c r="H1103" s="75" t="s">
        <v>10</v>
      </c>
      <c r="I1103" s="75">
        <v>19489</v>
      </c>
      <c r="K1103" s="75" t="str">
        <f>IFERROR(VLOOKUP(J1103,'NQ10'!$B$9:$C$145,2,0),"")</f>
        <v/>
      </c>
    </row>
    <row r="1104" spans="1:11" ht="15" customHeight="1" x14ac:dyDescent="0.25">
      <c r="A1104" s="75">
        <v>1</v>
      </c>
      <c r="B1104" s="75">
        <v>293</v>
      </c>
      <c r="C1104" s="75" t="s">
        <v>10</v>
      </c>
      <c r="D1104" s="75">
        <v>13608</v>
      </c>
      <c r="F1104" s="75" t="s">
        <v>10</v>
      </c>
      <c r="H1104" s="75" t="s">
        <v>10</v>
      </c>
      <c r="I1104" s="75">
        <v>19489</v>
      </c>
      <c r="K1104" s="75" t="str">
        <f>IFERROR(VLOOKUP(J1104,'NQ10'!$B$9:$C$145,2,0),"")</f>
        <v/>
      </c>
    </row>
    <row r="1105" spans="1:11" ht="15" customHeight="1" x14ac:dyDescent="0.25">
      <c r="A1105" s="75">
        <v>1</v>
      </c>
      <c r="B1105" s="75">
        <v>294</v>
      </c>
      <c r="C1105" s="75" t="s">
        <v>10</v>
      </c>
      <c r="D1105" s="75">
        <v>2831</v>
      </c>
      <c r="F1105" s="75" t="s">
        <v>10</v>
      </c>
      <c r="H1105" s="75" t="s">
        <v>10</v>
      </c>
      <c r="I1105" s="75">
        <v>19489</v>
      </c>
      <c r="K1105" s="75" t="str">
        <f>IFERROR(VLOOKUP(J1105,'NQ10'!$B$9:$C$145,2,0),"")</f>
        <v/>
      </c>
    </row>
    <row r="1106" spans="1:11" ht="15" customHeight="1" x14ac:dyDescent="0.25">
      <c r="A1106" s="75">
        <v>1</v>
      </c>
      <c r="B1106" s="75">
        <v>295</v>
      </c>
      <c r="C1106" s="75" t="s">
        <v>10</v>
      </c>
      <c r="D1106" s="75">
        <v>2825</v>
      </c>
      <c r="F1106" s="75" t="s">
        <v>10</v>
      </c>
      <c r="H1106" s="75" t="s">
        <v>10</v>
      </c>
      <c r="I1106" s="75">
        <v>19489</v>
      </c>
      <c r="K1106" s="75" t="str">
        <f>IFERROR(VLOOKUP(J1106,'NQ10'!$B$9:$C$145,2,0),"")</f>
        <v/>
      </c>
    </row>
    <row r="1107" spans="1:11" ht="15" customHeight="1" x14ac:dyDescent="0.25">
      <c r="A1107" s="75">
        <v>1</v>
      </c>
      <c r="B1107" s="75">
        <v>297</v>
      </c>
      <c r="C1107" s="75" t="s">
        <v>10</v>
      </c>
      <c r="D1107" s="75">
        <v>3488</v>
      </c>
      <c r="F1107" s="75" t="s">
        <v>10</v>
      </c>
      <c r="H1107" s="75" t="s">
        <v>10</v>
      </c>
      <c r="I1107" s="75">
        <v>19489</v>
      </c>
      <c r="K1107" s="75" t="str">
        <f>IFERROR(VLOOKUP(J1107,'NQ10'!$B$9:$C$145,2,0),"")</f>
        <v/>
      </c>
    </row>
    <row r="1108" spans="1:11" ht="15" customHeight="1" x14ac:dyDescent="0.25">
      <c r="A1108" s="75">
        <v>1</v>
      </c>
      <c r="B1108" s="75">
        <v>300</v>
      </c>
      <c r="C1108" s="75" t="s">
        <v>10</v>
      </c>
      <c r="D1108" s="75">
        <v>1089</v>
      </c>
      <c r="F1108" s="75" t="s">
        <v>10</v>
      </c>
      <c r="H1108" s="75" t="s">
        <v>10</v>
      </c>
      <c r="I1108" s="75">
        <v>19489</v>
      </c>
      <c r="K1108" s="75" t="str">
        <f>IFERROR(VLOOKUP(J1108,'NQ10'!$B$9:$C$145,2,0),"")</f>
        <v/>
      </c>
    </row>
    <row r="1109" spans="1:11" ht="15" customHeight="1" x14ac:dyDescent="0.25">
      <c r="A1109" s="75">
        <v>1</v>
      </c>
      <c r="B1109" s="75">
        <v>311</v>
      </c>
      <c r="C1109" s="75" t="s">
        <v>10</v>
      </c>
      <c r="D1109" s="75">
        <v>6366</v>
      </c>
      <c r="F1109" s="75" t="s">
        <v>10</v>
      </c>
      <c r="H1109" s="75" t="s">
        <v>10</v>
      </c>
      <c r="I1109" s="75">
        <v>19489</v>
      </c>
      <c r="K1109" s="75" t="str">
        <f>IFERROR(VLOOKUP(J1109,'NQ10'!$B$9:$C$145,2,0),"")</f>
        <v/>
      </c>
    </row>
    <row r="1110" spans="1:11" ht="15" customHeight="1" x14ac:dyDescent="0.25">
      <c r="A1110" s="75">
        <v>1</v>
      </c>
      <c r="B1110" s="75">
        <v>312</v>
      </c>
      <c r="C1110" s="75" t="s">
        <v>10</v>
      </c>
      <c r="D1110" s="75">
        <v>7368</v>
      </c>
      <c r="F1110" s="75" t="s">
        <v>10</v>
      </c>
      <c r="H1110" s="75" t="s">
        <v>10</v>
      </c>
      <c r="I1110" s="75">
        <v>19489</v>
      </c>
      <c r="K1110" s="75" t="str">
        <f>IFERROR(VLOOKUP(J1110,'NQ10'!$B$9:$C$145,2,0),"")</f>
        <v/>
      </c>
    </row>
    <row r="1111" spans="1:11" ht="15" customHeight="1" x14ac:dyDescent="0.25">
      <c r="A1111" s="75">
        <v>1</v>
      </c>
      <c r="B1111" s="75">
        <v>317</v>
      </c>
      <c r="C1111" s="75" t="s">
        <v>10</v>
      </c>
      <c r="D1111" s="75">
        <v>3501</v>
      </c>
      <c r="F1111" s="75" t="s">
        <v>10</v>
      </c>
      <c r="H1111" s="75" t="s">
        <v>10</v>
      </c>
      <c r="I1111" s="75">
        <v>19489</v>
      </c>
      <c r="K1111" s="75" t="str">
        <f>IFERROR(VLOOKUP(J1111,'NQ10'!$B$9:$C$145,2,0),"")</f>
        <v/>
      </c>
    </row>
    <row r="1112" spans="1:11" ht="15" customHeight="1" x14ac:dyDescent="0.25">
      <c r="A1112" s="75">
        <v>1</v>
      </c>
      <c r="B1112" s="75">
        <v>318</v>
      </c>
      <c r="C1112" s="75" t="s">
        <v>10</v>
      </c>
      <c r="D1112" s="75">
        <v>5827</v>
      </c>
      <c r="F1112" s="75" t="s">
        <v>10</v>
      </c>
      <c r="H1112" s="75" t="s">
        <v>10</v>
      </c>
      <c r="I1112" s="75">
        <v>19489</v>
      </c>
      <c r="K1112" s="75" t="str">
        <f>IFERROR(VLOOKUP(J1112,'NQ10'!$B$9:$C$145,2,0),"")</f>
        <v/>
      </c>
    </row>
    <row r="1113" spans="1:11" ht="15" customHeight="1" x14ac:dyDescent="0.25">
      <c r="A1113" s="75">
        <v>1</v>
      </c>
      <c r="B1113" s="75">
        <v>322</v>
      </c>
      <c r="C1113" s="75" t="s">
        <v>10</v>
      </c>
      <c r="D1113" s="75">
        <v>5258</v>
      </c>
      <c r="F1113" s="75" t="s">
        <v>10</v>
      </c>
      <c r="H1113" s="75" t="s">
        <v>10</v>
      </c>
      <c r="I1113" s="75">
        <v>19489</v>
      </c>
      <c r="K1113" s="75" t="str">
        <f>IFERROR(VLOOKUP(J1113,'NQ10'!$B$9:$C$145,2,0),"")</f>
        <v/>
      </c>
    </row>
    <row r="1114" spans="1:11" ht="15" customHeight="1" x14ac:dyDescent="0.25">
      <c r="A1114" s="75">
        <v>1</v>
      </c>
      <c r="B1114" s="75">
        <v>323</v>
      </c>
      <c r="C1114" s="75" t="s">
        <v>10</v>
      </c>
      <c r="D1114" s="75">
        <v>3942</v>
      </c>
      <c r="F1114" s="75" t="s">
        <v>10</v>
      </c>
      <c r="H1114" s="75" t="s">
        <v>10</v>
      </c>
      <c r="I1114" s="75">
        <v>19489</v>
      </c>
      <c r="K1114" s="75" t="str">
        <f>IFERROR(VLOOKUP(J1114,'NQ10'!$B$9:$C$145,2,0),"")</f>
        <v/>
      </c>
    </row>
    <row r="1115" spans="1:11" ht="15" customHeight="1" x14ac:dyDescent="0.25">
      <c r="A1115" s="75">
        <v>1</v>
      </c>
      <c r="B1115" s="75">
        <v>324</v>
      </c>
      <c r="C1115" s="75" t="s">
        <v>10</v>
      </c>
      <c r="D1115" s="75">
        <v>10834</v>
      </c>
      <c r="F1115" s="75" t="s">
        <v>10</v>
      </c>
      <c r="H1115" s="75" t="s">
        <v>10</v>
      </c>
      <c r="I1115" s="75">
        <v>19489</v>
      </c>
      <c r="K1115" s="75" t="str">
        <f>IFERROR(VLOOKUP(J1115,'NQ10'!$B$9:$C$145,2,0),"")</f>
        <v/>
      </c>
    </row>
    <row r="1116" spans="1:11" ht="15" customHeight="1" x14ac:dyDescent="0.25">
      <c r="A1116" s="75">
        <v>1</v>
      </c>
      <c r="B1116" s="75">
        <v>326</v>
      </c>
      <c r="C1116" s="75" t="s">
        <v>10</v>
      </c>
      <c r="D1116" s="75">
        <v>2718</v>
      </c>
      <c r="F1116" s="75" t="s">
        <v>10</v>
      </c>
      <c r="H1116" s="75" t="s">
        <v>10</v>
      </c>
      <c r="I1116" s="75">
        <v>19489</v>
      </c>
      <c r="K1116" s="75" t="str">
        <f>IFERROR(VLOOKUP(J1116,'NQ10'!$B$9:$C$145,2,0),"")</f>
        <v/>
      </c>
    </row>
    <row r="1117" spans="1:11" ht="15" customHeight="1" x14ac:dyDescent="0.25">
      <c r="A1117" s="75">
        <v>1</v>
      </c>
      <c r="B1117" s="75">
        <v>327</v>
      </c>
      <c r="C1117" s="75" t="s">
        <v>10</v>
      </c>
      <c r="D1117" s="75">
        <v>9139</v>
      </c>
      <c r="F1117" s="75" t="s">
        <v>10</v>
      </c>
      <c r="H1117" s="75" t="s">
        <v>10</v>
      </c>
      <c r="I1117" s="75">
        <v>19489</v>
      </c>
      <c r="K1117" s="75" t="str">
        <f>IFERROR(VLOOKUP(J1117,'NQ10'!$B$9:$C$145,2,0),"")</f>
        <v/>
      </c>
    </row>
    <row r="1118" spans="1:11" ht="15" customHeight="1" x14ac:dyDescent="0.25">
      <c r="A1118" s="75">
        <v>1</v>
      </c>
      <c r="B1118" s="75">
        <v>329</v>
      </c>
      <c r="C1118" s="75" t="s">
        <v>10</v>
      </c>
      <c r="D1118" s="75">
        <v>9976</v>
      </c>
      <c r="F1118" s="75" t="s">
        <v>10</v>
      </c>
      <c r="H1118" s="75" t="s">
        <v>10</v>
      </c>
      <c r="I1118" s="75">
        <v>19489</v>
      </c>
      <c r="K1118" s="75" t="str">
        <f>IFERROR(VLOOKUP(J1118,'NQ10'!$B$9:$C$145,2,0),"")</f>
        <v/>
      </c>
    </row>
    <row r="1119" spans="1:11" ht="15" customHeight="1" x14ac:dyDescent="0.25">
      <c r="A1119" s="75">
        <v>1</v>
      </c>
      <c r="B1119" s="75">
        <v>332</v>
      </c>
      <c r="C1119" s="75" t="s">
        <v>10</v>
      </c>
      <c r="D1119" s="75">
        <v>7858</v>
      </c>
      <c r="F1119" s="75" t="s">
        <v>10</v>
      </c>
      <c r="H1119" s="75" t="s">
        <v>10</v>
      </c>
      <c r="I1119" s="75">
        <v>19489</v>
      </c>
      <c r="K1119" s="75" t="str">
        <f>IFERROR(VLOOKUP(J1119,'NQ10'!$B$9:$C$145,2,0),"")</f>
        <v/>
      </c>
    </row>
    <row r="1120" spans="1:11" ht="15" customHeight="1" x14ac:dyDescent="0.25">
      <c r="A1120" s="75">
        <v>1</v>
      </c>
      <c r="B1120" s="75">
        <v>334</v>
      </c>
      <c r="C1120" s="75" t="s">
        <v>10</v>
      </c>
      <c r="D1120" s="75">
        <v>2813</v>
      </c>
      <c r="F1120" s="75" t="s">
        <v>10</v>
      </c>
      <c r="H1120" s="75" t="s">
        <v>10</v>
      </c>
      <c r="I1120" s="75">
        <v>19489</v>
      </c>
      <c r="K1120" s="75" t="str">
        <f>IFERROR(VLOOKUP(J1120,'NQ10'!$B$9:$C$145,2,0),"")</f>
        <v/>
      </c>
    </row>
    <row r="1121" spans="1:11" ht="15" customHeight="1" x14ac:dyDescent="0.25">
      <c r="A1121" s="75">
        <v>1</v>
      </c>
      <c r="B1121" s="75">
        <v>340</v>
      </c>
      <c r="C1121" s="75" t="s">
        <v>10</v>
      </c>
      <c r="D1121" s="75">
        <v>4887</v>
      </c>
      <c r="F1121" s="75" t="s">
        <v>10</v>
      </c>
      <c r="H1121" s="75" t="s">
        <v>10</v>
      </c>
      <c r="I1121" s="75">
        <v>19489</v>
      </c>
      <c r="K1121" s="75" t="str">
        <f>IFERROR(VLOOKUP(J1121,'NQ10'!$B$9:$C$145,2,0),"")</f>
        <v/>
      </c>
    </row>
    <row r="1122" spans="1:11" ht="15" customHeight="1" x14ac:dyDescent="0.25">
      <c r="A1122" s="75">
        <v>1</v>
      </c>
      <c r="B1122" s="75">
        <v>342</v>
      </c>
      <c r="C1122" s="75" t="s">
        <v>10</v>
      </c>
      <c r="D1122" s="75">
        <v>6553</v>
      </c>
      <c r="F1122" s="75" t="s">
        <v>10</v>
      </c>
      <c r="H1122" s="75" t="s">
        <v>10</v>
      </c>
      <c r="I1122" s="75">
        <v>19489</v>
      </c>
      <c r="K1122" s="75" t="str">
        <f>IFERROR(VLOOKUP(J1122,'NQ10'!$B$9:$C$145,2,0),"")</f>
        <v/>
      </c>
    </row>
    <row r="1123" spans="1:11" ht="15" customHeight="1" x14ac:dyDescent="0.25">
      <c r="A1123" s="75">
        <v>1</v>
      </c>
      <c r="B1123" s="75">
        <v>352</v>
      </c>
      <c r="C1123" s="75" t="s">
        <v>10</v>
      </c>
      <c r="D1123" s="75">
        <v>13499</v>
      </c>
      <c r="F1123" s="75" t="s">
        <v>10</v>
      </c>
      <c r="H1123" s="75" t="s">
        <v>10</v>
      </c>
      <c r="I1123" s="75">
        <v>19489</v>
      </c>
      <c r="K1123" s="75" t="str">
        <f>IFERROR(VLOOKUP(J1123,'NQ10'!$B$9:$C$145,2,0),"")</f>
        <v/>
      </c>
    </row>
    <row r="1124" spans="1:11" ht="15" customHeight="1" x14ac:dyDescent="0.25">
      <c r="A1124" s="75">
        <v>1</v>
      </c>
      <c r="B1124" s="75">
        <v>355</v>
      </c>
      <c r="C1124" s="75" t="s">
        <v>10</v>
      </c>
      <c r="D1124" s="75">
        <v>6005</v>
      </c>
      <c r="F1124" s="75" t="s">
        <v>10</v>
      </c>
      <c r="H1124" s="75" t="s">
        <v>10</v>
      </c>
      <c r="I1124" s="75">
        <v>19489</v>
      </c>
      <c r="K1124" s="75" t="str">
        <f>IFERROR(VLOOKUP(J1124,'NQ10'!$B$9:$C$145,2,0),"")</f>
        <v/>
      </c>
    </row>
    <row r="1125" spans="1:11" ht="15" customHeight="1" x14ac:dyDescent="0.25">
      <c r="A1125" s="75">
        <v>1</v>
      </c>
      <c r="B1125" s="75">
        <v>357</v>
      </c>
      <c r="C1125" s="75" t="s">
        <v>10</v>
      </c>
      <c r="D1125" s="75">
        <v>14762</v>
      </c>
      <c r="F1125" s="75" t="s">
        <v>10</v>
      </c>
      <c r="H1125" s="75" t="s">
        <v>10</v>
      </c>
      <c r="I1125" s="75">
        <v>19489</v>
      </c>
      <c r="K1125" s="75" t="str">
        <f>IFERROR(VLOOKUP(J1125,'NQ10'!$B$9:$C$145,2,0),"")</f>
        <v/>
      </c>
    </row>
    <row r="1126" spans="1:11" ht="15" customHeight="1" x14ac:dyDescent="0.25">
      <c r="A1126" s="75">
        <v>1</v>
      </c>
      <c r="B1126" s="75">
        <v>357</v>
      </c>
      <c r="C1126" s="75" t="s">
        <v>10</v>
      </c>
      <c r="D1126" s="75">
        <v>830</v>
      </c>
      <c r="F1126" s="75" t="s">
        <v>10</v>
      </c>
      <c r="H1126" s="75" t="s">
        <v>10</v>
      </c>
      <c r="I1126" s="75">
        <v>19489</v>
      </c>
      <c r="K1126" s="75" t="str">
        <f>IFERROR(VLOOKUP(J1126,'NQ10'!$B$9:$C$145,2,0),"")</f>
        <v/>
      </c>
    </row>
    <row r="1127" spans="1:11" ht="15" customHeight="1" x14ac:dyDescent="0.25">
      <c r="A1127" s="75">
        <v>1</v>
      </c>
      <c r="B1127" s="75">
        <v>360</v>
      </c>
      <c r="C1127" s="75" t="s">
        <v>10</v>
      </c>
      <c r="D1127" s="75">
        <v>4599</v>
      </c>
      <c r="F1127" s="75" t="s">
        <v>10</v>
      </c>
      <c r="H1127" s="75" t="s">
        <v>10</v>
      </c>
      <c r="I1127" s="75">
        <v>19489</v>
      </c>
      <c r="K1127" s="75" t="str">
        <f>IFERROR(VLOOKUP(J1127,'NQ10'!$B$9:$C$145,2,0),"")</f>
        <v/>
      </c>
    </row>
    <row r="1128" spans="1:11" ht="15" customHeight="1" x14ac:dyDescent="0.25">
      <c r="A1128" s="75">
        <v>1</v>
      </c>
      <c r="B1128" s="75">
        <v>364</v>
      </c>
      <c r="C1128" s="75" t="s">
        <v>10</v>
      </c>
      <c r="D1128" s="75">
        <v>5305</v>
      </c>
      <c r="F1128" s="75" t="s">
        <v>10</v>
      </c>
      <c r="H1128" s="75" t="s">
        <v>10</v>
      </c>
      <c r="I1128" s="75">
        <v>19489</v>
      </c>
      <c r="K1128" s="75" t="str">
        <f>IFERROR(VLOOKUP(J1128,'NQ10'!$B$9:$C$145,2,0),"")</f>
        <v/>
      </c>
    </row>
    <row r="1129" spans="1:11" ht="15" customHeight="1" x14ac:dyDescent="0.25">
      <c r="A1129" s="75">
        <v>1</v>
      </c>
      <c r="B1129" s="75">
        <v>367</v>
      </c>
      <c r="C1129" s="75" t="s">
        <v>10</v>
      </c>
      <c r="D1129" s="75">
        <v>5886</v>
      </c>
      <c r="F1129" s="75" t="s">
        <v>10</v>
      </c>
      <c r="H1129" s="75" t="s">
        <v>10</v>
      </c>
      <c r="I1129" s="75">
        <v>19489</v>
      </c>
      <c r="K1129" s="75" t="str">
        <f>IFERROR(VLOOKUP(J1129,'NQ10'!$B$9:$C$145,2,0),"")</f>
        <v/>
      </c>
    </row>
    <row r="1130" spans="1:11" ht="15" customHeight="1" x14ac:dyDescent="0.25">
      <c r="A1130" s="75">
        <v>1</v>
      </c>
      <c r="B1130" s="75">
        <v>380</v>
      </c>
      <c r="C1130" s="75" t="s">
        <v>10</v>
      </c>
      <c r="D1130" s="75">
        <v>12349</v>
      </c>
      <c r="F1130" s="75" t="s">
        <v>10</v>
      </c>
      <c r="H1130" s="75" t="s">
        <v>10</v>
      </c>
      <c r="I1130" s="75">
        <v>19489</v>
      </c>
      <c r="K1130" s="75" t="str">
        <f>IFERROR(VLOOKUP(J1130,'NQ10'!$B$9:$C$145,2,0),"")</f>
        <v/>
      </c>
    </row>
    <row r="1131" spans="1:11" ht="15" customHeight="1" x14ac:dyDescent="0.25">
      <c r="A1131" s="75">
        <v>1</v>
      </c>
      <c r="B1131" s="75">
        <v>382</v>
      </c>
      <c r="C1131" s="75" t="s">
        <v>10</v>
      </c>
      <c r="D1131" s="75">
        <v>45218</v>
      </c>
      <c r="F1131" s="75" t="s">
        <v>10</v>
      </c>
      <c r="H1131" s="75" t="s">
        <v>10</v>
      </c>
      <c r="I1131" s="75">
        <v>19489</v>
      </c>
      <c r="K1131" s="75" t="str">
        <f>IFERROR(VLOOKUP(J1131,'NQ10'!$B$9:$C$145,2,0),"")</f>
        <v/>
      </c>
    </row>
    <row r="1132" spans="1:11" ht="15" customHeight="1" x14ac:dyDescent="0.25">
      <c r="A1132" s="75">
        <v>1</v>
      </c>
      <c r="B1132" s="75">
        <v>385</v>
      </c>
      <c r="C1132" s="75" t="s">
        <v>10</v>
      </c>
      <c r="D1132" s="75">
        <v>7928</v>
      </c>
      <c r="F1132" s="75" t="s">
        <v>10</v>
      </c>
      <c r="H1132" s="75" t="s">
        <v>10</v>
      </c>
      <c r="I1132" s="75">
        <v>19489</v>
      </c>
      <c r="K1132" s="75" t="str">
        <f>IFERROR(VLOOKUP(J1132,'NQ10'!$B$9:$C$145,2,0),"")</f>
        <v/>
      </c>
    </row>
    <row r="1133" spans="1:11" ht="15" customHeight="1" x14ac:dyDescent="0.25">
      <c r="A1133" s="75">
        <v>1</v>
      </c>
      <c r="B1133" s="75">
        <v>389</v>
      </c>
      <c r="C1133" s="75" t="s">
        <v>10</v>
      </c>
      <c r="D1133" s="75">
        <v>9328</v>
      </c>
      <c r="F1133" s="75" t="s">
        <v>10</v>
      </c>
      <c r="H1133" s="75" t="s">
        <v>10</v>
      </c>
      <c r="I1133" s="75">
        <v>19489</v>
      </c>
      <c r="K1133" s="75" t="str">
        <f>IFERROR(VLOOKUP(J1133,'NQ10'!$B$9:$C$145,2,0),"")</f>
        <v/>
      </c>
    </row>
    <row r="1134" spans="1:11" ht="15" customHeight="1" x14ac:dyDescent="0.25">
      <c r="A1134" s="75">
        <v>1</v>
      </c>
      <c r="B1134" s="75">
        <v>392</v>
      </c>
      <c r="C1134" s="75" t="s">
        <v>10</v>
      </c>
      <c r="D1134" s="75">
        <v>45292</v>
      </c>
      <c r="F1134" s="75" t="s">
        <v>10</v>
      </c>
      <c r="H1134" s="75" t="s">
        <v>10</v>
      </c>
      <c r="I1134" s="75">
        <v>19489</v>
      </c>
      <c r="K1134" s="75" t="str">
        <f>IFERROR(VLOOKUP(J1134,'NQ10'!$B$9:$C$145,2,0),"")</f>
        <v/>
      </c>
    </row>
    <row r="1135" spans="1:11" ht="15" customHeight="1" x14ac:dyDescent="0.25">
      <c r="A1135" s="75">
        <v>1</v>
      </c>
      <c r="B1135" s="75">
        <v>393</v>
      </c>
      <c r="C1135" s="75" t="s">
        <v>10</v>
      </c>
      <c r="D1135" s="75">
        <v>10070</v>
      </c>
      <c r="F1135" s="75" t="s">
        <v>10</v>
      </c>
      <c r="H1135" s="75" t="s">
        <v>10</v>
      </c>
      <c r="I1135" s="75">
        <v>19489</v>
      </c>
      <c r="K1135" s="75" t="str">
        <f>IFERROR(VLOOKUP(J1135,'NQ10'!$B$9:$C$145,2,0),"")</f>
        <v/>
      </c>
    </row>
    <row r="1136" spans="1:11" ht="15" customHeight="1" x14ac:dyDescent="0.25">
      <c r="A1136" s="75">
        <v>1</v>
      </c>
      <c r="B1136" s="75">
        <v>397</v>
      </c>
      <c r="C1136" s="75" t="s">
        <v>10</v>
      </c>
      <c r="D1136" s="75">
        <v>5699</v>
      </c>
      <c r="F1136" s="75" t="s">
        <v>10</v>
      </c>
      <c r="H1136" s="75" t="s">
        <v>10</v>
      </c>
      <c r="I1136" s="75">
        <v>19489</v>
      </c>
      <c r="K1136" s="75" t="str">
        <f>IFERROR(VLOOKUP(J1136,'NQ10'!$B$9:$C$145,2,0),"")</f>
        <v/>
      </c>
    </row>
    <row r="1137" spans="1:11" ht="15" customHeight="1" x14ac:dyDescent="0.25">
      <c r="A1137" s="75">
        <v>1</v>
      </c>
      <c r="B1137" s="75">
        <v>398</v>
      </c>
      <c r="C1137" s="75" t="s">
        <v>10</v>
      </c>
      <c r="D1137" s="75">
        <v>10848</v>
      </c>
      <c r="F1137" s="75" t="s">
        <v>10</v>
      </c>
      <c r="H1137" s="75" t="s">
        <v>10</v>
      </c>
      <c r="I1137" s="75">
        <v>19489</v>
      </c>
      <c r="K1137" s="75" t="str">
        <f>IFERROR(VLOOKUP(J1137,'NQ10'!$B$9:$C$145,2,0),"")</f>
        <v/>
      </c>
    </row>
    <row r="1138" spans="1:11" ht="15" customHeight="1" x14ac:dyDescent="0.25">
      <c r="A1138" s="75">
        <v>1</v>
      </c>
      <c r="B1138" s="75">
        <v>401</v>
      </c>
      <c r="C1138" s="75" t="s">
        <v>10</v>
      </c>
      <c r="D1138" s="75">
        <v>4709</v>
      </c>
      <c r="F1138" s="75" t="s">
        <v>10</v>
      </c>
      <c r="H1138" s="75" t="s">
        <v>10</v>
      </c>
      <c r="I1138" s="75">
        <v>19489</v>
      </c>
      <c r="K1138" s="75" t="str">
        <f>IFERROR(VLOOKUP(J1138,'NQ10'!$B$9:$C$145,2,0),"")</f>
        <v/>
      </c>
    </row>
    <row r="1139" spans="1:11" ht="15" customHeight="1" x14ac:dyDescent="0.25">
      <c r="A1139" s="75">
        <v>1</v>
      </c>
      <c r="B1139" s="75">
        <v>403</v>
      </c>
      <c r="C1139" s="75" t="s">
        <v>10</v>
      </c>
      <c r="D1139" s="75">
        <v>57165</v>
      </c>
      <c r="F1139" s="75" t="s">
        <v>10</v>
      </c>
      <c r="H1139" s="75" t="s">
        <v>10</v>
      </c>
      <c r="I1139" s="75">
        <v>19489</v>
      </c>
      <c r="K1139" s="75" t="str">
        <f>IFERROR(VLOOKUP(J1139,'NQ10'!$B$9:$C$145,2,0),"")</f>
        <v/>
      </c>
    </row>
    <row r="1140" spans="1:11" ht="15" customHeight="1" x14ac:dyDescent="0.25">
      <c r="A1140" s="75">
        <v>1</v>
      </c>
      <c r="B1140" s="75">
        <v>406</v>
      </c>
      <c r="C1140" s="75" t="s">
        <v>10</v>
      </c>
      <c r="D1140" s="75">
        <v>27592</v>
      </c>
      <c r="F1140" s="75" t="s">
        <v>10</v>
      </c>
      <c r="H1140" s="75" t="s">
        <v>10</v>
      </c>
      <c r="I1140" s="75">
        <v>19489</v>
      </c>
      <c r="K1140" s="75" t="str">
        <f>IFERROR(VLOOKUP(J1140,'NQ10'!$B$9:$C$145,2,0),"")</f>
        <v/>
      </c>
    </row>
    <row r="1141" spans="1:11" ht="15" customHeight="1" x14ac:dyDescent="0.25">
      <c r="A1141" s="75">
        <v>1</v>
      </c>
      <c r="B1141" s="75">
        <v>408</v>
      </c>
      <c r="C1141" s="75" t="s">
        <v>10</v>
      </c>
      <c r="D1141" s="75">
        <v>15268</v>
      </c>
      <c r="F1141" s="75" t="s">
        <v>10</v>
      </c>
      <c r="H1141" s="75" t="s">
        <v>10</v>
      </c>
      <c r="I1141" s="75">
        <v>19489</v>
      </c>
      <c r="K1141" s="75" t="str">
        <f>IFERROR(VLOOKUP(J1141,'NQ10'!$B$9:$C$145,2,0),"")</f>
        <v/>
      </c>
    </row>
    <row r="1142" spans="1:11" ht="15" customHeight="1" x14ac:dyDescent="0.25">
      <c r="A1142" s="75">
        <v>1</v>
      </c>
      <c r="B1142" s="75">
        <v>410</v>
      </c>
      <c r="C1142" s="75" t="s">
        <v>10</v>
      </c>
      <c r="D1142" s="75">
        <v>30790</v>
      </c>
      <c r="F1142" s="75" t="s">
        <v>10</v>
      </c>
      <c r="H1142" s="75" t="s">
        <v>10</v>
      </c>
      <c r="I1142" s="75">
        <v>19489</v>
      </c>
      <c r="K1142" s="75" t="str">
        <f>IFERROR(VLOOKUP(J1142,'NQ10'!$B$9:$C$145,2,0),"")</f>
        <v/>
      </c>
    </row>
    <row r="1143" spans="1:11" ht="15" customHeight="1" x14ac:dyDescent="0.25">
      <c r="A1143" s="75">
        <v>1</v>
      </c>
      <c r="B1143" s="75">
        <v>411</v>
      </c>
      <c r="C1143" s="75" t="s">
        <v>10</v>
      </c>
      <c r="D1143" s="75">
        <v>9427</v>
      </c>
      <c r="F1143" s="75" t="s">
        <v>10</v>
      </c>
      <c r="H1143" s="75" t="s">
        <v>10</v>
      </c>
      <c r="I1143" s="75">
        <v>19489</v>
      </c>
      <c r="K1143" s="75" t="str">
        <f>IFERROR(VLOOKUP(J1143,'NQ10'!$B$9:$C$145,2,0),"")</f>
        <v/>
      </c>
    </row>
    <row r="1144" spans="1:11" ht="15" customHeight="1" x14ac:dyDescent="0.25">
      <c r="A1144" s="75">
        <v>1</v>
      </c>
      <c r="B1144" s="75">
        <v>412</v>
      </c>
      <c r="C1144" s="75" t="s">
        <v>10</v>
      </c>
      <c r="D1144" s="75">
        <v>4791</v>
      </c>
      <c r="F1144" s="75" t="s">
        <v>10</v>
      </c>
      <c r="H1144" s="75" t="s">
        <v>10</v>
      </c>
      <c r="I1144" s="75">
        <v>19489</v>
      </c>
      <c r="K1144" s="75" t="str">
        <f>IFERROR(VLOOKUP(J1144,'NQ10'!$B$9:$C$145,2,0),"")</f>
        <v/>
      </c>
    </row>
    <row r="1145" spans="1:11" ht="15" customHeight="1" x14ac:dyDescent="0.25">
      <c r="A1145" s="75">
        <v>1</v>
      </c>
      <c r="B1145" s="75">
        <v>413</v>
      </c>
      <c r="C1145" s="75" t="s">
        <v>10</v>
      </c>
      <c r="D1145" s="75">
        <v>20425</v>
      </c>
      <c r="F1145" s="75" t="s">
        <v>10</v>
      </c>
      <c r="H1145" s="75" t="s">
        <v>10</v>
      </c>
      <c r="I1145" s="75">
        <v>19489</v>
      </c>
      <c r="K1145" s="75" t="str">
        <f>IFERROR(VLOOKUP(J1145,'NQ10'!$B$9:$C$145,2,0),"")</f>
        <v/>
      </c>
    </row>
    <row r="1146" spans="1:11" ht="15" customHeight="1" x14ac:dyDescent="0.25">
      <c r="A1146" s="75">
        <v>1</v>
      </c>
      <c r="B1146" s="75">
        <v>415</v>
      </c>
      <c r="C1146" s="75" t="s">
        <v>10</v>
      </c>
      <c r="D1146" s="75">
        <v>7828</v>
      </c>
      <c r="F1146" s="75" t="s">
        <v>10</v>
      </c>
      <c r="H1146" s="75" t="s">
        <v>10</v>
      </c>
      <c r="I1146" s="75">
        <v>19489</v>
      </c>
      <c r="K1146" s="75" t="str">
        <f>IFERROR(VLOOKUP(J1146,'NQ10'!$B$9:$C$145,2,0),"")</f>
        <v/>
      </c>
    </row>
    <row r="1147" spans="1:11" ht="15" customHeight="1" x14ac:dyDescent="0.25">
      <c r="A1147" s="75">
        <v>1</v>
      </c>
      <c r="B1147" s="75">
        <v>416</v>
      </c>
      <c r="C1147" s="75" t="s">
        <v>10</v>
      </c>
      <c r="D1147" s="75">
        <v>9283</v>
      </c>
      <c r="F1147" s="75" t="s">
        <v>10</v>
      </c>
      <c r="H1147" s="75" t="s">
        <v>10</v>
      </c>
      <c r="I1147" s="75">
        <v>19489</v>
      </c>
      <c r="K1147" s="75" t="str">
        <f>IFERROR(VLOOKUP(J1147,'NQ10'!$B$9:$C$145,2,0),"")</f>
        <v/>
      </c>
    </row>
    <row r="1148" spans="1:11" ht="15" customHeight="1" x14ac:dyDescent="0.25">
      <c r="A1148" s="75">
        <v>1</v>
      </c>
      <c r="B1148" s="75">
        <v>417</v>
      </c>
      <c r="C1148" s="75" t="s">
        <v>10</v>
      </c>
      <c r="D1148" s="75">
        <v>13296</v>
      </c>
      <c r="F1148" s="75" t="s">
        <v>10</v>
      </c>
      <c r="H1148" s="75" t="s">
        <v>10</v>
      </c>
      <c r="I1148" s="75">
        <v>19489</v>
      </c>
      <c r="K1148" s="75" t="str">
        <f>IFERROR(VLOOKUP(J1148,'NQ10'!$B$9:$C$145,2,0),"")</f>
        <v/>
      </c>
    </row>
    <row r="1149" spans="1:11" ht="15" customHeight="1" x14ac:dyDescent="0.25">
      <c r="A1149" s="75">
        <v>1</v>
      </c>
      <c r="B1149" s="75">
        <v>419</v>
      </c>
      <c r="C1149" s="75" t="s">
        <v>10</v>
      </c>
      <c r="D1149" s="75">
        <v>9387</v>
      </c>
      <c r="F1149" s="75" t="s">
        <v>10</v>
      </c>
      <c r="H1149" s="75" t="s">
        <v>10</v>
      </c>
      <c r="I1149" s="75">
        <v>19489</v>
      </c>
      <c r="K1149" s="75" t="str">
        <f>IFERROR(VLOOKUP(J1149,'NQ10'!$B$9:$C$145,2,0),"")</f>
        <v/>
      </c>
    </row>
    <row r="1150" spans="1:11" ht="15" customHeight="1" x14ac:dyDescent="0.25">
      <c r="A1150" s="75">
        <v>1</v>
      </c>
      <c r="B1150" s="75">
        <v>420</v>
      </c>
      <c r="C1150" s="75" t="s">
        <v>10</v>
      </c>
      <c r="D1150" s="75">
        <v>10144</v>
      </c>
      <c r="F1150" s="75" t="s">
        <v>10</v>
      </c>
      <c r="H1150" s="75" t="s">
        <v>10</v>
      </c>
      <c r="I1150" s="75">
        <v>19489</v>
      </c>
      <c r="K1150" s="75" t="str">
        <f>IFERROR(VLOOKUP(J1150,'NQ10'!$B$9:$C$145,2,0),"")</f>
        <v/>
      </c>
    </row>
    <row r="1151" spans="1:11" ht="15" customHeight="1" x14ac:dyDescent="0.25">
      <c r="A1151" s="75">
        <v>1</v>
      </c>
      <c r="B1151" s="75">
        <v>421</v>
      </c>
      <c r="C1151" s="75" t="s">
        <v>10</v>
      </c>
      <c r="D1151" s="75">
        <v>33626</v>
      </c>
      <c r="F1151" s="75" t="s">
        <v>10</v>
      </c>
      <c r="H1151" s="75" t="s">
        <v>10</v>
      </c>
      <c r="I1151" s="75">
        <v>19489</v>
      </c>
      <c r="K1151" s="75" t="str">
        <f>IFERROR(VLOOKUP(J1151,'NQ10'!$B$9:$C$145,2,0),"")</f>
        <v/>
      </c>
    </row>
    <row r="1152" spans="1:11" ht="15" customHeight="1" x14ac:dyDescent="0.25">
      <c r="A1152" s="75">
        <v>1</v>
      </c>
      <c r="B1152" s="75">
        <v>422</v>
      </c>
      <c r="C1152" s="75" t="s">
        <v>10</v>
      </c>
      <c r="D1152" s="75">
        <v>4545</v>
      </c>
      <c r="F1152" s="75" t="s">
        <v>10</v>
      </c>
      <c r="H1152" s="75" t="s">
        <v>10</v>
      </c>
      <c r="I1152" s="75">
        <v>19489</v>
      </c>
      <c r="K1152" s="75" t="str">
        <f>IFERROR(VLOOKUP(J1152,'NQ10'!$B$9:$C$145,2,0),"")</f>
        <v/>
      </c>
    </row>
    <row r="1153" spans="1:11" ht="15" customHeight="1" x14ac:dyDescent="0.25">
      <c r="A1153" s="75">
        <v>1</v>
      </c>
      <c r="B1153" s="75">
        <v>425</v>
      </c>
      <c r="C1153" s="75" t="s">
        <v>10</v>
      </c>
      <c r="D1153" s="75">
        <v>7311</v>
      </c>
      <c r="F1153" s="75" t="s">
        <v>10</v>
      </c>
      <c r="H1153" s="75" t="s">
        <v>10</v>
      </c>
      <c r="I1153" s="75">
        <v>19489</v>
      </c>
      <c r="K1153" s="75" t="str">
        <f>IFERROR(VLOOKUP(J1153,'NQ10'!$B$9:$C$145,2,0),"")</f>
        <v/>
      </c>
    </row>
    <row r="1154" spans="1:11" ht="15" customHeight="1" x14ac:dyDescent="0.25">
      <c r="A1154" s="75">
        <v>1</v>
      </c>
      <c r="B1154" s="75">
        <v>426</v>
      </c>
      <c r="C1154" s="75" t="s">
        <v>10</v>
      </c>
      <c r="D1154" s="75">
        <v>7441</v>
      </c>
      <c r="F1154" s="75" t="s">
        <v>10</v>
      </c>
      <c r="H1154" s="75" t="s">
        <v>10</v>
      </c>
      <c r="I1154" s="75">
        <v>19489</v>
      </c>
      <c r="K1154" s="75" t="str">
        <f>IFERROR(VLOOKUP(J1154,'NQ10'!$B$9:$C$145,2,0),"")</f>
        <v/>
      </c>
    </row>
    <row r="1155" spans="1:11" ht="15" customHeight="1" x14ac:dyDescent="0.25">
      <c r="A1155" s="75">
        <v>1</v>
      </c>
      <c r="B1155" s="75">
        <v>429</v>
      </c>
      <c r="C1155" s="75" t="s">
        <v>10</v>
      </c>
      <c r="D1155" s="75">
        <v>21939</v>
      </c>
      <c r="F1155" s="75" t="s">
        <v>10</v>
      </c>
      <c r="H1155" s="75" t="s">
        <v>10</v>
      </c>
      <c r="I1155" s="75">
        <v>19489</v>
      </c>
      <c r="K1155" s="75" t="str">
        <f>IFERROR(VLOOKUP(J1155,'NQ10'!$B$9:$C$145,2,0),"")</f>
        <v/>
      </c>
    </row>
    <row r="1156" spans="1:11" ht="15" customHeight="1" x14ac:dyDescent="0.25">
      <c r="A1156" s="75">
        <v>1</v>
      </c>
      <c r="B1156" s="75">
        <v>430</v>
      </c>
      <c r="C1156" s="75" t="s">
        <v>10</v>
      </c>
      <c r="D1156" s="75">
        <v>13608</v>
      </c>
      <c r="F1156" s="75" t="s">
        <v>10</v>
      </c>
      <c r="H1156" s="75" t="s">
        <v>10</v>
      </c>
      <c r="I1156" s="75">
        <v>19489</v>
      </c>
      <c r="K1156" s="75" t="str">
        <f>IFERROR(VLOOKUP(J1156,'NQ10'!$B$9:$C$145,2,0),"")</f>
        <v/>
      </c>
    </row>
    <row r="1157" spans="1:11" ht="15" customHeight="1" x14ac:dyDescent="0.25">
      <c r="A1157" s="75">
        <v>1</v>
      </c>
      <c r="B1157" s="75">
        <v>437</v>
      </c>
      <c r="C1157" s="75" t="s">
        <v>10</v>
      </c>
      <c r="D1157" s="75">
        <v>3733</v>
      </c>
      <c r="F1157" s="75" t="s">
        <v>10</v>
      </c>
      <c r="H1157" s="75" t="s">
        <v>10</v>
      </c>
      <c r="I1157" s="75">
        <v>19489</v>
      </c>
      <c r="K1157" s="75" t="str">
        <f>IFERROR(VLOOKUP(J1157,'NQ10'!$B$9:$C$145,2,0),"")</f>
        <v/>
      </c>
    </row>
    <row r="1158" spans="1:11" ht="15" customHeight="1" x14ac:dyDescent="0.25">
      <c r="A1158" s="75">
        <v>1</v>
      </c>
      <c r="B1158" s="75">
        <v>441</v>
      </c>
      <c r="C1158" s="75" t="s">
        <v>10</v>
      </c>
      <c r="D1158" s="75">
        <v>7323</v>
      </c>
      <c r="F1158" s="75" t="s">
        <v>10</v>
      </c>
      <c r="H1158" s="75" t="s">
        <v>10</v>
      </c>
      <c r="I1158" s="75">
        <v>19489</v>
      </c>
      <c r="K1158" s="75" t="str">
        <f>IFERROR(VLOOKUP(J1158,'NQ10'!$B$9:$C$145,2,0),"")</f>
        <v/>
      </c>
    </row>
    <row r="1159" spans="1:11" ht="15" customHeight="1" x14ac:dyDescent="0.25">
      <c r="A1159" s="75">
        <v>1</v>
      </c>
      <c r="B1159" s="75">
        <v>443</v>
      </c>
      <c r="C1159" s="75" t="s">
        <v>10</v>
      </c>
      <c r="D1159" s="75">
        <v>25848</v>
      </c>
      <c r="F1159" s="75" t="s">
        <v>10</v>
      </c>
      <c r="H1159" s="75" t="s">
        <v>10</v>
      </c>
      <c r="I1159" s="75">
        <v>19489</v>
      </c>
      <c r="K1159" s="75" t="str">
        <f>IFERROR(VLOOKUP(J1159,'NQ10'!$B$9:$C$145,2,0),"")</f>
        <v/>
      </c>
    </row>
    <row r="1160" spans="1:11" ht="15" customHeight="1" x14ac:dyDescent="0.25">
      <c r="A1160" s="75">
        <v>1</v>
      </c>
      <c r="B1160" s="75">
        <v>445</v>
      </c>
      <c r="C1160" s="75" t="s">
        <v>10</v>
      </c>
      <c r="D1160" s="75">
        <v>7632</v>
      </c>
      <c r="F1160" s="75" t="s">
        <v>10</v>
      </c>
      <c r="H1160" s="75" t="s">
        <v>10</v>
      </c>
      <c r="I1160" s="75">
        <v>19489</v>
      </c>
      <c r="K1160" s="75" t="str">
        <f>IFERROR(VLOOKUP(J1160,'NQ10'!$B$9:$C$145,2,0),"")</f>
        <v/>
      </c>
    </row>
    <row r="1161" spans="1:11" ht="15" customHeight="1" x14ac:dyDescent="0.25">
      <c r="A1161" s="75">
        <v>1</v>
      </c>
      <c r="B1161" s="75">
        <v>449</v>
      </c>
      <c r="C1161" s="75" t="s">
        <v>10</v>
      </c>
      <c r="D1161" s="75">
        <v>12645</v>
      </c>
      <c r="F1161" s="75" t="s">
        <v>10</v>
      </c>
      <c r="H1161" s="75" t="s">
        <v>10</v>
      </c>
      <c r="I1161" s="75">
        <v>19489</v>
      </c>
      <c r="K1161" s="75" t="str">
        <f>IFERROR(VLOOKUP(J1161,'NQ10'!$B$9:$C$145,2,0),"")</f>
        <v/>
      </c>
    </row>
    <row r="1162" spans="1:11" ht="15" customHeight="1" x14ac:dyDescent="0.25">
      <c r="A1162" s="75">
        <v>1</v>
      </c>
      <c r="B1162" s="75">
        <v>456</v>
      </c>
      <c r="C1162" s="75" t="s">
        <v>10</v>
      </c>
      <c r="D1162" s="75">
        <v>5783</v>
      </c>
      <c r="F1162" s="75" t="s">
        <v>10</v>
      </c>
      <c r="H1162" s="75" t="s">
        <v>10</v>
      </c>
      <c r="I1162" s="75">
        <v>19489</v>
      </c>
      <c r="K1162" s="75" t="str">
        <f>IFERROR(VLOOKUP(J1162,'NQ10'!$B$9:$C$145,2,0),"")</f>
        <v/>
      </c>
    </row>
    <row r="1163" spans="1:11" ht="15" customHeight="1" x14ac:dyDescent="0.25">
      <c r="A1163" s="75">
        <v>1</v>
      </c>
      <c r="B1163" s="75">
        <v>458</v>
      </c>
      <c r="C1163" s="75" t="s">
        <v>10</v>
      </c>
      <c r="D1163" s="75">
        <v>2926</v>
      </c>
      <c r="F1163" s="75" t="s">
        <v>10</v>
      </c>
      <c r="H1163" s="75" t="s">
        <v>10</v>
      </c>
      <c r="I1163" s="75">
        <v>19489</v>
      </c>
      <c r="K1163" s="75" t="str">
        <f>IFERROR(VLOOKUP(J1163,'NQ10'!$B$9:$C$145,2,0),"")</f>
        <v/>
      </c>
    </row>
    <row r="1164" spans="1:11" ht="15" customHeight="1" x14ac:dyDescent="0.25">
      <c r="A1164" s="75">
        <v>1</v>
      </c>
      <c r="B1164" s="75">
        <v>460</v>
      </c>
      <c r="C1164" s="75" t="s">
        <v>10</v>
      </c>
      <c r="D1164" s="75">
        <v>1738</v>
      </c>
      <c r="F1164" s="75" t="s">
        <v>10</v>
      </c>
      <c r="H1164" s="75" t="s">
        <v>10</v>
      </c>
      <c r="I1164" s="75">
        <v>19489</v>
      </c>
      <c r="K1164" s="75" t="str">
        <f>IFERROR(VLOOKUP(J1164,'NQ10'!$B$9:$C$145,2,0),"")</f>
        <v/>
      </c>
    </row>
    <row r="1165" spans="1:11" ht="15" customHeight="1" x14ac:dyDescent="0.25">
      <c r="A1165" s="75">
        <v>1</v>
      </c>
      <c r="B1165" s="75">
        <v>461</v>
      </c>
      <c r="C1165" s="75" t="s">
        <v>10</v>
      </c>
      <c r="D1165" s="75">
        <v>17150</v>
      </c>
      <c r="F1165" s="75" t="s">
        <v>10</v>
      </c>
      <c r="H1165" s="75" t="s">
        <v>10</v>
      </c>
      <c r="I1165" s="75">
        <v>19489</v>
      </c>
      <c r="K1165" s="75" t="str">
        <f>IFERROR(VLOOKUP(J1165,'NQ10'!$B$9:$C$145,2,0),"")</f>
        <v/>
      </c>
    </row>
    <row r="1166" spans="1:11" ht="15" customHeight="1" x14ac:dyDescent="0.25">
      <c r="A1166" s="75">
        <v>1</v>
      </c>
      <c r="B1166" s="75">
        <v>463</v>
      </c>
      <c r="C1166" s="75" t="s">
        <v>10</v>
      </c>
      <c r="D1166" s="75">
        <v>12681</v>
      </c>
      <c r="F1166" s="75" t="s">
        <v>10</v>
      </c>
      <c r="H1166" s="75" t="s">
        <v>10</v>
      </c>
      <c r="I1166" s="75">
        <v>19489</v>
      </c>
      <c r="K1166" s="75" t="str">
        <f>IFERROR(VLOOKUP(J1166,'NQ10'!$B$9:$C$145,2,0),"")</f>
        <v/>
      </c>
    </row>
    <row r="1167" spans="1:11" ht="15" customHeight="1" x14ac:dyDescent="0.25">
      <c r="A1167" s="75">
        <v>1</v>
      </c>
      <c r="B1167" s="75">
        <v>464</v>
      </c>
      <c r="C1167" s="75" t="s">
        <v>10</v>
      </c>
      <c r="D1167" s="75">
        <v>6000</v>
      </c>
      <c r="F1167" s="75" t="s">
        <v>10</v>
      </c>
      <c r="H1167" s="75" t="s">
        <v>10</v>
      </c>
      <c r="I1167" s="75">
        <v>19489</v>
      </c>
      <c r="K1167" s="75" t="str">
        <f>IFERROR(VLOOKUP(J1167,'NQ10'!$B$9:$C$145,2,0),"")</f>
        <v/>
      </c>
    </row>
    <row r="1168" spans="1:11" ht="15" customHeight="1" x14ac:dyDescent="0.25">
      <c r="A1168" s="75">
        <v>1</v>
      </c>
      <c r="B1168" s="75">
        <v>465</v>
      </c>
      <c r="C1168" s="75" t="s">
        <v>10</v>
      </c>
      <c r="D1168" s="75">
        <v>7111</v>
      </c>
      <c r="F1168" s="75" t="s">
        <v>10</v>
      </c>
      <c r="H1168" s="75" t="s">
        <v>10</v>
      </c>
      <c r="I1168" s="75">
        <v>19489</v>
      </c>
      <c r="K1168" s="75" t="str">
        <f>IFERROR(VLOOKUP(J1168,'NQ10'!$B$9:$C$145,2,0),"")</f>
        <v/>
      </c>
    </row>
    <row r="1169" spans="1:11" ht="15" customHeight="1" x14ac:dyDescent="0.25">
      <c r="A1169" s="75">
        <v>1</v>
      </c>
      <c r="B1169" s="75">
        <v>466</v>
      </c>
      <c r="C1169" s="75" t="s">
        <v>10</v>
      </c>
      <c r="D1169" s="75">
        <v>12500</v>
      </c>
      <c r="F1169" s="75" t="s">
        <v>10</v>
      </c>
      <c r="H1169" s="75" t="s">
        <v>10</v>
      </c>
      <c r="I1169" s="75">
        <v>19489</v>
      </c>
      <c r="K1169" s="75" t="str">
        <f>IFERROR(VLOOKUP(J1169,'NQ10'!$B$9:$C$145,2,0),"")</f>
        <v/>
      </c>
    </row>
    <row r="1170" spans="1:11" ht="15" customHeight="1" x14ac:dyDescent="0.25">
      <c r="A1170" s="75">
        <v>1</v>
      </c>
      <c r="B1170" s="75">
        <v>473</v>
      </c>
      <c r="C1170" s="75" t="s">
        <v>10</v>
      </c>
      <c r="D1170" s="75">
        <v>9748</v>
      </c>
      <c r="F1170" s="75" t="s">
        <v>10</v>
      </c>
      <c r="H1170" s="75" t="s">
        <v>10</v>
      </c>
      <c r="I1170" s="75">
        <v>19489</v>
      </c>
      <c r="K1170" s="75" t="str">
        <f>IFERROR(VLOOKUP(J1170,'NQ10'!$B$9:$C$145,2,0),"")</f>
        <v/>
      </c>
    </row>
    <row r="1171" spans="1:11" ht="15" customHeight="1" x14ac:dyDescent="0.25">
      <c r="A1171" s="75">
        <v>1</v>
      </c>
      <c r="B1171" s="75">
        <v>474</v>
      </c>
      <c r="C1171" s="75" t="s">
        <v>10</v>
      </c>
      <c r="D1171" s="75">
        <v>15456</v>
      </c>
      <c r="F1171" s="75" t="s">
        <v>10</v>
      </c>
      <c r="H1171" s="75" t="s">
        <v>10</v>
      </c>
      <c r="I1171" s="75">
        <v>19489</v>
      </c>
      <c r="K1171" s="75" t="str">
        <f>IFERROR(VLOOKUP(J1171,'NQ10'!$B$9:$C$145,2,0),"")</f>
        <v/>
      </c>
    </row>
    <row r="1172" spans="1:11" ht="15" customHeight="1" x14ac:dyDescent="0.25">
      <c r="A1172" s="75">
        <v>1</v>
      </c>
      <c r="B1172" s="75">
        <v>475</v>
      </c>
      <c r="C1172" s="75" t="s">
        <v>10</v>
      </c>
      <c r="D1172" s="75">
        <v>19933</v>
      </c>
      <c r="F1172" s="75" t="s">
        <v>10</v>
      </c>
      <c r="H1172" s="75" t="s">
        <v>10</v>
      </c>
      <c r="I1172" s="75">
        <v>19489</v>
      </c>
      <c r="K1172" s="75" t="str">
        <f>IFERROR(VLOOKUP(J1172,'NQ10'!$B$9:$C$145,2,0),"")</f>
        <v/>
      </c>
    </row>
    <row r="1173" spans="1:11" ht="15" customHeight="1" x14ac:dyDescent="0.25">
      <c r="A1173" s="75">
        <v>1</v>
      </c>
      <c r="B1173" s="75">
        <v>476</v>
      </c>
      <c r="C1173" s="75" t="s">
        <v>10</v>
      </c>
      <c r="D1173" s="75">
        <v>5739</v>
      </c>
      <c r="F1173" s="75" t="s">
        <v>10</v>
      </c>
      <c r="H1173" s="75" t="s">
        <v>10</v>
      </c>
      <c r="I1173" s="75">
        <v>19489</v>
      </c>
      <c r="K1173" s="75" t="str">
        <f>IFERROR(VLOOKUP(J1173,'NQ10'!$B$9:$C$145,2,0),"")</f>
        <v/>
      </c>
    </row>
    <row r="1174" spans="1:11" ht="15" customHeight="1" x14ac:dyDescent="0.25">
      <c r="A1174" s="75">
        <v>1</v>
      </c>
      <c r="B1174" s="75">
        <v>480</v>
      </c>
      <c r="C1174" s="75" t="s">
        <v>10</v>
      </c>
      <c r="D1174" s="75">
        <v>10573</v>
      </c>
      <c r="F1174" s="75" t="s">
        <v>10</v>
      </c>
      <c r="H1174" s="75" t="s">
        <v>10</v>
      </c>
      <c r="I1174" s="75">
        <v>19489</v>
      </c>
      <c r="K1174" s="75" t="str">
        <f>IFERROR(VLOOKUP(J1174,'NQ10'!$B$9:$C$145,2,0),"")</f>
        <v/>
      </c>
    </row>
    <row r="1175" spans="1:11" ht="15" customHeight="1" x14ac:dyDescent="0.25">
      <c r="A1175" s="75">
        <v>1</v>
      </c>
      <c r="B1175" s="75">
        <v>483</v>
      </c>
      <c r="C1175" s="75" t="s">
        <v>10</v>
      </c>
      <c r="D1175" s="75">
        <v>5841</v>
      </c>
      <c r="F1175" s="75" t="s">
        <v>10</v>
      </c>
      <c r="H1175" s="75" t="s">
        <v>10</v>
      </c>
      <c r="I1175" s="75">
        <v>19489</v>
      </c>
      <c r="K1175" s="75" t="str">
        <f>IFERROR(VLOOKUP(J1175,'NQ10'!$B$9:$C$145,2,0),"")</f>
        <v/>
      </c>
    </row>
    <row r="1176" spans="1:11" ht="15" customHeight="1" x14ac:dyDescent="0.25">
      <c r="A1176" s="75">
        <v>1</v>
      </c>
      <c r="B1176" s="75">
        <v>484</v>
      </c>
      <c r="C1176" s="75" t="s">
        <v>10</v>
      </c>
      <c r="D1176" s="75">
        <v>5292</v>
      </c>
      <c r="F1176" s="75" t="s">
        <v>10</v>
      </c>
      <c r="H1176" s="75" t="s">
        <v>10</v>
      </c>
      <c r="I1176" s="75">
        <v>19489</v>
      </c>
      <c r="K1176" s="75" t="str">
        <f>IFERROR(VLOOKUP(J1176,'NQ10'!$B$9:$C$145,2,0),"")</f>
        <v/>
      </c>
    </row>
    <row r="1177" spans="1:11" ht="15" customHeight="1" x14ac:dyDescent="0.25">
      <c r="A1177" s="75">
        <v>1</v>
      </c>
      <c r="B1177" s="75">
        <v>493</v>
      </c>
      <c r="C1177" s="75" t="s">
        <v>10</v>
      </c>
      <c r="D1177" s="75">
        <v>26990</v>
      </c>
      <c r="F1177" s="75" t="s">
        <v>10</v>
      </c>
      <c r="H1177" s="75" t="s">
        <v>10</v>
      </c>
      <c r="I1177" s="75">
        <v>19489</v>
      </c>
      <c r="K1177" s="75" t="str">
        <f>IFERROR(VLOOKUP(J1177,'NQ10'!$B$9:$C$145,2,0),"")</f>
        <v/>
      </c>
    </row>
    <row r="1178" spans="1:11" ht="15" customHeight="1" x14ac:dyDescent="0.25">
      <c r="A1178" s="75">
        <v>1</v>
      </c>
      <c r="B1178" s="75">
        <v>506</v>
      </c>
      <c r="C1178" s="75" t="s">
        <v>10</v>
      </c>
      <c r="D1178" s="75">
        <v>7905</v>
      </c>
      <c r="F1178" s="75" t="s">
        <v>10</v>
      </c>
      <c r="H1178" s="75" t="s">
        <v>10</v>
      </c>
      <c r="I1178" s="75">
        <v>19489</v>
      </c>
      <c r="K1178" s="75" t="str">
        <f>IFERROR(VLOOKUP(J1178,'NQ10'!$B$9:$C$145,2,0),"")</f>
        <v/>
      </c>
    </row>
    <row r="1179" spans="1:11" ht="15" customHeight="1" x14ac:dyDescent="0.25">
      <c r="A1179" s="75">
        <v>3</v>
      </c>
      <c r="C1179" s="75" t="s">
        <v>10</v>
      </c>
      <c r="D1179" s="75">
        <v>824</v>
      </c>
      <c r="F1179" s="75" t="s">
        <v>10</v>
      </c>
      <c r="H1179" s="75" t="s">
        <v>10</v>
      </c>
      <c r="I1179" s="75">
        <v>19489</v>
      </c>
      <c r="K1179" s="75" t="str">
        <f>IFERROR(VLOOKUP(J1179,'NQ10'!$B$9:$C$145,2,0),"")</f>
        <v/>
      </c>
    </row>
    <row r="1180" spans="1:11" ht="15" customHeight="1" x14ac:dyDescent="0.25">
      <c r="A1180" s="75">
        <v>3</v>
      </c>
      <c r="C1180" s="75" t="s">
        <v>10</v>
      </c>
      <c r="D1180" s="75">
        <v>5339</v>
      </c>
      <c r="F1180" s="75" t="s">
        <v>10</v>
      </c>
      <c r="H1180" s="75" t="s">
        <v>10</v>
      </c>
      <c r="I1180" s="75">
        <v>19489</v>
      </c>
      <c r="K1180" s="75" t="str">
        <f>IFERROR(VLOOKUP(J1180,'NQ10'!$B$9:$C$145,2,0),"")</f>
        <v/>
      </c>
    </row>
    <row r="1181" spans="1:11" ht="15" customHeight="1" x14ac:dyDescent="0.25">
      <c r="A1181" s="75">
        <v>3</v>
      </c>
      <c r="C1181" s="75" t="s">
        <v>10</v>
      </c>
      <c r="D1181" s="75">
        <v>1222</v>
      </c>
      <c r="F1181" s="75" t="s">
        <v>10</v>
      </c>
      <c r="H1181" s="75" t="s">
        <v>10</v>
      </c>
      <c r="I1181" s="75">
        <v>19489</v>
      </c>
      <c r="K1181" s="75" t="str">
        <f>IFERROR(VLOOKUP(J1181,'NQ10'!$B$9:$C$145,2,0),"")</f>
        <v/>
      </c>
    </row>
    <row r="1182" spans="1:11" ht="15" customHeight="1" x14ac:dyDescent="0.25">
      <c r="A1182" s="75">
        <v>3</v>
      </c>
      <c r="C1182" s="75" t="s">
        <v>10</v>
      </c>
      <c r="D1182" s="75">
        <v>81291</v>
      </c>
      <c r="F1182" s="75" t="s">
        <v>10</v>
      </c>
      <c r="H1182" s="75" t="s">
        <v>10</v>
      </c>
      <c r="I1182" s="75">
        <v>19489</v>
      </c>
      <c r="K1182" s="75" t="str">
        <f>IFERROR(VLOOKUP(J1182,'NQ10'!$B$9:$C$145,2,0),"")</f>
        <v/>
      </c>
    </row>
    <row r="1183" spans="1:11" ht="15" customHeight="1" x14ac:dyDescent="0.25">
      <c r="A1183" s="75">
        <v>3</v>
      </c>
      <c r="C1183" s="75" t="s">
        <v>10</v>
      </c>
      <c r="D1183" s="75">
        <v>2657</v>
      </c>
      <c r="F1183" s="75" t="s">
        <v>10</v>
      </c>
      <c r="H1183" s="75" t="s">
        <v>10</v>
      </c>
      <c r="I1183" s="75">
        <v>19489</v>
      </c>
      <c r="K1183" s="75" t="str">
        <f>IFERROR(VLOOKUP(J1183,'NQ10'!$B$9:$C$145,2,0),"")</f>
        <v/>
      </c>
    </row>
    <row r="1184" spans="1:11" ht="15" customHeight="1" x14ac:dyDescent="0.25">
      <c r="A1184" s="75">
        <v>3</v>
      </c>
      <c r="C1184" s="75" t="s">
        <v>10</v>
      </c>
      <c r="D1184" s="75">
        <v>11758</v>
      </c>
      <c r="F1184" s="75" t="s">
        <v>10</v>
      </c>
      <c r="H1184" s="75" t="s">
        <v>10</v>
      </c>
      <c r="I1184" s="75">
        <v>19489</v>
      </c>
      <c r="K1184" s="75" t="str">
        <f>IFERROR(VLOOKUP(J1184,'NQ10'!$B$9:$C$145,2,0),"")</f>
        <v/>
      </c>
    </row>
    <row r="1185" spans="1:11" ht="15" customHeight="1" x14ac:dyDescent="0.25">
      <c r="A1185" s="75">
        <v>3</v>
      </c>
      <c r="C1185" s="75" t="s">
        <v>10</v>
      </c>
      <c r="D1185" s="75">
        <v>139</v>
      </c>
      <c r="F1185" s="75" t="s">
        <v>10</v>
      </c>
      <c r="H1185" s="75" t="s">
        <v>10</v>
      </c>
      <c r="I1185" s="75">
        <v>19489</v>
      </c>
      <c r="K1185" s="75" t="str">
        <f>IFERROR(VLOOKUP(J1185,'NQ10'!$B$9:$C$145,2,0),"")</f>
        <v/>
      </c>
    </row>
    <row r="1186" spans="1:11" ht="15" customHeight="1" x14ac:dyDescent="0.25">
      <c r="A1186" s="75">
        <v>3</v>
      </c>
      <c r="C1186" s="75" t="s">
        <v>10</v>
      </c>
      <c r="D1186" s="75">
        <v>576</v>
      </c>
      <c r="F1186" s="75" t="s">
        <v>10</v>
      </c>
      <c r="H1186" s="75" t="s">
        <v>10</v>
      </c>
      <c r="I1186" s="75">
        <v>19489</v>
      </c>
      <c r="K1186" s="75" t="str">
        <f>IFERROR(VLOOKUP(J1186,'NQ10'!$B$9:$C$145,2,0),"")</f>
        <v/>
      </c>
    </row>
    <row r="1187" spans="1:11" ht="15" customHeight="1" x14ac:dyDescent="0.25">
      <c r="A1187" s="75">
        <v>3</v>
      </c>
      <c r="C1187" s="75" t="s">
        <v>10</v>
      </c>
      <c r="D1187" s="75">
        <v>2794</v>
      </c>
      <c r="F1187" s="75" t="s">
        <v>10</v>
      </c>
      <c r="H1187" s="75" t="s">
        <v>10</v>
      </c>
      <c r="I1187" s="75">
        <v>19489</v>
      </c>
      <c r="K1187" s="75" t="str">
        <f>IFERROR(VLOOKUP(J1187,'NQ10'!$B$9:$C$145,2,0),"")</f>
        <v/>
      </c>
    </row>
    <row r="1188" spans="1:11" ht="15" customHeight="1" x14ac:dyDescent="0.25">
      <c r="A1188" s="75">
        <v>3</v>
      </c>
      <c r="C1188" s="75" t="s">
        <v>10</v>
      </c>
      <c r="D1188" s="75">
        <v>14222</v>
      </c>
      <c r="F1188" s="75" t="s">
        <v>10</v>
      </c>
      <c r="H1188" s="75" t="s">
        <v>10</v>
      </c>
      <c r="I1188" s="75">
        <v>19489</v>
      </c>
      <c r="K1188" s="75" t="str">
        <f>IFERROR(VLOOKUP(J1188,'NQ10'!$B$9:$C$145,2,0),"")</f>
        <v/>
      </c>
    </row>
    <row r="1189" spans="1:11" ht="15" customHeight="1" x14ac:dyDescent="0.25">
      <c r="A1189" s="75">
        <v>3</v>
      </c>
      <c r="B1189" s="75">
        <v>11</v>
      </c>
      <c r="C1189" s="75" t="s">
        <v>10</v>
      </c>
      <c r="D1189" s="75">
        <v>11369</v>
      </c>
      <c r="F1189" s="75" t="s">
        <v>10</v>
      </c>
      <c r="H1189" s="75" t="s">
        <v>10</v>
      </c>
      <c r="I1189" s="75">
        <v>19489</v>
      </c>
      <c r="K1189" s="75" t="str">
        <f>IFERROR(VLOOKUP(J1189,'NQ10'!$B$9:$C$145,2,0),"")</f>
        <v/>
      </c>
    </row>
    <row r="1190" spans="1:11" ht="15" customHeight="1" x14ac:dyDescent="0.25">
      <c r="A1190" s="75">
        <v>3</v>
      </c>
      <c r="B1190" s="75">
        <v>12</v>
      </c>
      <c r="C1190" s="75" t="s">
        <v>10</v>
      </c>
      <c r="D1190" s="75">
        <v>7132</v>
      </c>
      <c r="F1190" s="75" t="s">
        <v>10</v>
      </c>
      <c r="H1190" s="75" t="s">
        <v>10</v>
      </c>
      <c r="I1190" s="75">
        <v>19489</v>
      </c>
      <c r="K1190" s="75" t="str">
        <f>IFERROR(VLOOKUP(J1190,'NQ10'!$B$9:$C$145,2,0),"")</f>
        <v/>
      </c>
    </row>
    <row r="1191" spans="1:11" ht="15" customHeight="1" x14ac:dyDescent="0.25">
      <c r="A1191" s="75">
        <v>3</v>
      </c>
      <c r="B1191" s="75">
        <v>15</v>
      </c>
      <c r="C1191" s="75" t="s">
        <v>10</v>
      </c>
      <c r="D1191" s="75">
        <v>8181</v>
      </c>
      <c r="F1191" s="75" t="s">
        <v>10</v>
      </c>
      <c r="H1191" s="75" t="s">
        <v>10</v>
      </c>
      <c r="I1191" s="75">
        <v>19489</v>
      </c>
      <c r="K1191" s="75" t="str">
        <f>IFERROR(VLOOKUP(J1191,'NQ10'!$B$9:$C$145,2,0),"")</f>
        <v/>
      </c>
    </row>
    <row r="1192" spans="1:11" ht="15" customHeight="1" x14ac:dyDescent="0.25">
      <c r="A1192" s="75">
        <v>3</v>
      </c>
      <c r="B1192" s="75">
        <v>26</v>
      </c>
      <c r="C1192" s="75" t="s">
        <v>10</v>
      </c>
      <c r="D1192" s="75">
        <v>16159</v>
      </c>
      <c r="F1192" s="75" t="s">
        <v>10</v>
      </c>
      <c r="H1192" s="75" t="s">
        <v>10</v>
      </c>
      <c r="I1192" s="75">
        <v>19489</v>
      </c>
      <c r="K1192" s="75" t="str">
        <f>IFERROR(VLOOKUP(J1192,'NQ10'!$B$9:$C$145,2,0),"")</f>
        <v/>
      </c>
    </row>
    <row r="1193" spans="1:11" ht="15" customHeight="1" x14ac:dyDescent="0.25">
      <c r="A1193" s="75">
        <v>3</v>
      </c>
      <c r="B1193" s="75">
        <v>27</v>
      </c>
      <c r="C1193" s="75" t="s">
        <v>10</v>
      </c>
      <c r="D1193" s="75">
        <v>7644</v>
      </c>
      <c r="F1193" s="75" t="s">
        <v>10</v>
      </c>
      <c r="H1193" s="75" t="s">
        <v>10</v>
      </c>
      <c r="I1193" s="75">
        <v>19489</v>
      </c>
      <c r="K1193" s="75" t="str">
        <f>IFERROR(VLOOKUP(J1193,'NQ10'!$B$9:$C$145,2,0),"")</f>
        <v/>
      </c>
    </row>
    <row r="1194" spans="1:11" ht="15" customHeight="1" x14ac:dyDescent="0.25">
      <c r="A1194" s="75">
        <v>3</v>
      </c>
      <c r="B1194" s="75">
        <v>28</v>
      </c>
      <c r="C1194" s="75" t="s">
        <v>10</v>
      </c>
      <c r="D1194" s="75">
        <v>6797</v>
      </c>
      <c r="F1194" s="75" t="s">
        <v>10</v>
      </c>
      <c r="H1194" s="75" t="s">
        <v>10</v>
      </c>
      <c r="I1194" s="75">
        <v>19489</v>
      </c>
      <c r="K1194" s="75" t="str">
        <f>IFERROR(VLOOKUP(J1194,'NQ10'!$B$9:$C$145,2,0),"")</f>
        <v/>
      </c>
    </row>
    <row r="1195" spans="1:11" ht="15" customHeight="1" x14ac:dyDescent="0.25">
      <c r="A1195" s="75">
        <v>3</v>
      </c>
      <c r="B1195" s="75">
        <v>29</v>
      </c>
      <c r="C1195" s="75" t="s">
        <v>10</v>
      </c>
      <c r="D1195" s="75">
        <v>9560</v>
      </c>
      <c r="F1195" s="75" t="s">
        <v>10</v>
      </c>
      <c r="H1195" s="75" t="s">
        <v>10</v>
      </c>
      <c r="I1195" s="75">
        <v>19489</v>
      </c>
      <c r="K1195" s="75" t="str">
        <f>IFERROR(VLOOKUP(J1195,'NQ10'!$B$9:$C$145,2,0),"")</f>
        <v/>
      </c>
    </row>
    <row r="1196" spans="1:11" ht="15" customHeight="1" x14ac:dyDescent="0.25">
      <c r="A1196" s="75">
        <v>3</v>
      </c>
      <c r="B1196" s="75">
        <v>33</v>
      </c>
      <c r="C1196" s="75" t="s">
        <v>10</v>
      </c>
      <c r="D1196" s="75">
        <v>5444</v>
      </c>
      <c r="F1196" s="75" t="s">
        <v>10</v>
      </c>
      <c r="H1196" s="75" t="s">
        <v>10</v>
      </c>
      <c r="I1196" s="75">
        <v>19489</v>
      </c>
      <c r="K1196" s="75" t="str">
        <f>IFERROR(VLOOKUP(J1196,'NQ10'!$B$9:$C$145,2,0),"")</f>
        <v/>
      </c>
    </row>
    <row r="1197" spans="1:11" ht="15" customHeight="1" x14ac:dyDescent="0.25">
      <c r="A1197" s="75">
        <v>3</v>
      </c>
      <c r="B1197" s="75">
        <v>34</v>
      </c>
      <c r="C1197" s="75" t="s">
        <v>10</v>
      </c>
      <c r="D1197" s="75">
        <v>10191</v>
      </c>
      <c r="F1197" s="75" t="s">
        <v>10</v>
      </c>
      <c r="H1197" s="75" t="s">
        <v>10</v>
      </c>
      <c r="I1197" s="75">
        <v>19489</v>
      </c>
      <c r="K1197" s="75" t="str">
        <f>IFERROR(VLOOKUP(J1197,'NQ10'!$B$9:$C$145,2,0),"")</f>
        <v/>
      </c>
    </row>
    <row r="1198" spans="1:11" ht="15" customHeight="1" x14ac:dyDescent="0.25">
      <c r="A1198" s="75">
        <v>3</v>
      </c>
      <c r="B1198" s="75">
        <v>39</v>
      </c>
      <c r="C1198" s="75" t="s">
        <v>10</v>
      </c>
      <c r="D1198" s="75">
        <v>4767</v>
      </c>
      <c r="F1198" s="75" t="s">
        <v>10</v>
      </c>
      <c r="H1198" s="75" t="s">
        <v>10</v>
      </c>
      <c r="I1198" s="75">
        <v>19489</v>
      </c>
      <c r="K1198" s="75" t="str">
        <f>IFERROR(VLOOKUP(J1198,'NQ10'!$B$9:$C$145,2,0),"")</f>
        <v/>
      </c>
    </row>
    <row r="1199" spans="1:11" ht="15" customHeight="1" x14ac:dyDescent="0.25">
      <c r="A1199" s="75">
        <v>3</v>
      </c>
      <c r="B1199" s="75">
        <v>40</v>
      </c>
      <c r="C1199" s="75" t="s">
        <v>10</v>
      </c>
      <c r="D1199" s="75">
        <v>11187</v>
      </c>
      <c r="F1199" s="75" t="s">
        <v>10</v>
      </c>
      <c r="H1199" s="75" t="s">
        <v>10</v>
      </c>
      <c r="I1199" s="75">
        <v>19489</v>
      </c>
      <c r="K1199" s="75" t="str">
        <f>IFERROR(VLOOKUP(J1199,'NQ10'!$B$9:$C$145,2,0),"")</f>
        <v/>
      </c>
    </row>
    <row r="1200" spans="1:11" ht="15" customHeight="1" x14ac:dyDescent="0.25">
      <c r="A1200" s="75">
        <v>3</v>
      </c>
      <c r="B1200" s="75">
        <v>48</v>
      </c>
      <c r="C1200" s="75" t="s">
        <v>10</v>
      </c>
      <c r="D1200" s="75">
        <v>5145</v>
      </c>
      <c r="F1200" s="75" t="s">
        <v>10</v>
      </c>
      <c r="H1200" s="75" t="s">
        <v>10</v>
      </c>
      <c r="I1200" s="75">
        <v>19489</v>
      </c>
      <c r="K1200" s="75" t="str">
        <f>IFERROR(VLOOKUP(J1200,'NQ10'!$B$9:$C$145,2,0),"")</f>
        <v/>
      </c>
    </row>
    <row r="1201" spans="1:11" ht="15" customHeight="1" x14ac:dyDescent="0.25">
      <c r="A1201" s="75">
        <v>3</v>
      </c>
      <c r="B1201" s="75">
        <v>50</v>
      </c>
      <c r="C1201" s="75" t="s">
        <v>10</v>
      </c>
      <c r="D1201" s="75">
        <v>42349</v>
      </c>
      <c r="F1201" s="75" t="s">
        <v>10</v>
      </c>
      <c r="H1201" s="75" t="s">
        <v>10</v>
      </c>
      <c r="I1201" s="75">
        <v>19489</v>
      </c>
      <c r="K1201" s="75" t="str">
        <f>IFERROR(VLOOKUP(J1201,'NQ10'!$B$9:$C$145,2,0),"")</f>
        <v/>
      </c>
    </row>
    <row r="1202" spans="1:11" ht="15" customHeight="1" x14ac:dyDescent="0.25">
      <c r="A1202" s="75">
        <v>3</v>
      </c>
      <c r="B1202" s="75">
        <v>52</v>
      </c>
      <c r="C1202" s="75" t="s">
        <v>10</v>
      </c>
      <c r="D1202" s="75">
        <v>7606</v>
      </c>
      <c r="F1202" s="75" t="s">
        <v>10</v>
      </c>
      <c r="H1202" s="75" t="s">
        <v>10</v>
      </c>
      <c r="I1202" s="75">
        <v>19489</v>
      </c>
      <c r="K1202" s="75" t="str">
        <f>IFERROR(VLOOKUP(J1202,'NQ10'!$B$9:$C$145,2,0),"")</f>
        <v/>
      </c>
    </row>
    <row r="1203" spans="1:11" ht="15" customHeight="1" x14ac:dyDescent="0.25">
      <c r="A1203" s="75">
        <v>3</v>
      </c>
      <c r="B1203" s="75">
        <v>54</v>
      </c>
      <c r="C1203" s="75" t="s">
        <v>10</v>
      </c>
      <c r="D1203" s="75">
        <v>5606</v>
      </c>
      <c r="F1203" s="75" t="s">
        <v>10</v>
      </c>
      <c r="H1203" s="75" t="s">
        <v>10</v>
      </c>
      <c r="I1203" s="75">
        <v>19489</v>
      </c>
      <c r="K1203" s="75" t="str">
        <f>IFERROR(VLOOKUP(J1203,'NQ10'!$B$9:$C$145,2,0),"")</f>
        <v/>
      </c>
    </row>
    <row r="1204" spans="1:11" ht="15" customHeight="1" x14ac:dyDescent="0.25">
      <c r="A1204" s="75">
        <v>3</v>
      </c>
      <c r="B1204" s="75">
        <v>55</v>
      </c>
      <c r="C1204" s="75" t="s">
        <v>10</v>
      </c>
      <c r="D1204" s="75">
        <v>6259</v>
      </c>
      <c r="F1204" s="75" t="s">
        <v>10</v>
      </c>
      <c r="H1204" s="75" t="s">
        <v>10</v>
      </c>
      <c r="I1204" s="75">
        <v>19489</v>
      </c>
      <c r="K1204" s="75" t="str">
        <f>IFERROR(VLOOKUP(J1204,'NQ10'!$B$9:$C$145,2,0),"")</f>
        <v/>
      </c>
    </row>
    <row r="1205" spans="1:11" ht="15" customHeight="1" x14ac:dyDescent="0.25">
      <c r="A1205" s="75">
        <v>3</v>
      </c>
      <c r="B1205" s="75">
        <v>67</v>
      </c>
      <c r="C1205" s="75" t="s">
        <v>10</v>
      </c>
      <c r="D1205" s="75">
        <v>11712</v>
      </c>
      <c r="F1205" s="75" t="s">
        <v>10</v>
      </c>
      <c r="H1205" s="75" t="s">
        <v>10</v>
      </c>
      <c r="I1205" s="75">
        <v>19489</v>
      </c>
      <c r="K1205" s="75" t="str">
        <f>IFERROR(VLOOKUP(J1205,'NQ10'!$B$9:$C$145,2,0),"")</f>
        <v/>
      </c>
    </row>
    <row r="1206" spans="1:11" ht="15" customHeight="1" x14ac:dyDescent="0.25">
      <c r="A1206" s="75">
        <v>3</v>
      </c>
      <c r="B1206" s="75">
        <v>68</v>
      </c>
      <c r="C1206" s="75" t="s">
        <v>10</v>
      </c>
      <c r="D1206" s="75">
        <v>5134</v>
      </c>
      <c r="F1206" s="75" t="s">
        <v>10</v>
      </c>
      <c r="H1206" s="75" t="s">
        <v>10</v>
      </c>
      <c r="I1206" s="75">
        <v>19489</v>
      </c>
      <c r="K1206" s="75" t="str">
        <f>IFERROR(VLOOKUP(J1206,'NQ10'!$B$9:$C$145,2,0),"")</f>
        <v/>
      </c>
    </row>
    <row r="1207" spans="1:11" ht="15" customHeight="1" x14ac:dyDescent="0.25">
      <c r="A1207" s="75">
        <v>3</v>
      </c>
      <c r="B1207" s="75">
        <v>69</v>
      </c>
      <c r="C1207" s="75" t="s">
        <v>10</v>
      </c>
      <c r="D1207" s="75">
        <v>7798</v>
      </c>
      <c r="F1207" s="75" t="s">
        <v>10</v>
      </c>
      <c r="H1207" s="75" t="s">
        <v>10</v>
      </c>
      <c r="I1207" s="75">
        <v>19489</v>
      </c>
      <c r="K1207" s="75" t="str">
        <f>IFERROR(VLOOKUP(J1207,'NQ10'!$B$9:$C$145,2,0),"")</f>
        <v/>
      </c>
    </row>
    <row r="1208" spans="1:11" ht="15" customHeight="1" x14ac:dyDescent="0.25">
      <c r="A1208" s="75">
        <v>3</v>
      </c>
      <c r="B1208" s="75">
        <v>70</v>
      </c>
      <c r="C1208" s="75" t="s">
        <v>10</v>
      </c>
      <c r="D1208" s="75">
        <v>2313</v>
      </c>
      <c r="F1208" s="75" t="s">
        <v>10</v>
      </c>
      <c r="H1208" s="75" t="s">
        <v>10</v>
      </c>
      <c r="I1208" s="75">
        <v>19489</v>
      </c>
      <c r="K1208" s="75" t="str">
        <f>IFERROR(VLOOKUP(J1208,'NQ10'!$B$9:$C$145,2,0),"")</f>
        <v/>
      </c>
    </row>
    <row r="1209" spans="1:11" ht="15" customHeight="1" x14ac:dyDescent="0.25">
      <c r="A1209" s="75">
        <v>3</v>
      </c>
      <c r="B1209" s="75">
        <v>74</v>
      </c>
      <c r="C1209" s="75" t="s">
        <v>10</v>
      </c>
      <c r="D1209" s="75">
        <v>16949</v>
      </c>
      <c r="F1209" s="75" t="s">
        <v>10</v>
      </c>
      <c r="H1209" s="75" t="s">
        <v>10</v>
      </c>
      <c r="I1209" s="75">
        <v>19489</v>
      </c>
      <c r="K1209" s="75" t="str">
        <f>IFERROR(VLOOKUP(J1209,'NQ10'!$B$9:$C$145,2,0),"")</f>
        <v/>
      </c>
    </row>
    <row r="1210" spans="1:11" ht="15" customHeight="1" x14ac:dyDescent="0.25">
      <c r="A1210" s="75">
        <v>3</v>
      </c>
      <c r="B1210" s="75">
        <v>78</v>
      </c>
      <c r="C1210" s="75" t="s">
        <v>10</v>
      </c>
      <c r="D1210" s="75">
        <v>13990</v>
      </c>
      <c r="F1210" s="75" t="s">
        <v>10</v>
      </c>
      <c r="H1210" s="75" t="s">
        <v>10</v>
      </c>
      <c r="I1210" s="75">
        <v>19489</v>
      </c>
      <c r="K1210" s="75" t="str">
        <f>IFERROR(VLOOKUP(J1210,'NQ10'!$B$9:$C$145,2,0),"")</f>
        <v/>
      </c>
    </row>
    <row r="1211" spans="1:11" ht="15" customHeight="1" x14ac:dyDescent="0.25">
      <c r="A1211" s="75">
        <v>3</v>
      </c>
      <c r="B1211" s="75">
        <v>83</v>
      </c>
      <c r="C1211" s="75" t="s">
        <v>10</v>
      </c>
      <c r="D1211" s="75">
        <v>11241</v>
      </c>
      <c r="F1211" s="75" t="s">
        <v>10</v>
      </c>
      <c r="H1211" s="75" t="s">
        <v>10</v>
      </c>
      <c r="I1211" s="75">
        <v>19489</v>
      </c>
      <c r="K1211" s="75" t="str">
        <f>IFERROR(VLOOKUP(J1211,'NQ10'!$B$9:$C$145,2,0),"")</f>
        <v/>
      </c>
    </row>
    <row r="1212" spans="1:11" ht="15" customHeight="1" x14ac:dyDescent="0.25">
      <c r="A1212" s="75">
        <v>3</v>
      </c>
      <c r="B1212" s="75">
        <v>91</v>
      </c>
      <c r="C1212" s="75" t="s">
        <v>10</v>
      </c>
      <c r="D1212" s="75">
        <v>2767</v>
      </c>
      <c r="F1212" s="75" t="s">
        <v>10</v>
      </c>
      <c r="H1212" s="75" t="s">
        <v>10</v>
      </c>
      <c r="I1212" s="75">
        <v>19489</v>
      </c>
      <c r="K1212" s="75" t="str">
        <f>IFERROR(VLOOKUP(J1212,'NQ10'!$B$9:$C$145,2,0),"")</f>
        <v/>
      </c>
    </row>
    <row r="1213" spans="1:11" ht="15" customHeight="1" x14ac:dyDescent="0.25">
      <c r="A1213" s="75">
        <v>3</v>
      </c>
      <c r="B1213" s="75">
        <v>92</v>
      </c>
      <c r="C1213" s="75" t="s">
        <v>10</v>
      </c>
      <c r="D1213" s="75">
        <v>11261</v>
      </c>
      <c r="F1213" s="75" t="s">
        <v>10</v>
      </c>
      <c r="H1213" s="75" t="s">
        <v>10</v>
      </c>
      <c r="I1213" s="75">
        <v>19489</v>
      </c>
      <c r="K1213" s="75" t="str">
        <f>IFERROR(VLOOKUP(J1213,'NQ10'!$B$9:$C$145,2,0),"")</f>
        <v/>
      </c>
    </row>
    <row r="1214" spans="1:11" ht="15" customHeight="1" x14ac:dyDescent="0.25">
      <c r="A1214" s="75">
        <v>3</v>
      </c>
      <c r="B1214" s="75">
        <v>93</v>
      </c>
      <c r="C1214" s="75" t="s">
        <v>10</v>
      </c>
      <c r="D1214" s="75">
        <v>7173</v>
      </c>
      <c r="F1214" s="75" t="s">
        <v>10</v>
      </c>
      <c r="H1214" s="75" t="s">
        <v>10</v>
      </c>
      <c r="I1214" s="75">
        <v>19489</v>
      </c>
      <c r="K1214" s="75" t="str">
        <f>IFERROR(VLOOKUP(J1214,'NQ10'!$B$9:$C$145,2,0),"")</f>
        <v/>
      </c>
    </row>
    <row r="1215" spans="1:11" ht="15" customHeight="1" x14ac:dyDescent="0.25">
      <c r="A1215" s="75">
        <v>3</v>
      </c>
      <c r="B1215" s="75">
        <v>94</v>
      </c>
      <c r="C1215" s="75" t="s">
        <v>10</v>
      </c>
      <c r="D1215" s="75">
        <v>5735</v>
      </c>
      <c r="F1215" s="75" t="s">
        <v>10</v>
      </c>
      <c r="H1215" s="75" t="s">
        <v>10</v>
      </c>
      <c r="I1215" s="75">
        <v>19489</v>
      </c>
      <c r="K1215" s="75" t="str">
        <f>IFERROR(VLOOKUP(J1215,'NQ10'!$B$9:$C$145,2,0),"")</f>
        <v/>
      </c>
    </row>
    <row r="1216" spans="1:11" ht="15" customHeight="1" x14ac:dyDescent="0.25">
      <c r="A1216" s="75">
        <v>3</v>
      </c>
      <c r="B1216" s="75">
        <v>95</v>
      </c>
      <c r="C1216" s="75" t="s">
        <v>10</v>
      </c>
      <c r="D1216" s="75">
        <v>15248</v>
      </c>
      <c r="F1216" s="75" t="s">
        <v>10</v>
      </c>
      <c r="H1216" s="75" t="s">
        <v>10</v>
      </c>
      <c r="I1216" s="75">
        <v>19489</v>
      </c>
      <c r="K1216" s="75" t="str">
        <f>IFERROR(VLOOKUP(J1216,'NQ10'!$B$9:$C$145,2,0),"")</f>
        <v/>
      </c>
    </row>
    <row r="1217" spans="1:11" ht="15" customHeight="1" x14ac:dyDescent="0.25">
      <c r="A1217" s="75">
        <v>3</v>
      </c>
      <c r="B1217" s="75">
        <v>100</v>
      </c>
      <c r="C1217" s="75" t="s">
        <v>10</v>
      </c>
      <c r="D1217" s="75">
        <v>2583</v>
      </c>
      <c r="F1217" s="75" t="s">
        <v>10</v>
      </c>
      <c r="H1217" s="75" t="s">
        <v>10</v>
      </c>
      <c r="I1217" s="75">
        <v>19489</v>
      </c>
      <c r="K1217" s="75" t="str">
        <f>IFERROR(VLOOKUP(J1217,'NQ10'!$B$9:$C$145,2,0),"")</f>
        <v/>
      </c>
    </row>
    <row r="1218" spans="1:11" ht="15" customHeight="1" x14ac:dyDescent="0.25">
      <c r="A1218" s="75">
        <v>3</v>
      </c>
      <c r="B1218" s="75">
        <v>105</v>
      </c>
      <c r="C1218" s="75" t="s">
        <v>10</v>
      </c>
      <c r="D1218" s="75">
        <v>5833</v>
      </c>
      <c r="F1218" s="75" t="s">
        <v>10</v>
      </c>
      <c r="H1218" s="75" t="s">
        <v>10</v>
      </c>
      <c r="I1218" s="75">
        <v>19489</v>
      </c>
      <c r="K1218" s="75" t="str">
        <f>IFERROR(VLOOKUP(J1218,'NQ10'!$B$9:$C$145,2,0),"")</f>
        <v/>
      </c>
    </row>
    <row r="1219" spans="1:11" ht="15" customHeight="1" x14ac:dyDescent="0.25">
      <c r="A1219" s="75">
        <v>3</v>
      </c>
      <c r="B1219" s="75">
        <v>111</v>
      </c>
      <c r="C1219" s="75" t="s">
        <v>10</v>
      </c>
      <c r="D1219" s="75">
        <v>4921</v>
      </c>
      <c r="F1219" s="75" t="s">
        <v>10</v>
      </c>
      <c r="H1219" s="75" t="s">
        <v>10</v>
      </c>
      <c r="I1219" s="75">
        <v>19489</v>
      </c>
      <c r="K1219" s="75" t="str">
        <f>IFERROR(VLOOKUP(J1219,'NQ10'!$B$9:$C$145,2,0),"")</f>
        <v/>
      </c>
    </row>
    <row r="1220" spans="1:11" ht="15" customHeight="1" x14ac:dyDescent="0.25">
      <c r="A1220" s="75">
        <v>3</v>
      </c>
      <c r="B1220" s="75">
        <v>112</v>
      </c>
      <c r="C1220" s="75" t="s">
        <v>10</v>
      </c>
      <c r="D1220" s="75">
        <v>2719</v>
      </c>
      <c r="F1220" s="75" t="s">
        <v>10</v>
      </c>
      <c r="H1220" s="75" t="s">
        <v>10</v>
      </c>
      <c r="I1220" s="75">
        <v>19489</v>
      </c>
      <c r="K1220" s="75" t="str">
        <f>IFERROR(VLOOKUP(J1220,'NQ10'!$B$9:$C$145,2,0),"")</f>
        <v/>
      </c>
    </row>
    <row r="1221" spans="1:11" ht="15" customHeight="1" x14ac:dyDescent="0.25">
      <c r="A1221" s="75">
        <v>3</v>
      </c>
      <c r="B1221" s="75">
        <v>113</v>
      </c>
      <c r="C1221" s="75" t="s">
        <v>10</v>
      </c>
      <c r="D1221" s="75">
        <v>5064</v>
      </c>
      <c r="F1221" s="75" t="s">
        <v>10</v>
      </c>
      <c r="H1221" s="75" t="s">
        <v>10</v>
      </c>
      <c r="I1221" s="75">
        <v>19489</v>
      </c>
      <c r="K1221" s="75" t="str">
        <f>IFERROR(VLOOKUP(J1221,'NQ10'!$B$9:$C$145,2,0),"")</f>
        <v/>
      </c>
    </row>
    <row r="1222" spans="1:11" ht="15" customHeight="1" x14ac:dyDescent="0.25">
      <c r="A1222" s="75">
        <v>3</v>
      </c>
      <c r="B1222" s="75">
        <v>114</v>
      </c>
      <c r="C1222" s="75" t="s">
        <v>10</v>
      </c>
      <c r="D1222" s="75">
        <v>2355</v>
      </c>
      <c r="F1222" s="75" t="s">
        <v>10</v>
      </c>
      <c r="H1222" s="75" t="s">
        <v>10</v>
      </c>
      <c r="I1222" s="75">
        <v>19489</v>
      </c>
      <c r="K1222" s="75" t="str">
        <f>IFERROR(VLOOKUP(J1222,'NQ10'!$B$9:$C$145,2,0),"")</f>
        <v/>
      </c>
    </row>
    <row r="1223" spans="1:11" ht="15" customHeight="1" x14ac:dyDescent="0.25">
      <c r="A1223" s="75">
        <v>3</v>
      </c>
      <c r="B1223" s="75">
        <v>116</v>
      </c>
      <c r="C1223" s="75" t="s">
        <v>10</v>
      </c>
      <c r="D1223" s="75">
        <v>9906</v>
      </c>
      <c r="F1223" s="75" t="s">
        <v>10</v>
      </c>
      <c r="H1223" s="75" t="s">
        <v>10</v>
      </c>
      <c r="I1223" s="75">
        <v>19489</v>
      </c>
      <c r="K1223" s="75" t="str">
        <f>IFERROR(VLOOKUP(J1223,'NQ10'!$B$9:$C$145,2,0),"")</f>
        <v/>
      </c>
    </row>
    <row r="1224" spans="1:11" ht="15" customHeight="1" x14ac:dyDescent="0.25">
      <c r="A1224" s="75">
        <v>3</v>
      </c>
      <c r="B1224" s="75">
        <v>119</v>
      </c>
      <c r="C1224" s="75" t="s">
        <v>10</v>
      </c>
      <c r="D1224" s="75">
        <v>3309</v>
      </c>
      <c r="F1224" s="75" t="s">
        <v>10</v>
      </c>
      <c r="H1224" s="75" t="s">
        <v>10</v>
      </c>
      <c r="I1224" s="75">
        <v>19489</v>
      </c>
      <c r="K1224" s="75" t="str">
        <f>IFERROR(VLOOKUP(J1224,'NQ10'!$B$9:$C$145,2,0),"")</f>
        <v/>
      </c>
    </row>
    <row r="1225" spans="1:11" ht="15" customHeight="1" x14ac:dyDescent="0.25">
      <c r="A1225" s="75">
        <v>3</v>
      </c>
      <c r="B1225" s="75">
        <v>122</v>
      </c>
      <c r="C1225" s="75" t="s">
        <v>10</v>
      </c>
      <c r="D1225" s="75">
        <v>17822</v>
      </c>
      <c r="F1225" s="75" t="s">
        <v>10</v>
      </c>
      <c r="H1225" s="75" t="s">
        <v>10</v>
      </c>
      <c r="I1225" s="75">
        <v>19489</v>
      </c>
      <c r="K1225" s="75" t="str">
        <f>IFERROR(VLOOKUP(J1225,'NQ10'!$B$9:$C$145,2,0),"")</f>
        <v/>
      </c>
    </row>
    <row r="1226" spans="1:11" ht="15" customHeight="1" x14ac:dyDescent="0.25">
      <c r="A1226" s="75">
        <v>3</v>
      </c>
      <c r="B1226" s="75">
        <v>124</v>
      </c>
      <c r="C1226" s="75" t="s">
        <v>10</v>
      </c>
      <c r="D1226" s="75">
        <v>3411</v>
      </c>
      <c r="F1226" s="75" t="s">
        <v>10</v>
      </c>
      <c r="H1226" s="75" t="s">
        <v>10</v>
      </c>
      <c r="I1226" s="75">
        <v>19489</v>
      </c>
      <c r="K1226" s="75" t="str">
        <f>IFERROR(VLOOKUP(J1226,'NQ10'!$B$9:$C$145,2,0),"")</f>
        <v/>
      </c>
    </row>
    <row r="1227" spans="1:11" ht="15" customHeight="1" x14ac:dyDescent="0.25">
      <c r="A1227" s="75">
        <v>3</v>
      </c>
      <c r="B1227" s="75">
        <v>125</v>
      </c>
      <c r="C1227" s="75" t="s">
        <v>10</v>
      </c>
      <c r="D1227" s="75">
        <v>6709</v>
      </c>
      <c r="F1227" s="75" t="s">
        <v>10</v>
      </c>
      <c r="H1227" s="75" t="s">
        <v>10</v>
      </c>
      <c r="I1227" s="75">
        <v>19489</v>
      </c>
      <c r="K1227" s="75" t="str">
        <f>IFERROR(VLOOKUP(J1227,'NQ10'!$B$9:$C$145,2,0),"")</f>
        <v/>
      </c>
    </row>
    <row r="1228" spans="1:11" ht="15" customHeight="1" x14ac:dyDescent="0.25">
      <c r="A1228" s="75">
        <v>3</v>
      </c>
      <c r="B1228" s="75">
        <v>128</v>
      </c>
      <c r="C1228" s="75" t="s">
        <v>10</v>
      </c>
      <c r="D1228" s="75">
        <v>5756</v>
      </c>
      <c r="F1228" s="75" t="s">
        <v>10</v>
      </c>
      <c r="H1228" s="75" t="s">
        <v>10</v>
      </c>
      <c r="I1228" s="75">
        <v>19489</v>
      </c>
      <c r="K1228" s="75" t="str">
        <f>IFERROR(VLOOKUP(J1228,'NQ10'!$B$9:$C$145,2,0),"")</f>
        <v/>
      </c>
    </row>
    <row r="1229" spans="1:11" ht="15" customHeight="1" x14ac:dyDescent="0.25">
      <c r="A1229" s="75">
        <v>3</v>
      </c>
      <c r="B1229" s="75">
        <v>129</v>
      </c>
      <c r="C1229" s="75" t="s">
        <v>10</v>
      </c>
      <c r="D1229" s="75">
        <v>2133</v>
      </c>
      <c r="F1229" s="75" t="s">
        <v>10</v>
      </c>
      <c r="H1229" s="75" t="s">
        <v>10</v>
      </c>
      <c r="I1229" s="75">
        <v>19489</v>
      </c>
      <c r="K1229" s="75" t="str">
        <f>IFERROR(VLOOKUP(J1229,'NQ10'!$B$9:$C$145,2,0),"")</f>
        <v/>
      </c>
    </row>
    <row r="1230" spans="1:11" ht="15" customHeight="1" x14ac:dyDescent="0.25">
      <c r="A1230" s="75">
        <v>3</v>
      </c>
      <c r="B1230" s="75">
        <v>132</v>
      </c>
      <c r="C1230" s="75" t="s">
        <v>10</v>
      </c>
      <c r="D1230" s="75">
        <v>4974</v>
      </c>
      <c r="F1230" s="75" t="s">
        <v>10</v>
      </c>
      <c r="H1230" s="75" t="s">
        <v>10</v>
      </c>
      <c r="I1230" s="75">
        <v>19489</v>
      </c>
      <c r="K1230" s="75" t="str">
        <f>IFERROR(VLOOKUP(J1230,'NQ10'!$B$9:$C$145,2,0),"")</f>
        <v/>
      </c>
    </row>
    <row r="1231" spans="1:11" ht="15" customHeight="1" x14ac:dyDescent="0.25">
      <c r="A1231" s="75">
        <v>3</v>
      </c>
      <c r="B1231" s="75">
        <v>133</v>
      </c>
      <c r="C1231" s="75" t="s">
        <v>10</v>
      </c>
      <c r="D1231" s="75">
        <v>6911</v>
      </c>
      <c r="F1231" s="75" t="s">
        <v>10</v>
      </c>
      <c r="H1231" s="75" t="s">
        <v>10</v>
      </c>
      <c r="I1231" s="75">
        <v>19489</v>
      </c>
      <c r="K1231" s="75" t="str">
        <f>IFERROR(VLOOKUP(J1231,'NQ10'!$B$9:$C$145,2,0),"")</f>
        <v/>
      </c>
    </row>
    <row r="1232" spans="1:11" ht="15" customHeight="1" x14ac:dyDescent="0.25">
      <c r="A1232" s="75">
        <v>3</v>
      </c>
      <c r="B1232" s="75">
        <v>134</v>
      </c>
      <c r="C1232" s="75" t="s">
        <v>10</v>
      </c>
      <c r="D1232" s="75">
        <v>2773</v>
      </c>
      <c r="F1232" s="75" t="s">
        <v>10</v>
      </c>
      <c r="H1232" s="75" t="s">
        <v>10</v>
      </c>
      <c r="I1232" s="75">
        <v>19489</v>
      </c>
      <c r="K1232" s="75" t="str">
        <f>IFERROR(VLOOKUP(J1232,'NQ10'!$B$9:$C$145,2,0),"")</f>
        <v/>
      </c>
    </row>
    <row r="1233" spans="1:11" ht="15" customHeight="1" x14ac:dyDescent="0.25">
      <c r="A1233" s="75">
        <v>3</v>
      </c>
      <c r="B1233" s="75">
        <v>135</v>
      </c>
      <c r="C1233" s="75" t="s">
        <v>10</v>
      </c>
      <c r="D1233" s="75">
        <v>7701</v>
      </c>
      <c r="F1233" s="75" t="s">
        <v>10</v>
      </c>
      <c r="H1233" s="75" t="s">
        <v>10</v>
      </c>
      <c r="I1233" s="75">
        <v>19489</v>
      </c>
      <c r="K1233" s="75" t="str">
        <f>IFERROR(VLOOKUP(J1233,'NQ10'!$B$9:$C$145,2,0),"")</f>
        <v/>
      </c>
    </row>
    <row r="1234" spans="1:11" ht="15" customHeight="1" x14ac:dyDescent="0.25">
      <c r="A1234" s="75">
        <v>3</v>
      </c>
      <c r="B1234" s="75">
        <v>139</v>
      </c>
      <c r="C1234" s="75" t="s">
        <v>10</v>
      </c>
      <c r="D1234" s="75">
        <v>12885</v>
      </c>
      <c r="F1234" s="75" t="s">
        <v>10</v>
      </c>
      <c r="H1234" s="75" t="s">
        <v>10</v>
      </c>
      <c r="I1234" s="75">
        <v>19489</v>
      </c>
      <c r="K1234" s="75" t="str">
        <f>IFERROR(VLOOKUP(J1234,'NQ10'!$B$9:$C$145,2,0),"")</f>
        <v/>
      </c>
    </row>
    <row r="1235" spans="1:11" ht="15" customHeight="1" x14ac:dyDescent="0.25">
      <c r="A1235" s="75">
        <v>3</v>
      </c>
      <c r="B1235" s="75">
        <v>140</v>
      </c>
      <c r="C1235" s="75" t="s">
        <v>10</v>
      </c>
      <c r="D1235" s="75">
        <v>5687</v>
      </c>
      <c r="F1235" s="75" t="s">
        <v>10</v>
      </c>
      <c r="H1235" s="75" t="s">
        <v>10</v>
      </c>
      <c r="I1235" s="75">
        <v>19489</v>
      </c>
      <c r="K1235" s="75" t="str">
        <f>IFERROR(VLOOKUP(J1235,'NQ10'!$B$9:$C$145,2,0),"")</f>
        <v/>
      </c>
    </row>
    <row r="1236" spans="1:11" ht="15" customHeight="1" x14ac:dyDescent="0.25">
      <c r="A1236" s="75">
        <v>3</v>
      </c>
      <c r="B1236" s="75">
        <v>142</v>
      </c>
      <c r="C1236" s="75" t="s">
        <v>10</v>
      </c>
      <c r="D1236" s="75">
        <v>11383</v>
      </c>
      <c r="F1236" s="75" t="s">
        <v>10</v>
      </c>
      <c r="H1236" s="75" t="s">
        <v>10</v>
      </c>
      <c r="I1236" s="75">
        <v>19489</v>
      </c>
      <c r="K1236" s="75" t="str">
        <f>IFERROR(VLOOKUP(J1236,'NQ10'!$B$9:$C$145,2,0),"")</f>
        <v/>
      </c>
    </row>
    <row r="1237" spans="1:11" ht="15" customHeight="1" x14ac:dyDescent="0.25">
      <c r="A1237" s="75">
        <v>3</v>
      </c>
      <c r="B1237" s="75">
        <v>149</v>
      </c>
      <c r="C1237" s="75" t="s">
        <v>10</v>
      </c>
      <c r="D1237" s="75">
        <v>15363</v>
      </c>
      <c r="F1237" s="75" t="s">
        <v>10</v>
      </c>
      <c r="H1237" s="75" t="s">
        <v>10</v>
      </c>
      <c r="I1237" s="75">
        <v>19489</v>
      </c>
      <c r="K1237" s="75" t="str">
        <f>IFERROR(VLOOKUP(J1237,'NQ10'!$B$9:$C$145,2,0),"")</f>
        <v/>
      </c>
    </row>
    <row r="1238" spans="1:11" ht="15" customHeight="1" x14ac:dyDescent="0.25">
      <c r="A1238" s="75">
        <v>3</v>
      </c>
      <c r="B1238" s="75">
        <v>151</v>
      </c>
      <c r="C1238" s="75" t="s">
        <v>10</v>
      </c>
      <c r="D1238" s="75">
        <v>4131</v>
      </c>
      <c r="F1238" s="75" t="s">
        <v>10</v>
      </c>
      <c r="H1238" s="75" t="s">
        <v>10</v>
      </c>
      <c r="I1238" s="75">
        <v>19489</v>
      </c>
      <c r="K1238" s="75" t="str">
        <f>IFERROR(VLOOKUP(J1238,'NQ10'!$B$9:$C$145,2,0),"")</f>
        <v/>
      </c>
    </row>
    <row r="1239" spans="1:11" ht="15" customHeight="1" x14ac:dyDescent="0.25">
      <c r="A1239" s="75">
        <v>3</v>
      </c>
      <c r="B1239" s="75">
        <v>152</v>
      </c>
      <c r="C1239" s="75" t="s">
        <v>10</v>
      </c>
      <c r="D1239" s="75">
        <v>4544</v>
      </c>
      <c r="F1239" s="75" t="s">
        <v>10</v>
      </c>
      <c r="H1239" s="75" t="s">
        <v>10</v>
      </c>
      <c r="I1239" s="75">
        <v>19489</v>
      </c>
      <c r="K1239" s="75" t="str">
        <f>IFERROR(VLOOKUP(J1239,'NQ10'!$B$9:$C$145,2,0),"")</f>
        <v/>
      </c>
    </row>
    <row r="1240" spans="1:11" ht="15" customHeight="1" x14ac:dyDescent="0.25">
      <c r="A1240" s="75">
        <v>3</v>
      </c>
      <c r="B1240" s="75">
        <v>154</v>
      </c>
      <c r="C1240" s="75" t="s">
        <v>10</v>
      </c>
      <c r="D1240" s="75">
        <v>7611</v>
      </c>
      <c r="F1240" s="75" t="s">
        <v>10</v>
      </c>
      <c r="H1240" s="75" t="s">
        <v>10</v>
      </c>
      <c r="I1240" s="75">
        <v>19489</v>
      </c>
      <c r="K1240" s="75" t="str">
        <f>IFERROR(VLOOKUP(J1240,'NQ10'!$B$9:$C$145,2,0),"")</f>
        <v/>
      </c>
    </row>
    <row r="1241" spans="1:11" ht="15" customHeight="1" x14ac:dyDescent="0.25">
      <c r="A1241" s="75">
        <v>3</v>
      </c>
      <c r="B1241" s="75">
        <v>157</v>
      </c>
      <c r="C1241" s="75" t="s">
        <v>10</v>
      </c>
      <c r="D1241" s="75">
        <v>35404</v>
      </c>
      <c r="F1241" s="75" t="s">
        <v>10</v>
      </c>
      <c r="H1241" s="75" t="s">
        <v>10</v>
      </c>
      <c r="I1241" s="75">
        <v>19489</v>
      </c>
      <c r="K1241" s="75" t="str">
        <f>IFERROR(VLOOKUP(J1241,'NQ10'!$B$9:$C$145,2,0),"")</f>
        <v/>
      </c>
    </row>
    <row r="1242" spans="1:11" ht="15" customHeight="1" x14ac:dyDescent="0.25">
      <c r="A1242" s="75">
        <v>3</v>
      </c>
      <c r="B1242" s="75">
        <v>158</v>
      </c>
      <c r="C1242" s="75" t="s">
        <v>10</v>
      </c>
      <c r="D1242" s="75">
        <v>2919</v>
      </c>
      <c r="F1242" s="75" t="s">
        <v>10</v>
      </c>
      <c r="H1242" s="75" t="s">
        <v>10</v>
      </c>
      <c r="I1242" s="75">
        <v>19489</v>
      </c>
      <c r="K1242" s="75" t="str">
        <f>IFERROR(VLOOKUP(J1242,'NQ10'!$B$9:$C$145,2,0),"")</f>
        <v/>
      </c>
    </row>
    <row r="1243" spans="1:11" ht="15" customHeight="1" x14ac:dyDescent="0.25">
      <c r="A1243" s="75">
        <v>3</v>
      </c>
      <c r="B1243" s="75">
        <v>160</v>
      </c>
      <c r="C1243" s="75" t="s">
        <v>10</v>
      </c>
      <c r="D1243" s="75">
        <v>4954</v>
      </c>
      <c r="F1243" s="75" t="s">
        <v>10</v>
      </c>
      <c r="H1243" s="75" t="s">
        <v>10</v>
      </c>
      <c r="I1243" s="75">
        <v>19489</v>
      </c>
      <c r="K1243" s="75" t="str">
        <f>IFERROR(VLOOKUP(J1243,'NQ10'!$B$9:$C$145,2,0),"")</f>
        <v/>
      </c>
    </row>
    <row r="1244" spans="1:11" ht="15" customHeight="1" x14ac:dyDescent="0.25">
      <c r="A1244" s="75">
        <v>3</v>
      </c>
      <c r="B1244" s="75">
        <v>170</v>
      </c>
      <c r="C1244" s="75" t="s">
        <v>10</v>
      </c>
      <c r="D1244" s="75">
        <v>10229</v>
      </c>
      <c r="F1244" s="75" t="s">
        <v>10</v>
      </c>
      <c r="H1244" s="75" t="s">
        <v>10</v>
      </c>
      <c r="I1244" s="75">
        <v>19489</v>
      </c>
      <c r="K1244" s="75" t="str">
        <f>IFERROR(VLOOKUP(J1244,'NQ10'!$B$9:$C$145,2,0),"")</f>
        <v/>
      </c>
    </row>
    <row r="1245" spans="1:11" ht="15" customHeight="1" x14ac:dyDescent="0.25">
      <c r="A1245" s="75">
        <v>3</v>
      </c>
      <c r="B1245" s="75">
        <v>174</v>
      </c>
      <c r="C1245" s="75" t="s">
        <v>10</v>
      </c>
      <c r="D1245" s="75">
        <v>3356</v>
      </c>
      <c r="F1245" s="75" t="s">
        <v>10</v>
      </c>
      <c r="H1245" s="75" t="s">
        <v>10</v>
      </c>
      <c r="I1245" s="75">
        <v>19489</v>
      </c>
      <c r="K1245" s="75" t="str">
        <f>IFERROR(VLOOKUP(J1245,'NQ10'!$B$9:$C$145,2,0),"")</f>
        <v/>
      </c>
    </row>
    <row r="1246" spans="1:11" ht="15" customHeight="1" x14ac:dyDescent="0.25">
      <c r="A1246" s="75">
        <v>3</v>
      </c>
      <c r="B1246" s="75">
        <v>178</v>
      </c>
      <c r="C1246" s="75" t="s">
        <v>10</v>
      </c>
      <c r="D1246" s="75">
        <v>3055</v>
      </c>
      <c r="F1246" s="75" t="s">
        <v>10</v>
      </c>
      <c r="H1246" s="75" t="s">
        <v>10</v>
      </c>
      <c r="I1246" s="75">
        <v>19489</v>
      </c>
      <c r="K1246" s="75" t="str">
        <f>IFERROR(VLOOKUP(J1246,'NQ10'!$B$9:$C$145,2,0),"")</f>
        <v/>
      </c>
    </row>
    <row r="1247" spans="1:11" ht="15" customHeight="1" x14ac:dyDescent="0.25">
      <c r="A1247" s="75">
        <v>3</v>
      </c>
      <c r="B1247" s="75">
        <v>189</v>
      </c>
      <c r="C1247" s="75" t="s">
        <v>10</v>
      </c>
      <c r="D1247" s="75">
        <v>10053</v>
      </c>
      <c r="F1247" s="75" t="s">
        <v>10</v>
      </c>
      <c r="H1247" s="75" t="s">
        <v>10</v>
      </c>
      <c r="I1247" s="75">
        <v>19489</v>
      </c>
      <c r="K1247" s="75" t="str">
        <f>IFERROR(VLOOKUP(J1247,'NQ10'!$B$9:$C$145,2,0),"")</f>
        <v/>
      </c>
    </row>
    <row r="1248" spans="1:11" ht="15" customHeight="1" x14ac:dyDescent="0.25">
      <c r="A1248" s="75">
        <v>3</v>
      </c>
      <c r="B1248" s="75">
        <v>190</v>
      </c>
      <c r="C1248" s="75" t="s">
        <v>10</v>
      </c>
      <c r="D1248" s="75">
        <v>7315</v>
      </c>
      <c r="F1248" s="75" t="s">
        <v>10</v>
      </c>
      <c r="H1248" s="75" t="s">
        <v>10</v>
      </c>
      <c r="I1248" s="75">
        <v>19489</v>
      </c>
      <c r="K1248" s="75" t="str">
        <f>IFERROR(VLOOKUP(J1248,'NQ10'!$B$9:$C$145,2,0),"")</f>
        <v/>
      </c>
    </row>
    <row r="1249" spans="1:11" ht="15" customHeight="1" x14ac:dyDescent="0.25">
      <c r="A1249" s="75">
        <v>3</v>
      </c>
      <c r="B1249" s="75">
        <v>195</v>
      </c>
      <c r="C1249" s="75" t="s">
        <v>10</v>
      </c>
      <c r="D1249" s="75">
        <v>5683</v>
      </c>
      <c r="F1249" s="75" t="s">
        <v>10</v>
      </c>
      <c r="H1249" s="75" t="s">
        <v>10</v>
      </c>
      <c r="I1249" s="75">
        <v>19489</v>
      </c>
      <c r="K1249" s="75" t="str">
        <f>IFERROR(VLOOKUP(J1249,'NQ10'!$B$9:$C$145,2,0),"")</f>
        <v/>
      </c>
    </row>
    <row r="1250" spans="1:11" ht="15" customHeight="1" x14ac:dyDescent="0.25">
      <c r="A1250" s="75">
        <v>3</v>
      </c>
      <c r="B1250" s="75">
        <v>196</v>
      </c>
      <c r="C1250" s="75" t="s">
        <v>10</v>
      </c>
      <c r="D1250" s="75">
        <v>5547</v>
      </c>
      <c r="F1250" s="75" t="s">
        <v>10</v>
      </c>
      <c r="H1250" s="75" t="s">
        <v>10</v>
      </c>
      <c r="I1250" s="75">
        <v>19489</v>
      </c>
      <c r="K1250" s="75" t="str">
        <f>IFERROR(VLOOKUP(J1250,'NQ10'!$B$9:$C$145,2,0),"")</f>
        <v/>
      </c>
    </row>
    <row r="1251" spans="1:11" ht="15" customHeight="1" x14ac:dyDescent="0.25">
      <c r="A1251" s="75">
        <v>3</v>
      </c>
      <c r="B1251" s="75">
        <v>197</v>
      </c>
      <c r="C1251" s="75" t="s">
        <v>10</v>
      </c>
      <c r="D1251" s="75">
        <v>3483</v>
      </c>
      <c r="F1251" s="75" t="s">
        <v>10</v>
      </c>
      <c r="H1251" s="75" t="s">
        <v>10</v>
      </c>
      <c r="I1251" s="75">
        <v>19489</v>
      </c>
      <c r="K1251" s="75" t="str">
        <f>IFERROR(VLOOKUP(J1251,'NQ10'!$B$9:$C$145,2,0),"")</f>
        <v/>
      </c>
    </row>
    <row r="1252" spans="1:11" ht="15" customHeight="1" x14ac:dyDescent="0.25">
      <c r="A1252" s="75">
        <v>3</v>
      </c>
      <c r="B1252" s="75">
        <v>206</v>
      </c>
      <c r="C1252" s="75" t="s">
        <v>10</v>
      </c>
      <c r="D1252" s="75">
        <v>3955</v>
      </c>
      <c r="F1252" s="75" t="s">
        <v>10</v>
      </c>
      <c r="H1252" s="75" t="s">
        <v>10</v>
      </c>
      <c r="I1252" s="75">
        <v>19489</v>
      </c>
      <c r="K1252" s="75" t="str">
        <f>IFERROR(VLOOKUP(J1252,'NQ10'!$B$9:$C$145,2,0),"")</f>
        <v/>
      </c>
    </row>
    <row r="1253" spans="1:11" ht="15" customHeight="1" x14ac:dyDescent="0.25">
      <c r="A1253" s="75">
        <v>3</v>
      </c>
      <c r="B1253" s="75">
        <v>208</v>
      </c>
      <c r="C1253" s="75" t="s">
        <v>10</v>
      </c>
      <c r="D1253" s="75">
        <v>6323</v>
      </c>
      <c r="F1253" s="75" t="s">
        <v>10</v>
      </c>
      <c r="H1253" s="75" t="s">
        <v>10</v>
      </c>
      <c r="I1253" s="75">
        <v>19489</v>
      </c>
      <c r="K1253" s="75" t="str">
        <f>IFERROR(VLOOKUP(J1253,'NQ10'!$B$9:$C$145,2,0),"")</f>
        <v/>
      </c>
    </row>
    <row r="1254" spans="1:11" ht="15" customHeight="1" x14ac:dyDescent="0.25">
      <c r="A1254" s="75">
        <v>3</v>
      </c>
      <c r="B1254" s="75">
        <v>209</v>
      </c>
      <c r="C1254" s="75" t="s">
        <v>10</v>
      </c>
      <c r="D1254" s="75">
        <v>14897</v>
      </c>
      <c r="F1254" s="75" t="s">
        <v>10</v>
      </c>
      <c r="H1254" s="75" t="s">
        <v>10</v>
      </c>
      <c r="I1254" s="75">
        <v>19489</v>
      </c>
      <c r="K1254" s="75" t="str">
        <f>IFERROR(VLOOKUP(J1254,'NQ10'!$B$9:$C$145,2,0),"")</f>
        <v/>
      </c>
    </row>
    <row r="1255" spans="1:11" ht="15" customHeight="1" x14ac:dyDescent="0.25">
      <c r="A1255" s="75">
        <v>3</v>
      </c>
      <c r="B1255" s="75">
        <v>210</v>
      </c>
      <c r="C1255" s="75" t="s">
        <v>10</v>
      </c>
      <c r="D1255" s="75">
        <v>6518</v>
      </c>
      <c r="F1255" s="75" t="s">
        <v>10</v>
      </c>
      <c r="H1255" s="75" t="s">
        <v>10</v>
      </c>
      <c r="I1255" s="75">
        <v>19489</v>
      </c>
      <c r="K1255" s="75" t="str">
        <f>IFERROR(VLOOKUP(J1255,'NQ10'!$B$9:$C$145,2,0),"")</f>
        <v/>
      </c>
    </row>
    <row r="1256" spans="1:11" ht="15" customHeight="1" x14ac:dyDescent="0.25">
      <c r="A1256" s="75">
        <v>3</v>
      </c>
      <c r="B1256" s="75">
        <v>211</v>
      </c>
      <c r="C1256" s="75" t="s">
        <v>10</v>
      </c>
      <c r="D1256" s="75">
        <v>5490</v>
      </c>
      <c r="F1256" s="75" t="s">
        <v>10</v>
      </c>
      <c r="H1256" s="75" t="s">
        <v>10</v>
      </c>
      <c r="I1256" s="75">
        <v>19489</v>
      </c>
      <c r="K1256" s="75" t="str">
        <f>IFERROR(VLOOKUP(J1256,'NQ10'!$B$9:$C$145,2,0),"")</f>
        <v/>
      </c>
    </row>
    <row r="1257" spans="1:11" ht="15" customHeight="1" x14ac:dyDescent="0.25">
      <c r="A1257" s="75">
        <v>3</v>
      </c>
      <c r="B1257" s="75">
        <v>215</v>
      </c>
      <c r="C1257" s="75" t="s">
        <v>10</v>
      </c>
      <c r="D1257" s="75">
        <v>1383</v>
      </c>
      <c r="F1257" s="75" t="s">
        <v>10</v>
      </c>
      <c r="H1257" s="75" t="s">
        <v>10</v>
      </c>
      <c r="I1257" s="75">
        <v>19489</v>
      </c>
      <c r="K1257" s="75" t="str">
        <f>IFERROR(VLOOKUP(J1257,'NQ10'!$B$9:$C$145,2,0),"")</f>
        <v/>
      </c>
    </row>
    <row r="1258" spans="1:11" ht="15" customHeight="1" x14ac:dyDescent="0.25">
      <c r="A1258" s="75">
        <v>3</v>
      </c>
      <c r="B1258" s="75">
        <v>216</v>
      </c>
      <c r="C1258" s="75" t="s">
        <v>10</v>
      </c>
      <c r="D1258" s="75">
        <v>2733</v>
      </c>
      <c r="F1258" s="75" t="s">
        <v>10</v>
      </c>
      <c r="H1258" s="75" t="s">
        <v>10</v>
      </c>
      <c r="I1258" s="75">
        <v>19489</v>
      </c>
      <c r="K1258" s="75" t="str">
        <f>IFERROR(VLOOKUP(J1258,'NQ10'!$B$9:$C$145,2,0),"")</f>
        <v/>
      </c>
    </row>
    <row r="1259" spans="1:11" ht="15" customHeight="1" x14ac:dyDescent="0.25">
      <c r="A1259" s="75">
        <v>3</v>
      </c>
      <c r="B1259" s="75">
        <v>220</v>
      </c>
      <c r="C1259" s="75" t="s">
        <v>10</v>
      </c>
      <c r="D1259" s="75">
        <v>9410</v>
      </c>
      <c r="F1259" s="75" t="s">
        <v>10</v>
      </c>
      <c r="H1259" s="75" t="s">
        <v>10</v>
      </c>
      <c r="I1259" s="75">
        <v>19489</v>
      </c>
      <c r="K1259" s="75" t="str">
        <f>IFERROR(VLOOKUP(J1259,'NQ10'!$B$9:$C$145,2,0),"")</f>
        <v/>
      </c>
    </row>
    <row r="1260" spans="1:11" ht="15" customHeight="1" x14ac:dyDescent="0.25">
      <c r="A1260" s="75">
        <v>3</v>
      </c>
      <c r="B1260" s="75">
        <v>223</v>
      </c>
      <c r="C1260" s="75" t="s">
        <v>10</v>
      </c>
      <c r="D1260" s="75">
        <v>24805</v>
      </c>
      <c r="F1260" s="75" t="s">
        <v>10</v>
      </c>
      <c r="H1260" s="75" t="s">
        <v>10</v>
      </c>
      <c r="I1260" s="75">
        <v>19489</v>
      </c>
      <c r="K1260" s="75" t="str">
        <f>IFERROR(VLOOKUP(J1260,'NQ10'!$B$9:$C$145,2,0),"")</f>
        <v/>
      </c>
    </row>
    <row r="1261" spans="1:11" ht="15" customHeight="1" x14ac:dyDescent="0.25">
      <c r="A1261" s="75">
        <v>3</v>
      </c>
      <c r="B1261" s="75">
        <v>229</v>
      </c>
      <c r="C1261" s="75" t="s">
        <v>10</v>
      </c>
      <c r="D1261" s="75">
        <v>4249</v>
      </c>
      <c r="F1261" s="75" t="s">
        <v>10</v>
      </c>
      <c r="H1261" s="75" t="s">
        <v>10</v>
      </c>
      <c r="I1261" s="75">
        <v>19489</v>
      </c>
      <c r="K1261" s="75" t="str">
        <f>IFERROR(VLOOKUP(J1261,'NQ10'!$B$9:$C$145,2,0),"")</f>
        <v/>
      </c>
    </row>
    <row r="1262" spans="1:11" ht="15" customHeight="1" x14ac:dyDescent="0.25">
      <c r="A1262" s="75">
        <v>3</v>
      </c>
      <c r="B1262" s="75">
        <v>235</v>
      </c>
      <c r="C1262" s="75" t="s">
        <v>10</v>
      </c>
      <c r="D1262" s="75">
        <v>5288</v>
      </c>
      <c r="F1262" s="75" t="s">
        <v>10</v>
      </c>
      <c r="H1262" s="75" t="s">
        <v>10</v>
      </c>
      <c r="I1262" s="75">
        <v>19489</v>
      </c>
      <c r="K1262" s="75" t="str">
        <f>IFERROR(VLOOKUP(J1262,'NQ10'!$B$9:$C$145,2,0),"")</f>
        <v/>
      </c>
    </row>
    <row r="1263" spans="1:11" ht="15" customHeight="1" x14ac:dyDescent="0.25">
      <c r="A1263" s="75">
        <v>3</v>
      </c>
      <c r="B1263" s="75">
        <v>238</v>
      </c>
      <c r="C1263" s="75" t="s">
        <v>10</v>
      </c>
      <c r="D1263" s="75">
        <v>1932</v>
      </c>
      <c r="F1263" s="75" t="s">
        <v>10</v>
      </c>
      <c r="H1263" s="75" t="s">
        <v>10</v>
      </c>
      <c r="I1263" s="75">
        <v>19489</v>
      </c>
      <c r="K1263" s="75" t="str">
        <f>IFERROR(VLOOKUP(J1263,'NQ10'!$B$9:$C$145,2,0),"")</f>
        <v/>
      </c>
    </row>
    <row r="1264" spans="1:11" ht="15" customHeight="1" x14ac:dyDescent="0.25">
      <c r="A1264" s="75">
        <v>3</v>
      </c>
      <c r="B1264" s="75">
        <v>247</v>
      </c>
      <c r="C1264" s="75" t="s">
        <v>10</v>
      </c>
      <c r="D1264" s="75">
        <v>4448</v>
      </c>
      <c r="F1264" s="75" t="s">
        <v>10</v>
      </c>
      <c r="H1264" s="75" t="s">
        <v>10</v>
      </c>
      <c r="I1264" s="75">
        <v>19489</v>
      </c>
      <c r="K1264" s="75" t="str">
        <f>IFERROR(VLOOKUP(J1264,'NQ10'!$B$9:$C$145,2,0),"")</f>
        <v/>
      </c>
    </row>
    <row r="1265" spans="1:11" ht="15" customHeight="1" x14ac:dyDescent="0.25">
      <c r="A1265" s="75">
        <v>3</v>
      </c>
      <c r="B1265" s="75">
        <v>254</v>
      </c>
      <c r="C1265" s="75" t="s">
        <v>10</v>
      </c>
      <c r="D1265" s="75">
        <v>1860</v>
      </c>
      <c r="F1265" s="75" t="s">
        <v>10</v>
      </c>
      <c r="H1265" s="75" t="s">
        <v>10</v>
      </c>
      <c r="I1265" s="75">
        <v>19489</v>
      </c>
      <c r="K1265" s="75" t="str">
        <f>IFERROR(VLOOKUP(J1265,'NQ10'!$B$9:$C$145,2,0),"")</f>
        <v/>
      </c>
    </row>
    <row r="1266" spans="1:11" ht="15" customHeight="1" x14ac:dyDescent="0.25">
      <c r="A1266" s="75">
        <v>3</v>
      </c>
      <c r="B1266" s="75">
        <v>259</v>
      </c>
      <c r="C1266" s="75" t="s">
        <v>10</v>
      </c>
      <c r="D1266" s="75">
        <v>6821</v>
      </c>
      <c r="F1266" s="75" t="s">
        <v>10</v>
      </c>
      <c r="H1266" s="75" t="s">
        <v>10</v>
      </c>
      <c r="I1266" s="75">
        <v>19489</v>
      </c>
      <c r="K1266" s="75" t="str">
        <f>IFERROR(VLOOKUP(J1266,'NQ10'!$B$9:$C$145,2,0),"")</f>
        <v/>
      </c>
    </row>
    <row r="1267" spans="1:11" ht="15" customHeight="1" x14ac:dyDescent="0.25">
      <c r="A1267" s="75">
        <v>3</v>
      </c>
      <c r="B1267" s="75">
        <v>264</v>
      </c>
      <c r="C1267" s="75" t="s">
        <v>10</v>
      </c>
      <c r="D1267" s="75">
        <v>1813</v>
      </c>
      <c r="F1267" s="75" t="s">
        <v>10</v>
      </c>
      <c r="H1267" s="75" t="s">
        <v>10</v>
      </c>
      <c r="I1267" s="75">
        <v>19489</v>
      </c>
      <c r="K1267" s="75" t="str">
        <f>IFERROR(VLOOKUP(J1267,'NQ10'!$B$9:$C$145,2,0),"")</f>
        <v/>
      </c>
    </row>
    <row r="1268" spans="1:11" ht="15" customHeight="1" x14ac:dyDescent="0.25">
      <c r="A1268" s="75">
        <v>3</v>
      </c>
      <c r="B1268" s="75">
        <v>267</v>
      </c>
      <c r="C1268" s="75" t="s">
        <v>10</v>
      </c>
      <c r="D1268" s="75">
        <v>2707</v>
      </c>
      <c r="F1268" s="75" t="s">
        <v>10</v>
      </c>
      <c r="H1268" s="75" t="s">
        <v>10</v>
      </c>
      <c r="I1268" s="75">
        <v>19489</v>
      </c>
      <c r="K1268" s="75" t="str">
        <f>IFERROR(VLOOKUP(J1268,'NQ10'!$B$9:$C$145,2,0),"")</f>
        <v/>
      </c>
    </row>
    <row r="1269" spans="1:11" ht="15" customHeight="1" x14ac:dyDescent="0.25">
      <c r="A1269" s="75">
        <v>3</v>
      </c>
      <c r="B1269" s="75">
        <v>272</v>
      </c>
      <c r="C1269" s="75" t="s">
        <v>10</v>
      </c>
      <c r="D1269" s="75">
        <v>5115</v>
      </c>
      <c r="F1269" s="75" t="s">
        <v>10</v>
      </c>
      <c r="H1269" s="75" t="s">
        <v>10</v>
      </c>
      <c r="I1269" s="75">
        <v>19489</v>
      </c>
      <c r="K1269" s="75" t="str">
        <f>IFERROR(VLOOKUP(J1269,'NQ10'!$B$9:$C$145,2,0),"")</f>
        <v/>
      </c>
    </row>
    <row r="1270" spans="1:11" ht="15" customHeight="1" x14ac:dyDescent="0.25">
      <c r="A1270" s="75">
        <v>3</v>
      </c>
      <c r="B1270" s="75">
        <v>273</v>
      </c>
      <c r="C1270" s="75" t="s">
        <v>10</v>
      </c>
      <c r="D1270" s="75">
        <v>4548</v>
      </c>
      <c r="F1270" s="75" t="s">
        <v>10</v>
      </c>
      <c r="H1270" s="75" t="s">
        <v>10</v>
      </c>
      <c r="I1270" s="75">
        <v>19489</v>
      </c>
      <c r="K1270" s="75" t="str">
        <f>IFERROR(VLOOKUP(J1270,'NQ10'!$B$9:$C$145,2,0),"")</f>
        <v/>
      </c>
    </row>
    <row r="1271" spans="1:11" ht="15" customHeight="1" x14ac:dyDescent="0.25">
      <c r="A1271" s="75">
        <v>3</v>
      </c>
      <c r="B1271" s="75">
        <v>275</v>
      </c>
      <c r="C1271" s="75" t="s">
        <v>10</v>
      </c>
      <c r="D1271" s="75">
        <v>7381</v>
      </c>
      <c r="F1271" s="75" t="s">
        <v>10</v>
      </c>
      <c r="H1271" s="75" t="s">
        <v>10</v>
      </c>
      <c r="I1271" s="75">
        <v>19489</v>
      </c>
      <c r="K1271" s="75" t="str">
        <f>IFERROR(VLOOKUP(J1271,'NQ10'!$B$9:$C$145,2,0),"")</f>
        <v/>
      </c>
    </row>
    <row r="1272" spans="1:11" ht="15" customHeight="1" x14ac:dyDescent="0.25">
      <c r="A1272" s="75">
        <v>3</v>
      </c>
      <c r="B1272" s="75">
        <v>281</v>
      </c>
      <c r="C1272" s="75" t="s">
        <v>10</v>
      </c>
      <c r="D1272" s="75">
        <v>3912</v>
      </c>
      <c r="F1272" s="75" t="s">
        <v>10</v>
      </c>
      <c r="H1272" s="75" t="s">
        <v>10</v>
      </c>
      <c r="I1272" s="75">
        <v>19489</v>
      </c>
      <c r="K1272" s="75" t="str">
        <f>IFERROR(VLOOKUP(J1272,'NQ10'!$B$9:$C$145,2,0),"")</f>
        <v/>
      </c>
    </row>
    <row r="1273" spans="1:11" ht="15" customHeight="1" x14ac:dyDescent="0.25">
      <c r="A1273" s="75">
        <v>3</v>
      </c>
      <c r="B1273" s="75">
        <v>290</v>
      </c>
      <c r="C1273" s="75" t="s">
        <v>10</v>
      </c>
      <c r="D1273" s="75">
        <v>2013</v>
      </c>
      <c r="F1273" s="75" t="s">
        <v>10</v>
      </c>
      <c r="H1273" s="75" t="s">
        <v>10</v>
      </c>
      <c r="I1273" s="75">
        <v>19489</v>
      </c>
      <c r="K1273" s="75" t="str">
        <f>IFERROR(VLOOKUP(J1273,'NQ10'!$B$9:$C$145,2,0),"")</f>
        <v/>
      </c>
    </row>
    <row r="1274" spans="1:11" ht="15" customHeight="1" x14ac:dyDescent="0.25">
      <c r="A1274" s="75">
        <v>3</v>
      </c>
      <c r="B1274" s="75">
        <v>291</v>
      </c>
      <c r="C1274" s="75" t="s">
        <v>10</v>
      </c>
      <c r="D1274" s="75">
        <v>1499</v>
      </c>
      <c r="F1274" s="75" t="s">
        <v>10</v>
      </c>
      <c r="H1274" s="75" t="s">
        <v>10</v>
      </c>
      <c r="I1274" s="75">
        <v>19489</v>
      </c>
      <c r="K1274" s="75" t="str">
        <f>IFERROR(VLOOKUP(J1274,'NQ10'!$B$9:$C$145,2,0),"")</f>
        <v/>
      </c>
    </row>
    <row r="1275" spans="1:11" ht="15" customHeight="1" x14ac:dyDescent="0.25">
      <c r="A1275" s="75">
        <v>3</v>
      </c>
      <c r="B1275" s="75">
        <v>301</v>
      </c>
      <c r="C1275" s="75" t="s">
        <v>10</v>
      </c>
      <c r="D1275" s="75">
        <v>1631</v>
      </c>
      <c r="F1275" s="75" t="s">
        <v>10</v>
      </c>
      <c r="H1275" s="75" t="s">
        <v>10</v>
      </c>
      <c r="I1275" s="75">
        <v>19489</v>
      </c>
      <c r="K1275" s="75" t="str">
        <f>IFERROR(VLOOKUP(J1275,'NQ10'!$B$9:$C$145,2,0),"")</f>
        <v/>
      </c>
    </row>
    <row r="1276" spans="1:11" ht="15" customHeight="1" x14ac:dyDescent="0.25">
      <c r="A1276" s="75">
        <v>3</v>
      </c>
      <c r="B1276" s="75">
        <v>302</v>
      </c>
      <c r="C1276" s="75" t="s">
        <v>10</v>
      </c>
      <c r="D1276" s="75">
        <v>2733</v>
      </c>
      <c r="F1276" s="75" t="s">
        <v>10</v>
      </c>
      <c r="H1276" s="75" t="s">
        <v>10</v>
      </c>
      <c r="I1276" s="75">
        <v>19489</v>
      </c>
      <c r="K1276" s="75" t="str">
        <f>IFERROR(VLOOKUP(J1276,'NQ10'!$B$9:$C$145,2,0),"")</f>
        <v/>
      </c>
    </row>
    <row r="1277" spans="1:11" ht="15" customHeight="1" x14ac:dyDescent="0.25">
      <c r="A1277" s="75">
        <v>3</v>
      </c>
      <c r="B1277" s="75">
        <v>305</v>
      </c>
      <c r="C1277" s="75" t="s">
        <v>10</v>
      </c>
      <c r="D1277" s="75">
        <v>4551</v>
      </c>
      <c r="F1277" s="75" t="s">
        <v>10</v>
      </c>
      <c r="H1277" s="75" t="s">
        <v>10</v>
      </c>
      <c r="I1277" s="75">
        <v>19489</v>
      </c>
      <c r="K1277" s="75" t="str">
        <f>IFERROR(VLOOKUP(J1277,'NQ10'!$B$9:$C$145,2,0),"")</f>
        <v/>
      </c>
    </row>
    <row r="1278" spans="1:11" ht="15" customHeight="1" x14ac:dyDescent="0.25">
      <c r="A1278" s="75">
        <v>3</v>
      </c>
      <c r="B1278" s="75">
        <v>309</v>
      </c>
      <c r="C1278" s="75" t="s">
        <v>10</v>
      </c>
      <c r="D1278" s="75">
        <v>6333</v>
      </c>
      <c r="F1278" s="75" t="s">
        <v>10</v>
      </c>
      <c r="H1278" s="75" t="s">
        <v>10</v>
      </c>
      <c r="I1278" s="75">
        <v>19489</v>
      </c>
      <c r="K1278" s="75" t="str">
        <f>IFERROR(VLOOKUP(J1278,'NQ10'!$B$9:$C$145,2,0),"")</f>
        <v/>
      </c>
    </row>
    <row r="1279" spans="1:11" ht="15" customHeight="1" x14ac:dyDescent="0.25">
      <c r="A1279" s="75">
        <v>3</v>
      </c>
      <c r="B1279" s="75">
        <v>313</v>
      </c>
      <c r="C1279" s="75" t="s">
        <v>10</v>
      </c>
      <c r="D1279" s="75">
        <v>5771</v>
      </c>
      <c r="F1279" s="75" t="s">
        <v>10</v>
      </c>
      <c r="H1279" s="75" t="s">
        <v>10</v>
      </c>
      <c r="I1279" s="75">
        <v>19489</v>
      </c>
      <c r="K1279" s="75" t="str">
        <f>IFERROR(VLOOKUP(J1279,'NQ10'!$B$9:$C$145,2,0),"")</f>
        <v/>
      </c>
    </row>
    <row r="1280" spans="1:11" ht="15" customHeight="1" x14ac:dyDescent="0.25">
      <c r="A1280" s="75">
        <v>3</v>
      </c>
      <c r="B1280" s="75">
        <v>314</v>
      </c>
      <c r="C1280" s="75" t="s">
        <v>10</v>
      </c>
      <c r="D1280" s="75">
        <v>5824</v>
      </c>
      <c r="F1280" s="75" t="s">
        <v>10</v>
      </c>
      <c r="H1280" s="75" t="s">
        <v>10</v>
      </c>
      <c r="I1280" s="75">
        <v>19489</v>
      </c>
      <c r="K1280" s="75" t="str">
        <f>IFERROR(VLOOKUP(J1280,'NQ10'!$B$9:$C$145,2,0),"")</f>
        <v/>
      </c>
    </row>
    <row r="1281" spans="1:11" ht="15" customHeight="1" x14ac:dyDescent="0.25">
      <c r="A1281" s="75">
        <v>3</v>
      </c>
      <c r="B1281" s="75">
        <v>319</v>
      </c>
      <c r="C1281" s="75" t="s">
        <v>10</v>
      </c>
      <c r="D1281" s="75">
        <v>2452</v>
      </c>
      <c r="F1281" s="75" t="s">
        <v>10</v>
      </c>
      <c r="H1281" s="75" t="s">
        <v>10</v>
      </c>
      <c r="I1281" s="75">
        <v>19489</v>
      </c>
      <c r="K1281" s="75" t="str">
        <f>IFERROR(VLOOKUP(J1281,'NQ10'!$B$9:$C$145,2,0),"")</f>
        <v/>
      </c>
    </row>
    <row r="1282" spans="1:11" ht="15" customHeight="1" x14ac:dyDescent="0.25">
      <c r="A1282" s="75">
        <v>3</v>
      </c>
      <c r="B1282" s="75">
        <v>328</v>
      </c>
      <c r="C1282" s="75" t="s">
        <v>10</v>
      </c>
      <c r="D1282" s="75">
        <v>8605</v>
      </c>
      <c r="F1282" s="75" t="s">
        <v>10</v>
      </c>
      <c r="H1282" s="75" t="s">
        <v>10</v>
      </c>
      <c r="I1282" s="75">
        <v>19489</v>
      </c>
      <c r="K1282" s="75" t="str">
        <f>IFERROR(VLOOKUP(J1282,'NQ10'!$B$9:$C$145,2,0),"")</f>
        <v/>
      </c>
    </row>
    <row r="1283" spans="1:11" ht="15" customHeight="1" x14ac:dyDescent="0.25">
      <c r="A1283" s="75">
        <v>3</v>
      </c>
      <c r="B1283" s="75">
        <v>335</v>
      </c>
      <c r="C1283" s="75" t="s">
        <v>10</v>
      </c>
      <c r="D1283" s="75">
        <v>8983</v>
      </c>
      <c r="F1283" s="75" t="s">
        <v>10</v>
      </c>
      <c r="H1283" s="75" t="s">
        <v>10</v>
      </c>
      <c r="I1283" s="75">
        <v>19489</v>
      </c>
      <c r="K1283" s="75" t="str">
        <f>IFERROR(VLOOKUP(J1283,'NQ10'!$B$9:$C$145,2,0),"")</f>
        <v/>
      </c>
    </row>
    <row r="1284" spans="1:11" ht="15" customHeight="1" x14ac:dyDescent="0.25">
      <c r="A1284" s="75">
        <v>3</v>
      </c>
      <c r="B1284" s="75">
        <v>341</v>
      </c>
      <c r="C1284" s="75" t="s">
        <v>10</v>
      </c>
      <c r="D1284" s="75">
        <v>4764</v>
      </c>
      <c r="F1284" s="75" t="s">
        <v>10</v>
      </c>
      <c r="H1284" s="75" t="s">
        <v>10</v>
      </c>
      <c r="I1284" s="75">
        <v>19489</v>
      </c>
      <c r="K1284" s="75" t="str">
        <f>IFERROR(VLOOKUP(J1284,'NQ10'!$B$9:$C$145,2,0),"")</f>
        <v/>
      </c>
    </row>
    <row r="1285" spans="1:11" ht="15" customHeight="1" x14ac:dyDescent="0.25">
      <c r="A1285" s="75">
        <v>3</v>
      </c>
      <c r="B1285" s="75">
        <v>343</v>
      </c>
      <c r="C1285" s="75" t="s">
        <v>10</v>
      </c>
      <c r="D1285" s="75">
        <v>3646</v>
      </c>
      <c r="F1285" s="75" t="s">
        <v>10</v>
      </c>
      <c r="H1285" s="75" t="s">
        <v>10</v>
      </c>
      <c r="I1285" s="75">
        <v>19489</v>
      </c>
      <c r="K1285" s="75" t="str">
        <f>IFERROR(VLOOKUP(J1285,'NQ10'!$B$9:$C$145,2,0),"")</f>
        <v/>
      </c>
    </row>
    <row r="1286" spans="1:11" ht="15" customHeight="1" x14ac:dyDescent="0.25">
      <c r="A1286" s="75">
        <v>3</v>
      </c>
      <c r="B1286" s="75">
        <v>348</v>
      </c>
      <c r="C1286" s="75" t="s">
        <v>10</v>
      </c>
      <c r="D1286" s="75">
        <v>5010</v>
      </c>
      <c r="F1286" s="75" t="s">
        <v>10</v>
      </c>
      <c r="H1286" s="75" t="s">
        <v>10</v>
      </c>
      <c r="I1286" s="75">
        <v>19489</v>
      </c>
      <c r="K1286" s="75" t="str">
        <f>IFERROR(VLOOKUP(J1286,'NQ10'!$B$9:$C$145,2,0),"")</f>
        <v/>
      </c>
    </row>
    <row r="1287" spans="1:11" ht="15" customHeight="1" x14ac:dyDescent="0.25">
      <c r="A1287" s="75">
        <v>3</v>
      </c>
      <c r="B1287" s="75">
        <v>353</v>
      </c>
      <c r="C1287" s="75" t="s">
        <v>10</v>
      </c>
      <c r="D1287" s="75">
        <v>4417</v>
      </c>
      <c r="F1287" s="75" t="s">
        <v>10</v>
      </c>
      <c r="H1287" s="75" t="s">
        <v>10</v>
      </c>
      <c r="I1287" s="75">
        <v>19489</v>
      </c>
      <c r="K1287" s="75" t="str">
        <f>IFERROR(VLOOKUP(J1287,'NQ10'!$B$9:$C$145,2,0),"")</f>
        <v/>
      </c>
    </row>
    <row r="1288" spans="1:11" ht="15" customHeight="1" x14ac:dyDescent="0.25">
      <c r="A1288" s="75">
        <v>3</v>
      </c>
      <c r="B1288" s="75">
        <v>359</v>
      </c>
      <c r="C1288" s="75" t="s">
        <v>10</v>
      </c>
      <c r="D1288" s="75">
        <v>13538</v>
      </c>
      <c r="F1288" s="75" t="s">
        <v>10</v>
      </c>
      <c r="H1288" s="75" t="s">
        <v>10</v>
      </c>
      <c r="I1288" s="75">
        <v>19489</v>
      </c>
      <c r="K1288" s="75" t="str">
        <f>IFERROR(VLOOKUP(J1288,'NQ10'!$B$9:$C$145,2,0),"")</f>
        <v/>
      </c>
    </row>
    <row r="1289" spans="1:11" ht="15" customHeight="1" x14ac:dyDescent="0.25">
      <c r="A1289" s="75">
        <v>3</v>
      </c>
      <c r="B1289" s="75">
        <v>368</v>
      </c>
      <c r="C1289" s="75" t="s">
        <v>10</v>
      </c>
      <c r="D1289" s="75">
        <v>4145</v>
      </c>
      <c r="F1289" s="75" t="s">
        <v>10</v>
      </c>
      <c r="H1289" s="75" t="s">
        <v>10</v>
      </c>
      <c r="I1289" s="75">
        <v>19489</v>
      </c>
      <c r="K1289" s="75" t="str">
        <f>IFERROR(VLOOKUP(J1289,'NQ10'!$B$9:$C$145,2,0),"")</f>
        <v/>
      </c>
    </row>
    <row r="1290" spans="1:11" ht="15" customHeight="1" x14ac:dyDescent="0.25">
      <c r="A1290" s="75">
        <v>3</v>
      </c>
      <c r="B1290" s="75">
        <v>381</v>
      </c>
      <c r="C1290" s="75" t="s">
        <v>10</v>
      </c>
      <c r="D1290" s="75">
        <v>5739</v>
      </c>
      <c r="F1290" s="75" t="s">
        <v>10</v>
      </c>
      <c r="H1290" s="75" t="s">
        <v>10</v>
      </c>
      <c r="I1290" s="75">
        <v>19489</v>
      </c>
      <c r="K1290" s="75" t="str">
        <f>IFERROR(VLOOKUP(J1290,'NQ10'!$B$9:$C$145,2,0),"")</f>
        <v/>
      </c>
    </row>
    <row r="1291" spans="1:11" ht="15" customHeight="1" x14ac:dyDescent="0.25">
      <c r="A1291" s="75">
        <v>3</v>
      </c>
      <c r="B1291" s="75">
        <v>388</v>
      </c>
      <c r="C1291" s="75" t="s">
        <v>10</v>
      </c>
      <c r="D1291" s="75">
        <v>30548</v>
      </c>
      <c r="F1291" s="75" t="s">
        <v>10</v>
      </c>
      <c r="H1291" s="75" t="s">
        <v>10</v>
      </c>
      <c r="I1291" s="75">
        <v>19489</v>
      </c>
      <c r="K1291" s="75" t="str">
        <f>IFERROR(VLOOKUP(J1291,'NQ10'!$B$9:$C$145,2,0),"")</f>
        <v/>
      </c>
    </row>
    <row r="1292" spans="1:11" ht="15" customHeight="1" x14ac:dyDescent="0.25">
      <c r="A1292" s="75">
        <v>3</v>
      </c>
      <c r="B1292" s="75">
        <v>399</v>
      </c>
      <c r="C1292" s="75" t="s">
        <v>10</v>
      </c>
      <c r="D1292" s="75">
        <v>16852</v>
      </c>
      <c r="F1292" s="75" t="s">
        <v>10</v>
      </c>
      <c r="H1292" s="75" t="s">
        <v>10</v>
      </c>
      <c r="I1292" s="75">
        <v>19489</v>
      </c>
      <c r="K1292" s="75" t="str">
        <f>IFERROR(VLOOKUP(J1292,'NQ10'!$B$9:$C$145,2,0),"")</f>
        <v/>
      </c>
    </row>
    <row r="1293" spans="1:11" ht="15" customHeight="1" x14ac:dyDescent="0.25">
      <c r="A1293" s="75">
        <v>3</v>
      </c>
      <c r="B1293" s="75">
        <v>414</v>
      </c>
      <c r="C1293" s="75" t="s">
        <v>10</v>
      </c>
      <c r="D1293" s="75">
        <v>7600</v>
      </c>
      <c r="F1293" s="75" t="s">
        <v>10</v>
      </c>
      <c r="H1293" s="75" t="s">
        <v>10</v>
      </c>
      <c r="I1293" s="75">
        <v>19489</v>
      </c>
      <c r="K1293" s="75" t="str">
        <f>IFERROR(VLOOKUP(J1293,'NQ10'!$B$9:$C$145,2,0),"")</f>
        <v/>
      </c>
    </row>
    <row r="1294" spans="1:11" ht="15" customHeight="1" x14ac:dyDescent="0.25">
      <c r="A1294" s="75">
        <v>3</v>
      </c>
      <c r="B1294" s="75">
        <v>427</v>
      </c>
      <c r="C1294" s="75" t="s">
        <v>10</v>
      </c>
      <c r="D1294" s="75">
        <v>6682</v>
      </c>
      <c r="F1294" s="75" t="s">
        <v>10</v>
      </c>
      <c r="H1294" s="75" t="s">
        <v>10</v>
      </c>
      <c r="I1294" s="75">
        <v>19489</v>
      </c>
      <c r="K1294" s="75" t="str">
        <f>IFERROR(VLOOKUP(J1294,'NQ10'!$B$9:$C$145,2,0),"")</f>
        <v/>
      </c>
    </row>
    <row r="1295" spans="1:11" ht="15" customHeight="1" x14ac:dyDescent="0.25">
      <c r="A1295" s="75">
        <v>3</v>
      </c>
      <c r="B1295" s="75">
        <v>431</v>
      </c>
      <c r="C1295" s="75" t="s">
        <v>10</v>
      </c>
      <c r="D1295" s="75">
        <v>5487</v>
      </c>
      <c r="F1295" s="75" t="s">
        <v>10</v>
      </c>
      <c r="H1295" s="75" t="s">
        <v>10</v>
      </c>
      <c r="I1295" s="75">
        <v>19489</v>
      </c>
      <c r="K1295" s="75" t="str">
        <f>IFERROR(VLOOKUP(J1295,'NQ10'!$B$9:$C$145,2,0),"")</f>
        <v/>
      </c>
    </row>
    <row r="1296" spans="1:11" ht="15" customHeight="1" x14ac:dyDescent="0.25">
      <c r="A1296" s="75">
        <v>3</v>
      </c>
      <c r="B1296" s="75">
        <v>434</v>
      </c>
      <c r="C1296" s="75" t="s">
        <v>10</v>
      </c>
      <c r="D1296" s="75">
        <v>7929</v>
      </c>
      <c r="F1296" s="75" t="s">
        <v>10</v>
      </c>
      <c r="H1296" s="75" t="s">
        <v>10</v>
      </c>
      <c r="I1296" s="75">
        <v>19489</v>
      </c>
      <c r="K1296" s="75" t="str">
        <f>IFERROR(VLOOKUP(J1296,'NQ10'!$B$9:$C$145,2,0),"")</f>
        <v/>
      </c>
    </row>
    <row r="1297" spans="1:11" ht="15" customHeight="1" x14ac:dyDescent="0.25">
      <c r="A1297" s="75">
        <v>3</v>
      </c>
      <c r="B1297" s="75">
        <v>439</v>
      </c>
      <c r="C1297" s="75" t="s">
        <v>10</v>
      </c>
      <c r="D1297" s="75">
        <v>21771</v>
      </c>
      <c r="F1297" s="75" t="s">
        <v>10</v>
      </c>
      <c r="H1297" s="75" t="s">
        <v>10</v>
      </c>
      <c r="I1297" s="75">
        <v>19489</v>
      </c>
      <c r="K1297" s="75" t="str">
        <f>IFERROR(VLOOKUP(J1297,'NQ10'!$B$9:$C$145,2,0),"")</f>
        <v/>
      </c>
    </row>
    <row r="1298" spans="1:11" ht="15" customHeight="1" x14ac:dyDescent="0.25">
      <c r="A1298" s="75">
        <v>3</v>
      </c>
      <c r="B1298" s="75">
        <v>440</v>
      </c>
      <c r="C1298" s="75" t="s">
        <v>10</v>
      </c>
      <c r="D1298" s="75">
        <v>20223</v>
      </c>
      <c r="F1298" s="75" t="s">
        <v>10</v>
      </c>
      <c r="H1298" s="75" t="s">
        <v>10</v>
      </c>
      <c r="I1298" s="75">
        <v>19489</v>
      </c>
      <c r="K1298" s="75" t="str">
        <f>IFERROR(VLOOKUP(J1298,'NQ10'!$B$9:$C$145,2,0),"")</f>
        <v/>
      </c>
    </row>
    <row r="1299" spans="1:11" ht="15" customHeight="1" x14ac:dyDescent="0.25">
      <c r="A1299" s="75">
        <v>3</v>
      </c>
      <c r="B1299" s="75">
        <v>446</v>
      </c>
      <c r="C1299" s="75" t="s">
        <v>10</v>
      </c>
      <c r="D1299" s="75">
        <v>20574</v>
      </c>
      <c r="F1299" s="75" t="s">
        <v>10</v>
      </c>
      <c r="H1299" s="75" t="s">
        <v>10</v>
      </c>
      <c r="I1299" s="75">
        <v>19489</v>
      </c>
      <c r="K1299" s="75" t="str">
        <f>IFERROR(VLOOKUP(J1299,'NQ10'!$B$9:$C$145,2,0),"")</f>
        <v/>
      </c>
    </row>
    <row r="1300" spans="1:11" ht="15" customHeight="1" x14ac:dyDescent="0.25">
      <c r="A1300" s="75">
        <v>3</v>
      </c>
      <c r="B1300" s="75">
        <v>451</v>
      </c>
      <c r="C1300" s="75" t="s">
        <v>10</v>
      </c>
      <c r="D1300" s="75">
        <v>17892</v>
      </c>
      <c r="F1300" s="75" t="s">
        <v>10</v>
      </c>
      <c r="H1300" s="75" t="s">
        <v>10</v>
      </c>
      <c r="I1300" s="75">
        <v>19489</v>
      </c>
      <c r="K1300" s="75" t="str">
        <f>IFERROR(VLOOKUP(J1300,'NQ10'!$B$9:$C$145,2,0),"")</f>
        <v/>
      </c>
    </row>
    <row r="1301" spans="1:11" ht="15" customHeight="1" x14ac:dyDescent="0.25">
      <c r="A1301" s="75">
        <v>3</v>
      </c>
      <c r="B1301" s="75">
        <v>452</v>
      </c>
      <c r="C1301" s="75" t="s">
        <v>10</v>
      </c>
      <c r="D1301" s="75">
        <v>26227</v>
      </c>
      <c r="F1301" s="75" t="s">
        <v>10</v>
      </c>
      <c r="H1301" s="75" t="s">
        <v>10</v>
      </c>
      <c r="I1301" s="75">
        <v>19489</v>
      </c>
      <c r="K1301" s="75" t="str">
        <f>IFERROR(VLOOKUP(J1301,'NQ10'!$B$9:$C$145,2,0),"")</f>
        <v/>
      </c>
    </row>
    <row r="1302" spans="1:11" ht="15" customHeight="1" x14ac:dyDescent="0.25">
      <c r="A1302" s="75">
        <v>3</v>
      </c>
      <c r="B1302" s="75">
        <v>453</v>
      </c>
      <c r="C1302" s="75" t="s">
        <v>10</v>
      </c>
      <c r="D1302" s="75">
        <v>11465</v>
      </c>
      <c r="F1302" s="75" t="s">
        <v>10</v>
      </c>
      <c r="H1302" s="75" t="s">
        <v>10</v>
      </c>
      <c r="I1302" s="75">
        <v>19489</v>
      </c>
      <c r="K1302" s="75" t="str">
        <f>IFERROR(VLOOKUP(J1302,'NQ10'!$B$9:$C$145,2,0),"")</f>
        <v/>
      </c>
    </row>
    <row r="1303" spans="1:11" ht="15" customHeight="1" x14ac:dyDescent="0.25">
      <c r="A1303" s="75">
        <v>3</v>
      </c>
      <c r="B1303" s="75">
        <v>454</v>
      </c>
      <c r="C1303" s="75" t="s">
        <v>10</v>
      </c>
      <c r="D1303" s="75">
        <v>11556</v>
      </c>
      <c r="F1303" s="75" t="s">
        <v>10</v>
      </c>
      <c r="H1303" s="75" t="s">
        <v>10</v>
      </c>
      <c r="I1303" s="75">
        <v>19489</v>
      </c>
      <c r="K1303" s="75" t="str">
        <f>IFERROR(VLOOKUP(J1303,'NQ10'!$B$9:$C$145,2,0),"")</f>
        <v/>
      </c>
    </row>
    <row r="1304" spans="1:11" ht="15" customHeight="1" x14ac:dyDescent="0.25">
      <c r="A1304" s="75">
        <v>3</v>
      </c>
      <c r="B1304" s="75">
        <v>467</v>
      </c>
      <c r="C1304" s="75" t="s">
        <v>10</v>
      </c>
      <c r="D1304" s="75">
        <v>7480</v>
      </c>
      <c r="F1304" s="75" t="s">
        <v>10</v>
      </c>
      <c r="H1304" s="75" t="s">
        <v>10</v>
      </c>
      <c r="I1304" s="75">
        <v>19489</v>
      </c>
      <c r="K1304" s="75" t="str">
        <f>IFERROR(VLOOKUP(J1304,'NQ10'!$B$9:$C$145,2,0),"")</f>
        <v/>
      </c>
    </row>
    <row r="1305" spans="1:11" ht="15" customHeight="1" x14ac:dyDescent="0.25">
      <c r="A1305" s="75">
        <v>3</v>
      </c>
      <c r="B1305" s="75">
        <v>470</v>
      </c>
      <c r="C1305" s="75" t="s">
        <v>10</v>
      </c>
      <c r="D1305" s="75">
        <v>10620</v>
      </c>
      <c r="F1305" s="75" t="s">
        <v>10</v>
      </c>
      <c r="H1305" s="75" t="s">
        <v>10</v>
      </c>
      <c r="I1305" s="75">
        <v>19489</v>
      </c>
      <c r="K1305" s="75" t="str">
        <f>IFERROR(VLOOKUP(J1305,'NQ10'!$B$9:$C$145,2,0),"")</f>
        <v/>
      </c>
    </row>
    <row r="1306" spans="1:11" ht="15" customHeight="1" x14ac:dyDescent="0.25">
      <c r="A1306" s="75">
        <v>3</v>
      </c>
      <c r="B1306" s="75">
        <v>478</v>
      </c>
      <c r="C1306" s="75" t="s">
        <v>10</v>
      </c>
      <c r="D1306" s="75">
        <v>9492</v>
      </c>
      <c r="F1306" s="75" t="s">
        <v>10</v>
      </c>
      <c r="H1306" s="75" t="s">
        <v>10</v>
      </c>
      <c r="I1306" s="75">
        <v>19489</v>
      </c>
      <c r="K1306" s="75" t="str">
        <f>IFERROR(VLOOKUP(J1306,'NQ10'!$B$9:$C$145,2,0),"")</f>
        <v/>
      </c>
    </row>
    <row r="1307" spans="1:11" ht="15" customHeight="1" x14ac:dyDescent="0.25">
      <c r="A1307" s="75">
        <v>3</v>
      </c>
      <c r="B1307" s="75">
        <v>491</v>
      </c>
      <c r="C1307" s="75" t="s">
        <v>10</v>
      </c>
      <c r="D1307" s="75">
        <v>11804</v>
      </c>
      <c r="F1307" s="75" t="s">
        <v>10</v>
      </c>
      <c r="H1307" s="75" t="s">
        <v>10</v>
      </c>
      <c r="I1307" s="75">
        <v>19489</v>
      </c>
      <c r="K1307" s="75" t="str">
        <f>IFERROR(VLOOKUP(J1307,'NQ10'!$B$9:$C$145,2,0),"")</f>
        <v/>
      </c>
    </row>
    <row r="1308" spans="1:11" ht="15" customHeight="1" x14ac:dyDescent="0.25">
      <c r="A1308" s="75">
        <v>3</v>
      </c>
      <c r="B1308" s="75">
        <v>504</v>
      </c>
      <c r="C1308" s="75" t="s">
        <v>10</v>
      </c>
      <c r="D1308" s="75">
        <v>3454</v>
      </c>
      <c r="F1308" s="75" t="s">
        <v>10</v>
      </c>
      <c r="H1308" s="75" t="s">
        <v>10</v>
      </c>
      <c r="I1308" s="75">
        <v>19489</v>
      </c>
      <c r="K1308" s="75" t="str">
        <f>IFERROR(VLOOKUP(J1308,'NQ10'!$B$9:$C$145,2,0),"")</f>
        <v/>
      </c>
    </row>
    <row r="1309" spans="1:11" ht="15" customHeight="1" x14ac:dyDescent="0.25">
      <c r="A1309" s="75">
        <v>5</v>
      </c>
      <c r="B1309" s="75">
        <v>1</v>
      </c>
      <c r="C1309" s="75" t="s">
        <v>10</v>
      </c>
      <c r="D1309" s="75">
        <v>51374</v>
      </c>
      <c r="F1309" s="75" t="s">
        <v>10</v>
      </c>
      <c r="H1309" s="75" t="s">
        <v>10</v>
      </c>
      <c r="I1309" s="75">
        <v>19489</v>
      </c>
      <c r="K1309" s="75" t="str">
        <f>IFERROR(VLOOKUP(J1309,'NQ10'!$B$9:$C$145,2,0),"")</f>
        <v/>
      </c>
    </row>
    <row r="1310" spans="1:11" ht="15" customHeight="1" x14ac:dyDescent="0.25">
      <c r="A1310" s="75">
        <v>5</v>
      </c>
      <c r="B1310" s="75">
        <v>3</v>
      </c>
      <c r="C1310" s="75" t="s">
        <v>10</v>
      </c>
      <c r="D1310" s="75">
        <v>211536</v>
      </c>
      <c r="F1310" s="75" t="s">
        <v>10</v>
      </c>
      <c r="H1310" s="75" t="s">
        <v>10</v>
      </c>
      <c r="I1310" s="75">
        <v>19489</v>
      </c>
      <c r="K1310" s="75" t="str">
        <f>IFERROR(VLOOKUP(J1310,'NQ10'!$B$9:$C$145,2,0),"")</f>
        <v/>
      </c>
    </row>
    <row r="1311" spans="1:11" ht="15" customHeight="1" x14ac:dyDescent="0.25">
      <c r="A1311" s="75">
        <v>5</v>
      </c>
      <c r="B1311" s="75">
        <v>3</v>
      </c>
      <c r="C1311" s="75" t="s">
        <v>10</v>
      </c>
      <c r="D1311" s="75">
        <v>5461</v>
      </c>
      <c r="F1311" s="75" t="s">
        <v>10</v>
      </c>
      <c r="H1311" s="75" t="s">
        <v>10</v>
      </c>
      <c r="I1311" s="75">
        <v>19489</v>
      </c>
      <c r="K1311" s="75" t="str">
        <f>IFERROR(VLOOKUP(J1311,'NQ10'!$B$9:$C$145,2,0),"")</f>
        <v/>
      </c>
    </row>
    <row r="1312" spans="1:11" ht="15" customHeight="1" x14ac:dyDescent="0.25">
      <c r="A1312" s="75">
        <v>5</v>
      </c>
      <c r="B1312" s="75">
        <v>4</v>
      </c>
      <c r="C1312" s="75" t="s">
        <v>10</v>
      </c>
      <c r="D1312" s="75">
        <v>2825</v>
      </c>
      <c r="F1312" s="75" t="s">
        <v>10</v>
      </c>
      <c r="H1312" s="75" t="s">
        <v>10</v>
      </c>
      <c r="I1312" s="75">
        <v>19489</v>
      </c>
      <c r="K1312" s="75" t="str">
        <f>IFERROR(VLOOKUP(J1312,'NQ10'!$B$9:$C$145,2,0),"")</f>
        <v/>
      </c>
    </row>
    <row r="1313" spans="1:11" ht="15" customHeight="1" x14ac:dyDescent="0.25">
      <c r="A1313" s="75">
        <v>5</v>
      </c>
      <c r="B1313" s="75">
        <v>4</v>
      </c>
      <c r="C1313" s="75" t="s">
        <v>10</v>
      </c>
      <c r="D1313" s="75">
        <v>1734</v>
      </c>
      <c r="F1313" s="75" t="s">
        <v>10</v>
      </c>
      <c r="H1313" s="75" t="s">
        <v>10</v>
      </c>
      <c r="I1313" s="75">
        <v>19489</v>
      </c>
      <c r="K1313" s="75" t="str">
        <f>IFERROR(VLOOKUP(J1313,'NQ10'!$B$9:$C$145,2,0),"")</f>
        <v/>
      </c>
    </row>
    <row r="1314" spans="1:11" ht="15" customHeight="1" x14ac:dyDescent="0.25">
      <c r="A1314" s="75">
        <v>5</v>
      </c>
      <c r="B1314" s="75">
        <v>5</v>
      </c>
      <c r="C1314" s="75" t="s">
        <v>10</v>
      </c>
      <c r="D1314" s="75">
        <v>12571</v>
      </c>
      <c r="F1314" s="75" t="s">
        <v>10</v>
      </c>
      <c r="H1314" s="75" t="s">
        <v>10</v>
      </c>
      <c r="I1314" s="75">
        <v>19489</v>
      </c>
      <c r="K1314" s="75" t="str">
        <f>IFERROR(VLOOKUP(J1314,'NQ10'!$B$9:$C$145,2,0),"")</f>
        <v/>
      </c>
    </row>
    <row r="1315" spans="1:11" ht="15" customHeight="1" x14ac:dyDescent="0.25">
      <c r="A1315" s="75">
        <v>5</v>
      </c>
      <c r="B1315" s="75">
        <v>6</v>
      </c>
      <c r="C1315" s="75" t="s">
        <v>10</v>
      </c>
      <c r="D1315" s="75">
        <v>5963</v>
      </c>
      <c r="F1315" s="75" t="s">
        <v>10</v>
      </c>
      <c r="H1315" s="75" t="s">
        <v>10</v>
      </c>
      <c r="I1315" s="75">
        <v>19489</v>
      </c>
      <c r="K1315" s="75" t="str">
        <f>IFERROR(VLOOKUP(J1315,'NQ10'!$B$9:$C$145,2,0),"")</f>
        <v/>
      </c>
    </row>
    <row r="1316" spans="1:11" ht="15" customHeight="1" x14ac:dyDescent="0.25">
      <c r="A1316" s="75">
        <v>5</v>
      </c>
      <c r="B1316" s="75">
        <v>7</v>
      </c>
      <c r="C1316" s="75" t="s">
        <v>10</v>
      </c>
      <c r="D1316" s="75">
        <v>21928</v>
      </c>
      <c r="F1316" s="75" t="s">
        <v>10</v>
      </c>
      <c r="H1316" s="75" t="s">
        <v>10</v>
      </c>
      <c r="I1316" s="75">
        <v>19489</v>
      </c>
      <c r="K1316" s="75" t="str">
        <f>IFERROR(VLOOKUP(J1316,'NQ10'!$B$9:$C$145,2,0),"")</f>
        <v/>
      </c>
    </row>
    <row r="1317" spans="1:11" ht="15" customHeight="1" x14ac:dyDescent="0.25">
      <c r="A1317" s="75">
        <v>5</v>
      </c>
      <c r="B1317" s="75">
        <v>9</v>
      </c>
      <c r="C1317" s="75" t="s">
        <v>10</v>
      </c>
      <c r="D1317" s="75">
        <v>17852</v>
      </c>
      <c r="F1317" s="75" t="s">
        <v>10</v>
      </c>
      <c r="H1317" s="75" t="s">
        <v>10</v>
      </c>
      <c r="I1317" s="75">
        <v>19489</v>
      </c>
      <c r="K1317" s="75" t="str">
        <f>IFERROR(VLOOKUP(J1317,'NQ10'!$B$9:$C$145,2,0),"")</f>
        <v/>
      </c>
    </row>
    <row r="1318" spans="1:11" ht="15" customHeight="1" x14ac:dyDescent="0.25">
      <c r="A1318" s="75">
        <v>5</v>
      </c>
      <c r="B1318" s="75">
        <v>10</v>
      </c>
      <c r="C1318" s="75" t="s">
        <v>10</v>
      </c>
      <c r="D1318" s="75">
        <v>7931</v>
      </c>
      <c r="F1318" s="75" t="s">
        <v>10</v>
      </c>
      <c r="H1318" s="75" t="s">
        <v>10</v>
      </c>
      <c r="I1318" s="75">
        <v>19489</v>
      </c>
      <c r="K1318" s="75" t="str">
        <f>IFERROR(VLOOKUP(J1318,'NQ10'!$B$9:$C$145,2,0),"")</f>
        <v/>
      </c>
    </row>
    <row r="1319" spans="1:11" ht="15" customHeight="1" x14ac:dyDescent="0.25">
      <c r="A1319" s="75">
        <v>5</v>
      </c>
      <c r="B1319" s="75">
        <v>10</v>
      </c>
      <c r="C1319" s="75" t="s">
        <v>10</v>
      </c>
      <c r="D1319" s="75">
        <v>376</v>
      </c>
      <c r="F1319" s="75" t="s">
        <v>10</v>
      </c>
      <c r="H1319" s="75" t="s">
        <v>10</v>
      </c>
      <c r="I1319" s="75">
        <v>19489</v>
      </c>
      <c r="K1319" s="75" t="str">
        <f>IFERROR(VLOOKUP(J1319,'NQ10'!$B$9:$C$145,2,0),"")</f>
        <v/>
      </c>
    </row>
    <row r="1320" spans="1:11" ht="15" customHeight="1" x14ac:dyDescent="0.25">
      <c r="A1320" s="75">
        <v>5</v>
      </c>
      <c r="B1320" s="75">
        <v>11</v>
      </c>
      <c r="C1320" s="75" t="s">
        <v>10</v>
      </c>
      <c r="D1320" s="75">
        <v>10845</v>
      </c>
      <c r="F1320" s="75" t="s">
        <v>10</v>
      </c>
      <c r="H1320" s="75" t="s">
        <v>10</v>
      </c>
      <c r="I1320" s="75">
        <v>19489</v>
      </c>
      <c r="K1320" s="75" t="str">
        <f>IFERROR(VLOOKUP(J1320,'NQ10'!$B$9:$C$145,2,0),"")</f>
        <v/>
      </c>
    </row>
    <row r="1321" spans="1:11" ht="15" customHeight="1" x14ac:dyDescent="0.25">
      <c r="A1321" s="75">
        <v>5</v>
      </c>
      <c r="B1321" s="75">
        <v>11</v>
      </c>
      <c r="C1321" s="75" t="s">
        <v>10</v>
      </c>
      <c r="D1321" s="75">
        <v>1087</v>
      </c>
      <c r="F1321" s="75" t="s">
        <v>10</v>
      </c>
      <c r="H1321" s="75" t="s">
        <v>10</v>
      </c>
      <c r="I1321" s="75">
        <v>19489</v>
      </c>
      <c r="K1321" s="75" t="str">
        <f>IFERROR(VLOOKUP(J1321,'NQ10'!$B$9:$C$145,2,0),"")</f>
        <v/>
      </c>
    </row>
    <row r="1322" spans="1:11" ht="15" customHeight="1" x14ac:dyDescent="0.25">
      <c r="A1322" s="75">
        <v>5</v>
      </c>
      <c r="B1322" s="75">
        <v>12</v>
      </c>
      <c r="C1322" s="75" t="s">
        <v>10</v>
      </c>
      <c r="D1322" s="75">
        <v>5887</v>
      </c>
      <c r="F1322" s="75" t="s">
        <v>10</v>
      </c>
      <c r="H1322" s="75" t="s">
        <v>10</v>
      </c>
      <c r="I1322" s="75">
        <v>19489</v>
      </c>
      <c r="K1322" s="75" t="str">
        <f>IFERROR(VLOOKUP(J1322,'NQ10'!$B$9:$C$145,2,0),"")</f>
        <v/>
      </c>
    </row>
    <row r="1323" spans="1:11" ht="15" customHeight="1" x14ac:dyDescent="0.25">
      <c r="A1323" s="75">
        <v>5</v>
      </c>
      <c r="B1323" s="75">
        <v>12</v>
      </c>
      <c r="C1323" s="75" t="s">
        <v>10</v>
      </c>
      <c r="D1323" s="75">
        <v>1153</v>
      </c>
      <c r="F1323" s="75" t="s">
        <v>10</v>
      </c>
      <c r="H1323" s="75" t="s">
        <v>10</v>
      </c>
      <c r="I1323" s="75">
        <v>19489</v>
      </c>
      <c r="K1323" s="75" t="str">
        <f>IFERROR(VLOOKUP(J1323,'NQ10'!$B$9:$C$145,2,0),"")</f>
        <v/>
      </c>
    </row>
    <row r="1324" spans="1:11" ht="15" customHeight="1" x14ac:dyDescent="0.25">
      <c r="A1324" s="75">
        <v>5</v>
      </c>
      <c r="B1324" s="75">
        <v>13</v>
      </c>
      <c r="C1324" s="75" t="s">
        <v>10</v>
      </c>
      <c r="D1324" s="75">
        <v>8200</v>
      </c>
      <c r="F1324" s="75" t="s">
        <v>10</v>
      </c>
      <c r="H1324" s="75" t="s">
        <v>10</v>
      </c>
      <c r="I1324" s="75">
        <v>19489</v>
      </c>
      <c r="K1324" s="75" t="str">
        <f>IFERROR(VLOOKUP(J1324,'NQ10'!$B$9:$C$145,2,0),"")</f>
        <v/>
      </c>
    </row>
    <row r="1325" spans="1:11" ht="15" customHeight="1" x14ac:dyDescent="0.25">
      <c r="A1325" s="75">
        <v>5</v>
      </c>
      <c r="B1325" s="75">
        <v>14</v>
      </c>
      <c r="C1325" s="75" t="s">
        <v>10</v>
      </c>
      <c r="D1325" s="75">
        <v>4959</v>
      </c>
      <c r="F1325" s="75" t="s">
        <v>10</v>
      </c>
      <c r="H1325" s="75" t="s">
        <v>10</v>
      </c>
      <c r="I1325" s="75">
        <v>19489</v>
      </c>
      <c r="K1325" s="75" t="str">
        <f>IFERROR(VLOOKUP(J1325,'NQ10'!$B$9:$C$145,2,0),"")</f>
        <v/>
      </c>
    </row>
    <row r="1326" spans="1:11" ht="15" customHeight="1" x14ac:dyDescent="0.25">
      <c r="A1326" s="75">
        <v>5</v>
      </c>
      <c r="B1326" s="75">
        <v>15</v>
      </c>
      <c r="C1326" s="75" t="s">
        <v>10</v>
      </c>
      <c r="D1326" s="75">
        <v>9175</v>
      </c>
      <c r="F1326" s="75" t="s">
        <v>10</v>
      </c>
      <c r="H1326" s="75" t="s">
        <v>10</v>
      </c>
      <c r="I1326" s="75">
        <v>19489</v>
      </c>
      <c r="K1326" s="75" t="str">
        <f>IFERROR(VLOOKUP(J1326,'NQ10'!$B$9:$C$145,2,0),"")</f>
        <v/>
      </c>
    </row>
    <row r="1327" spans="1:11" ht="15" customHeight="1" x14ac:dyDescent="0.25">
      <c r="A1327" s="75">
        <v>5</v>
      </c>
      <c r="B1327" s="75">
        <v>16</v>
      </c>
      <c r="C1327" s="75" t="s">
        <v>10</v>
      </c>
      <c r="D1327" s="75">
        <v>7112</v>
      </c>
      <c r="F1327" s="75" t="s">
        <v>10</v>
      </c>
      <c r="H1327" s="75" t="s">
        <v>10</v>
      </c>
      <c r="I1327" s="75">
        <v>19489</v>
      </c>
      <c r="K1327" s="75" t="str">
        <f>IFERROR(VLOOKUP(J1327,'NQ10'!$B$9:$C$145,2,0),"")</f>
        <v/>
      </c>
    </row>
    <row r="1328" spans="1:11" ht="15" customHeight="1" x14ac:dyDescent="0.25">
      <c r="A1328" s="75">
        <v>5</v>
      </c>
      <c r="B1328" s="75">
        <v>17</v>
      </c>
      <c r="C1328" s="75" t="s">
        <v>10</v>
      </c>
      <c r="D1328" s="75">
        <v>4500</v>
      </c>
      <c r="F1328" s="75" t="s">
        <v>10</v>
      </c>
      <c r="H1328" s="75" t="s">
        <v>10</v>
      </c>
      <c r="I1328" s="75">
        <v>19489</v>
      </c>
      <c r="K1328" s="75" t="str">
        <f>IFERROR(VLOOKUP(J1328,'NQ10'!$B$9:$C$145,2,0),"")</f>
        <v/>
      </c>
    </row>
    <row r="1329" spans="1:11" ht="15" customHeight="1" x14ac:dyDescent="0.25">
      <c r="A1329" s="75">
        <v>5</v>
      </c>
      <c r="B1329" s="75">
        <v>18</v>
      </c>
      <c r="C1329" s="75" t="s">
        <v>10</v>
      </c>
      <c r="D1329" s="75">
        <v>5190</v>
      </c>
      <c r="F1329" s="75" t="s">
        <v>10</v>
      </c>
      <c r="H1329" s="75" t="s">
        <v>10</v>
      </c>
      <c r="I1329" s="75">
        <v>19489</v>
      </c>
      <c r="K1329" s="75" t="str">
        <f>IFERROR(VLOOKUP(J1329,'NQ10'!$B$9:$C$145,2,0),"")</f>
        <v/>
      </c>
    </row>
    <row r="1330" spans="1:11" ht="15" customHeight="1" x14ac:dyDescent="0.25">
      <c r="A1330" s="75">
        <v>5</v>
      </c>
      <c r="B1330" s="75">
        <v>19</v>
      </c>
      <c r="C1330" s="75" t="s">
        <v>10</v>
      </c>
      <c r="D1330" s="75">
        <v>1640</v>
      </c>
      <c r="F1330" s="75" t="s">
        <v>10</v>
      </c>
      <c r="H1330" s="75" t="s">
        <v>10</v>
      </c>
      <c r="I1330" s="75">
        <v>19489</v>
      </c>
      <c r="K1330" s="75" t="str">
        <f>IFERROR(VLOOKUP(J1330,'NQ10'!$B$9:$C$145,2,0),"")</f>
        <v/>
      </c>
    </row>
    <row r="1331" spans="1:11" ht="15" customHeight="1" x14ac:dyDescent="0.25">
      <c r="A1331" s="75">
        <v>5</v>
      </c>
      <c r="B1331" s="75">
        <v>20</v>
      </c>
      <c r="C1331" s="75" t="s">
        <v>10</v>
      </c>
      <c r="D1331" s="75">
        <v>2526</v>
      </c>
      <c r="F1331" s="75" t="s">
        <v>10</v>
      </c>
      <c r="H1331" s="75" t="s">
        <v>10</v>
      </c>
      <c r="I1331" s="75">
        <v>19489</v>
      </c>
      <c r="K1331" s="75" t="str">
        <f>IFERROR(VLOOKUP(J1331,'NQ10'!$B$9:$C$145,2,0),"")</f>
        <v/>
      </c>
    </row>
    <row r="1332" spans="1:11" ht="15" customHeight="1" x14ac:dyDescent="0.25">
      <c r="A1332" s="75">
        <v>5</v>
      </c>
      <c r="B1332" s="75">
        <v>101</v>
      </c>
      <c r="C1332" s="75" t="s">
        <v>10</v>
      </c>
      <c r="D1332" s="75">
        <v>758</v>
      </c>
      <c r="F1332" s="75" t="s">
        <v>10</v>
      </c>
      <c r="H1332" s="75" t="s">
        <v>10</v>
      </c>
      <c r="I1332" s="75">
        <v>19489</v>
      </c>
      <c r="K1332" s="75" t="str">
        <f>IFERROR(VLOOKUP(J1332,'NQ10'!$B$9:$C$145,2,0),"")</f>
        <v/>
      </c>
    </row>
    <row r="1333" spans="1:11" ht="15" customHeight="1" x14ac:dyDescent="0.25">
      <c r="A1333" s="75">
        <v>5</v>
      </c>
      <c r="B1333" s="75">
        <v>102</v>
      </c>
      <c r="C1333" s="75" t="s">
        <v>10</v>
      </c>
      <c r="D1333" s="75">
        <v>277</v>
      </c>
      <c r="F1333" s="75" t="s">
        <v>10</v>
      </c>
      <c r="H1333" s="75" t="s">
        <v>10</v>
      </c>
      <c r="I1333" s="75">
        <v>19489</v>
      </c>
      <c r="K1333" s="75" t="str">
        <f>IFERROR(VLOOKUP(J1333,'NQ10'!$B$9:$C$145,2,0),"")</f>
        <v/>
      </c>
    </row>
    <row r="1334" spans="1:11" ht="15" customHeight="1" x14ac:dyDescent="0.25">
      <c r="A1334" s="75">
        <v>5</v>
      </c>
      <c r="B1334" s="75">
        <v>111</v>
      </c>
      <c r="C1334" s="75" t="s">
        <v>10</v>
      </c>
      <c r="D1334" s="75">
        <v>16325</v>
      </c>
      <c r="F1334" s="75" t="s">
        <v>10</v>
      </c>
      <c r="H1334" s="75" t="s">
        <v>10</v>
      </c>
      <c r="I1334" s="75">
        <v>19489</v>
      </c>
      <c r="K1334" s="75" t="str">
        <f>IFERROR(VLOOKUP(J1334,'NQ10'!$B$9:$C$145,2,0),"")</f>
        <v/>
      </c>
    </row>
    <row r="1335" spans="1:11" ht="15" customHeight="1" x14ac:dyDescent="0.25">
      <c r="A1335" s="75">
        <v>6</v>
      </c>
      <c r="C1335" s="75" t="s">
        <v>10</v>
      </c>
      <c r="D1335" s="75">
        <v>9069</v>
      </c>
      <c r="F1335" s="75" t="s">
        <v>10</v>
      </c>
      <c r="H1335" s="75" t="s">
        <v>10</v>
      </c>
      <c r="I1335" s="75">
        <v>19489</v>
      </c>
      <c r="K1335" s="75" t="str">
        <f>IFERROR(VLOOKUP(J1335,'NQ10'!$B$9:$C$145,2,0),"")</f>
        <v/>
      </c>
    </row>
    <row r="1336" spans="1:11" ht="15" customHeight="1" x14ac:dyDescent="0.25">
      <c r="A1336" s="75">
        <v>6</v>
      </c>
      <c r="C1336" s="75" t="s">
        <v>10</v>
      </c>
      <c r="D1336" s="75">
        <v>1702</v>
      </c>
      <c r="F1336" s="75" t="s">
        <v>10</v>
      </c>
      <c r="H1336" s="75" t="s">
        <v>10</v>
      </c>
      <c r="I1336" s="75">
        <v>19489</v>
      </c>
      <c r="K1336" s="75" t="str">
        <f>IFERROR(VLOOKUP(J1336,'NQ10'!$B$9:$C$145,2,0),"")</f>
        <v/>
      </c>
    </row>
    <row r="1337" spans="1:11" ht="15" customHeight="1" x14ac:dyDescent="0.25">
      <c r="A1337" s="75">
        <v>6</v>
      </c>
      <c r="C1337" s="75" t="s">
        <v>10</v>
      </c>
      <c r="D1337" s="75">
        <v>137</v>
      </c>
      <c r="F1337" s="75" t="s">
        <v>10</v>
      </c>
      <c r="H1337" s="75" t="s">
        <v>10</v>
      </c>
      <c r="I1337" s="75">
        <v>19489</v>
      </c>
      <c r="K1337" s="75" t="str">
        <f>IFERROR(VLOOKUP(J1337,'NQ10'!$B$9:$C$145,2,0),"")</f>
        <v/>
      </c>
    </row>
    <row r="1338" spans="1:11" ht="15" customHeight="1" x14ac:dyDescent="0.25">
      <c r="A1338" s="75">
        <v>6</v>
      </c>
      <c r="C1338" s="75" t="s">
        <v>10</v>
      </c>
      <c r="D1338" s="75">
        <v>5101</v>
      </c>
      <c r="F1338" s="75" t="s">
        <v>10</v>
      </c>
      <c r="H1338" s="75" t="s">
        <v>10</v>
      </c>
      <c r="I1338" s="75">
        <v>19489</v>
      </c>
      <c r="K1338" s="75" t="str">
        <f>IFERROR(VLOOKUP(J1338,'NQ10'!$B$9:$C$145,2,0),"")</f>
        <v/>
      </c>
    </row>
    <row r="1339" spans="1:11" ht="15" customHeight="1" x14ac:dyDescent="0.25">
      <c r="A1339" s="75">
        <v>6</v>
      </c>
      <c r="C1339" s="75" t="s">
        <v>10</v>
      </c>
      <c r="D1339" s="75">
        <v>494</v>
      </c>
      <c r="F1339" s="75" t="s">
        <v>10</v>
      </c>
      <c r="H1339" s="75" t="s">
        <v>10</v>
      </c>
      <c r="I1339" s="75">
        <v>19489</v>
      </c>
      <c r="K1339" s="75" t="str">
        <f>IFERROR(VLOOKUP(J1339,'NQ10'!$B$9:$C$145,2,0),"")</f>
        <v/>
      </c>
    </row>
    <row r="1340" spans="1:11" ht="15" customHeight="1" x14ac:dyDescent="0.25">
      <c r="A1340" s="75">
        <v>6</v>
      </c>
      <c r="C1340" s="75" t="s">
        <v>10</v>
      </c>
      <c r="D1340" s="75">
        <v>1950605</v>
      </c>
      <c r="F1340" s="75" t="s">
        <v>10</v>
      </c>
      <c r="H1340" s="75" t="s">
        <v>10</v>
      </c>
      <c r="I1340" s="75">
        <v>19489</v>
      </c>
      <c r="K1340" s="75" t="str">
        <f>IFERROR(VLOOKUP(J1340,'NQ10'!$B$9:$C$145,2,0),"")</f>
        <v/>
      </c>
    </row>
    <row r="1341" spans="1:11" ht="15" customHeight="1" x14ac:dyDescent="0.25">
      <c r="A1341" s="75">
        <v>6</v>
      </c>
      <c r="C1341" s="75" t="s">
        <v>10</v>
      </c>
      <c r="D1341" s="75">
        <v>3175</v>
      </c>
      <c r="F1341" s="75" t="s">
        <v>10</v>
      </c>
      <c r="H1341" s="75" t="s">
        <v>10</v>
      </c>
      <c r="I1341" s="75">
        <v>19489</v>
      </c>
      <c r="K1341" s="75" t="str">
        <f>IFERROR(VLOOKUP(J1341,'NQ10'!$B$9:$C$145,2,0),"")</f>
        <v/>
      </c>
    </row>
    <row r="1342" spans="1:11" ht="15" customHeight="1" x14ac:dyDescent="0.25">
      <c r="A1342" s="75">
        <v>6</v>
      </c>
      <c r="C1342" s="75" t="s">
        <v>10</v>
      </c>
      <c r="D1342" s="75">
        <v>907</v>
      </c>
      <c r="F1342" s="75" t="s">
        <v>10</v>
      </c>
      <c r="H1342" s="75" t="s">
        <v>10</v>
      </c>
      <c r="I1342" s="75">
        <v>19489</v>
      </c>
      <c r="K1342" s="75" t="str">
        <f>IFERROR(VLOOKUP(J1342,'NQ10'!$B$9:$C$145,2,0),"")</f>
        <v/>
      </c>
    </row>
    <row r="1343" spans="1:11" ht="15" customHeight="1" x14ac:dyDescent="0.25">
      <c r="A1343" s="75">
        <v>6</v>
      </c>
      <c r="C1343" s="75" t="s">
        <v>10</v>
      </c>
      <c r="D1343" s="75">
        <v>9376</v>
      </c>
      <c r="F1343" s="75" t="s">
        <v>10</v>
      </c>
      <c r="H1343" s="75" t="s">
        <v>10</v>
      </c>
      <c r="I1343" s="75">
        <v>19489</v>
      </c>
      <c r="K1343" s="75" t="str">
        <f>IFERROR(VLOOKUP(J1343,'NQ10'!$B$9:$C$145,2,0),"")</f>
        <v/>
      </c>
    </row>
    <row r="1344" spans="1:11" ht="15" customHeight="1" x14ac:dyDescent="0.25">
      <c r="A1344" s="75">
        <v>6</v>
      </c>
      <c r="C1344" s="75" t="s">
        <v>10</v>
      </c>
      <c r="D1344" s="75">
        <v>1091</v>
      </c>
      <c r="F1344" s="75" t="s">
        <v>10</v>
      </c>
      <c r="H1344" s="75" t="s">
        <v>10</v>
      </c>
      <c r="I1344" s="75">
        <v>19489</v>
      </c>
      <c r="K1344" s="75" t="str">
        <f>IFERROR(VLOOKUP(J1344,'NQ10'!$B$9:$C$145,2,0),"")</f>
        <v/>
      </c>
    </row>
    <row r="1345" spans="1:11" ht="15" customHeight="1" x14ac:dyDescent="0.25">
      <c r="A1345" s="75">
        <v>6</v>
      </c>
      <c r="B1345" s="75">
        <v>1</v>
      </c>
      <c r="C1345" s="75" t="s">
        <v>10</v>
      </c>
      <c r="D1345" s="75">
        <v>597</v>
      </c>
      <c r="F1345" s="75" t="s">
        <v>10</v>
      </c>
      <c r="H1345" s="75" t="s">
        <v>10</v>
      </c>
      <c r="I1345" s="75">
        <v>19489</v>
      </c>
      <c r="K1345" s="75" t="str">
        <f>IFERROR(VLOOKUP(J1345,'NQ10'!$B$9:$C$145,2,0),"")</f>
        <v/>
      </c>
    </row>
    <row r="1346" spans="1:11" ht="15" customHeight="1" x14ac:dyDescent="0.25">
      <c r="A1346" s="75">
        <v>6</v>
      </c>
      <c r="B1346" s="75">
        <v>2</v>
      </c>
      <c r="C1346" s="75" t="s">
        <v>10</v>
      </c>
      <c r="D1346" s="75">
        <v>212</v>
      </c>
      <c r="F1346" s="75" t="s">
        <v>10</v>
      </c>
      <c r="H1346" s="75" t="s">
        <v>10</v>
      </c>
      <c r="I1346" s="75">
        <v>19489</v>
      </c>
      <c r="K1346" s="75" t="str">
        <f>IFERROR(VLOOKUP(J1346,'NQ10'!$B$9:$C$145,2,0),"")</f>
        <v/>
      </c>
    </row>
    <row r="1347" spans="1:11" ht="15" customHeight="1" x14ac:dyDescent="0.25">
      <c r="A1347" s="75">
        <v>6</v>
      </c>
      <c r="B1347" s="75">
        <v>3</v>
      </c>
      <c r="C1347" s="75" t="s">
        <v>10</v>
      </c>
      <c r="D1347" s="75">
        <v>1359</v>
      </c>
      <c r="F1347" s="75" t="s">
        <v>10</v>
      </c>
      <c r="H1347" s="75" t="s">
        <v>10</v>
      </c>
      <c r="I1347" s="75">
        <v>19489</v>
      </c>
      <c r="K1347" s="75" t="str">
        <f>IFERROR(VLOOKUP(J1347,'NQ10'!$B$9:$C$145,2,0),"")</f>
        <v/>
      </c>
    </row>
    <row r="1348" spans="1:11" ht="15" customHeight="1" x14ac:dyDescent="0.25">
      <c r="A1348" s="75">
        <v>6</v>
      </c>
      <c r="B1348" s="75">
        <v>3</v>
      </c>
      <c r="C1348" s="75" t="s">
        <v>10</v>
      </c>
      <c r="D1348" s="75">
        <v>41385</v>
      </c>
      <c r="F1348" s="75" t="s">
        <v>10</v>
      </c>
      <c r="H1348" s="75" t="s">
        <v>10</v>
      </c>
      <c r="I1348" s="75">
        <v>19489</v>
      </c>
      <c r="K1348" s="75" t="str">
        <f>IFERROR(VLOOKUP(J1348,'NQ10'!$B$9:$C$145,2,0),"")</f>
        <v/>
      </c>
    </row>
    <row r="1349" spans="1:11" ht="15" customHeight="1" x14ac:dyDescent="0.25">
      <c r="A1349" s="75">
        <v>6</v>
      </c>
      <c r="B1349" s="75">
        <v>4</v>
      </c>
      <c r="C1349" s="75" t="s">
        <v>10</v>
      </c>
      <c r="D1349" s="75">
        <v>4508</v>
      </c>
      <c r="F1349" s="75" t="s">
        <v>10</v>
      </c>
      <c r="H1349" s="75" t="s">
        <v>10</v>
      </c>
      <c r="I1349" s="75">
        <v>19489</v>
      </c>
      <c r="K1349" s="75" t="str">
        <f>IFERROR(VLOOKUP(J1349,'NQ10'!$B$9:$C$145,2,0),"")</f>
        <v/>
      </c>
    </row>
    <row r="1350" spans="1:11" ht="15" customHeight="1" x14ac:dyDescent="0.25">
      <c r="A1350" s="75">
        <v>6</v>
      </c>
      <c r="B1350" s="75">
        <v>4</v>
      </c>
      <c r="C1350" s="75" t="s">
        <v>10</v>
      </c>
      <c r="D1350" s="75">
        <v>1322</v>
      </c>
      <c r="F1350" s="75" t="s">
        <v>10</v>
      </c>
      <c r="H1350" s="75" t="s">
        <v>10</v>
      </c>
      <c r="I1350" s="75">
        <v>19489</v>
      </c>
      <c r="K1350" s="75" t="str">
        <f>IFERROR(VLOOKUP(J1350,'NQ10'!$B$9:$C$145,2,0),"")</f>
        <v/>
      </c>
    </row>
    <row r="1351" spans="1:11" ht="15" customHeight="1" x14ac:dyDescent="0.25">
      <c r="A1351" s="75">
        <v>6</v>
      </c>
      <c r="B1351" s="75">
        <v>5</v>
      </c>
      <c r="C1351" s="75" t="s">
        <v>10</v>
      </c>
      <c r="D1351" s="75">
        <v>1497</v>
      </c>
      <c r="F1351" s="75" t="s">
        <v>10</v>
      </c>
      <c r="H1351" s="75" t="s">
        <v>10</v>
      </c>
      <c r="I1351" s="75">
        <v>19489</v>
      </c>
      <c r="K1351" s="75" t="str">
        <f>IFERROR(VLOOKUP(J1351,'NQ10'!$B$9:$C$145,2,0),"")</f>
        <v/>
      </c>
    </row>
    <row r="1352" spans="1:11" ht="15" customHeight="1" x14ac:dyDescent="0.25">
      <c r="A1352" s="75">
        <v>6</v>
      </c>
      <c r="B1352" s="75">
        <v>6</v>
      </c>
      <c r="C1352" s="75" t="s">
        <v>10</v>
      </c>
      <c r="D1352" s="75">
        <v>751</v>
      </c>
      <c r="F1352" s="75" t="s">
        <v>10</v>
      </c>
      <c r="H1352" s="75" t="s">
        <v>10</v>
      </c>
      <c r="I1352" s="75">
        <v>19489</v>
      </c>
      <c r="K1352" s="75" t="str">
        <f>IFERROR(VLOOKUP(J1352,'NQ10'!$B$9:$C$145,2,0),"")</f>
        <v/>
      </c>
    </row>
    <row r="1353" spans="1:11" ht="15" customHeight="1" x14ac:dyDescent="0.25">
      <c r="A1353" s="75">
        <v>6</v>
      </c>
      <c r="B1353" s="75">
        <v>6</v>
      </c>
      <c r="C1353" s="75" t="s">
        <v>10</v>
      </c>
      <c r="D1353" s="75">
        <v>12108</v>
      </c>
      <c r="F1353" s="75" t="s">
        <v>10</v>
      </c>
      <c r="H1353" s="75" t="s">
        <v>10</v>
      </c>
      <c r="I1353" s="75">
        <v>19489</v>
      </c>
      <c r="K1353" s="75" t="str">
        <f>IFERROR(VLOOKUP(J1353,'NQ10'!$B$9:$C$145,2,0),"")</f>
        <v/>
      </c>
    </row>
    <row r="1354" spans="1:11" ht="15" customHeight="1" x14ac:dyDescent="0.25">
      <c r="A1354" s="75">
        <v>6</v>
      </c>
      <c r="B1354" s="75">
        <v>7</v>
      </c>
      <c r="C1354" s="75" t="s">
        <v>10</v>
      </c>
      <c r="D1354" s="75">
        <v>1206</v>
      </c>
      <c r="F1354" s="75" t="s">
        <v>10</v>
      </c>
      <c r="H1354" s="75" t="s">
        <v>10</v>
      </c>
      <c r="I1354" s="75">
        <v>19489</v>
      </c>
      <c r="K1354" s="75" t="str">
        <f>IFERROR(VLOOKUP(J1354,'NQ10'!$B$9:$C$145,2,0),"")</f>
        <v/>
      </c>
    </row>
    <row r="1355" spans="1:11" ht="15" customHeight="1" x14ac:dyDescent="0.25">
      <c r="A1355" s="75">
        <v>6</v>
      </c>
      <c r="B1355" s="75">
        <v>7</v>
      </c>
      <c r="C1355" s="75" t="s">
        <v>10</v>
      </c>
      <c r="D1355" s="75">
        <v>2791</v>
      </c>
      <c r="F1355" s="75" t="s">
        <v>10</v>
      </c>
      <c r="H1355" s="75" t="s">
        <v>10</v>
      </c>
      <c r="I1355" s="75">
        <v>19489</v>
      </c>
      <c r="K1355" s="75" t="str">
        <f>IFERROR(VLOOKUP(J1355,'NQ10'!$B$9:$C$145,2,0),"")</f>
        <v/>
      </c>
    </row>
    <row r="1356" spans="1:11" ht="15" customHeight="1" x14ac:dyDescent="0.25">
      <c r="A1356" s="75">
        <v>6</v>
      </c>
      <c r="B1356" s="75">
        <v>8</v>
      </c>
      <c r="C1356" s="75" t="s">
        <v>10</v>
      </c>
      <c r="D1356" s="75">
        <v>892</v>
      </c>
      <c r="F1356" s="75" t="s">
        <v>10</v>
      </c>
      <c r="H1356" s="75" t="s">
        <v>10</v>
      </c>
      <c r="I1356" s="75">
        <v>19489</v>
      </c>
      <c r="K1356" s="75" t="str">
        <f>IFERROR(VLOOKUP(J1356,'NQ10'!$B$9:$C$145,2,0),"")</f>
        <v/>
      </c>
    </row>
    <row r="1357" spans="1:11" ht="15" customHeight="1" x14ac:dyDescent="0.25">
      <c r="A1357" s="75">
        <v>6</v>
      </c>
      <c r="B1357" s="75">
        <v>9</v>
      </c>
      <c r="C1357" s="75" t="s">
        <v>10</v>
      </c>
      <c r="D1357" s="75">
        <v>754</v>
      </c>
      <c r="F1357" s="75" t="s">
        <v>10</v>
      </c>
      <c r="H1357" s="75" t="s">
        <v>10</v>
      </c>
      <c r="I1357" s="75">
        <v>19489</v>
      </c>
      <c r="K1357" s="75" t="str">
        <f>IFERROR(VLOOKUP(J1357,'NQ10'!$B$9:$C$145,2,0),"")</f>
        <v/>
      </c>
    </row>
    <row r="1358" spans="1:11" ht="15" customHeight="1" x14ac:dyDescent="0.25">
      <c r="A1358" s="75">
        <v>6</v>
      </c>
      <c r="B1358" s="75">
        <v>10</v>
      </c>
      <c r="C1358" s="75" t="s">
        <v>10</v>
      </c>
      <c r="D1358" s="75">
        <v>834</v>
      </c>
      <c r="F1358" s="75" t="s">
        <v>10</v>
      </c>
      <c r="H1358" s="75" t="s">
        <v>10</v>
      </c>
      <c r="I1358" s="75">
        <v>19489</v>
      </c>
      <c r="K1358" s="75" t="str">
        <f>IFERROR(VLOOKUP(J1358,'NQ10'!$B$9:$C$145,2,0),"")</f>
        <v/>
      </c>
    </row>
    <row r="1359" spans="1:11" ht="15" customHeight="1" x14ac:dyDescent="0.25">
      <c r="A1359" s="75">
        <v>6</v>
      </c>
      <c r="B1359" s="75">
        <v>11</v>
      </c>
      <c r="C1359" s="75" t="s">
        <v>10</v>
      </c>
      <c r="D1359" s="75">
        <v>1161</v>
      </c>
      <c r="F1359" s="75" t="s">
        <v>10</v>
      </c>
      <c r="H1359" s="75" t="s">
        <v>10</v>
      </c>
      <c r="I1359" s="75">
        <v>19489</v>
      </c>
      <c r="K1359" s="75" t="str">
        <f>IFERROR(VLOOKUP(J1359,'NQ10'!$B$9:$C$145,2,0),"")</f>
        <v/>
      </c>
    </row>
    <row r="1360" spans="1:11" ht="15" customHeight="1" x14ac:dyDescent="0.25">
      <c r="A1360" s="75">
        <v>6</v>
      </c>
      <c r="B1360" s="75">
        <v>11</v>
      </c>
      <c r="C1360" s="75" t="s">
        <v>10</v>
      </c>
      <c r="D1360" s="75">
        <v>11736</v>
      </c>
      <c r="F1360" s="75" t="s">
        <v>10</v>
      </c>
      <c r="H1360" s="75" t="s">
        <v>10</v>
      </c>
      <c r="I1360" s="75">
        <v>19489</v>
      </c>
      <c r="K1360" s="75" t="str">
        <f>IFERROR(VLOOKUP(J1360,'NQ10'!$B$9:$C$145,2,0),"")</f>
        <v/>
      </c>
    </row>
    <row r="1361" spans="1:11" ht="15" customHeight="1" x14ac:dyDescent="0.25">
      <c r="A1361" s="75">
        <v>6</v>
      </c>
      <c r="B1361" s="75">
        <v>12</v>
      </c>
      <c r="C1361" s="75" t="s">
        <v>10</v>
      </c>
      <c r="D1361" s="75">
        <v>3809</v>
      </c>
      <c r="F1361" s="75" t="s">
        <v>10</v>
      </c>
      <c r="H1361" s="75" t="s">
        <v>10</v>
      </c>
      <c r="I1361" s="75">
        <v>19489</v>
      </c>
      <c r="K1361" s="75" t="str">
        <f>IFERROR(VLOOKUP(J1361,'NQ10'!$B$9:$C$145,2,0),"")</f>
        <v/>
      </c>
    </row>
    <row r="1362" spans="1:11" ht="15" customHeight="1" x14ac:dyDescent="0.25">
      <c r="A1362" s="75">
        <v>6</v>
      </c>
      <c r="B1362" s="75">
        <v>12</v>
      </c>
      <c r="C1362" s="75" t="s">
        <v>10</v>
      </c>
      <c r="D1362" s="75">
        <v>5746</v>
      </c>
      <c r="F1362" s="75" t="s">
        <v>10</v>
      </c>
      <c r="H1362" s="75" t="s">
        <v>10</v>
      </c>
      <c r="I1362" s="75">
        <v>19489</v>
      </c>
      <c r="K1362" s="75" t="str">
        <f>IFERROR(VLOOKUP(J1362,'NQ10'!$B$9:$C$145,2,0),"")</f>
        <v/>
      </c>
    </row>
    <row r="1363" spans="1:11" ht="15" customHeight="1" x14ac:dyDescent="0.25">
      <c r="A1363" s="75">
        <v>6</v>
      </c>
      <c r="B1363" s="75">
        <v>13</v>
      </c>
      <c r="C1363" s="75" t="s">
        <v>10</v>
      </c>
      <c r="D1363" s="75">
        <v>1189</v>
      </c>
      <c r="F1363" s="75" t="s">
        <v>10</v>
      </c>
      <c r="H1363" s="75" t="s">
        <v>10</v>
      </c>
      <c r="I1363" s="75">
        <v>19489</v>
      </c>
      <c r="K1363" s="75" t="str">
        <f>IFERROR(VLOOKUP(J1363,'NQ10'!$B$9:$C$145,2,0),"")</f>
        <v/>
      </c>
    </row>
    <row r="1364" spans="1:11" ht="15" customHeight="1" x14ac:dyDescent="0.25">
      <c r="A1364" s="75">
        <v>6</v>
      </c>
      <c r="B1364" s="75">
        <v>13</v>
      </c>
      <c r="C1364" s="75" t="s">
        <v>10</v>
      </c>
      <c r="D1364" s="75">
        <v>10683</v>
      </c>
      <c r="F1364" s="75" t="s">
        <v>10</v>
      </c>
      <c r="H1364" s="75" t="s">
        <v>10</v>
      </c>
      <c r="I1364" s="75">
        <v>19489</v>
      </c>
      <c r="K1364" s="75" t="str">
        <f>IFERROR(VLOOKUP(J1364,'NQ10'!$B$9:$C$145,2,0),"")</f>
        <v/>
      </c>
    </row>
    <row r="1365" spans="1:11" ht="15" customHeight="1" x14ac:dyDescent="0.25">
      <c r="A1365" s="75">
        <v>6</v>
      </c>
      <c r="B1365" s="75">
        <v>14</v>
      </c>
      <c r="C1365" s="75" t="s">
        <v>10</v>
      </c>
      <c r="D1365" s="75">
        <v>1421</v>
      </c>
      <c r="F1365" s="75" t="s">
        <v>10</v>
      </c>
      <c r="H1365" s="75" t="s">
        <v>10</v>
      </c>
      <c r="I1365" s="75">
        <v>19489</v>
      </c>
      <c r="K1365" s="75" t="str">
        <f>IFERROR(VLOOKUP(J1365,'NQ10'!$B$9:$C$145,2,0),"")</f>
        <v/>
      </c>
    </row>
    <row r="1366" spans="1:11" ht="15" customHeight="1" x14ac:dyDescent="0.25">
      <c r="A1366" s="75">
        <v>6</v>
      </c>
      <c r="B1366" s="75">
        <v>15</v>
      </c>
      <c r="C1366" s="75" t="s">
        <v>10</v>
      </c>
      <c r="D1366" s="75">
        <v>1105</v>
      </c>
      <c r="F1366" s="75" t="s">
        <v>10</v>
      </c>
      <c r="H1366" s="75" t="s">
        <v>10</v>
      </c>
      <c r="I1366" s="75">
        <v>19489</v>
      </c>
      <c r="K1366" s="75" t="str">
        <f>IFERROR(VLOOKUP(J1366,'NQ10'!$B$9:$C$145,2,0),"")</f>
        <v/>
      </c>
    </row>
    <row r="1367" spans="1:11" ht="15" customHeight="1" x14ac:dyDescent="0.25">
      <c r="A1367" s="75">
        <v>6</v>
      </c>
      <c r="B1367" s="75">
        <v>16</v>
      </c>
      <c r="C1367" s="75" t="s">
        <v>10</v>
      </c>
      <c r="D1367" s="75">
        <v>2525</v>
      </c>
      <c r="F1367" s="75" t="s">
        <v>10</v>
      </c>
      <c r="H1367" s="75" t="s">
        <v>10</v>
      </c>
      <c r="I1367" s="75">
        <v>19489</v>
      </c>
      <c r="K1367" s="75" t="str">
        <f>IFERROR(VLOOKUP(J1367,'NQ10'!$B$9:$C$145,2,0),"")</f>
        <v/>
      </c>
    </row>
    <row r="1368" spans="1:11" ht="15" customHeight="1" x14ac:dyDescent="0.25">
      <c r="A1368" s="75">
        <v>6</v>
      </c>
      <c r="B1368" s="75">
        <v>18</v>
      </c>
      <c r="C1368" s="75" t="s">
        <v>10</v>
      </c>
      <c r="D1368" s="75">
        <v>2448</v>
      </c>
      <c r="F1368" s="75" t="s">
        <v>10</v>
      </c>
      <c r="H1368" s="75" t="s">
        <v>10</v>
      </c>
      <c r="I1368" s="75">
        <v>19489</v>
      </c>
      <c r="K1368" s="75" t="str">
        <f>IFERROR(VLOOKUP(J1368,'NQ10'!$B$9:$C$145,2,0),"")</f>
        <v/>
      </c>
    </row>
    <row r="1369" spans="1:11" ht="15" customHeight="1" x14ac:dyDescent="0.25">
      <c r="A1369" s="75">
        <v>6</v>
      </c>
      <c r="B1369" s="75">
        <v>19</v>
      </c>
      <c r="C1369" s="75" t="s">
        <v>10</v>
      </c>
      <c r="D1369" s="75">
        <v>3386</v>
      </c>
      <c r="F1369" s="75" t="s">
        <v>10</v>
      </c>
      <c r="H1369" s="75" t="s">
        <v>10</v>
      </c>
      <c r="I1369" s="75">
        <v>19489</v>
      </c>
      <c r="K1369" s="75" t="str">
        <f>IFERROR(VLOOKUP(J1369,'NQ10'!$B$9:$C$145,2,0),"")</f>
        <v/>
      </c>
    </row>
    <row r="1370" spans="1:11" ht="15" customHeight="1" x14ac:dyDescent="0.25">
      <c r="A1370" s="75">
        <v>6</v>
      </c>
      <c r="B1370" s="75">
        <v>20</v>
      </c>
      <c r="C1370" s="75" t="s">
        <v>10</v>
      </c>
      <c r="D1370" s="75">
        <v>1190</v>
      </c>
      <c r="F1370" s="75" t="s">
        <v>10</v>
      </c>
      <c r="H1370" s="75" t="s">
        <v>10</v>
      </c>
      <c r="I1370" s="75">
        <v>19489</v>
      </c>
      <c r="K1370" s="75" t="str">
        <f>IFERROR(VLOOKUP(J1370,'NQ10'!$B$9:$C$145,2,0),"")</f>
        <v/>
      </c>
    </row>
    <row r="1371" spans="1:11" ht="15" customHeight="1" x14ac:dyDescent="0.25">
      <c r="A1371" s="75">
        <v>6</v>
      </c>
      <c r="B1371" s="75">
        <v>21</v>
      </c>
      <c r="C1371" s="75" t="s">
        <v>10</v>
      </c>
      <c r="D1371" s="75">
        <v>7717</v>
      </c>
      <c r="F1371" s="75" t="s">
        <v>10</v>
      </c>
      <c r="H1371" s="75" t="s">
        <v>10</v>
      </c>
      <c r="I1371" s="75">
        <v>19489</v>
      </c>
      <c r="K1371" s="75" t="str">
        <f>IFERROR(VLOOKUP(J1371,'NQ10'!$B$9:$C$145,2,0),"")</f>
        <v/>
      </c>
    </row>
    <row r="1372" spans="1:11" ht="15" customHeight="1" x14ac:dyDescent="0.25">
      <c r="A1372" s="75">
        <v>6</v>
      </c>
      <c r="B1372" s="75">
        <v>22</v>
      </c>
      <c r="C1372" s="75" t="s">
        <v>10</v>
      </c>
      <c r="D1372" s="75">
        <v>3348</v>
      </c>
      <c r="F1372" s="75" t="s">
        <v>10</v>
      </c>
      <c r="H1372" s="75" t="s">
        <v>10</v>
      </c>
      <c r="I1372" s="75">
        <v>19489</v>
      </c>
      <c r="K1372" s="75" t="str">
        <f>IFERROR(VLOOKUP(J1372,'NQ10'!$B$9:$C$145,2,0),"")</f>
        <v/>
      </c>
    </row>
    <row r="1373" spans="1:11" ht="15" customHeight="1" x14ac:dyDescent="0.25">
      <c r="A1373" s="75">
        <v>6</v>
      </c>
      <c r="B1373" s="75">
        <v>23</v>
      </c>
      <c r="C1373" s="75" t="s">
        <v>10</v>
      </c>
      <c r="D1373" s="75">
        <v>12456</v>
      </c>
      <c r="F1373" s="75" t="s">
        <v>10</v>
      </c>
      <c r="H1373" s="75" t="s">
        <v>10</v>
      </c>
      <c r="I1373" s="75">
        <v>19489</v>
      </c>
      <c r="K1373" s="75" t="str">
        <f>IFERROR(VLOOKUP(J1373,'NQ10'!$B$9:$C$145,2,0),"")</f>
        <v/>
      </c>
    </row>
    <row r="1374" spans="1:11" ht="15" customHeight="1" x14ac:dyDescent="0.25">
      <c r="A1374" s="75">
        <v>6</v>
      </c>
      <c r="B1374" s="75">
        <v>24</v>
      </c>
      <c r="C1374" s="75" t="s">
        <v>10</v>
      </c>
      <c r="D1374" s="75">
        <v>3423</v>
      </c>
      <c r="F1374" s="75" t="s">
        <v>10</v>
      </c>
      <c r="H1374" s="75" t="s">
        <v>10</v>
      </c>
      <c r="I1374" s="75">
        <v>19489</v>
      </c>
      <c r="K1374" s="75" t="str">
        <f>IFERROR(VLOOKUP(J1374,'NQ10'!$B$9:$C$145,2,0),"")</f>
        <v/>
      </c>
    </row>
    <row r="1375" spans="1:11" ht="15" customHeight="1" x14ac:dyDescent="0.25">
      <c r="A1375" s="75">
        <v>6</v>
      </c>
      <c r="B1375" s="75">
        <v>25</v>
      </c>
      <c r="C1375" s="75" t="s">
        <v>10</v>
      </c>
      <c r="D1375" s="75">
        <v>6738</v>
      </c>
      <c r="F1375" s="75" t="s">
        <v>10</v>
      </c>
      <c r="H1375" s="75" t="s">
        <v>10</v>
      </c>
      <c r="I1375" s="75">
        <v>19489</v>
      </c>
      <c r="K1375" s="75" t="str">
        <f>IFERROR(VLOOKUP(J1375,'NQ10'!$B$9:$C$145,2,0),"")</f>
        <v/>
      </c>
    </row>
    <row r="1376" spans="1:11" ht="15" customHeight="1" x14ac:dyDescent="0.25">
      <c r="A1376" s="75">
        <v>6</v>
      </c>
      <c r="B1376" s="75">
        <v>26</v>
      </c>
      <c r="C1376" s="75" t="s">
        <v>10</v>
      </c>
      <c r="D1376" s="75">
        <v>5349</v>
      </c>
      <c r="F1376" s="75" t="s">
        <v>10</v>
      </c>
      <c r="H1376" s="75" t="s">
        <v>10</v>
      </c>
      <c r="I1376" s="75">
        <v>19489</v>
      </c>
      <c r="K1376" s="75" t="str">
        <f>IFERROR(VLOOKUP(J1376,'NQ10'!$B$9:$C$145,2,0),"")</f>
        <v/>
      </c>
    </row>
    <row r="1377" spans="1:11" ht="15" customHeight="1" x14ac:dyDescent="0.25">
      <c r="A1377" s="75">
        <v>6</v>
      </c>
      <c r="B1377" s="75">
        <v>27</v>
      </c>
      <c r="C1377" s="75" t="s">
        <v>10</v>
      </c>
      <c r="D1377" s="75">
        <v>2136</v>
      </c>
      <c r="F1377" s="75" t="s">
        <v>10</v>
      </c>
      <c r="H1377" s="75" t="s">
        <v>10</v>
      </c>
      <c r="I1377" s="75">
        <v>19489</v>
      </c>
      <c r="K1377" s="75" t="str">
        <f>IFERROR(VLOOKUP(J1377,'NQ10'!$B$9:$C$145,2,0),"")</f>
        <v/>
      </c>
    </row>
    <row r="1378" spans="1:11" ht="15" customHeight="1" x14ac:dyDescent="0.25">
      <c r="A1378" s="75">
        <v>6</v>
      </c>
      <c r="B1378" s="75">
        <v>28</v>
      </c>
      <c r="C1378" s="75" t="s">
        <v>10</v>
      </c>
      <c r="D1378" s="75">
        <v>3980</v>
      </c>
      <c r="F1378" s="75" t="s">
        <v>10</v>
      </c>
      <c r="H1378" s="75" t="s">
        <v>10</v>
      </c>
      <c r="I1378" s="75">
        <v>19489</v>
      </c>
      <c r="K1378" s="75" t="str">
        <f>IFERROR(VLOOKUP(J1378,'NQ10'!$B$9:$C$145,2,0),"")</f>
        <v/>
      </c>
    </row>
    <row r="1379" spans="1:11" ht="15" customHeight="1" x14ac:dyDescent="0.25">
      <c r="A1379" s="75">
        <v>6</v>
      </c>
      <c r="B1379" s="75">
        <v>29</v>
      </c>
      <c r="C1379" s="75" t="s">
        <v>10</v>
      </c>
      <c r="D1379" s="75">
        <v>8556</v>
      </c>
      <c r="F1379" s="75" t="s">
        <v>10</v>
      </c>
      <c r="H1379" s="75" t="s">
        <v>10</v>
      </c>
      <c r="I1379" s="75">
        <v>19489</v>
      </c>
      <c r="K1379" s="75" t="str">
        <f>IFERROR(VLOOKUP(J1379,'NQ10'!$B$9:$C$145,2,0),"")</f>
        <v/>
      </c>
    </row>
    <row r="1380" spans="1:11" ht="15" customHeight="1" x14ac:dyDescent="0.25">
      <c r="A1380" s="75">
        <v>6</v>
      </c>
      <c r="B1380" s="75">
        <v>30</v>
      </c>
      <c r="C1380" s="75" t="s">
        <v>10</v>
      </c>
      <c r="D1380" s="75">
        <v>5560</v>
      </c>
      <c r="F1380" s="75" t="s">
        <v>10</v>
      </c>
      <c r="H1380" s="75" t="s">
        <v>10</v>
      </c>
      <c r="I1380" s="75">
        <v>19489</v>
      </c>
      <c r="K1380" s="75" t="str">
        <f>IFERROR(VLOOKUP(J1380,'NQ10'!$B$9:$C$145,2,0),"")</f>
        <v/>
      </c>
    </row>
    <row r="1381" spans="1:11" ht="15" customHeight="1" x14ac:dyDescent="0.25">
      <c r="A1381" s="75">
        <v>6</v>
      </c>
      <c r="B1381" s="75">
        <v>31</v>
      </c>
      <c r="C1381" s="75" t="s">
        <v>10</v>
      </c>
      <c r="D1381" s="75">
        <v>1684</v>
      </c>
      <c r="F1381" s="75" t="s">
        <v>10</v>
      </c>
      <c r="H1381" s="75" t="s">
        <v>10</v>
      </c>
      <c r="I1381" s="75">
        <v>19489</v>
      </c>
      <c r="K1381" s="75" t="str">
        <f>IFERROR(VLOOKUP(J1381,'NQ10'!$B$9:$C$145,2,0),"")</f>
        <v/>
      </c>
    </row>
    <row r="1382" spans="1:11" ht="15" customHeight="1" x14ac:dyDescent="0.25">
      <c r="A1382" s="75">
        <v>6</v>
      </c>
      <c r="B1382" s="75">
        <v>32</v>
      </c>
      <c r="C1382" s="75" t="s">
        <v>10</v>
      </c>
      <c r="D1382" s="75">
        <v>7091</v>
      </c>
      <c r="F1382" s="75" t="s">
        <v>10</v>
      </c>
      <c r="H1382" s="75" t="s">
        <v>10</v>
      </c>
      <c r="I1382" s="75">
        <v>19489</v>
      </c>
      <c r="K1382" s="75" t="str">
        <f>IFERROR(VLOOKUP(J1382,'NQ10'!$B$9:$C$145,2,0),"")</f>
        <v/>
      </c>
    </row>
    <row r="1383" spans="1:11" ht="15" customHeight="1" x14ac:dyDescent="0.25">
      <c r="A1383" s="75">
        <v>6</v>
      </c>
      <c r="B1383" s="75">
        <v>33</v>
      </c>
      <c r="C1383" s="75" t="s">
        <v>10</v>
      </c>
      <c r="D1383" s="75">
        <v>3661</v>
      </c>
      <c r="F1383" s="75" t="s">
        <v>10</v>
      </c>
      <c r="H1383" s="75" t="s">
        <v>10</v>
      </c>
      <c r="I1383" s="75">
        <v>19489</v>
      </c>
      <c r="K1383" s="75" t="str">
        <f>IFERROR(VLOOKUP(J1383,'NQ10'!$B$9:$C$145,2,0),"")</f>
        <v/>
      </c>
    </row>
    <row r="1384" spans="1:11" ht="15" customHeight="1" x14ac:dyDescent="0.25">
      <c r="A1384" s="75">
        <v>6</v>
      </c>
      <c r="B1384" s="75">
        <v>34</v>
      </c>
      <c r="C1384" s="75" t="s">
        <v>10</v>
      </c>
      <c r="D1384" s="75">
        <v>4613</v>
      </c>
      <c r="F1384" s="75" t="s">
        <v>10</v>
      </c>
      <c r="H1384" s="75" t="s">
        <v>10</v>
      </c>
      <c r="I1384" s="75">
        <v>19489</v>
      </c>
      <c r="K1384" s="75" t="str">
        <f>IFERROR(VLOOKUP(J1384,'NQ10'!$B$9:$C$145,2,0),"")</f>
        <v/>
      </c>
    </row>
    <row r="1385" spans="1:11" ht="15" customHeight="1" x14ac:dyDescent="0.25">
      <c r="A1385" s="75">
        <v>6</v>
      </c>
      <c r="B1385" s="75">
        <v>35</v>
      </c>
      <c r="C1385" s="75" t="s">
        <v>10</v>
      </c>
      <c r="D1385" s="75">
        <v>6196</v>
      </c>
      <c r="F1385" s="75" t="s">
        <v>10</v>
      </c>
      <c r="H1385" s="75" t="s">
        <v>10</v>
      </c>
      <c r="I1385" s="75">
        <v>19489</v>
      </c>
      <c r="K1385" s="75" t="str">
        <f>IFERROR(VLOOKUP(J1385,'NQ10'!$B$9:$C$145,2,0),"")</f>
        <v/>
      </c>
    </row>
    <row r="1386" spans="1:11" ht="15" customHeight="1" x14ac:dyDescent="0.25">
      <c r="A1386" s="75">
        <v>6</v>
      </c>
      <c r="B1386" s="75">
        <v>36</v>
      </c>
      <c r="C1386" s="75" t="s">
        <v>10</v>
      </c>
      <c r="D1386" s="75">
        <v>12151</v>
      </c>
      <c r="F1386" s="75" t="s">
        <v>10</v>
      </c>
      <c r="H1386" s="75" t="s">
        <v>10</v>
      </c>
      <c r="I1386" s="75">
        <v>19489</v>
      </c>
      <c r="K1386" s="75" t="str">
        <f>IFERROR(VLOOKUP(J1386,'NQ10'!$B$9:$C$145,2,0),"")</f>
        <v/>
      </c>
    </row>
    <row r="1387" spans="1:11" ht="15" customHeight="1" x14ac:dyDescent="0.25">
      <c r="A1387" s="75">
        <v>6</v>
      </c>
      <c r="B1387" s="75">
        <v>37</v>
      </c>
      <c r="C1387" s="75" t="s">
        <v>10</v>
      </c>
      <c r="D1387" s="75">
        <v>45669</v>
      </c>
      <c r="F1387" s="75" t="s">
        <v>10</v>
      </c>
      <c r="H1387" s="75" t="s">
        <v>10</v>
      </c>
      <c r="I1387" s="75">
        <v>19489</v>
      </c>
      <c r="K1387" s="75" t="str">
        <f>IFERROR(VLOOKUP(J1387,'NQ10'!$B$9:$C$145,2,0),"")</f>
        <v/>
      </c>
    </row>
    <row r="1388" spans="1:11" ht="15" customHeight="1" x14ac:dyDescent="0.25">
      <c r="A1388" s="75">
        <v>6</v>
      </c>
      <c r="B1388" s="75">
        <v>38</v>
      </c>
      <c r="C1388" s="75" t="s">
        <v>10</v>
      </c>
      <c r="D1388" s="75">
        <v>5584</v>
      </c>
      <c r="F1388" s="75" t="s">
        <v>10</v>
      </c>
      <c r="H1388" s="75" t="s">
        <v>10</v>
      </c>
      <c r="I1388" s="75">
        <v>19489</v>
      </c>
      <c r="K1388" s="75" t="str">
        <f>IFERROR(VLOOKUP(J1388,'NQ10'!$B$9:$C$145,2,0),"")</f>
        <v/>
      </c>
    </row>
    <row r="1389" spans="1:11" ht="15" customHeight="1" x14ac:dyDescent="0.25">
      <c r="A1389" s="75">
        <v>6</v>
      </c>
      <c r="B1389" s="75">
        <v>39</v>
      </c>
      <c r="C1389" s="75" t="s">
        <v>10</v>
      </c>
      <c r="D1389" s="75">
        <v>1965</v>
      </c>
      <c r="F1389" s="75" t="s">
        <v>10</v>
      </c>
      <c r="H1389" s="75" t="s">
        <v>10</v>
      </c>
      <c r="I1389" s="75">
        <v>19489</v>
      </c>
      <c r="K1389" s="75" t="str">
        <f>IFERROR(VLOOKUP(J1389,'NQ10'!$B$9:$C$145,2,0),"")</f>
        <v/>
      </c>
    </row>
    <row r="1390" spans="1:11" ht="15" customHeight="1" x14ac:dyDescent="0.25">
      <c r="A1390" s="75">
        <v>6</v>
      </c>
      <c r="B1390" s="75">
        <v>40</v>
      </c>
      <c r="C1390" s="75" t="s">
        <v>10</v>
      </c>
      <c r="D1390" s="75">
        <v>1830</v>
      </c>
      <c r="F1390" s="75" t="s">
        <v>10</v>
      </c>
      <c r="H1390" s="75" t="s">
        <v>10</v>
      </c>
      <c r="I1390" s="75">
        <v>19489</v>
      </c>
      <c r="K1390" s="75" t="str">
        <f>IFERROR(VLOOKUP(J1390,'NQ10'!$B$9:$C$145,2,0),"")</f>
        <v/>
      </c>
    </row>
    <row r="1391" spans="1:11" ht="15" customHeight="1" x14ac:dyDescent="0.25">
      <c r="A1391" s="75">
        <v>6</v>
      </c>
      <c r="B1391" s="75">
        <v>41</v>
      </c>
      <c r="C1391" s="75" t="s">
        <v>10</v>
      </c>
      <c r="D1391" s="75">
        <v>2940</v>
      </c>
      <c r="F1391" s="75" t="s">
        <v>10</v>
      </c>
      <c r="H1391" s="75" t="s">
        <v>10</v>
      </c>
      <c r="I1391" s="75">
        <v>19489</v>
      </c>
      <c r="K1391" s="75" t="str">
        <f>IFERROR(VLOOKUP(J1391,'NQ10'!$B$9:$C$145,2,0),"")</f>
        <v/>
      </c>
    </row>
    <row r="1392" spans="1:11" ht="15" customHeight="1" x14ac:dyDescent="0.25">
      <c r="A1392" s="75">
        <v>6</v>
      </c>
      <c r="B1392" s="75">
        <v>101</v>
      </c>
      <c r="C1392" s="75" t="s">
        <v>10</v>
      </c>
      <c r="D1392" s="75">
        <v>2016</v>
      </c>
      <c r="F1392" s="75" t="s">
        <v>10</v>
      </c>
      <c r="H1392" s="75" t="s">
        <v>10</v>
      </c>
      <c r="I1392" s="75">
        <v>19489</v>
      </c>
      <c r="K1392" s="75" t="str">
        <f>IFERROR(VLOOKUP(J1392,'NQ10'!$B$9:$C$145,2,0),"")</f>
        <v/>
      </c>
    </row>
    <row r="1393" spans="1:11" ht="15" customHeight="1" x14ac:dyDescent="0.25">
      <c r="A1393" s="75">
        <v>6</v>
      </c>
      <c r="B1393" s="75">
        <v>103</v>
      </c>
      <c r="C1393" s="75" t="s">
        <v>10</v>
      </c>
      <c r="D1393" s="75">
        <v>307</v>
      </c>
      <c r="F1393" s="75" t="s">
        <v>10</v>
      </c>
      <c r="H1393" s="75" t="s">
        <v>10</v>
      </c>
      <c r="I1393" s="75">
        <v>19489</v>
      </c>
      <c r="K1393" s="75" t="str">
        <f>IFERROR(VLOOKUP(J1393,'NQ10'!$B$9:$C$145,2,0),"")</f>
        <v/>
      </c>
    </row>
    <row r="1394" spans="1:11" ht="15" customHeight="1" x14ac:dyDescent="0.25">
      <c r="A1394" s="75">
        <v>7</v>
      </c>
      <c r="C1394" s="75" t="s">
        <v>10</v>
      </c>
      <c r="D1394" s="75">
        <v>3104</v>
      </c>
      <c r="F1394" s="75" t="s">
        <v>10</v>
      </c>
      <c r="H1394" s="75" t="s">
        <v>10</v>
      </c>
      <c r="I1394" s="75">
        <v>19489</v>
      </c>
      <c r="K1394" s="75" t="str">
        <f>IFERROR(VLOOKUP(J1394,'NQ10'!$B$9:$C$145,2,0),"")</f>
        <v/>
      </c>
    </row>
    <row r="1395" spans="1:11" ht="15" customHeight="1" x14ac:dyDescent="0.25">
      <c r="A1395" s="75">
        <v>7</v>
      </c>
      <c r="C1395" s="75" t="s">
        <v>10</v>
      </c>
      <c r="D1395" s="75">
        <v>317</v>
      </c>
      <c r="F1395" s="75" t="s">
        <v>10</v>
      </c>
      <c r="H1395" s="75" t="s">
        <v>10</v>
      </c>
      <c r="I1395" s="75">
        <v>19489</v>
      </c>
      <c r="K1395" s="75" t="str">
        <f>IFERROR(VLOOKUP(J1395,'NQ10'!$B$9:$C$145,2,0),"")</f>
        <v/>
      </c>
    </row>
    <row r="1396" spans="1:11" ht="15" customHeight="1" x14ac:dyDescent="0.25">
      <c r="A1396" s="75">
        <v>7</v>
      </c>
      <c r="C1396" s="75" t="s">
        <v>10</v>
      </c>
      <c r="D1396" s="75">
        <v>90</v>
      </c>
      <c r="F1396" s="75" t="s">
        <v>10</v>
      </c>
      <c r="H1396" s="75" t="s">
        <v>10</v>
      </c>
      <c r="I1396" s="75">
        <v>19489</v>
      </c>
      <c r="K1396" s="75" t="str">
        <f>IFERROR(VLOOKUP(J1396,'NQ10'!$B$9:$C$145,2,0),"")</f>
        <v/>
      </c>
    </row>
    <row r="1397" spans="1:11" ht="15" customHeight="1" x14ac:dyDescent="0.25">
      <c r="A1397" s="75">
        <v>7</v>
      </c>
      <c r="C1397" s="75" t="s">
        <v>10</v>
      </c>
      <c r="D1397" s="75">
        <v>2605</v>
      </c>
      <c r="F1397" s="75" t="s">
        <v>10</v>
      </c>
      <c r="H1397" s="75" t="s">
        <v>10</v>
      </c>
      <c r="I1397" s="75">
        <v>19489</v>
      </c>
      <c r="K1397" s="75" t="str">
        <f>IFERROR(VLOOKUP(J1397,'NQ10'!$B$9:$C$145,2,0),"")</f>
        <v/>
      </c>
    </row>
    <row r="1398" spans="1:11" ht="15" customHeight="1" x14ac:dyDescent="0.25">
      <c r="A1398" s="75">
        <v>7</v>
      </c>
      <c r="C1398" s="75" t="s">
        <v>10</v>
      </c>
      <c r="D1398" s="75">
        <v>2338</v>
      </c>
      <c r="F1398" s="75" t="s">
        <v>10</v>
      </c>
      <c r="H1398" s="75" t="s">
        <v>10</v>
      </c>
      <c r="I1398" s="75">
        <v>19489</v>
      </c>
      <c r="K1398" s="75" t="str">
        <f>IFERROR(VLOOKUP(J1398,'NQ10'!$B$9:$C$145,2,0),"")</f>
        <v/>
      </c>
    </row>
    <row r="1399" spans="1:11" ht="15" customHeight="1" x14ac:dyDescent="0.25">
      <c r="A1399" s="75">
        <v>7</v>
      </c>
      <c r="C1399" s="75" t="s">
        <v>10</v>
      </c>
      <c r="D1399" s="75">
        <v>0</v>
      </c>
      <c r="F1399" s="75" t="s">
        <v>10</v>
      </c>
      <c r="H1399" s="75" t="s">
        <v>10</v>
      </c>
      <c r="I1399" s="75">
        <v>19489</v>
      </c>
      <c r="K1399" s="75" t="str">
        <f>IFERROR(VLOOKUP(J1399,'NQ10'!$B$9:$C$145,2,0),"")</f>
        <v/>
      </c>
    </row>
    <row r="1400" spans="1:11" ht="15" customHeight="1" x14ac:dyDescent="0.25">
      <c r="A1400" s="75">
        <v>7</v>
      </c>
      <c r="C1400" s="75" t="s">
        <v>10</v>
      </c>
      <c r="D1400" s="75">
        <v>450</v>
      </c>
      <c r="F1400" s="75" t="s">
        <v>10</v>
      </c>
      <c r="H1400" s="75" t="s">
        <v>10</v>
      </c>
      <c r="I1400" s="75">
        <v>19489</v>
      </c>
      <c r="K1400" s="75" t="str">
        <f>IFERROR(VLOOKUP(J1400,'NQ10'!$B$9:$C$145,2,0),"")</f>
        <v/>
      </c>
    </row>
    <row r="1401" spans="1:11" ht="15" customHeight="1" x14ac:dyDescent="0.25">
      <c r="A1401" s="75">
        <v>7</v>
      </c>
      <c r="C1401" s="75" t="s">
        <v>10</v>
      </c>
      <c r="D1401" s="75">
        <v>205</v>
      </c>
      <c r="F1401" s="75" t="s">
        <v>10</v>
      </c>
      <c r="H1401" s="75" t="s">
        <v>10</v>
      </c>
      <c r="I1401" s="75">
        <v>19489</v>
      </c>
      <c r="K1401" s="75" t="str">
        <f>IFERROR(VLOOKUP(J1401,'NQ10'!$B$9:$C$145,2,0),"")</f>
        <v/>
      </c>
    </row>
    <row r="1402" spans="1:11" ht="15" customHeight="1" x14ac:dyDescent="0.25">
      <c r="A1402" s="75">
        <v>7</v>
      </c>
      <c r="C1402" s="75" t="s">
        <v>10</v>
      </c>
      <c r="D1402" s="75">
        <v>158</v>
      </c>
      <c r="F1402" s="75" t="s">
        <v>10</v>
      </c>
      <c r="H1402" s="75" t="s">
        <v>10</v>
      </c>
      <c r="I1402" s="75">
        <v>19489</v>
      </c>
      <c r="K1402" s="75" t="str">
        <f>IFERROR(VLOOKUP(J1402,'NQ10'!$B$9:$C$145,2,0),"")</f>
        <v/>
      </c>
    </row>
    <row r="1403" spans="1:11" ht="15" customHeight="1" x14ac:dyDescent="0.25">
      <c r="A1403" s="75">
        <v>7</v>
      </c>
      <c r="C1403" s="75" t="s">
        <v>10</v>
      </c>
      <c r="D1403" s="75">
        <v>1263</v>
      </c>
      <c r="F1403" s="75" t="s">
        <v>10</v>
      </c>
      <c r="H1403" s="75" t="s">
        <v>10</v>
      </c>
      <c r="I1403" s="75">
        <v>19489</v>
      </c>
      <c r="K1403" s="75" t="str">
        <f>IFERROR(VLOOKUP(J1403,'NQ10'!$B$9:$C$145,2,0),"")</f>
        <v/>
      </c>
    </row>
    <row r="1404" spans="1:11" ht="15" customHeight="1" x14ac:dyDescent="0.25">
      <c r="A1404" s="75">
        <v>7</v>
      </c>
      <c r="C1404" s="75" t="s">
        <v>10</v>
      </c>
      <c r="D1404" s="75">
        <v>403</v>
      </c>
      <c r="F1404" s="75" t="s">
        <v>10</v>
      </c>
      <c r="H1404" s="75" t="s">
        <v>10</v>
      </c>
      <c r="I1404" s="75">
        <v>19489</v>
      </c>
      <c r="K1404" s="75" t="str">
        <f>IFERROR(VLOOKUP(J1404,'NQ10'!$B$9:$C$145,2,0),"")</f>
        <v/>
      </c>
    </row>
    <row r="1405" spans="1:11" ht="15" customHeight="1" x14ac:dyDescent="0.25">
      <c r="A1405" s="75">
        <v>7</v>
      </c>
      <c r="C1405" s="75" t="s">
        <v>10</v>
      </c>
      <c r="D1405" s="75">
        <v>0</v>
      </c>
      <c r="F1405" s="75" t="s">
        <v>10</v>
      </c>
      <c r="H1405" s="75" t="s">
        <v>10</v>
      </c>
      <c r="I1405" s="75">
        <v>19489</v>
      </c>
      <c r="K1405" s="75" t="str">
        <f>IFERROR(VLOOKUP(J1405,'NQ10'!$B$9:$C$145,2,0),"")</f>
        <v/>
      </c>
    </row>
    <row r="1406" spans="1:11" ht="15" customHeight="1" x14ac:dyDescent="0.25">
      <c r="A1406" s="75">
        <v>7</v>
      </c>
      <c r="B1406" s="75">
        <v>1</v>
      </c>
      <c r="C1406" s="75" t="s">
        <v>10</v>
      </c>
      <c r="D1406" s="75">
        <v>254</v>
      </c>
      <c r="F1406" s="75" t="s">
        <v>10</v>
      </c>
      <c r="H1406" s="75" t="s">
        <v>10</v>
      </c>
      <c r="I1406" s="75">
        <v>19489</v>
      </c>
      <c r="K1406" s="75" t="str">
        <f>IFERROR(VLOOKUP(J1406,'NQ10'!$B$9:$C$145,2,0),"")</f>
        <v/>
      </c>
    </row>
    <row r="1407" spans="1:11" ht="15" customHeight="1" x14ac:dyDescent="0.25">
      <c r="A1407" s="75">
        <v>7</v>
      </c>
      <c r="B1407" s="75">
        <v>1</v>
      </c>
      <c r="C1407" s="75" t="s">
        <v>10</v>
      </c>
      <c r="D1407" s="75">
        <v>4438</v>
      </c>
      <c r="F1407" s="75" t="s">
        <v>10</v>
      </c>
      <c r="H1407" s="75" t="s">
        <v>10</v>
      </c>
      <c r="I1407" s="75">
        <v>19489</v>
      </c>
      <c r="K1407" s="75" t="str">
        <f>IFERROR(VLOOKUP(J1407,'NQ10'!$B$9:$C$145,2,0),"")</f>
        <v/>
      </c>
    </row>
    <row r="1408" spans="1:11" ht="15" customHeight="1" x14ac:dyDescent="0.25">
      <c r="A1408" s="75">
        <v>7</v>
      </c>
      <c r="B1408" s="75">
        <v>2</v>
      </c>
      <c r="C1408" s="75" t="s">
        <v>10</v>
      </c>
      <c r="D1408" s="75">
        <v>1271</v>
      </c>
      <c r="F1408" s="75" t="s">
        <v>10</v>
      </c>
      <c r="H1408" s="75" t="s">
        <v>10</v>
      </c>
      <c r="I1408" s="75">
        <v>19489</v>
      </c>
      <c r="K1408" s="75" t="str">
        <f>IFERROR(VLOOKUP(J1408,'NQ10'!$B$9:$C$145,2,0),"")</f>
        <v/>
      </c>
    </row>
    <row r="1409" spans="1:11" ht="15" customHeight="1" x14ac:dyDescent="0.25">
      <c r="A1409" s="75">
        <v>7</v>
      </c>
      <c r="B1409" s="75">
        <v>2</v>
      </c>
      <c r="C1409" s="75" t="s">
        <v>10</v>
      </c>
      <c r="D1409" s="75">
        <v>3015</v>
      </c>
      <c r="F1409" s="75" t="s">
        <v>10</v>
      </c>
      <c r="H1409" s="75" t="s">
        <v>10</v>
      </c>
      <c r="I1409" s="75">
        <v>19489</v>
      </c>
      <c r="K1409" s="75" t="str">
        <f>IFERROR(VLOOKUP(J1409,'NQ10'!$B$9:$C$145,2,0),"")</f>
        <v/>
      </c>
    </row>
    <row r="1410" spans="1:11" ht="15" customHeight="1" x14ac:dyDescent="0.25">
      <c r="A1410" s="75">
        <v>7</v>
      </c>
      <c r="B1410" s="75">
        <v>3</v>
      </c>
      <c r="C1410" s="75" t="s">
        <v>10</v>
      </c>
      <c r="D1410" s="75">
        <v>3958</v>
      </c>
      <c r="F1410" s="75" t="s">
        <v>10</v>
      </c>
      <c r="H1410" s="75" t="s">
        <v>10</v>
      </c>
      <c r="I1410" s="75">
        <v>19489</v>
      </c>
      <c r="K1410" s="75" t="str">
        <f>IFERROR(VLOOKUP(J1410,'NQ10'!$B$9:$C$145,2,0),"")</f>
        <v/>
      </c>
    </row>
    <row r="1411" spans="1:11" ht="15" customHeight="1" x14ac:dyDescent="0.25">
      <c r="A1411" s="75">
        <v>7</v>
      </c>
      <c r="B1411" s="75">
        <v>3</v>
      </c>
      <c r="C1411" s="75" t="s">
        <v>10</v>
      </c>
      <c r="D1411" s="75">
        <v>5714</v>
      </c>
      <c r="F1411" s="75" t="s">
        <v>10</v>
      </c>
      <c r="H1411" s="75" t="s">
        <v>10</v>
      </c>
      <c r="I1411" s="75">
        <v>19489</v>
      </c>
      <c r="K1411" s="75" t="str">
        <f>IFERROR(VLOOKUP(J1411,'NQ10'!$B$9:$C$145,2,0),"")</f>
        <v/>
      </c>
    </row>
    <row r="1412" spans="1:11" ht="15" customHeight="1" x14ac:dyDescent="0.25">
      <c r="A1412" s="75">
        <v>7</v>
      </c>
      <c r="B1412" s="75">
        <v>4</v>
      </c>
      <c r="C1412" s="75" t="s">
        <v>10</v>
      </c>
      <c r="D1412" s="75">
        <v>6102</v>
      </c>
      <c r="F1412" s="75" t="s">
        <v>10</v>
      </c>
      <c r="H1412" s="75" t="s">
        <v>10</v>
      </c>
      <c r="I1412" s="75">
        <v>19489</v>
      </c>
      <c r="K1412" s="75" t="str">
        <f>IFERROR(VLOOKUP(J1412,'NQ10'!$B$9:$C$145,2,0),"")</f>
        <v/>
      </c>
    </row>
    <row r="1413" spans="1:11" ht="15" customHeight="1" x14ac:dyDescent="0.25">
      <c r="A1413" s="75">
        <v>7</v>
      </c>
      <c r="B1413" s="75">
        <v>4</v>
      </c>
      <c r="C1413" s="75" t="s">
        <v>10</v>
      </c>
      <c r="D1413" s="75">
        <v>18982</v>
      </c>
      <c r="F1413" s="75" t="s">
        <v>10</v>
      </c>
      <c r="H1413" s="75" t="s">
        <v>10</v>
      </c>
      <c r="I1413" s="75">
        <v>19489</v>
      </c>
      <c r="K1413" s="75" t="str">
        <f>IFERROR(VLOOKUP(J1413,'NQ10'!$B$9:$C$145,2,0),"")</f>
        <v/>
      </c>
    </row>
    <row r="1414" spans="1:11" ht="15" customHeight="1" x14ac:dyDescent="0.25">
      <c r="A1414" s="75">
        <v>7</v>
      </c>
      <c r="B1414" s="75">
        <v>5</v>
      </c>
      <c r="C1414" s="75" t="s">
        <v>10</v>
      </c>
      <c r="D1414" s="75">
        <v>3975</v>
      </c>
      <c r="F1414" s="75" t="s">
        <v>10</v>
      </c>
      <c r="H1414" s="75" t="s">
        <v>10</v>
      </c>
      <c r="I1414" s="75">
        <v>19489</v>
      </c>
      <c r="K1414" s="75" t="str">
        <f>IFERROR(VLOOKUP(J1414,'NQ10'!$B$9:$C$145,2,0),"")</f>
        <v/>
      </c>
    </row>
    <row r="1415" spans="1:11" ht="15" customHeight="1" x14ac:dyDescent="0.25">
      <c r="A1415" s="75">
        <v>7</v>
      </c>
      <c r="B1415" s="75">
        <v>5</v>
      </c>
      <c r="C1415" s="75" t="s">
        <v>10</v>
      </c>
      <c r="D1415" s="75">
        <v>11981</v>
      </c>
      <c r="F1415" s="75" t="s">
        <v>10</v>
      </c>
      <c r="H1415" s="75" t="s">
        <v>10</v>
      </c>
      <c r="I1415" s="75">
        <v>19489</v>
      </c>
      <c r="K1415" s="75" t="str">
        <f>IFERROR(VLOOKUP(J1415,'NQ10'!$B$9:$C$145,2,0),"")</f>
        <v/>
      </c>
    </row>
    <row r="1416" spans="1:11" ht="15" customHeight="1" x14ac:dyDescent="0.25">
      <c r="A1416" s="75">
        <v>7</v>
      </c>
      <c r="B1416" s="75">
        <v>6</v>
      </c>
      <c r="C1416" s="75" t="s">
        <v>10</v>
      </c>
      <c r="D1416" s="75">
        <v>3219</v>
      </c>
      <c r="F1416" s="75" t="s">
        <v>10</v>
      </c>
      <c r="H1416" s="75" t="s">
        <v>10</v>
      </c>
      <c r="I1416" s="75">
        <v>19489</v>
      </c>
      <c r="K1416" s="75" t="str">
        <f>IFERROR(VLOOKUP(J1416,'NQ10'!$B$9:$C$145,2,0),"")</f>
        <v/>
      </c>
    </row>
    <row r="1417" spans="1:11" ht="15" customHeight="1" x14ac:dyDescent="0.25">
      <c r="A1417" s="75">
        <v>7</v>
      </c>
      <c r="B1417" s="75">
        <v>7</v>
      </c>
      <c r="C1417" s="75" t="s">
        <v>10</v>
      </c>
      <c r="D1417" s="75">
        <v>4748</v>
      </c>
      <c r="F1417" s="75" t="s">
        <v>10</v>
      </c>
      <c r="H1417" s="75" t="s">
        <v>10</v>
      </c>
      <c r="I1417" s="75">
        <v>19489</v>
      </c>
      <c r="K1417" s="75" t="str">
        <f>IFERROR(VLOOKUP(J1417,'NQ10'!$B$9:$C$145,2,0),"")</f>
        <v/>
      </c>
    </row>
    <row r="1418" spans="1:11" ht="15" customHeight="1" x14ac:dyDescent="0.25">
      <c r="A1418" s="75">
        <v>7</v>
      </c>
      <c r="B1418" s="75">
        <v>7</v>
      </c>
      <c r="C1418" s="75" t="s">
        <v>10</v>
      </c>
      <c r="D1418" s="75">
        <v>5129</v>
      </c>
      <c r="F1418" s="75" t="s">
        <v>10</v>
      </c>
      <c r="H1418" s="75" t="s">
        <v>10</v>
      </c>
      <c r="I1418" s="75">
        <v>19489</v>
      </c>
      <c r="K1418" s="75" t="str">
        <f>IFERROR(VLOOKUP(J1418,'NQ10'!$B$9:$C$145,2,0),"")</f>
        <v/>
      </c>
    </row>
    <row r="1419" spans="1:11" ht="15" customHeight="1" x14ac:dyDescent="0.25">
      <c r="A1419" s="75">
        <v>7</v>
      </c>
      <c r="B1419" s="75">
        <v>8</v>
      </c>
      <c r="C1419" s="75" t="s">
        <v>10</v>
      </c>
      <c r="D1419" s="75">
        <v>342</v>
      </c>
      <c r="F1419" s="75" t="s">
        <v>10</v>
      </c>
      <c r="H1419" s="75" t="s">
        <v>10</v>
      </c>
      <c r="I1419" s="75">
        <v>19489</v>
      </c>
      <c r="K1419" s="75" t="str">
        <f>IFERROR(VLOOKUP(J1419,'NQ10'!$B$9:$C$145,2,0),"")</f>
        <v/>
      </c>
    </row>
    <row r="1420" spans="1:11" ht="15" customHeight="1" x14ac:dyDescent="0.25">
      <c r="A1420" s="75">
        <v>7</v>
      </c>
      <c r="B1420" s="75">
        <v>9</v>
      </c>
      <c r="C1420" s="75" t="s">
        <v>10</v>
      </c>
      <c r="D1420" s="75">
        <v>5198</v>
      </c>
      <c r="F1420" s="75" t="s">
        <v>10</v>
      </c>
      <c r="H1420" s="75" t="s">
        <v>10</v>
      </c>
      <c r="I1420" s="75">
        <v>19489</v>
      </c>
      <c r="K1420" s="75" t="str">
        <f>IFERROR(VLOOKUP(J1420,'NQ10'!$B$9:$C$145,2,0),"")</f>
        <v/>
      </c>
    </row>
    <row r="1421" spans="1:11" ht="15" customHeight="1" x14ac:dyDescent="0.25">
      <c r="A1421" s="75">
        <v>7</v>
      </c>
      <c r="B1421" s="75">
        <v>9</v>
      </c>
      <c r="C1421" s="75" t="s">
        <v>10</v>
      </c>
      <c r="D1421" s="75">
        <v>4276</v>
      </c>
      <c r="F1421" s="75" t="s">
        <v>10</v>
      </c>
      <c r="H1421" s="75" t="s">
        <v>10</v>
      </c>
      <c r="I1421" s="75">
        <v>19489</v>
      </c>
      <c r="K1421" s="75" t="str">
        <f>IFERROR(VLOOKUP(J1421,'NQ10'!$B$9:$C$145,2,0),"")</f>
        <v/>
      </c>
    </row>
    <row r="1422" spans="1:11" ht="15" customHeight="1" x14ac:dyDescent="0.25">
      <c r="A1422" s="75">
        <v>7</v>
      </c>
      <c r="B1422" s="75">
        <v>10</v>
      </c>
      <c r="C1422" s="75" t="s">
        <v>10</v>
      </c>
      <c r="D1422" s="75">
        <v>359</v>
      </c>
      <c r="F1422" s="75" t="s">
        <v>10</v>
      </c>
      <c r="H1422" s="75" t="s">
        <v>10</v>
      </c>
      <c r="I1422" s="75">
        <v>19489</v>
      </c>
      <c r="K1422" s="75" t="str">
        <f>IFERROR(VLOOKUP(J1422,'NQ10'!$B$9:$C$145,2,0),"")</f>
        <v/>
      </c>
    </row>
    <row r="1423" spans="1:11" ht="15" customHeight="1" x14ac:dyDescent="0.25">
      <c r="A1423" s="75">
        <v>7</v>
      </c>
      <c r="B1423" s="75">
        <v>10</v>
      </c>
      <c r="C1423" s="75" t="s">
        <v>10</v>
      </c>
      <c r="D1423" s="75">
        <v>17319</v>
      </c>
      <c r="F1423" s="75" t="s">
        <v>10</v>
      </c>
      <c r="H1423" s="75" t="s">
        <v>10</v>
      </c>
      <c r="I1423" s="75">
        <v>19489</v>
      </c>
      <c r="K1423" s="75" t="str">
        <f>IFERROR(VLOOKUP(J1423,'NQ10'!$B$9:$C$145,2,0),"")</f>
        <v/>
      </c>
    </row>
    <row r="1424" spans="1:11" ht="15" customHeight="1" x14ac:dyDescent="0.25">
      <c r="A1424" s="75">
        <v>7</v>
      </c>
      <c r="B1424" s="75">
        <v>11</v>
      </c>
      <c r="C1424" s="75" t="s">
        <v>10</v>
      </c>
      <c r="D1424" s="75">
        <v>260</v>
      </c>
      <c r="F1424" s="75" t="s">
        <v>10</v>
      </c>
      <c r="H1424" s="75" t="s">
        <v>10</v>
      </c>
      <c r="I1424" s="75">
        <v>19489</v>
      </c>
      <c r="K1424" s="75" t="str">
        <f>IFERROR(VLOOKUP(J1424,'NQ10'!$B$9:$C$145,2,0),"")</f>
        <v/>
      </c>
    </row>
    <row r="1425" spans="1:11" ht="15" customHeight="1" x14ac:dyDescent="0.25">
      <c r="A1425" s="75">
        <v>7</v>
      </c>
      <c r="B1425" s="75">
        <v>11</v>
      </c>
      <c r="C1425" s="75" t="s">
        <v>10</v>
      </c>
      <c r="D1425" s="75">
        <v>4705</v>
      </c>
      <c r="F1425" s="75" t="s">
        <v>10</v>
      </c>
      <c r="H1425" s="75" t="s">
        <v>10</v>
      </c>
      <c r="I1425" s="75">
        <v>19489</v>
      </c>
      <c r="K1425" s="75" t="str">
        <f>IFERROR(VLOOKUP(J1425,'NQ10'!$B$9:$C$145,2,0),"")</f>
        <v/>
      </c>
    </row>
    <row r="1426" spans="1:11" ht="15" customHeight="1" x14ac:dyDescent="0.25">
      <c r="A1426" s="75">
        <v>7</v>
      </c>
      <c r="B1426" s="75">
        <v>12</v>
      </c>
      <c r="C1426" s="75" t="s">
        <v>10</v>
      </c>
      <c r="D1426" s="75">
        <v>1510</v>
      </c>
      <c r="F1426" s="75" t="s">
        <v>10</v>
      </c>
      <c r="H1426" s="75" t="s">
        <v>10</v>
      </c>
      <c r="I1426" s="75">
        <v>19489</v>
      </c>
      <c r="K1426" s="75" t="str">
        <f>IFERROR(VLOOKUP(J1426,'NQ10'!$B$9:$C$145,2,0),"")</f>
        <v/>
      </c>
    </row>
    <row r="1427" spans="1:11" ht="15" customHeight="1" x14ac:dyDescent="0.25">
      <c r="A1427" s="75">
        <v>7</v>
      </c>
      <c r="B1427" s="75">
        <v>13</v>
      </c>
      <c r="C1427" s="75" t="s">
        <v>10</v>
      </c>
      <c r="D1427" s="75">
        <v>2607</v>
      </c>
      <c r="F1427" s="75" t="s">
        <v>10</v>
      </c>
      <c r="H1427" s="75" t="s">
        <v>10</v>
      </c>
      <c r="I1427" s="75">
        <v>19489</v>
      </c>
      <c r="K1427" s="75" t="str">
        <f>IFERROR(VLOOKUP(J1427,'NQ10'!$B$9:$C$145,2,0),"")</f>
        <v/>
      </c>
    </row>
    <row r="1428" spans="1:11" ht="15" customHeight="1" x14ac:dyDescent="0.25">
      <c r="A1428" s="75">
        <v>7</v>
      </c>
      <c r="B1428" s="75">
        <v>13</v>
      </c>
      <c r="C1428" s="75" t="s">
        <v>10</v>
      </c>
      <c r="D1428" s="75">
        <v>522</v>
      </c>
      <c r="F1428" s="75" t="s">
        <v>10</v>
      </c>
      <c r="H1428" s="75" t="s">
        <v>10</v>
      </c>
      <c r="I1428" s="75">
        <v>19489</v>
      </c>
      <c r="K1428" s="75" t="str">
        <f>IFERROR(VLOOKUP(J1428,'NQ10'!$B$9:$C$145,2,0),"")</f>
        <v/>
      </c>
    </row>
    <row r="1429" spans="1:11" ht="15" customHeight="1" x14ac:dyDescent="0.25">
      <c r="A1429" s="75">
        <v>7</v>
      </c>
      <c r="B1429" s="75">
        <v>14</v>
      </c>
      <c r="C1429" s="75" t="s">
        <v>10</v>
      </c>
      <c r="D1429" s="75">
        <v>2001</v>
      </c>
      <c r="F1429" s="75" t="s">
        <v>10</v>
      </c>
      <c r="H1429" s="75" t="s">
        <v>10</v>
      </c>
      <c r="I1429" s="75">
        <v>19489</v>
      </c>
      <c r="K1429" s="75" t="str">
        <f>IFERROR(VLOOKUP(J1429,'NQ10'!$B$9:$C$145,2,0),"")</f>
        <v/>
      </c>
    </row>
    <row r="1430" spans="1:11" ht="15" customHeight="1" x14ac:dyDescent="0.25">
      <c r="A1430" s="75">
        <v>7</v>
      </c>
      <c r="B1430" s="75">
        <v>14</v>
      </c>
      <c r="C1430" s="75" t="s">
        <v>10</v>
      </c>
      <c r="D1430" s="75">
        <v>11806</v>
      </c>
      <c r="F1430" s="75" t="s">
        <v>10</v>
      </c>
      <c r="H1430" s="75" t="s">
        <v>10</v>
      </c>
      <c r="I1430" s="75">
        <v>19489</v>
      </c>
      <c r="K1430" s="75" t="str">
        <f>IFERROR(VLOOKUP(J1430,'NQ10'!$B$9:$C$145,2,0),"")</f>
        <v/>
      </c>
    </row>
    <row r="1431" spans="1:11" ht="15" customHeight="1" x14ac:dyDescent="0.25">
      <c r="A1431" s="75">
        <v>7</v>
      </c>
      <c r="B1431" s="75">
        <v>15</v>
      </c>
      <c r="C1431" s="75" t="s">
        <v>10</v>
      </c>
      <c r="D1431" s="75">
        <v>7425</v>
      </c>
      <c r="F1431" s="75" t="s">
        <v>10</v>
      </c>
      <c r="H1431" s="75" t="s">
        <v>10</v>
      </c>
      <c r="I1431" s="75">
        <v>19489</v>
      </c>
      <c r="K1431" s="75" t="str">
        <f>IFERROR(VLOOKUP(J1431,'NQ10'!$B$9:$C$145,2,0),"")</f>
        <v/>
      </c>
    </row>
    <row r="1432" spans="1:11" ht="15" customHeight="1" x14ac:dyDescent="0.25">
      <c r="A1432" s="75">
        <v>7</v>
      </c>
      <c r="B1432" s="75">
        <v>15</v>
      </c>
      <c r="C1432" s="75" t="s">
        <v>10</v>
      </c>
      <c r="D1432" s="75">
        <v>585</v>
      </c>
      <c r="F1432" s="75" t="s">
        <v>10</v>
      </c>
      <c r="H1432" s="75" t="s">
        <v>10</v>
      </c>
      <c r="I1432" s="75">
        <v>19489</v>
      </c>
      <c r="K1432" s="75" t="str">
        <f>IFERROR(VLOOKUP(J1432,'NQ10'!$B$9:$C$145,2,0),"")</f>
        <v/>
      </c>
    </row>
    <row r="1433" spans="1:11" ht="15" customHeight="1" x14ac:dyDescent="0.25">
      <c r="A1433" s="75">
        <v>7</v>
      </c>
      <c r="B1433" s="75">
        <v>16</v>
      </c>
      <c r="C1433" s="75" t="s">
        <v>10</v>
      </c>
      <c r="D1433" s="75">
        <v>28722</v>
      </c>
      <c r="F1433" s="75" t="s">
        <v>10</v>
      </c>
      <c r="H1433" s="75" t="s">
        <v>10</v>
      </c>
      <c r="I1433" s="75">
        <v>19489</v>
      </c>
      <c r="K1433" s="75" t="str">
        <f>IFERROR(VLOOKUP(J1433,'NQ10'!$B$9:$C$145,2,0),"")</f>
        <v/>
      </c>
    </row>
    <row r="1434" spans="1:11" ht="15" customHeight="1" x14ac:dyDescent="0.25">
      <c r="A1434" s="75">
        <v>7</v>
      </c>
      <c r="B1434" s="75">
        <v>16</v>
      </c>
      <c r="C1434" s="75" t="s">
        <v>10</v>
      </c>
      <c r="D1434" s="75">
        <v>1555</v>
      </c>
      <c r="F1434" s="75" t="s">
        <v>10</v>
      </c>
      <c r="H1434" s="75" t="s">
        <v>10</v>
      </c>
      <c r="I1434" s="75">
        <v>19489</v>
      </c>
      <c r="K1434" s="75" t="str">
        <f>IFERROR(VLOOKUP(J1434,'NQ10'!$B$9:$C$145,2,0),"")</f>
        <v/>
      </c>
    </row>
    <row r="1435" spans="1:11" ht="15" customHeight="1" x14ac:dyDescent="0.25">
      <c r="A1435" s="75">
        <v>7</v>
      </c>
      <c r="B1435" s="75">
        <v>17</v>
      </c>
      <c r="C1435" s="75" t="s">
        <v>10</v>
      </c>
      <c r="D1435" s="75">
        <v>458</v>
      </c>
      <c r="F1435" s="75" t="s">
        <v>10</v>
      </c>
      <c r="H1435" s="75" t="s">
        <v>10</v>
      </c>
      <c r="I1435" s="75">
        <v>19489</v>
      </c>
      <c r="K1435" s="75" t="str">
        <f>IFERROR(VLOOKUP(J1435,'NQ10'!$B$9:$C$145,2,0),"")</f>
        <v/>
      </c>
    </row>
    <row r="1436" spans="1:11" ht="15" customHeight="1" x14ac:dyDescent="0.25">
      <c r="A1436" s="75">
        <v>7</v>
      </c>
      <c r="B1436" s="75">
        <v>17</v>
      </c>
      <c r="C1436" s="75" t="s">
        <v>10</v>
      </c>
      <c r="D1436" s="75">
        <v>1255</v>
      </c>
      <c r="F1436" s="75" t="s">
        <v>10</v>
      </c>
      <c r="H1436" s="75" t="s">
        <v>10</v>
      </c>
      <c r="I1436" s="75">
        <v>19489</v>
      </c>
      <c r="K1436" s="75" t="str">
        <f>IFERROR(VLOOKUP(J1436,'NQ10'!$B$9:$C$145,2,0),"")</f>
        <v/>
      </c>
    </row>
    <row r="1437" spans="1:11" ht="15" customHeight="1" x14ac:dyDescent="0.25">
      <c r="A1437" s="75">
        <v>7</v>
      </c>
      <c r="B1437" s="75">
        <v>18</v>
      </c>
      <c r="C1437" s="75" t="s">
        <v>10</v>
      </c>
      <c r="D1437" s="75">
        <v>5961</v>
      </c>
      <c r="F1437" s="75" t="s">
        <v>10</v>
      </c>
      <c r="H1437" s="75" t="s">
        <v>10</v>
      </c>
      <c r="I1437" s="75">
        <v>19489</v>
      </c>
      <c r="K1437" s="75" t="str">
        <f>IFERROR(VLOOKUP(J1437,'NQ10'!$B$9:$C$145,2,0),"")</f>
        <v/>
      </c>
    </row>
    <row r="1438" spans="1:11" ht="15" customHeight="1" x14ac:dyDescent="0.25">
      <c r="A1438" s="75">
        <v>7</v>
      </c>
      <c r="B1438" s="75">
        <v>18</v>
      </c>
      <c r="C1438" s="75" t="s">
        <v>10</v>
      </c>
      <c r="D1438" s="75">
        <v>851</v>
      </c>
      <c r="F1438" s="75" t="s">
        <v>10</v>
      </c>
      <c r="H1438" s="75" t="s">
        <v>10</v>
      </c>
      <c r="I1438" s="75">
        <v>19489</v>
      </c>
      <c r="K1438" s="75" t="str">
        <f>IFERROR(VLOOKUP(J1438,'NQ10'!$B$9:$C$145,2,0),"")</f>
        <v/>
      </c>
    </row>
    <row r="1439" spans="1:11" ht="15" customHeight="1" x14ac:dyDescent="0.25">
      <c r="A1439" s="75">
        <v>7</v>
      </c>
      <c r="B1439" s="75">
        <v>19</v>
      </c>
      <c r="C1439" s="75" t="s">
        <v>10</v>
      </c>
      <c r="D1439" s="75">
        <v>1733</v>
      </c>
      <c r="F1439" s="75" t="s">
        <v>10</v>
      </c>
      <c r="H1439" s="75" t="s">
        <v>10</v>
      </c>
      <c r="I1439" s="75">
        <v>19489</v>
      </c>
      <c r="K1439" s="75" t="str">
        <f>IFERROR(VLOOKUP(J1439,'NQ10'!$B$9:$C$145,2,0),"")</f>
        <v/>
      </c>
    </row>
    <row r="1440" spans="1:11" ht="15" customHeight="1" x14ac:dyDescent="0.25">
      <c r="A1440" s="75">
        <v>7</v>
      </c>
      <c r="B1440" s="75">
        <v>19</v>
      </c>
      <c r="C1440" s="75" t="s">
        <v>10</v>
      </c>
      <c r="D1440" s="75">
        <v>1026</v>
      </c>
      <c r="F1440" s="75" t="s">
        <v>10</v>
      </c>
      <c r="H1440" s="75" t="s">
        <v>10</v>
      </c>
      <c r="I1440" s="75">
        <v>19489</v>
      </c>
      <c r="K1440" s="75" t="str">
        <f>IFERROR(VLOOKUP(J1440,'NQ10'!$B$9:$C$145,2,0),"")</f>
        <v/>
      </c>
    </row>
    <row r="1441" spans="1:11" ht="15" customHeight="1" x14ac:dyDescent="0.25">
      <c r="A1441" s="75">
        <v>7</v>
      </c>
      <c r="B1441" s="75">
        <v>20</v>
      </c>
      <c r="C1441" s="75" t="s">
        <v>10</v>
      </c>
      <c r="D1441" s="75">
        <v>1115</v>
      </c>
      <c r="F1441" s="75" t="s">
        <v>10</v>
      </c>
      <c r="H1441" s="75" t="s">
        <v>10</v>
      </c>
      <c r="I1441" s="75">
        <v>19489</v>
      </c>
      <c r="K1441" s="75" t="str">
        <f>IFERROR(VLOOKUP(J1441,'NQ10'!$B$9:$C$145,2,0),"")</f>
        <v/>
      </c>
    </row>
    <row r="1442" spans="1:11" ht="15" customHeight="1" x14ac:dyDescent="0.25">
      <c r="A1442" s="75">
        <v>7</v>
      </c>
      <c r="B1442" s="75">
        <v>20</v>
      </c>
      <c r="C1442" s="75" t="s">
        <v>10</v>
      </c>
      <c r="D1442" s="75">
        <v>711</v>
      </c>
      <c r="F1442" s="75" t="s">
        <v>10</v>
      </c>
      <c r="H1442" s="75" t="s">
        <v>10</v>
      </c>
      <c r="I1442" s="75">
        <v>19489</v>
      </c>
      <c r="K1442" s="75" t="str">
        <f>IFERROR(VLOOKUP(J1442,'NQ10'!$B$9:$C$145,2,0),"")</f>
        <v/>
      </c>
    </row>
    <row r="1443" spans="1:11" ht="15" customHeight="1" x14ac:dyDescent="0.25">
      <c r="A1443" s="75">
        <v>7</v>
      </c>
      <c r="B1443" s="75">
        <v>21</v>
      </c>
      <c r="C1443" s="75" t="s">
        <v>10</v>
      </c>
      <c r="D1443" s="75">
        <v>6934</v>
      </c>
      <c r="F1443" s="75" t="s">
        <v>10</v>
      </c>
      <c r="H1443" s="75" t="s">
        <v>10</v>
      </c>
      <c r="I1443" s="75">
        <v>19489</v>
      </c>
      <c r="K1443" s="75" t="str">
        <f>IFERROR(VLOOKUP(J1443,'NQ10'!$B$9:$C$145,2,0),"")</f>
        <v/>
      </c>
    </row>
    <row r="1444" spans="1:11" ht="15" customHeight="1" x14ac:dyDescent="0.25">
      <c r="A1444" s="75">
        <v>7</v>
      </c>
      <c r="B1444" s="75">
        <v>21</v>
      </c>
      <c r="C1444" s="75" t="s">
        <v>10</v>
      </c>
      <c r="D1444" s="75">
        <v>389</v>
      </c>
      <c r="F1444" s="75" t="s">
        <v>10</v>
      </c>
      <c r="H1444" s="75" t="s">
        <v>10</v>
      </c>
      <c r="I1444" s="75">
        <v>19489</v>
      </c>
      <c r="K1444" s="75" t="str">
        <f>IFERROR(VLOOKUP(J1444,'NQ10'!$B$9:$C$145,2,0),"")</f>
        <v/>
      </c>
    </row>
    <row r="1445" spans="1:11" ht="15" customHeight="1" x14ac:dyDescent="0.25">
      <c r="A1445" s="75">
        <v>7</v>
      </c>
      <c r="B1445" s="75">
        <v>22</v>
      </c>
      <c r="C1445" s="75" t="s">
        <v>10</v>
      </c>
      <c r="D1445" s="75">
        <v>2131</v>
      </c>
      <c r="F1445" s="75" t="s">
        <v>10</v>
      </c>
      <c r="H1445" s="75" t="s">
        <v>10</v>
      </c>
      <c r="I1445" s="75">
        <v>19489</v>
      </c>
      <c r="K1445" s="75" t="str">
        <f>IFERROR(VLOOKUP(J1445,'NQ10'!$B$9:$C$145,2,0),"")</f>
        <v/>
      </c>
    </row>
    <row r="1446" spans="1:11" ht="15" customHeight="1" x14ac:dyDescent="0.25">
      <c r="A1446" s="75">
        <v>7</v>
      </c>
      <c r="B1446" s="75">
        <v>23</v>
      </c>
      <c r="C1446" s="75" t="s">
        <v>10</v>
      </c>
      <c r="D1446" s="75">
        <v>5594</v>
      </c>
      <c r="F1446" s="75" t="s">
        <v>10</v>
      </c>
      <c r="H1446" s="75" t="s">
        <v>10</v>
      </c>
      <c r="I1446" s="75">
        <v>19489</v>
      </c>
      <c r="K1446" s="75" t="str">
        <f>IFERROR(VLOOKUP(J1446,'NQ10'!$B$9:$C$145,2,0),"")</f>
        <v/>
      </c>
    </row>
    <row r="1447" spans="1:11" ht="15" customHeight="1" x14ac:dyDescent="0.25">
      <c r="A1447" s="75">
        <v>7</v>
      </c>
      <c r="B1447" s="75">
        <v>23</v>
      </c>
      <c r="C1447" s="75" t="s">
        <v>10</v>
      </c>
      <c r="D1447" s="75">
        <v>6018</v>
      </c>
      <c r="F1447" s="75" t="s">
        <v>10</v>
      </c>
      <c r="H1447" s="75" t="s">
        <v>10</v>
      </c>
      <c r="I1447" s="75">
        <v>19489</v>
      </c>
      <c r="K1447" s="75" t="str">
        <f>IFERROR(VLOOKUP(J1447,'NQ10'!$B$9:$C$145,2,0),"")</f>
        <v/>
      </c>
    </row>
    <row r="1448" spans="1:11" ht="15" customHeight="1" x14ac:dyDescent="0.25">
      <c r="A1448" s="75">
        <v>7</v>
      </c>
      <c r="B1448" s="75">
        <v>24</v>
      </c>
      <c r="C1448" s="75" t="s">
        <v>10</v>
      </c>
      <c r="D1448" s="75">
        <v>2441</v>
      </c>
      <c r="F1448" s="75" t="s">
        <v>10</v>
      </c>
      <c r="H1448" s="75" t="s">
        <v>10</v>
      </c>
      <c r="I1448" s="75">
        <v>19489</v>
      </c>
      <c r="K1448" s="75" t="str">
        <f>IFERROR(VLOOKUP(J1448,'NQ10'!$B$9:$C$145,2,0),"")</f>
        <v/>
      </c>
    </row>
    <row r="1449" spans="1:11" ht="15" customHeight="1" x14ac:dyDescent="0.25">
      <c r="A1449" s="75">
        <v>7</v>
      </c>
      <c r="B1449" s="75">
        <v>24</v>
      </c>
      <c r="C1449" s="75" t="s">
        <v>10</v>
      </c>
      <c r="D1449" s="75">
        <v>1433</v>
      </c>
      <c r="F1449" s="75" t="s">
        <v>10</v>
      </c>
      <c r="H1449" s="75" t="s">
        <v>10</v>
      </c>
      <c r="I1449" s="75">
        <v>19489</v>
      </c>
      <c r="K1449" s="75" t="str">
        <f>IFERROR(VLOOKUP(J1449,'NQ10'!$B$9:$C$145,2,0),"")</f>
        <v/>
      </c>
    </row>
    <row r="1450" spans="1:11" ht="15" customHeight="1" x14ac:dyDescent="0.25">
      <c r="A1450" s="75">
        <v>7</v>
      </c>
      <c r="B1450" s="75">
        <v>25</v>
      </c>
      <c r="C1450" s="75" t="s">
        <v>10</v>
      </c>
      <c r="D1450" s="75">
        <v>1732</v>
      </c>
      <c r="F1450" s="75" t="s">
        <v>10</v>
      </c>
      <c r="H1450" s="75" t="s">
        <v>10</v>
      </c>
      <c r="I1450" s="75">
        <v>19489</v>
      </c>
      <c r="K1450" s="75" t="str">
        <f>IFERROR(VLOOKUP(J1450,'NQ10'!$B$9:$C$145,2,0),"")</f>
        <v/>
      </c>
    </row>
    <row r="1451" spans="1:11" ht="15" customHeight="1" x14ac:dyDescent="0.25">
      <c r="A1451" s="75">
        <v>7</v>
      </c>
      <c r="B1451" s="75">
        <v>25</v>
      </c>
      <c r="C1451" s="75" t="s">
        <v>10</v>
      </c>
      <c r="D1451" s="75">
        <v>1217</v>
      </c>
      <c r="F1451" s="75" t="s">
        <v>10</v>
      </c>
      <c r="H1451" s="75" t="s">
        <v>10</v>
      </c>
      <c r="I1451" s="75">
        <v>19489</v>
      </c>
      <c r="K1451" s="75" t="str">
        <f>IFERROR(VLOOKUP(J1451,'NQ10'!$B$9:$C$145,2,0),"")</f>
        <v/>
      </c>
    </row>
    <row r="1452" spans="1:11" ht="15" customHeight="1" x14ac:dyDescent="0.25">
      <c r="A1452" s="75">
        <v>7</v>
      </c>
      <c r="B1452" s="75">
        <v>26</v>
      </c>
      <c r="C1452" s="75" t="s">
        <v>10</v>
      </c>
      <c r="D1452" s="75">
        <v>2204</v>
      </c>
      <c r="F1452" s="75" t="s">
        <v>10</v>
      </c>
      <c r="H1452" s="75" t="s">
        <v>10</v>
      </c>
      <c r="I1452" s="75">
        <v>19489</v>
      </c>
      <c r="K1452" s="75" t="str">
        <f>IFERROR(VLOOKUP(J1452,'NQ10'!$B$9:$C$145,2,0),"")</f>
        <v/>
      </c>
    </row>
    <row r="1453" spans="1:11" ht="15" customHeight="1" x14ac:dyDescent="0.25">
      <c r="A1453" s="75">
        <v>7</v>
      </c>
      <c r="B1453" s="75">
        <v>26</v>
      </c>
      <c r="C1453" s="75" t="s">
        <v>10</v>
      </c>
      <c r="D1453" s="75">
        <v>615</v>
      </c>
      <c r="F1453" s="75" t="s">
        <v>10</v>
      </c>
      <c r="H1453" s="75" t="s">
        <v>10</v>
      </c>
      <c r="I1453" s="75">
        <v>19489</v>
      </c>
      <c r="K1453" s="75" t="str">
        <f>IFERROR(VLOOKUP(J1453,'NQ10'!$B$9:$C$145,2,0),"")</f>
        <v/>
      </c>
    </row>
    <row r="1454" spans="1:11" ht="15" customHeight="1" x14ac:dyDescent="0.25">
      <c r="A1454" s="75">
        <v>7</v>
      </c>
      <c r="B1454" s="75">
        <v>27</v>
      </c>
      <c r="C1454" s="75" t="s">
        <v>10</v>
      </c>
      <c r="D1454" s="75">
        <v>2195</v>
      </c>
      <c r="F1454" s="75" t="s">
        <v>10</v>
      </c>
      <c r="H1454" s="75" t="s">
        <v>10</v>
      </c>
      <c r="I1454" s="75">
        <v>19489</v>
      </c>
      <c r="K1454" s="75" t="str">
        <f>IFERROR(VLOOKUP(J1454,'NQ10'!$B$9:$C$145,2,0),"")</f>
        <v/>
      </c>
    </row>
    <row r="1455" spans="1:11" ht="15" customHeight="1" x14ac:dyDescent="0.25">
      <c r="A1455" s="75">
        <v>7</v>
      </c>
      <c r="B1455" s="75">
        <v>27</v>
      </c>
      <c r="C1455" s="75" t="s">
        <v>10</v>
      </c>
      <c r="D1455" s="75">
        <v>1184</v>
      </c>
      <c r="F1455" s="75" t="s">
        <v>10</v>
      </c>
      <c r="H1455" s="75" t="s">
        <v>10</v>
      </c>
      <c r="I1455" s="75">
        <v>19489</v>
      </c>
      <c r="K1455" s="75" t="str">
        <f>IFERROR(VLOOKUP(J1455,'NQ10'!$B$9:$C$145,2,0),"")</f>
        <v/>
      </c>
    </row>
    <row r="1456" spans="1:11" ht="15" customHeight="1" x14ac:dyDescent="0.25">
      <c r="A1456" s="75">
        <v>7</v>
      </c>
      <c r="B1456" s="75">
        <v>28</v>
      </c>
      <c r="C1456" s="75" t="s">
        <v>10</v>
      </c>
      <c r="D1456" s="75">
        <v>951</v>
      </c>
      <c r="F1456" s="75" t="s">
        <v>10</v>
      </c>
      <c r="H1456" s="75" t="s">
        <v>10</v>
      </c>
      <c r="I1456" s="75">
        <v>19489</v>
      </c>
      <c r="K1456" s="75" t="str">
        <f>IFERROR(VLOOKUP(J1456,'NQ10'!$B$9:$C$145,2,0),"")</f>
        <v/>
      </c>
    </row>
    <row r="1457" spans="1:11" ht="15" customHeight="1" x14ac:dyDescent="0.25">
      <c r="A1457" s="75">
        <v>7</v>
      </c>
      <c r="B1457" s="75">
        <v>29</v>
      </c>
      <c r="C1457" s="75" t="s">
        <v>10</v>
      </c>
      <c r="D1457" s="75">
        <v>5531</v>
      </c>
      <c r="F1457" s="75" t="s">
        <v>10</v>
      </c>
      <c r="H1457" s="75" t="s">
        <v>10</v>
      </c>
      <c r="I1457" s="75">
        <v>19489</v>
      </c>
      <c r="K1457" s="75" t="str">
        <f>IFERROR(VLOOKUP(J1457,'NQ10'!$B$9:$C$145,2,0),"")</f>
        <v/>
      </c>
    </row>
    <row r="1458" spans="1:11" ht="15" customHeight="1" x14ac:dyDescent="0.25">
      <c r="A1458" s="75">
        <v>7</v>
      </c>
      <c r="B1458" s="75">
        <v>29</v>
      </c>
      <c r="C1458" s="75" t="s">
        <v>10</v>
      </c>
      <c r="D1458" s="75">
        <v>1300</v>
      </c>
      <c r="F1458" s="75" t="s">
        <v>10</v>
      </c>
      <c r="H1458" s="75" t="s">
        <v>10</v>
      </c>
      <c r="I1458" s="75">
        <v>19489</v>
      </c>
      <c r="K1458" s="75" t="str">
        <f>IFERROR(VLOOKUP(J1458,'NQ10'!$B$9:$C$145,2,0),"")</f>
        <v/>
      </c>
    </row>
    <row r="1459" spans="1:11" ht="15" customHeight="1" x14ac:dyDescent="0.25">
      <c r="A1459" s="75">
        <v>7</v>
      </c>
      <c r="B1459" s="75">
        <v>30</v>
      </c>
      <c r="C1459" s="75" t="s">
        <v>10</v>
      </c>
      <c r="D1459" s="75">
        <v>4065</v>
      </c>
      <c r="F1459" s="75" t="s">
        <v>10</v>
      </c>
      <c r="H1459" s="75" t="s">
        <v>10</v>
      </c>
      <c r="I1459" s="75">
        <v>19489</v>
      </c>
      <c r="K1459" s="75" t="str">
        <f>IFERROR(VLOOKUP(J1459,'NQ10'!$B$9:$C$145,2,0),"")</f>
        <v/>
      </c>
    </row>
    <row r="1460" spans="1:11" ht="15" customHeight="1" x14ac:dyDescent="0.25">
      <c r="A1460" s="75">
        <v>7</v>
      </c>
      <c r="B1460" s="75">
        <v>31</v>
      </c>
      <c r="C1460" s="75" t="s">
        <v>10</v>
      </c>
      <c r="D1460" s="75">
        <v>5126</v>
      </c>
      <c r="F1460" s="75" t="s">
        <v>10</v>
      </c>
      <c r="H1460" s="75" t="s">
        <v>10</v>
      </c>
      <c r="I1460" s="75">
        <v>19489</v>
      </c>
      <c r="K1460" s="75" t="str">
        <f>IFERROR(VLOOKUP(J1460,'NQ10'!$B$9:$C$145,2,0),"")</f>
        <v/>
      </c>
    </row>
    <row r="1461" spans="1:11" ht="15" customHeight="1" x14ac:dyDescent="0.25">
      <c r="A1461" s="75">
        <v>7</v>
      </c>
      <c r="B1461" s="75">
        <v>31</v>
      </c>
      <c r="C1461" s="75" t="s">
        <v>10</v>
      </c>
      <c r="D1461" s="75">
        <v>1137</v>
      </c>
      <c r="F1461" s="75" t="s">
        <v>10</v>
      </c>
      <c r="H1461" s="75" t="s">
        <v>10</v>
      </c>
      <c r="I1461" s="75">
        <v>19489</v>
      </c>
      <c r="K1461" s="75" t="str">
        <f>IFERROR(VLOOKUP(J1461,'NQ10'!$B$9:$C$145,2,0),"")</f>
        <v/>
      </c>
    </row>
    <row r="1462" spans="1:11" ht="15" customHeight="1" x14ac:dyDescent="0.25">
      <c r="A1462" s="75">
        <v>7</v>
      </c>
      <c r="B1462" s="75">
        <v>32</v>
      </c>
      <c r="C1462" s="75" t="s">
        <v>10</v>
      </c>
      <c r="D1462" s="75">
        <v>4869</v>
      </c>
      <c r="F1462" s="75" t="s">
        <v>10</v>
      </c>
      <c r="H1462" s="75" t="s">
        <v>10</v>
      </c>
      <c r="I1462" s="75">
        <v>19489</v>
      </c>
      <c r="K1462" s="75" t="str">
        <f>IFERROR(VLOOKUP(J1462,'NQ10'!$B$9:$C$145,2,0),"")</f>
        <v/>
      </c>
    </row>
    <row r="1463" spans="1:11" ht="15" customHeight="1" x14ac:dyDescent="0.25">
      <c r="A1463" s="75">
        <v>7</v>
      </c>
      <c r="B1463" s="75">
        <v>33</v>
      </c>
      <c r="C1463" s="75" t="s">
        <v>10</v>
      </c>
      <c r="D1463" s="75">
        <v>623</v>
      </c>
      <c r="F1463" s="75" t="s">
        <v>10</v>
      </c>
      <c r="H1463" s="75" t="s">
        <v>10</v>
      </c>
      <c r="I1463" s="75">
        <v>19489</v>
      </c>
      <c r="K1463" s="75" t="str">
        <f>IFERROR(VLOOKUP(J1463,'NQ10'!$B$9:$C$145,2,0),"")</f>
        <v/>
      </c>
    </row>
    <row r="1464" spans="1:11" ht="15" customHeight="1" x14ac:dyDescent="0.25">
      <c r="A1464" s="75">
        <v>7</v>
      </c>
      <c r="B1464" s="75">
        <v>33</v>
      </c>
      <c r="C1464" s="75" t="s">
        <v>10</v>
      </c>
      <c r="D1464" s="75">
        <v>8405</v>
      </c>
      <c r="F1464" s="75" t="s">
        <v>10</v>
      </c>
      <c r="H1464" s="75" t="s">
        <v>10</v>
      </c>
      <c r="I1464" s="75">
        <v>19489</v>
      </c>
      <c r="K1464" s="75" t="str">
        <f>IFERROR(VLOOKUP(J1464,'NQ10'!$B$9:$C$145,2,0),"")</f>
        <v/>
      </c>
    </row>
    <row r="1465" spans="1:11" ht="15" customHeight="1" x14ac:dyDescent="0.25">
      <c r="A1465" s="75">
        <v>7</v>
      </c>
      <c r="B1465" s="75">
        <v>34</v>
      </c>
      <c r="C1465" s="75" t="s">
        <v>10</v>
      </c>
      <c r="D1465" s="75">
        <v>4818</v>
      </c>
      <c r="F1465" s="75" t="s">
        <v>10</v>
      </c>
      <c r="H1465" s="75" t="s">
        <v>10</v>
      </c>
      <c r="I1465" s="75">
        <v>19489</v>
      </c>
      <c r="K1465" s="75" t="str">
        <f>IFERROR(VLOOKUP(J1465,'NQ10'!$B$9:$C$145,2,0),"")</f>
        <v/>
      </c>
    </row>
    <row r="1466" spans="1:11" ht="15" customHeight="1" x14ac:dyDescent="0.25">
      <c r="A1466" s="75">
        <v>7</v>
      </c>
      <c r="B1466" s="75">
        <v>34</v>
      </c>
      <c r="C1466" s="75" t="s">
        <v>10</v>
      </c>
      <c r="D1466" s="75">
        <v>1082</v>
      </c>
      <c r="F1466" s="75" t="s">
        <v>10</v>
      </c>
      <c r="H1466" s="75" t="s">
        <v>10</v>
      </c>
      <c r="I1466" s="75">
        <v>19489</v>
      </c>
      <c r="K1466" s="75" t="str">
        <f>IFERROR(VLOOKUP(J1466,'NQ10'!$B$9:$C$145,2,0),"")</f>
        <v/>
      </c>
    </row>
    <row r="1467" spans="1:11" ht="15" customHeight="1" x14ac:dyDescent="0.25">
      <c r="A1467" s="75">
        <v>7</v>
      </c>
      <c r="B1467" s="75">
        <v>35</v>
      </c>
      <c r="C1467" s="75" t="s">
        <v>10</v>
      </c>
      <c r="D1467" s="75">
        <v>654</v>
      </c>
      <c r="F1467" s="75" t="s">
        <v>10</v>
      </c>
      <c r="H1467" s="75" t="s">
        <v>10</v>
      </c>
      <c r="I1467" s="75">
        <v>19489</v>
      </c>
      <c r="K1467" s="75" t="str">
        <f>IFERROR(VLOOKUP(J1467,'NQ10'!$B$9:$C$145,2,0),"")</f>
        <v/>
      </c>
    </row>
    <row r="1468" spans="1:11" ht="15" customHeight="1" x14ac:dyDescent="0.25">
      <c r="A1468" s="75">
        <v>7</v>
      </c>
      <c r="B1468" s="75">
        <v>35</v>
      </c>
      <c r="C1468" s="75" t="s">
        <v>10</v>
      </c>
      <c r="D1468" s="75">
        <v>4031</v>
      </c>
      <c r="F1468" s="75" t="s">
        <v>10</v>
      </c>
      <c r="H1468" s="75" t="s">
        <v>10</v>
      </c>
      <c r="I1468" s="75">
        <v>19489</v>
      </c>
      <c r="K1468" s="75" t="str">
        <f>IFERROR(VLOOKUP(J1468,'NQ10'!$B$9:$C$145,2,0),"")</f>
        <v/>
      </c>
    </row>
    <row r="1469" spans="1:11" ht="15" customHeight="1" x14ac:dyDescent="0.25">
      <c r="A1469" s="75">
        <v>7</v>
      </c>
      <c r="B1469" s="75">
        <v>36</v>
      </c>
      <c r="C1469" s="75" t="s">
        <v>10</v>
      </c>
      <c r="D1469" s="75">
        <v>2345</v>
      </c>
      <c r="F1469" s="75" t="s">
        <v>10</v>
      </c>
      <c r="H1469" s="75" t="s">
        <v>10</v>
      </c>
      <c r="I1469" s="75">
        <v>19489</v>
      </c>
      <c r="K1469" s="75" t="str">
        <f>IFERROR(VLOOKUP(J1469,'NQ10'!$B$9:$C$145,2,0),"")</f>
        <v/>
      </c>
    </row>
    <row r="1470" spans="1:11" ht="15" customHeight="1" x14ac:dyDescent="0.25">
      <c r="A1470" s="75">
        <v>7</v>
      </c>
      <c r="B1470" s="75">
        <v>36</v>
      </c>
      <c r="C1470" s="75" t="s">
        <v>10</v>
      </c>
      <c r="D1470" s="75">
        <v>703</v>
      </c>
      <c r="F1470" s="75" t="s">
        <v>10</v>
      </c>
      <c r="H1470" s="75" t="s">
        <v>10</v>
      </c>
      <c r="I1470" s="75">
        <v>19489</v>
      </c>
      <c r="K1470" s="75" t="str">
        <f>IFERROR(VLOOKUP(J1470,'NQ10'!$B$9:$C$145,2,0),"")</f>
        <v/>
      </c>
    </row>
    <row r="1471" spans="1:11" ht="15" customHeight="1" x14ac:dyDescent="0.25">
      <c r="A1471" s="75">
        <v>7</v>
      </c>
      <c r="B1471" s="75">
        <v>37</v>
      </c>
      <c r="C1471" s="75" t="s">
        <v>10</v>
      </c>
      <c r="D1471" s="75">
        <v>11236</v>
      </c>
      <c r="F1471" s="75" t="s">
        <v>10</v>
      </c>
      <c r="H1471" s="75" t="s">
        <v>10</v>
      </c>
      <c r="I1471" s="75">
        <v>19489</v>
      </c>
      <c r="K1471" s="75" t="str">
        <f>IFERROR(VLOOKUP(J1471,'NQ10'!$B$9:$C$145,2,0),"")</f>
        <v/>
      </c>
    </row>
    <row r="1472" spans="1:11" ht="15" customHeight="1" x14ac:dyDescent="0.25">
      <c r="A1472" s="75">
        <v>7</v>
      </c>
      <c r="B1472" s="75">
        <v>37</v>
      </c>
      <c r="C1472" s="75" t="s">
        <v>10</v>
      </c>
      <c r="D1472" s="75">
        <v>385</v>
      </c>
      <c r="F1472" s="75" t="s">
        <v>10</v>
      </c>
      <c r="H1472" s="75" t="s">
        <v>10</v>
      </c>
      <c r="I1472" s="75">
        <v>19489</v>
      </c>
      <c r="K1472" s="75" t="str">
        <f>IFERROR(VLOOKUP(J1472,'NQ10'!$B$9:$C$145,2,0),"")</f>
        <v/>
      </c>
    </row>
    <row r="1473" spans="1:11" ht="15" customHeight="1" x14ac:dyDescent="0.25">
      <c r="A1473" s="75">
        <v>7</v>
      </c>
      <c r="B1473" s="75">
        <v>38</v>
      </c>
      <c r="C1473" s="75" t="s">
        <v>10</v>
      </c>
      <c r="D1473" s="75">
        <v>8895</v>
      </c>
      <c r="F1473" s="75" t="s">
        <v>10</v>
      </c>
      <c r="H1473" s="75" t="s">
        <v>10</v>
      </c>
      <c r="I1473" s="75">
        <v>19489</v>
      </c>
      <c r="K1473" s="75" t="str">
        <f>IFERROR(VLOOKUP(J1473,'NQ10'!$B$9:$C$145,2,0),"")</f>
        <v/>
      </c>
    </row>
    <row r="1474" spans="1:11" ht="15" customHeight="1" x14ac:dyDescent="0.25">
      <c r="A1474" s="75">
        <v>7</v>
      </c>
      <c r="B1474" s="75">
        <v>39</v>
      </c>
      <c r="C1474" s="75" t="s">
        <v>10</v>
      </c>
      <c r="D1474" s="75">
        <v>6223</v>
      </c>
      <c r="F1474" s="75" t="s">
        <v>10</v>
      </c>
      <c r="H1474" s="75" t="s">
        <v>10</v>
      </c>
      <c r="I1474" s="75">
        <v>19489</v>
      </c>
      <c r="K1474" s="75" t="str">
        <f>IFERROR(VLOOKUP(J1474,'NQ10'!$B$9:$C$145,2,0),"")</f>
        <v/>
      </c>
    </row>
    <row r="1475" spans="1:11" ht="15" customHeight="1" x14ac:dyDescent="0.25">
      <c r="A1475" s="75">
        <v>7</v>
      </c>
      <c r="B1475" s="75">
        <v>40</v>
      </c>
      <c r="C1475" s="75" t="s">
        <v>10</v>
      </c>
      <c r="D1475" s="75">
        <v>4165</v>
      </c>
      <c r="F1475" s="75" t="s">
        <v>10</v>
      </c>
      <c r="H1475" s="75" t="s">
        <v>10</v>
      </c>
      <c r="I1475" s="75">
        <v>19489</v>
      </c>
      <c r="K1475" s="75" t="str">
        <f>IFERROR(VLOOKUP(J1475,'NQ10'!$B$9:$C$145,2,0),"")</f>
        <v/>
      </c>
    </row>
    <row r="1476" spans="1:11" ht="15" customHeight="1" x14ac:dyDescent="0.25">
      <c r="A1476" s="75">
        <v>7</v>
      </c>
      <c r="B1476" s="75">
        <v>41</v>
      </c>
      <c r="C1476" s="75" t="s">
        <v>10</v>
      </c>
      <c r="D1476" s="75">
        <v>3819</v>
      </c>
      <c r="F1476" s="75" t="s">
        <v>10</v>
      </c>
      <c r="H1476" s="75" t="s">
        <v>10</v>
      </c>
      <c r="I1476" s="75">
        <v>19489</v>
      </c>
      <c r="K1476" s="75" t="str">
        <f>IFERROR(VLOOKUP(J1476,'NQ10'!$B$9:$C$145,2,0),"")</f>
        <v/>
      </c>
    </row>
    <row r="1477" spans="1:11" ht="15" customHeight="1" x14ac:dyDescent="0.25">
      <c r="A1477" s="75">
        <v>7</v>
      </c>
      <c r="B1477" s="75">
        <v>42</v>
      </c>
      <c r="C1477" s="75" t="s">
        <v>10</v>
      </c>
      <c r="D1477" s="75">
        <v>2733</v>
      </c>
      <c r="F1477" s="75" t="s">
        <v>10</v>
      </c>
      <c r="H1477" s="75" t="s">
        <v>10</v>
      </c>
      <c r="I1477" s="75">
        <v>19489</v>
      </c>
      <c r="K1477" s="75" t="str">
        <f>IFERROR(VLOOKUP(J1477,'NQ10'!$B$9:$C$145,2,0),"")</f>
        <v/>
      </c>
    </row>
    <row r="1478" spans="1:11" ht="15" customHeight="1" x14ac:dyDescent="0.25">
      <c r="A1478" s="75">
        <v>7</v>
      </c>
      <c r="B1478" s="75">
        <v>43</v>
      </c>
      <c r="C1478" s="75" t="s">
        <v>10</v>
      </c>
      <c r="D1478" s="75">
        <v>2924</v>
      </c>
      <c r="F1478" s="75" t="s">
        <v>10</v>
      </c>
      <c r="H1478" s="75" t="s">
        <v>10</v>
      </c>
      <c r="I1478" s="75">
        <v>19489</v>
      </c>
      <c r="K1478" s="75" t="str">
        <f>IFERROR(VLOOKUP(J1478,'NQ10'!$B$9:$C$145,2,0),"")</f>
        <v/>
      </c>
    </row>
    <row r="1479" spans="1:11" ht="15" customHeight="1" x14ac:dyDescent="0.25">
      <c r="A1479" s="75">
        <v>7</v>
      </c>
      <c r="B1479" s="75">
        <v>44</v>
      </c>
      <c r="C1479" s="75" t="s">
        <v>10</v>
      </c>
      <c r="D1479" s="75">
        <v>398</v>
      </c>
      <c r="F1479" s="75" t="s">
        <v>10</v>
      </c>
      <c r="H1479" s="75" t="s">
        <v>10</v>
      </c>
      <c r="I1479" s="75">
        <v>19489</v>
      </c>
      <c r="K1479" s="75" t="str">
        <f>IFERROR(VLOOKUP(J1479,'NQ10'!$B$9:$C$145,2,0),"")</f>
        <v/>
      </c>
    </row>
    <row r="1480" spans="1:11" ht="15" customHeight="1" x14ac:dyDescent="0.25">
      <c r="A1480" s="75">
        <v>7</v>
      </c>
      <c r="B1480" s="75">
        <v>45</v>
      </c>
      <c r="C1480" s="75" t="s">
        <v>10</v>
      </c>
      <c r="D1480" s="75">
        <v>2279</v>
      </c>
      <c r="F1480" s="75" t="s">
        <v>10</v>
      </c>
      <c r="H1480" s="75" t="s">
        <v>10</v>
      </c>
      <c r="I1480" s="75">
        <v>19489</v>
      </c>
      <c r="K1480" s="75" t="str">
        <f>IFERROR(VLOOKUP(J1480,'NQ10'!$B$9:$C$145,2,0),"")</f>
        <v/>
      </c>
    </row>
    <row r="1481" spans="1:11" ht="15" customHeight="1" x14ac:dyDescent="0.25">
      <c r="A1481" s="75">
        <v>7</v>
      </c>
      <c r="B1481" s="75">
        <v>46</v>
      </c>
      <c r="C1481" s="75" t="s">
        <v>10</v>
      </c>
      <c r="D1481" s="75">
        <v>3216</v>
      </c>
      <c r="F1481" s="75" t="s">
        <v>10</v>
      </c>
      <c r="H1481" s="75" t="s">
        <v>10</v>
      </c>
      <c r="I1481" s="75">
        <v>19489</v>
      </c>
      <c r="K1481" s="75" t="str">
        <f>IFERROR(VLOOKUP(J1481,'NQ10'!$B$9:$C$145,2,0),"")</f>
        <v/>
      </c>
    </row>
    <row r="1482" spans="1:11" ht="15" customHeight="1" x14ac:dyDescent="0.25">
      <c r="A1482" s="75">
        <v>7</v>
      </c>
      <c r="B1482" s="75">
        <v>47</v>
      </c>
      <c r="C1482" s="75" t="s">
        <v>10</v>
      </c>
      <c r="D1482" s="75">
        <v>7565</v>
      </c>
      <c r="F1482" s="75" t="s">
        <v>10</v>
      </c>
      <c r="H1482" s="75" t="s">
        <v>10</v>
      </c>
      <c r="I1482" s="75">
        <v>19489</v>
      </c>
      <c r="K1482" s="75" t="str">
        <f>IFERROR(VLOOKUP(J1482,'NQ10'!$B$9:$C$145,2,0),"")</f>
        <v/>
      </c>
    </row>
    <row r="1483" spans="1:11" ht="15" customHeight="1" x14ac:dyDescent="0.25">
      <c r="A1483" s="75">
        <v>7</v>
      </c>
      <c r="B1483" s="75">
        <v>48</v>
      </c>
      <c r="C1483" s="75" t="s">
        <v>10</v>
      </c>
      <c r="D1483" s="75">
        <v>2507</v>
      </c>
      <c r="F1483" s="75" t="s">
        <v>10</v>
      </c>
      <c r="H1483" s="75" t="s">
        <v>10</v>
      </c>
      <c r="I1483" s="75">
        <v>19489</v>
      </c>
      <c r="K1483" s="75" t="str">
        <f>IFERROR(VLOOKUP(J1483,'NQ10'!$B$9:$C$145,2,0),"")</f>
        <v/>
      </c>
    </row>
    <row r="1484" spans="1:11" ht="15" customHeight="1" x14ac:dyDescent="0.25">
      <c r="A1484" s="75">
        <v>7</v>
      </c>
      <c r="B1484" s="75">
        <v>49</v>
      </c>
      <c r="C1484" s="75" t="s">
        <v>10</v>
      </c>
      <c r="D1484" s="75">
        <v>3420</v>
      </c>
      <c r="F1484" s="75" t="s">
        <v>10</v>
      </c>
      <c r="H1484" s="75" t="s">
        <v>10</v>
      </c>
      <c r="I1484" s="75">
        <v>19489</v>
      </c>
      <c r="K1484" s="75" t="str">
        <f>IFERROR(VLOOKUP(J1484,'NQ10'!$B$9:$C$145,2,0),"")</f>
        <v/>
      </c>
    </row>
    <row r="1485" spans="1:11" ht="15" customHeight="1" x14ac:dyDescent="0.25">
      <c r="A1485" s="75">
        <v>7</v>
      </c>
      <c r="B1485" s="75">
        <v>50</v>
      </c>
      <c r="C1485" s="75" t="s">
        <v>10</v>
      </c>
      <c r="D1485" s="75">
        <v>4873</v>
      </c>
      <c r="F1485" s="75" t="s">
        <v>10</v>
      </c>
      <c r="H1485" s="75" t="s">
        <v>10</v>
      </c>
      <c r="I1485" s="75">
        <v>19489</v>
      </c>
      <c r="K1485" s="75" t="str">
        <f>IFERROR(VLOOKUP(J1485,'NQ10'!$B$9:$C$145,2,0),"")</f>
        <v/>
      </c>
    </row>
    <row r="1486" spans="1:11" ht="15" customHeight="1" x14ac:dyDescent="0.25">
      <c r="A1486" s="75">
        <v>7</v>
      </c>
      <c r="B1486" s="75">
        <v>51</v>
      </c>
      <c r="C1486" s="75" t="s">
        <v>10</v>
      </c>
      <c r="D1486" s="75">
        <v>4290</v>
      </c>
      <c r="F1486" s="75" t="s">
        <v>10</v>
      </c>
      <c r="H1486" s="75" t="s">
        <v>10</v>
      </c>
      <c r="I1486" s="75">
        <v>19489</v>
      </c>
      <c r="K1486" s="75" t="str">
        <f>IFERROR(VLOOKUP(J1486,'NQ10'!$B$9:$C$145,2,0),"")</f>
        <v/>
      </c>
    </row>
    <row r="1487" spans="1:11" ht="15" customHeight="1" x14ac:dyDescent="0.25">
      <c r="A1487" s="75">
        <v>7</v>
      </c>
      <c r="B1487" s="75">
        <v>52</v>
      </c>
      <c r="C1487" s="75" t="s">
        <v>10</v>
      </c>
      <c r="D1487" s="75">
        <v>9531</v>
      </c>
      <c r="F1487" s="75" t="s">
        <v>10</v>
      </c>
      <c r="H1487" s="75" t="s">
        <v>10</v>
      </c>
      <c r="I1487" s="75">
        <v>19489</v>
      </c>
      <c r="K1487" s="75" t="str">
        <f>IFERROR(VLOOKUP(J1487,'NQ10'!$B$9:$C$145,2,0),"")</f>
        <v/>
      </c>
    </row>
    <row r="1488" spans="1:11" ht="15" customHeight="1" x14ac:dyDescent="0.25">
      <c r="A1488" s="75">
        <v>7</v>
      </c>
      <c r="B1488" s="75">
        <v>53</v>
      </c>
      <c r="C1488" s="75" t="s">
        <v>10</v>
      </c>
      <c r="D1488" s="75">
        <v>8583</v>
      </c>
      <c r="F1488" s="75" t="s">
        <v>10</v>
      </c>
      <c r="H1488" s="75" t="s">
        <v>10</v>
      </c>
      <c r="I1488" s="75">
        <v>19489</v>
      </c>
      <c r="K1488" s="75" t="str">
        <f>IFERROR(VLOOKUP(J1488,'NQ10'!$B$9:$C$145,2,0),"")</f>
        <v/>
      </c>
    </row>
    <row r="1489" spans="1:11" ht="15" customHeight="1" x14ac:dyDescent="0.25">
      <c r="A1489" s="75">
        <v>7</v>
      </c>
      <c r="B1489" s="75">
        <v>54</v>
      </c>
      <c r="C1489" s="75" t="s">
        <v>10</v>
      </c>
      <c r="D1489" s="75">
        <v>2668</v>
      </c>
      <c r="F1489" s="75" t="s">
        <v>10</v>
      </c>
      <c r="H1489" s="75" t="s">
        <v>10</v>
      </c>
      <c r="I1489" s="75">
        <v>19489</v>
      </c>
      <c r="K1489" s="75" t="str">
        <f>IFERROR(VLOOKUP(J1489,'NQ10'!$B$9:$C$145,2,0),"")</f>
        <v/>
      </c>
    </row>
    <row r="1490" spans="1:11" ht="15" customHeight="1" x14ac:dyDescent="0.25">
      <c r="A1490" s="75">
        <v>7</v>
      </c>
      <c r="B1490" s="75">
        <v>55</v>
      </c>
      <c r="C1490" s="75" t="s">
        <v>10</v>
      </c>
      <c r="D1490" s="75">
        <v>4021</v>
      </c>
      <c r="F1490" s="75" t="s">
        <v>10</v>
      </c>
      <c r="H1490" s="75" t="s">
        <v>10</v>
      </c>
      <c r="I1490" s="75">
        <v>19489</v>
      </c>
      <c r="K1490" s="75" t="str">
        <f>IFERROR(VLOOKUP(J1490,'NQ10'!$B$9:$C$145,2,0),"")</f>
        <v/>
      </c>
    </row>
    <row r="1491" spans="1:11" ht="15" customHeight="1" x14ac:dyDescent="0.25">
      <c r="A1491" s="75">
        <v>7</v>
      </c>
      <c r="B1491" s="75">
        <v>56</v>
      </c>
      <c r="C1491" s="75" t="s">
        <v>10</v>
      </c>
      <c r="D1491" s="75">
        <v>16947</v>
      </c>
      <c r="F1491" s="75" t="s">
        <v>10</v>
      </c>
      <c r="H1491" s="75" t="s">
        <v>10</v>
      </c>
      <c r="I1491" s="75">
        <v>19489</v>
      </c>
      <c r="K1491" s="75" t="str">
        <f>IFERROR(VLOOKUP(J1491,'NQ10'!$B$9:$C$145,2,0),"")</f>
        <v/>
      </c>
    </row>
    <row r="1492" spans="1:11" ht="15" customHeight="1" x14ac:dyDescent="0.25">
      <c r="A1492" s="75">
        <v>7</v>
      </c>
      <c r="B1492" s="75">
        <v>57</v>
      </c>
      <c r="C1492" s="75" t="s">
        <v>10</v>
      </c>
      <c r="D1492" s="75">
        <v>1211</v>
      </c>
      <c r="F1492" s="75" t="s">
        <v>10</v>
      </c>
      <c r="H1492" s="75" t="s">
        <v>10</v>
      </c>
      <c r="I1492" s="75">
        <v>19489</v>
      </c>
      <c r="K1492" s="75" t="str">
        <f>IFERROR(VLOOKUP(J1492,'NQ10'!$B$9:$C$145,2,0),"")</f>
        <v/>
      </c>
    </row>
    <row r="1493" spans="1:11" ht="15" customHeight="1" x14ac:dyDescent="0.25">
      <c r="A1493" s="75">
        <v>7</v>
      </c>
      <c r="B1493" s="75">
        <v>58</v>
      </c>
      <c r="C1493" s="75" t="s">
        <v>10</v>
      </c>
      <c r="D1493" s="75">
        <v>4675</v>
      </c>
      <c r="F1493" s="75" t="s">
        <v>10</v>
      </c>
      <c r="H1493" s="75" t="s">
        <v>10</v>
      </c>
      <c r="I1493" s="75">
        <v>19489</v>
      </c>
      <c r="K1493" s="75" t="str">
        <f>IFERROR(VLOOKUP(J1493,'NQ10'!$B$9:$C$145,2,0),"")</f>
        <v/>
      </c>
    </row>
    <row r="1494" spans="1:11" ht="15" customHeight="1" x14ac:dyDescent="0.25">
      <c r="A1494" s="75">
        <v>7</v>
      </c>
      <c r="B1494" s="75">
        <v>59</v>
      </c>
      <c r="C1494" s="75" t="s">
        <v>10</v>
      </c>
      <c r="D1494" s="75">
        <v>1741</v>
      </c>
      <c r="F1494" s="75" t="s">
        <v>10</v>
      </c>
      <c r="H1494" s="75" t="s">
        <v>10</v>
      </c>
      <c r="I1494" s="75">
        <v>19489</v>
      </c>
      <c r="K1494" s="75" t="str">
        <f>IFERROR(VLOOKUP(J1494,'NQ10'!$B$9:$C$145,2,0),"")</f>
        <v/>
      </c>
    </row>
    <row r="1495" spans="1:11" ht="15" customHeight="1" x14ac:dyDescent="0.25">
      <c r="A1495" s="75">
        <v>7</v>
      </c>
      <c r="B1495" s="75">
        <v>60</v>
      </c>
      <c r="C1495" s="75" t="s">
        <v>10</v>
      </c>
      <c r="D1495" s="75">
        <v>4712</v>
      </c>
      <c r="F1495" s="75" t="s">
        <v>10</v>
      </c>
      <c r="H1495" s="75" t="s">
        <v>10</v>
      </c>
      <c r="I1495" s="75">
        <v>19489</v>
      </c>
      <c r="K1495" s="75" t="str">
        <f>IFERROR(VLOOKUP(J1495,'NQ10'!$B$9:$C$145,2,0),"")</f>
        <v/>
      </c>
    </row>
    <row r="1496" spans="1:11" ht="15" customHeight="1" x14ac:dyDescent="0.25">
      <c r="A1496" s="75">
        <v>7</v>
      </c>
      <c r="B1496" s="75">
        <v>61</v>
      </c>
      <c r="C1496" s="75" t="s">
        <v>10</v>
      </c>
      <c r="D1496" s="75">
        <v>5728</v>
      </c>
      <c r="F1496" s="75" t="s">
        <v>10</v>
      </c>
      <c r="H1496" s="75" t="s">
        <v>10</v>
      </c>
      <c r="I1496" s="75">
        <v>19489</v>
      </c>
      <c r="K1496" s="75" t="str">
        <f>IFERROR(VLOOKUP(J1496,'NQ10'!$B$9:$C$145,2,0),"")</f>
        <v/>
      </c>
    </row>
    <row r="1497" spans="1:11" ht="15" customHeight="1" x14ac:dyDescent="0.25">
      <c r="A1497" s="75">
        <v>7</v>
      </c>
      <c r="B1497" s="75">
        <v>63</v>
      </c>
      <c r="C1497" s="75" t="s">
        <v>10</v>
      </c>
      <c r="D1497" s="75">
        <v>5444</v>
      </c>
      <c r="F1497" s="75" t="s">
        <v>10</v>
      </c>
      <c r="H1497" s="75" t="s">
        <v>10</v>
      </c>
      <c r="I1497" s="75">
        <v>19489</v>
      </c>
      <c r="K1497" s="75" t="str">
        <f>IFERROR(VLOOKUP(J1497,'NQ10'!$B$9:$C$145,2,0),"")</f>
        <v/>
      </c>
    </row>
    <row r="1498" spans="1:11" ht="15" customHeight="1" x14ac:dyDescent="0.25">
      <c r="A1498" s="75">
        <v>7</v>
      </c>
      <c r="B1498" s="75">
        <v>64</v>
      </c>
      <c r="C1498" s="75" t="s">
        <v>10</v>
      </c>
      <c r="D1498" s="75">
        <v>1542</v>
      </c>
      <c r="F1498" s="75" t="s">
        <v>10</v>
      </c>
      <c r="H1498" s="75" t="s">
        <v>10</v>
      </c>
      <c r="I1498" s="75">
        <v>19489</v>
      </c>
      <c r="K1498" s="75" t="str">
        <f>IFERROR(VLOOKUP(J1498,'NQ10'!$B$9:$C$145,2,0),"")</f>
        <v/>
      </c>
    </row>
    <row r="1499" spans="1:11" ht="15" customHeight="1" x14ac:dyDescent="0.25">
      <c r="A1499" s="75">
        <v>7</v>
      </c>
      <c r="B1499" s="75">
        <v>65</v>
      </c>
      <c r="C1499" s="75" t="s">
        <v>10</v>
      </c>
      <c r="D1499" s="75">
        <v>11699</v>
      </c>
      <c r="F1499" s="75" t="s">
        <v>10</v>
      </c>
      <c r="H1499" s="75" t="s">
        <v>10</v>
      </c>
      <c r="I1499" s="75">
        <v>19489</v>
      </c>
      <c r="K1499" s="75" t="str">
        <f>IFERROR(VLOOKUP(J1499,'NQ10'!$B$9:$C$145,2,0),"")</f>
        <v/>
      </c>
    </row>
    <row r="1500" spans="1:11" ht="15" customHeight="1" x14ac:dyDescent="0.25">
      <c r="A1500" s="75">
        <v>7</v>
      </c>
      <c r="B1500" s="75">
        <v>68</v>
      </c>
      <c r="C1500" s="75" t="s">
        <v>10</v>
      </c>
      <c r="D1500" s="75">
        <v>6035</v>
      </c>
      <c r="F1500" s="75" t="s">
        <v>10</v>
      </c>
      <c r="H1500" s="75" t="s">
        <v>10</v>
      </c>
      <c r="I1500" s="75">
        <v>19489</v>
      </c>
      <c r="K1500" s="75" t="str">
        <f>IFERROR(VLOOKUP(J1500,'NQ10'!$B$9:$C$145,2,0),"")</f>
        <v/>
      </c>
    </row>
    <row r="1501" spans="1:11" ht="15" customHeight="1" x14ac:dyDescent="0.25">
      <c r="A1501" s="75">
        <v>7</v>
      </c>
      <c r="B1501" s="75">
        <v>71</v>
      </c>
      <c r="C1501" s="75" t="s">
        <v>10</v>
      </c>
      <c r="D1501" s="75">
        <v>1035</v>
      </c>
      <c r="F1501" s="75" t="s">
        <v>10</v>
      </c>
      <c r="H1501" s="75" t="s">
        <v>10</v>
      </c>
      <c r="I1501" s="75">
        <v>19489</v>
      </c>
      <c r="K1501" s="75" t="str">
        <f>IFERROR(VLOOKUP(J1501,'NQ10'!$B$9:$C$145,2,0),"")</f>
        <v/>
      </c>
    </row>
    <row r="1502" spans="1:11" ht="15" customHeight="1" x14ac:dyDescent="0.25">
      <c r="A1502" s="75">
        <v>7</v>
      </c>
      <c r="B1502" s="75">
        <v>72</v>
      </c>
      <c r="C1502" s="75" t="s">
        <v>10</v>
      </c>
      <c r="D1502" s="75">
        <v>1681</v>
      </c>
      <c r="F1502" s="75" t="s">
        <v>10</v>
      </c>
      <c r="H1502" s="75" t="s">
        <v>10</v>
      </c>
      <c r="I1502" s="75">
        <v>19489</v>
      </c>
      <c r="K1502" s="75" t="str">
        <f>IFERROR(VLOOKUP(J1502,'NQ10'!$B$9:$C$145,2,0),"")</f>
        <v/>
      </c>
    </row>
    <row r="1503" spans="1:11" ht="15" customHeight="1" x14ac:dyDescent="0.25">
      <c r="A1503" s="75">
        <v>7</v>
      </c>
      <c r="B1503" s="75">
        <v>73</v>
      </c>
      <c r="C1503" s="75" t="s">
        <v>10</v>
      </c>
      <c r="D1503" s="75">
        <v>5050</v>
      </c>
      <c r="F1503" s="75" t="s">
        <v>10</v>
      </c>
      <c r="H1503" s="75" t="s">
        <v>10</v>
      </c>
      <c r="I1503" s="75">
        <v>19489</v>
      </c>
      <c r="K1503" s="75" t="str">
        <f>IFERROR(VLOOKUP(J1503,'NQ10'!$B$9:$C$145,2,0),"")</f>
        <v/>
      </c>
    </row>
    <row r="1504" spans="1:11" ht="15" customHeight="1" x14ac:dyDescent="0.25">
      <c r="A1504" s="75">
        <v>7</v>
      </c>
      <c r="B1504" s="75">
        <v>74</v>
      </c>
      <c r="C1504" s="75" t="s">
        <v>10</v>
      </c>
      <c r="D1504" s="75">
        <v>2821</v>
      </c>
      <c r="F1504" s="75" t="s">
        <v>10</v>
      </c>
      <c r="H1504" s="75" t="s">
        <v>10</v>
      </c>
      <c r="I1504" s="75">
        <v>19489</v>
      </c>
      <c r="K1504" s="75" t="str">
        <f>IFERROR(VLOOKUP(J1504,'NQ10'!$B$9:$C$145,2,0),"")</f>
        <v/>
      </c>
    </row>
    <row r="1505" spans="1:11" ht="15" customHeight="1" x14ac:dyDescent="0.25">
      <c r="A1505" s="75">
        <v>7</v>
      </c>
      <c r="B1505" s="75">
        <v>75</v>
      </c>
      <c r="C1505" s="75" t="s">
        <v>10</v>
      </c>
      <c r="D1505" s="75">
        <v>7351</v>
      </c>
      <c r="F1505" s="75" t="s">
        <v>10</v>
      </c>
      <c r="H1505" s="75" t="s">
        <v>10</v>
      </c>
      <c r="I1505" s="75">
        <v>19489</v>
      </c>
      <c r="K1505" s="75" t="str">
        <f>IFERROR(VLOOKUP(J1505,'NQ10'!$B$9:$C$145,2,0),"")</f>
        <v/>
      </c>
    </row>
    <row r="1506" spans="1:11" ht="15" customHeight="1" x14ac:dyDescent="0.25">
      <c r="A1506" s="75">
        <v>7</v>
      </c>
      <c r="B1506" s="75">
        <v>76</v>
      </c>
      <c r="C1506" s="75" t="s">
        <v>10</v>
      </c>
      <c r="D1506" s="75">
        <v>2852</v>
      </c>
      <c r="F1506" s="75" t="s">
        <v>10</v>
      </c>
      <c r="H1506" s="75" t="s">
        <v>10</v>
      </c>
      <c r="I1506" s="75">
        <v>19489</v>
      </c>
      <c r="K1506" s="75" t="str">
        <f>IFERROR(VLOOKUP(J1506,'NQ10'!$B$9:$C$145,2,0),"")</f>
        <v/>
      </c>
    </row>
    <row r="1507" spans="1:11" ht="15" customHeight="1" x14ac:dyDescent="0.25">
      <c r="A1507" s="75">
        <v>7</v>
      </c>
      <c r="B1507" s="75">
        <v>77</v>
      </c>
      <c r="C1507" s="75" t="s">
        <v>10</v>
      </c>
      <c r="D1507" s="75">
        <v>1516</v>
      </c>
      <c r="F1507" s="75" t="s">
        <v>10</v>
      </c>
      <c r="H1507" s="75" t="s">
        <v>10</v>
      </c>
      <c r="I1507" s="75">
        <v>19489</v>
      </c>
      <c r="K1507" s="75" t="str">
        <f>IFERROR(VLOOKUP(J1507,'NQ10'!$B$9:$C$145,2,0),"")</f>
        <v/>
      </c>
    </row>
    <row r="1508" spans="1:11" ht="15" customHeight="1" x14ac:dyDescent="0.25">
      <c r="A1508" s="75">
        <v>7</v>
      </c>
      <c r="B1508" s="75">
        <v>78</v>
      </c>
      <c r="C1508" s="75" t="s">
        <v>10</v>
      </c>
      <c r="D1508" s="75">
        <v>8753</v>
      </c>
      <c r="F1508" s="75" t="s">
        <v>10</v>
      </c>
      <c r="H1508" s="75" t="s">
        <v>10</v>
      </c>
      <c r="I1508" s="75">
        <v>19489</v>
      </c>
      <c r="K1508" s="75" t="str">
        <f>IFERROR(VLOOKUP(J1508,'NQ10'!$B$9:$C$145,2,0),"")</f>
        <v/>
      </c>
    </row>
    <row r="1509" spans="1:11" ht="15" customHeight="1" x14ac:dyDescent="0.25">
      <c r="A1509" s="75">
        <v>7</v>
      </c>
      <c r="B1509" s="75">
        <v>80</v>
      </c>
      <c r="C1509" s="75" t="s">
        <v>10</v>
      </c>
      <c r="D1509" s="75">
        <v>3355</v>
      </c>
      <c r="F1509" s="75" t="s">
        <v>10</v>
      </c>
      <c r="H1509" s="75" t="s">
        <v>10</v>
      </c>
      <c r="I1509" s="75">
        <v>19489</v>
      </c>
      <c r="K1509" s="75" t="str">
        <f>IFERROR(VLOOKUP(J1509,'NQ10'!$B$9:$C$145,2,0),"")</f>
        <v/>
      </c>
    </row>
    <row r="1510" spans="1:11" ht="15" customHeight="1" x14ac:dyDescent="0.25">
      <c r="A1510" s="75">
        <v>7</v>
      </c>
      <c r="B1510" s="75">
        <v>81</v>
      </c>
      <c r="C1510" s="75" t="s">
        <v>10</v>
      </c>
      <c r="D1510" s="75">
        <v>1566</v>
      </c>
      <c r="F1510" s="75" t="s">
        <v>10</v>
      </c>
      <c r="H1510" s="75" t="s">
        <v>10</v>
      </c>
      <c r="I1510" s="75">
        <v>19489</v>
      </c>
      <c r="K1510" s="75" t="str">
        <f>IFERROR(VLOOKUP(J1510,'NQ10'!$B$9:$C$145,2,0),"")</f>
        <v/>
      </c>
    </row>
    <row r="1511" spans="1:11" ht="15" customHeight="1" x14ac:dyDescent="0.25">
      <c r="A1511" s="75">
        <v>7</v>
      </c>
      <c r="B1511" s="75">
        <v>82</v>
      </c>
      <c r="C1511" s="75" t="s">
        <v>10</v>
      </c>
      <c r="D1511" s="75">
        <v>4567</v>
      </c>
      <c r="F1511" s="75" t="s">
        <v>10</v>
      </c>
      <c r="H1511" s="75" t="s">
        <v>10</v>
      </c>
      <c r="I1511" s="75">
        <v>19489</v>
      </c>
      <c r="K1511" s="75" t="str">
        <f>IFERROR(VLOOKUP(J1511,'NQ10'!$B$9:$C$145,2,0),"")</f>
        <v/>
      </c>
    </row>
    <row r="1512" spans="1:11" ht="15" customHeight="1" x14ac:dyDescent="0.25">
      <c r="A1512" s="75">
        <v>7</v>
      </c>
      <c r="B1512" s="75">
        <v>83</v>
      </c>
      <c r="C1512" s="75" t="s">
        <v>10</v>
      </c>
      <c r="D1512" s="75">
        <v>4519</v>
      </c>
      <c r="F1512" s="75" t="s">
        <v>10</v>
      </c>
      <c r="H1512" s="75" t="s">
        <v>10</v>
      </c>
      <c r="I1512" s="75">
        <v>19489</v>
      </c>
      <c r="K1512" s="75" t="str">
        <f>IFERROR(VLOOKUP(J1512,'NQ10'!$B$9:$C$145,2,0),"")</f>
        <v/>
      </c>
    </row>
    <row r="1513" spans="1:11" ht="15" customHeight="1" x14ac:dyDescent="0.25">
      <c r="A1513" s="75">
        <v>7</v>
      </c>
      <c r="B1513" s="75">
        <v>84</v>
      </c>
      <c r="C1513" s="75" t="s">
        <v>10</v>
      </c>
      <c r="D1513" s="75">
        <v>2571</v>
      </c>
      <c r="F1513" s="75" t="s">
        <v>10</v>
      </c>
      <c r="H1513" s="75" t="s">
        <v>10</v>
      </c>
      <c r="I1513" s="75">
        <v>19489</v>
      </c>
      <c r="K1513" s="75" t="str">
        <f>IFERROR(VLOOKUP(J1513,'NQ10'!$B$9:$C$145,2,0),"")</f>
        <v/>
      </c>
    </row>
    <row r="1514" spans="1:11" ht="15" customHeight="1" x14ac:dyDescent="0.25">
      <c r="A1514" s="75">
        <v>7</v>
      </c>
      <c r="B1514" s="75">
        <v>85</v>
      </c>
      <c r="C1514" s="75" t="s">
        <v>10</v>
      </c>
      <c r="D1514" s="75">
        <v>1843</v>
      </c>
      <c r="F1514" s="75" t="s">
        <v>10</v>
      </c>
      <c r="H1514" s="75" t="s">
        <v>10</v>
      </c>
      <c r="I1514" s="75">
        <v>19489</v>
      </c>
      <c r="K1514" s="75" t="str">
        <f>IFERROR(VLOOKUP(J1514,'NQ10'!$B$9:$C$145,2,0),"")</f>
        <v/>
      </c>
    </row>
    <row r="1515" spans="1:11" ht="15" customHeight="1" x14ac:dyDescent="0.25">
      <c r="A1515" s="75">
        <v>7</v>
      </c>
      <c r="B1515" s="75">
        <v>86</v>
      </c>
      <c r="C1515" s="75" t="s">
        <v>10</v>
      </c>
      <c r="D1515" s="75">
        <v>8337</v>
      </c>
      <c r="F1515" s="75" t="s">
        <v>10</v>
      </c>
      <c r="H1515" s="75" t="s">
        <v>10</v>
      </c>
      <c r="I1515" s="75">
        <v>19489</v>
      </c>
      <c r="K1515" s="75" t="str">
        <f>IFERROR(VLOOKUP(J1515,'NQ10'!$B$9:$C$145,2,0),"")</f>
        <v/>
      </c>
    </row>
    <row r="1516" spans="1:11" ht="15" customHeight="1" x14ac:dyDescent="0.25">
      <c r="A1516" s="75">
        <v>7</v>
      </c>
      <c r="B1516" s="75">
        <v>87</v>
      </c>
      <c r="C1516" s="75" t="s">
        <v>10</v>
      </c>
      <c r="D1516" s="75">
        <v>851</v>
      </c>
      <c r="F1516" s="75" t="s">
        <v>10</v>
      </c>
      <c r="H1516" s="75" t="s">
        <v>10</v>
      </c>
      <c r="I1516" s="75">
        <v>19489</v>
      </c>
      <c r="K1516" s="75" t="str">
        <f>IFERROR(VLOOKUP(J1516,'NQ10'!$B$9:$C$145,2,0),"")</f>
        <v/>
      </c>
    </row>
    <row r="1517" spans="1:11" ht="15" customHeight="1" x14ac:dyDescent="0.25">
      <c r="A1517" s="75">
        <v>7</v>
      </c>
      <c r="B1517" s="75">
        <v>88</v>
      </c>
      <c r="C1517" s="75" t="s">
        <v>10</v>
      </c>
      <c r="D1517" s="75">
        <v>7910</v>
      </c>
      <c r="F1517" s="75" t="s">
        <v>10</v>
      </c>
      <c r="H1517" s="75" t="s">
        <v>10</v>
      </c>
      <c r="I1517" s="75">
        <v>19489</v>
      </c>
      <c r="K1517" s="75" t="str">
        <f>IFERROR(VLOOKUP(J1517,'NQ10'!$B$9:$C$145,2,0),"")</f>
        <v/>
      </c>
    </row>
    <row r="1518" spans="1:11" ht="15" customHeight="1" x14ac:dyDescent="0.25">
      <c r="A1518" s="75">
        <v>7</v>
      </c>
      <c r="B1518" s="75">
        <v>89</v>
      </c>
      <c r="C1518" s="75" t="s">
        <v>10</v>
      </c>
      <c r="D1518" s="75">
        <v>1314</v>
      </c>
      <c r="F1518" s="75" t="s">
        <v>10</v>
      </c>
      <c r="H1518" s="75" t="s">
        <v>10</v>
      </c>
      <c r="I1518" s="75">
        <v>19489</v>
      </c>
      <c r="K1518" s="75" t="str">
        <f>IFERROR(VLOOKUP(J1518,'NQ10'!$B$9:$C$145,2,0),"")</f>
        <v/>
      </c>
    </row>
    <row r="1519" spans="1:11" ht="15" customHeight="1" x14ac:dyDescent="0.25">
      <c r="A1519" s="75">
        <v>7</v>
      </c>
      <c r="B1519" s="75">
        <v>90</v>
      </c>
      <c r="C1519" s="75" t="s">
        <v>10</v>
      </c>
      <c r="D1519" s="75">
        <v>6674</v>
      </c>
      <c r="F1519" s="75" t="s">
        <v>10</v>
      </c>
      <c r="H1519" s="75" t="s">
        <v>10</v>
      </c>
      <c r="I1519" s="75">
        <v>19489</v>
      </c>
      <c r="K1519" s="75" t="str">
        <f>IFERROR(VLOOKUP(J1519,'NQ10'!$B$9:$C$145,2,0),"")</f>
        <v/>
      </c>
    </row>
    <row r="1520" spans="1:11" ht="15" customHeight="1" x14ac:dyDescent="0.25">
      <c r="A1520" s="75">
        <v>7</v>
      </c>
      <c r="B1520" s="75">
        <v>91</v>
      </c>
      <c r="C1520" s="75" t="s">
        <v>10</v>
      </c>
      <c r="D1520" s="75">
        <v>4916</v>
      </c>
      <c r="F1520" s="75" t="s">
        <v>10</v>
      </c>
      <c r="H1520" s="75" t="s">
        <v>10</v>
      </c>
      <c r="I1520" s="75">
        <v>19489</v>
      </c>
      <c r="K1520" s="75" t="str">
        <f>IFERROR(VLOOKUP(J1520,'NQ10'!$B$9:$C$145,2,0),"")</f>
        <v/>
      </c>
    </row>
    <row r="1521" spans="1:11" ht="15" customHeight="1" x14ac:dyDescent="0.25">
      <c r="A1521" s="75">
        <v>7</v>
      </c>
      <c r="B1521" s="75">
        <v>92</v>
      </c>
      <c r="C1521" s="75" t="s">
        <v>10</v>
      </c>
      <c r="D1521" s="75">
        <v>943</v>
      </c>
      <c r="F1521" s="75" t="s">
        <v>10</v>
      </c>
      <c r="H1521" s="75" t="s">
        <v>10</v>
      </c>
      <c r="I1521" s="75">
        <v>19489</v>
      </c>
      <c r="K1521" s="75" t="str">
        <f>IFERROR(VLOOKUP(J1521,'NQ10'!$B$9:$C$145,2,0),"")</f>
        <v/>
      </c>
    </row>
    <row r="1522" spans="1:11" ht="15" customHeight="1" x14ac:dyDescent="0.25">
      <c r="A1522" s="75">
        <v>7</v>
      </c>
      <c r="B1522" s="75">
        <v>93</v>
      </c>
      <c r="C1522" s="75" t="s">
        <v>10</v>
      </c>
      <c r="D1522" s="75">
        <v>658</v>
      </c>
      <c r="F1522" s="75" t="s">
        <v>10</v>
      </c>
      <c r="H1522" s="75" t="s">
        <v>10</v>
      </c>
      <c r="I1522" s="75">
        <v>19489</v>
      </c>
      <c r="K1522" s="75" t="str">
        <f>IFERROR(VLOOKUP(J1522,'NQ10'!$B$9:$C$145,2,0),"")</f>
        <v/>
      </c>
    </row>
    <row r="1523" spans="1:11" ht="15" customHeight="1" x14ac:dyDescent="0.25">
      <c r="A1523" s="75">
        <v>7</v>
      </c>
      <c r="B1523" s="75">
        <v>94</v>
      </c>
      <c r="C1523" s="75" t="s">
        <v>10</v>
      </c>
      <c r="D1523" s="75">
        <v>5632</v>
      </c>
      <c r="F1523" s="75" t="s">
        <v>10</v>
      </c>
      <c r="H1523" s="75" t="s">
        <v>10</v>
      </c>
      <c r="I1523" s="75">
        <v>19489</v>
      </c>
      <c r="K1523" s="75" t="str">
        <f>IFERROR(VLOOKUP(J1523,'NQ10'!$B$9:$C$145,2,0),"")</f>
        <v/>
      </c>
    </row>
    <row r="1524" spans="1:11" ht="15" customHeight="1" x14ac:dyDescent="0.25">
      <c r="A1524" s="75">
        <v>7</v>
      </c>
      <c r="B1524" s="75">
        <v>95</v>
      </c>
      <c r="C1524" s="75" t="s">
        <v>10</v>
      </c>
      <c r="D1524" s="75">
        <v>1476</v>
      </c>
      <c r="F1524" s="75" t="s">
        <v>10</v>
      </c>
      <c r="H1524" s="75" t="s">
        <v>10</v>
      </c>
      <c r="I1524" s="75">
        <v>19489</v>
      </c>
      <c r="K1524" s="75" t="str">
        <f>IFERROR(VLOOKUP(J1524,'NQ10'!$B$9:$C$145,2,0),"")</f>
        <v/>
      </c>
    </row>
    <row r="1525" spans="1:11" ht="15" customHeight="1" x14ac:dyDescent="0.25">
      <c r="A1525" s="75">
        <v>7</v>
      </c>
      <c r="B1525" s="75">
        <v>96</v>
      </c>
      <c r="C1525" s="75" t="s">
        <v>10</v>
      </c>
      <c r="D1525" s="75">
        <v>2146</v>
      </c>
      <c r="F1525" s="75" t="s">
        <v>10</v>
      </c>
      <c r="H1525" s="75" t="s">
        <v>10</v>
      </c>
      <c r="I1525" s="75">
        <v>19489</v>
      </c>
      <c r="K1525" s="75" t="str">
        <f>IFERROR(VLOOKUP(J1525,'NQ10'!$B$9:$C$145,2,0),"")</f>
        <v/>
      </c>
    </row>
    <row r="1526" spans="1:11" ht="15" customHeight="1" x14ac:dyDescent="0.25">
      <c r="A1526" s="75">
        <v>7</v>
      </c>
      <c r="B1526" s="75">
        <v>97</v>
      </c>
      <c r="C1526" s="75" t="s">
        <v>10</v>
      </c>
      <c r="D1526" s="75">
        <v>3917</v>
      </c>
      <c r="F1526" s="75" t="s">
        <v>10</v>
      </c>
      <c r="H1526" s="75" t="s">
        <v>10</v>
      </c>
      <c r="I1526" s="75">
        <v>19489</v>
      </c>
      <c r="K1526" s="75" t="str">
        <f>IFERROR(VLOOKUP(J1526,'NQ10'!$B$9:$C$145,2,0),"")</f>
        <v/>
      </c>
    </row>
    <row r="1527" spans="1:11" ht="15" customHeight="1" x14ac:dyDescent="0.25">
      <c r="A1527" s="75">
        <v>7</v>
      </c>
      <c r="B1527" s="75">
        <v>98</v>
      </c>
      <c r="C1527" s="75" t="s">
        <v>10</v>
      </c>
      <c r="D1527" s="75">
        <v>2386</v>
      </c>
      <c r="F1527" s="75" t="s">
        <v>10</v>
      </c>
      <c r="H1527" s="75" t="s">
        <v>10</v>
      </c>
      <c r="I1527" s="75">
        <v>19489</v>
      </c>
      <c r="K1527" s="75" t="str">
        <f>IFERROR(VLOOKUP(J1527,'NQ10'!$B$9:$C$145,2,0),"")</f>
        <v/>
      </c>
    </row>
    <row r="1528" spans="1:11" ht="15" customHeight="1" x14ac:dyDescent="0.25">
      <c r="A1528" s="75">
        <v>7</v>
      </c>
      <c r="B1528" s="75">
        <v>99</v>
      </c>
      <c r="C1528" s="75" t="s">
        <v>10</v>
      </c>
      <c r="D1528" s="75">
        <v>13351</v>
      </c>
      <c r="F1528" s="75" t="s">
        <v>10</v>
      </c>
      <c r="H1528" s="75" t="s">
        <v>10</v>
      </c>
      <c r="I1528" s="75">
        <v>19489</v>
      </c>
      <c r="K1528" s="75" t="str">
        <f>IFERROR(VLOOKUP(J1528,'NQ10'!$B$9:$C$145,2,0),"")</f>
        <v/>
      </c>
    </row>
    <row r="1529" spans="1:11" ht="15" customHeight="1" x14ac:dyDescent="0.25">
      <c r="A1529" s="75">
        <v>7</v>
      </c>
      <c r="B1529" s="75">
        <v>100</v>
      </c>
      <c r="C1529" s="75" t="s">
        <v>10</v>
      </c>
      <c r="D1529" s="75">
        <v>6330</v>
      </c>
      <c r="F1529" s="75" t="s">
        <v>10</v>
      </c>
      <c r="H1529" s="75" t="s">
        <v>10</v>
      </c>
      <c r="I1529" s="75">
        <v>19489</v>
      </c>
      <c r="K1529" s="75" t="str">
        <f>IFERROR(VLOOKUP(J1529,'NQ10'!$B$9:$C$145,2,0),"")</f>
        <v/>
      </c>
    </row>
    <row r="1530" spans="1:11" ht="15" customHeight="1" x14ac:dyDescent="0.25">
      <c r="A1530" s="75">
        <v>7</v>
      </c>
      <c r="B1530" s="75">
        <v>101</v>
      </c>
      <c r="C1530" s="75" t="s">
        <v>10</v>
      </c>
      <c r="D1530" s="75">
        <v>2421</v>
      </c>
      <c r="F1530" s="75" t="s">
        <v>10</v>
      </c>
      <c r="H1530" s="75" t="s">
        <v>10</v>
      </c>
      <c r="I1530" s="75">
        <v>19489</v>
      </c>
      <c r="K1530" s="75" t="str">
        <f>IFERROR(VLOOKUP(J1530,'NQ10'!$B$9:$C$145,2,0),"")</f>
        <v/>
      </c>
    </row>
    <row r="1531" spans="1:11" ht="15" customHeight="1" x14ac:dyDescent="0.25">
      <c r="A1531" s="75">
        <v>7</v>
      </c>
      <c r="B1531" s="75">
        <v>102</v>
      </c>
      <c r="C1531" s="75" t="s">
        <v>10</v>
      </c>
      <c r="D1531" s="75">
        <v>5959</v>
      </c>
      <c r="F1531" s="75" t="s">
        <v>10</v>
      </c>
      <c r="H1531" s="75" t="s">
        <v>10</v>
      </c>
      <c r="I1531" s="75">
        <v>19489</v>
      </c>
      <c r="K1531" s="75" t="str">
        <f>IFERROR(VLOOKUP(J1531,'NQ10'!$B$9:$C$145,2,0),"")</f>
        <v/>
      </c>
    </row>
    <row r="1532" spans="1:11" ht="15" customHeight="1" x14ac:dyDescent="0.25">
      <c r="A1532" s="75">
        <v>7</v>
      </c>
      <c r="B1532" s="75">
        <v>103</v>
      </c>
      <c r="C1532" s="75" t="s">
        <v>10</v>
      </c>
      <c r="D1532" s="75">
        <v>3070</v>
      </c>
      <c r="F1532" s="75" t="s">
        <v>10</v>
      </c>
      <c r="H1532" s="75" t="s">
        <v>10</v>
      </c>
      <c r="I1532" s="75">
        <v>19489</v>
      </c>
      <c r="K1532" s="75" t="str">
        <f>IFERROR(VLOOKUP(J1532,'NQ10'!$B$9:$C$145,2,0),"")</f>
        <v/>
      </c>
    </row>
    <row r="1533" spans="1:11" ht="15" customHeight="1" x14ac:dyDescent="0.25">
      <c r="A1533" s="75">
        <v>7</v>
      </c>
      <c r="B1533" s="75">
        <v>104</v>
      </c>
      <c r="C1533" s="75" t="s">
        <v>10</v>
      </c>
      <c r="D1533" s="75">
        <v>5018</v>
      </c>
      <c r="F1533" s="75" t="s">
        <v>10</v>
      </c>
      <c r="H1533" s="75" t="s">
        <v>10</v>
      </c>
      <c r="I1533" s="75">
        <v>19489</v>
      </c>
      <c r="K1533" s="75" t="str">
        <f>IFERROR(VLOOKUP(J1533,'NQ10'!$B$9:$C$145,2,0),"")</f>
        <v/>
      </c>
    </row>
    <row r="1534" spans="1:11" ht="15" customHeight="1" x14ac:dyDescent="0.25">
      <c r="A1534" s="75">
        <v>7</v>
      </c>
      <c r="B1534" s="75">
        <v>105</v>
      </c>
      <c r="C1534" s="75" t="s">
        <v>10</v>
      </c>
      <c r="D1534" s="75">
        <v>8792</v>
      </c>
      <c r="F1534" s="75" t="s">
        <v>10</v>
      </c>
      <c r="H1534" s="75" t="s">
        <v>10</v>
      </c>
      <c r="I1534" s="75">
        <v>19489</v>
      </c>
      <c r="K1534" s="75" t="str">
        <f>IFERROR(VLOOKUP(J1534,'NQ10'!$B$9:$C$145,2,0),"")</f>
        <v/>
      </c>
    </row>
    <row r="1535" spans="1:11" ht="15" customHeight="1" x14ac:dyDescent="0.25">
      <c r="A1535" s="75">
        <v>7</v>
      </c>
      <c r="B1535" s="75">
        <v>106</v>
      </c>
      <c r="C1535" s="75" t="s">
        <v>10</v>
      </c>
      <c r="D1535" s="75">
        <v>8074</v>
      </c>
      <c r="F1535" s="75" t="s">
        <v>10</v>
      </c>
      <c r="H1535" s="75" t="s">
        <v>10</v>
      </c>
      <c r="I1535" s="75">
        <v>19489</v>
      </c>
      <c r="K1535" s="75" t="str">
        <f>IFERROR(VLOOKUP(J1535,'NQ10'!$B$9:$C$145,2,0),"")</f>
        <v/>
      </c>
    </row>
    <row r="1536" spans="1:11" ht="15" customHeight="1" x14ac:dyDescent="0.25">
      <c r="A1536" s="75">
        <v>7</v>
      </c>
      <c r="B1536" s="75">
        <v>107</v>
      </c>
      <c r="C1536" s="75" t="s">
        <v>10</v>
      </c>
      <c r="D1536" s="75">
        <v>435</v>
      </c>
      <c r="F1536" s="75" t="s">
        <v>10</v>
      </c>
      <c r="H1536" s="75" t="s">
        <v>10</v>
      </c>
      <c r="I1536" s="75">
        <v>19489</v>
      </c>
      <c r="K1536" s="75" t="str">
        <f>IFERROR(VLOOKUP(J1536,'NQ10'!$B$9:$C$145,2,0),"")</f>
        <v/>
      </c>
    </row>
    <row r="1537" spans="1:11" ht="15" customHeight="1" x14ac:dyDescent="0.25">
      <c r="A1537" s="75">
        <v>7</v>
      </c>
      <c r="B1537" s="75">
        <v>109</v>
      </c>
      <c r="C1537" s="75" t="s">
        <v>10</v>
      </c>
      <c r="D1537" s="75">
        <v>1392</v>
      </c>
      <c r="F1537" s="75" t="s">
        <v>10</v>
      </c>
      <c r="H1537" s="75" t="s">
        <v>10</v>
      </c>
      <c r="I1537" s="75">
        <v>19489</v>
      </c>
      <c r="K1537" s="75" t="str">
        <f>IFERROR(VLOOKUP(J1537,'NQ10'!$B$9:$C$145,2,0),"")</f>
        <v/>
      </c>
    </row>
    <row r="1538" spans="1:11" ht="15" customHeight="1" x14ac:dyDescent="0.25">
      <c r="A1538" s="75">
        <v>7</v>
      </c>
      <c r="B1538" s="75">
        <v>110</v>
      </c>
      <c r="C1538" s="75" t="s">
        <v>10</v>
      </c>
      <c r="D1538" s="75">
        <v>234</v>
      </c>
      <c r="F1538" s="75" t="s">
        <v>10</v>
      </c>
      <c r="H1538" s="75" t="s">
        <v>10</v>
      </c>
      <c r="I1538" s="75">
        <v>19489</v>
      </c>
      <c r="K1538" s="75" t="str">
        <f>IFERROR(VLOOKUP(J1538,'NQ10'!$B$9:$C$145,2,0),"")</f>
        <v/>
      </c>
    </row>
    <row r="1539" spans="1:11" ht="15" customHeight="1" x14ac:dyDescent="0.25">
      <c r="A1539" s="75">
        <v>7</v>
      </c>
      <c r="B1539" s="75">
        <v>111</v>
      </c>
      <c r="C1539" s="75" t="s">
        <v>10</v>
      </c>
      <c r="D1539" s="75">
        <v>1550</v>
      </c>
      <c r="F1539" s="75" t="s">
        <v>10</v>
      </c>
      <c r="H1539" s="75" t="s">
        <v>10</v>
      </c>
      <c r="I1539" s="75">
        <v>19489</v>
      </c>
      <c r="K1539" s="75" t="str">
        <f>IFERROR(VLOOKUP(J1539,'NQ10'!$B$9:$C$145,2,0),"")</f>
        <v/>
      </c>
    </row>
    <row r="1540" spans="1:11" ht="15" customHeight="1" x14ac:dyDescent="0.25">
      <c r="A1540" s="75">
        <v>7</v>
      </c>
      <c r="B1540" s="75">
        <v>112</v>
      </c>
      <c r="C1540" s="75" t="s">
        <v>10</v>
      </c>
      <c r="D1540" s="75">
        <v>907</v>
      </c>
      <c r="F1540" s="75" t="s">
        <v>10</v>
      </c>
      <c r="H1540" s="75" t="s">
        <v>10</v>
      </c>
      <c r="I1540" s="75">
        <v>19489</v>
      </c>
      <c r="K1540" s="75" t="str">
        <f>IFERROR(VLOOKUP(J1540,'NQ10'!$B$9:$C$145,2,0),"")</f>
        <v/>
      </c>
    </row>
    <row r="1541" spans="1:11" ht="15" customHeight="1" x14ac:dyDescent="0.25">
      <c r="A1541" s="75">
        <v>7</v>
      </c>
      <c r="B1541" s="75">
        <v>113</v>
      </c>
      <c r="C1541" s="75" t="s">
        <v>10</v>
      </c>
      <c r="D1541" s="75">
        <v>4641</v>
      </c>
      <c r="F1541" s="75" t="s">
        <v>10</v>
      </c>
      <c r="H1541" s="75" t="s">
        <v>10</v>
      </c>
      <c r="I1541" s="75">
        <v>19489</v>
      </c>
      <c r="K1541" s="75" t="str">
        <f>IFERROR(VLOOKUP(J1541,'NQ10'!$B$9:$C$145,2,0),"")</f>
        <v/>
      </c>
    </row>
    <row r="1542" spans="1:11" ht="15" customHeight="1" x14ac:dyDescent="0.25">
      <c r="A1542" s="75">
        <v>7</v>
      </c>
      <c r="B1542" s="75">
        <v>115</v>
      </c>
      <c r="C1542" s="75" t="s">
        <v>10</v>
      </c>
      <c r="D1542" s="75">
        <v>6830</v>
      </c>
      <c r="F1542" s="75" t="s">
        <v>10</v>
      </c>
      <c r="H1542" s="75" t="s">
        <v>10</v>
      </c>
      <c r="I1542" s="75">
        <v>19489</v>
      </c>
      <c r="K1542" s="75" t="str">
        <f>IFERROR(VLOOKUP(J1542,'NQ10'!$B$9:$C$145,2,0),"")</f>
        <v/>
      </c>
    </row>
    <row r="1543" spans="1:11" ht="15" customHeight="1" x14ac:dyDescent="0.25">
      <c r="A1543" s="75">
        <v>7</v>
      </c>
      <c r="B1543" s="75">
        <v>116</v>
      </c>
      <c r="C1543" s="75" t="s">
        <v>10</v>
      </c>
      <c r="D1543" s="75">
        <v>5894</v>
      </c>
      <c r="F1543" s="75" t="s">
        <v>10</v>
      </c>
      <c r="H1543" s="75" t="s">
        <v>10</v>
      </c>
      <c r="I1543" s="75">
        <v>19489</v>
      </c>
      <c r="K1543" s="75" t="str">
        <f>IFERROR(VLOOKUP(J1543,'NQ10'!$B$9:$C$145,2,0),"")</f>
        <v/>
      </c>
    </row>
    <row r="1544" spans="1:11" ht="15" customHeight="1" x14ac:dyDescent="0.25">
      <c r="A1544" s="75">
        <v>7</v>
      </c>
      <c r="B1544" s="75">
        <v>118</v>
      </c>
      <c r="C1544" s="75" t="s">
        <v>10</v>
      </c>
      <c r="D1544" s="75">
        <v>160</v>
      </c>
      <c r="F1544" s="75" t="s">
        <v>10</v>
      </c>
      <c r="H1544" s="75" t="s">
        <v>10</v>
      </c>
      <c r="I1544" s="75">
        <v>19489</v>
      </c>
      <c r="K1544" s="75" t="str">
        <f>IFERROR(VLOOKUP(J1544,'NQ10'!$B$9:$C$145,2,0),"")</f>
        <v/>
      </c>
    </row>
    <row r="1545" spans="1:11" ht="15" customHeight="1" x14ac:dyDescent="0.25">
      <c r="A1545" s="75">
        <v>7</v>
      </c>
      <c r="B1545" s="75">
        <v>119</v>
      </c>
      <c r="C1545" s="75" t="s">
        <v>10</v>
      </c>
      <c r="D1545" s="75">
        <v>3536</v>
      </c>
      <c r="F1545" s="75" t="s">
        <v>10</v>
      </c>
      <c r="H1545" s="75" t="s">
        <v>10</v>
      </c>
      <c r="I1545" s="75">
        <v>19489</v>
      </c>
      <c r="K1545" s="75" t="str">
        <f>IFERROR(VLOOKUP(J1545,'NQ10'!$B$9:$C$145,2,0),"")</f>
        <v/>
      </c>
    </row>
    <row r="1546" spans="1:11" ht="15" customHeight="1" x14ac:dyDescent="0.25">
      <c r="A1546" s="75">
        <v>7</v>
      </c>
      <c r="B1546" s="75">
        <v>120</v>
      </c>
      <c r="C1546" s="75" t="s">
        <v>10</v>
      </c>
      <c r="D1546" s="75">
        <v>5128</v>
      </c>
      <c r="F1546" s="75" t="s">
        <v>10</v>
      </c>
      <c r="H1546" s="75" t="s">
        <v>10</v>
      </c>
      <c r="I1546" s="75">
        <v>19489</v>
      </c>
      <c r="K1546" s="75" t="str">
        <f>IFERROR(VLOOKUP(J1546,'NQ10'!$B$9:$C$145,2,0),"")</f>
        <v/>
      </c>
    </row>
    <row r="1547" spans="1:11" ht="15" customHeight="1" x14ac:dyDescent="0.25">
      <c r="A1547" s="75">
        <v>7</v>
      </c>
      <c r="B1547" s="75">
        <v>121</v>
      </c>
      <c r="C1547" s="75" t="s">
        <v>10</v>
      </c>
      <c r="D1547" s="75">
        <v>208</v>
      </c>
      <c r="F1547" s="75" t="s">
        <v>10</v>
      </c>
      <c r="H1547" s="75" t="s">
        <v>10</v>
      </c>
      <c r="I1547" s="75">
        <v>19489</v>
      </c>
      <c r="K1547" s="75" t="str">
        <f>IFERROR(VLOOKUP(J1547,'NQ10'!$B$9:$C$145,2,0),"")</f>
        <v/>
      </c>
    </row>
    <row r="1548" spans="1:11" ht="15" customHeight="1" x14ac:dyDescent="0.25">
      <c r="A1548" s="75">
        <v>7</v>
      </c>
      <c r="B1548" s="75">
        <v>122</v>
      </c>
      <c r="C1548" s="75" t="s">
        <v>10</v>
      </c>
      <c r="D1548" s="75">
        <v>171</v>
      </c>
      <c r="F1548" s="75" t="s">
        <v>10</v>
      </c>
      <c r="H1548" s="75" t="s">
        <v>10</v>
      </c>
      <c r="I1548" s="75">
        <v>19489</v>
      </c>
      <c r="K1548" s="75" t="str">
        <f>IFERROR(VLOOKUP(J1548,'NQ10'!$B$9:$C$145,2,0),"")</f>
        <v/>
      </c>
    </row>
    <row r="1549" spans="1:11" ht="15" customHeight="1" x14ac:dyDescent="0.25">
      <c r="A1549" s="75">
        <v>7</v>
      </c>
      <c r="B1549" s="75">
        <v>123</v>
      </c>
      <c r="C1549" s="75" t="s">
        <v>10</v>
      </c>
      <c r="D1549" s="75">
        <v>214</v>
      </c>
      <c r="F1549" s="75" t="s">
        <v>10</v>
      </c>
      <c r="H1549" s="75" t="s">
        <v>10</v>
      </c>
      <c r="I1549" s="75">
        <v>19489</v>
      </c>
      <c r="K1549" s="75" t="str">
        <f>IFERROR(VLOOKUP(J1549,'NQ10'!$B$9:$C$145,2,0),"")</f>
        <v/>
      </c>
    </row>
    <row r="1550" spans="1:11" ht="15" customHeight="1" x14ac:dyDescent="0.25">
      <c r="A1550" s="75">
        <v>7</v>
      </c>
      <c r="B1550" s="75">
        <v>124</v>
      </c>
      <c r="C1550" s="75" t="s">
        <v>10</v>
      </c>
      <c r="D1550" s="75">
        <v>251</v>
      </c>
      <c r="F1550" s="75" t="s">
        <v>10</v>
      </c>
      <c r="H1550" s="75" t="s">
        <v>10</v>
      </c>
      <c r="I1550" s="75">
        <v>19489</v>
      </c>
      <c r="K1550" s="75" t="str">
        <f>IFERROR(VLOOKUP(J1550,'NQ10'!$B$9:$C$145,2,0),"")</f>
        <v/>
      </c>
    </row>
    <row r="1551" spans="1:11" ht="15" customHeight="1" x14ac:dyDescent="0.25">
      <c r="A1551" s="75">
        <v>7</v>
      </c>
      <c r="B1551" s="75">
        <v>125</v>
      </c>
      <c r="C1551" s="75" t="s">
        <v>10</v>
      </c>
      <c r="D1551" s="75">
        <v>358</v>
      </c>
      <c r="F1551" s="75" t="s">
        <v>10</v>
      </c>
      <c r="H1551" s="75" t="s">
        <v>10</v>
      </c>
      <c r="I1551" s="75">
        <v>19489</v>
      </c>
      <c r="K1551" s="75" t="str">
        <f>IFERROR(VLOOKUP(J1551,'NQ10'!$B$9:$C$145,2,0),"")</f>
        <v/>
      </c>
    </row>
    <row r="1552" spans="1:11" ht="15" customHeight="1" x14ac:dyDescent="0.25">
      <c r="A1552" s="75">
        <v>7</v>
      </c>
      <c r="B1552" s="75">
        <v>126</v>
      </c>
      <c r="C1552" s="75" t="s">
        <v>10</v>
      </c>
      <c r="D1552" s="75">
        <v>7521</v>
      </c>
      <c r="F1552" s="75" t="s">
        <v>10</v>
      </c>
      <c r="H1552" s="75" t="s">
        <v>10</v>
      </c>
      <c r="I1552" s="75">
        <v>19489</v>
      </c>
      <c r="K1552" s="75" t="str">
        <f>IFERROR(VLOOKUP(J1552,'NQ10'!$B$9:$C$145,2,0),"")</f>
        <v/>
      </c>
    </row>
    <row r="1553" spans="1:11" ht="15" customHeight="1" x14ac:dyDescent="0.25">
      <c r="A1553" s="75">
        <v>7</v>
      </c>
      <c r="B1553" s="75">
        <v>127</v>
      </c>
      <c r="C1553" s="75" t="s">
        <v>10</v>
      </c>
      <c r="D1553" s="75">
        <v>1522</v>
      </c>
      <c r="F1553" s="75" t="s">
        <v>10</v>
      </c>
      <c r="H1553" s="75" t="s">
        <v>10</v>
      </c>
      <c r="I1553" s="75">
        <v>19489</v>
      </c>
      <c r="K1553" s="75" t="str">
        <f>IFERROR(VLOOKUP(J1553,'NQ10'!$B$9:$C$145,2,0),"")</f>
        <v/>
      </c>
    </row>
    <row r="1554" spans="1:11" ht="15" customHeight="1" x14ac:dyDescent="0.25">
      <c r="A1554" s="75">
        <v>7</v>
      </c>
      <c r="B1554" s="75">
        <v>128</v>
      </c>
      <c r="C1554" s="75" t="s">
        <v>10</v>
      </c>
      <c r="D1554" s="75">
        <v>5973</v>
      </c>
      <c r="F1554" s="75" t="s">
        <v>10</v>
      </c>
      <c r="H1554" s="75" t="s">
        <v>10</v>
      </c>
      <c r="I1554" s="75">
        <v>19489</v>
      </c>
      <c r="K1554" s="75" t="str">
        <f>IFERROR(VLOOKUP(J1554,'NQ10'!$B$9:$C$145,2,0),"")</f>
        <v/>
      </c>
    </row>
    <row r="1555" spans="1:11" ht="15" customHeight="1" x14ac:dyDescent="0.25">
      <c r="A1555" s="75">
        <v>7</v>
      </c>
      <c r="B1555" s="75">
        <v>129</v>
      </c>
      <c r="C1555" s="75" t="s">
        <v>10</v>
      </c>
      <c r="D1555" s="75">
        <v>6210</v>
      </c>
      <c r="F1555" s="75" t="s">
        <v>10</v>
      </c>
      <c r="H1555" s="75" t="s">
        <v>10</v>
      </c>
      <c r="I1555" s="75">
        <v>19489</v>
      </c>
      <c r="K1555" s="75" t="str">
        <f>IFERROR(VLOOKUP(J1555,'NQ10'!$B$9:$C$145,2,0),"")</f>
        <v/>
      </c>
    </row>
    <row r="1556" spans="1:11" ht="15" customHeight="1" x14ac:dyDescent="0.25">
      <c r="A1556" s="75">
        <v>7</v>
      </c>
      <c r="B1556" s="75">
        <v>130</v>
      </c>
      <c r="C1556" s="75" t="s">
        <v>10</v>
      </c>
      <c r="D1556" s="75">
        <v>3325</v>
      </c>
      <c r="F1556" s="75" t="s">
        <v>10</v>
      </c>
      <c r="H1556" s="75" t="s">
        <v>10</v>
      </c>
      <c r="I1556" s="75">
        <v>19489</v>
      </c>
      <c r="K1556" s="75" t="str">
        <f>IFERROR(VLOOKUP(J1556,'NQ10'!$B$9:$C$145,2,0),"")</f>
        <v/>
      </c>
    </row>
    <row r="1557" spans="1:11" ht="15" customHeight="1" x14ac:dyDescent="0.25">
      <c r="A1557" s="75">
        <v>7</v>
      </c>
      <c r="B1557" s="75">
        <v>132</v>
      </c>
      <c r="C1557" s="75" t="s">
        <v>10</v>
      </c>
      <c r="D1557" s="75">
        <v>203</v>
      </c>
      <c r="F1557" s="75" t="s">
        <v>10</v>
      </c>
      <c r="H1557" s="75" t="s">
        <v>10</v>
      </c>
      <c r="I1557" s="75">
        <v>19489</v>
      </c>
      <c r="K1557" s="75" t="str">
        <f>IFERROR(VLOOKUP(J1557,'NQ10'!$B$9:$C$145,2,0),"")</f>
        <v/>
      </c>
    </row>
    <row r="1558" spans="1:11" ht="15" customHeight="1" x14ac:dyDescent="0.25">
      <c r="A1558" s="75">
        <v>7</v>
      </c>
      <c r="B1558" s="75">
        <v>133</v>
      </c>
      <c r="C1558" s="75" t="s">
        <v>10</v>
      </c>
      <c r="D1558" s="75">
        <v>272</v>
      </c>
      <c r="F1558" s="75" t="s">
        <v>10</v>
      </c>
      <c r="H1558" s="75" t="s">
        <v>10</v>
      </c>
      <c r="I1558" s="75">
        <v>19489</v>
      </c>
      <c r="K1558" s="75" t="str">
        <f>IFERROR(VLOOKUP(J1558,'NQ10'!$B$9:$C$145,2,0),"")</f>
        <v/>
      </c>
    </row>
    <row r="1559" spans="1:11" ht="15" customHeight="1" x14ac:dyDescent="0.25">
      <c r="A1559" s="75">
        <v>7</v>
      </c>
      <c r="B1559" s="75">
        <v>134</v>
      </c>
      <c r="C1559" s="75" t="s">
        <v>10</v>
      </c>
      <c r="D1559" s="75">
        <v>226</v>
      </c>
      <c r="F1559" s="75" t="s">
        <v>10</v>
      </c>
      <c r="H1559" s="75" t="s">
        <v>10</v>
      </c>
      <c r="I1559" s="75">
        <v>19489</v>
      </c>
      <c r="K1559" s="75" t="str">
        <f>IFERROR(VLOOKUP(J1559,'NQ10'!$B$9:$C$145,2,0),"")</f>
        <v/>
      </c>
    </row>
    <row r="1560" spans="1:11" ht="15" customHeight="1" x14ac:dyDescent="0.25">
      <c r="A1560" s="75">
        <v>7</v>
      </c>
      <c r="B1560" s="75">
        <v>135</v>
      </c>
      <c r="C1560" s="75" t="s">
        <v>10</v>
      </c>
      <c r="D1560" s="75">
        <v>461</v>
      </c>
      <c r="F1560" s="75" t="s">
        <v>10</v>
      </c>
      <c r="H1560" s="75" t="s">
        <v>10</v>
      </c>
      <c r="I1560" s="75">
        <v>19489</v>
      </c>
      <c r="K1560" s="75" t="str">
        <f>IFERROR(VLOOKUP(J1560,'NQ10'!$B$9:$C$145,2,0),"")</f>
        <v/>
      </c>
    </row>
    <row r="1561" spans="1:11" ht="15" customHeight="1" x14ac:dyDescent="0.25">
      <c r="A1561" s="75">
        <v>7</v>
      </c>
      <c r="B1561" s="75">
        <v>136</v>
      </c>
      <c r="C1561" s="75" t="s">
        <v>10</v>
      </c>
      <c r="D1561" s="75">
        <v>172</v>
      </c>
      <c r="F1561" s="75" t="s">
        <v>10</v>
      </c>
      <c r="H1561" s="75" t="s">
        <v>10</v>
      </c>
      <c r="I1561" s="75">
        <v>19489</v>
      </c>
      <c r="K1561" s="75" t="str">
        <f>IFERROR(VLOOKUP(J1561,'NQ10'!$B$9:$C$145,2,0),"")</f>
        <v/>
      </c>
    </row>
    <row r="1562" spans="1:11" ht="15" customHeight="1" x14ac:dyDescent="0.25">
      <c r="A1562" s="75">
        <v>7</v>
      </c>
      <c r="B1562" s="75">
        <v>137</v>
      </c>
      <c r="C1562" s="75" t="s">
        <v>10</v>
      </c>
      <c r="D1562" s="75">
        <v>232</v>
      </c>
      <c r="F1562" s="75" t="s">
        <v>10</v>
      </c>
      <c r="H1562" s="75" t="s">
        <v>10</v>
      </c>
      <c r="I1562" s="75">
        <v>19489</v>
      </c>
      <c r="K1562" s="75" t="str">
        <f>IFERROR(VLOOKUP(J1562,'NQ10'!$B$9:$C$145,2,0),"")</f>
        <v/>
      </c>
    </row>
    <row r="1563" spans="1:11" ht="15" customHeight="1" x14ac:dyDescent="0.25">
      <c r="A1563" s="75">
        <v>7</v>
      </c>
      <c r="B1563" s="75">
        <v>138</v>
      </c>
      <c r="C1563" s="75" t="s">
        <v>10</v>
      </c>
      <c r="D1563" s="75">
        <v>6227</v>
      </c>
      <c r="F1563" s="75" t="s">
        <v>10</v>
      </c>
      <c r="H1563" s="75" t="s">
        <v>10</v>
      </c>
      <c r="I1563" s="75">
        <v>19489</v>
      </c>
      <c r="K1563" s="75" t="str">
        <f>IFERROR(VLOOKUP(J1563,'NQ10'!$B$9:$C$145,2,0),"")</f>
        <v/>
      </c>
    </row>
    <row r="1564" spans="1:11" ht="15" customHeight="1" x14ac:dyDescent="0.25">
      <c r="A1564" s="75">
        <v>7</v>
      </c>
      <c r="B1564" s="75">
        <v>139</v>
      </c>
      <c r="C1564" s="75" t="s">
        <v>10</v>
      </c>
      <c r="D1564" s="75">
        <v>426</v>
      </c>
      <c r="F1564" s="75" t="s">
        <v>10</v>
      </c>
      <c r="H1564" s="75" t="s">
        <v>10</v>
      </c>
      <c r="I1564" s="75">
        <v>19489</v>
      </c>
      <c r="K1564" s="75" t="str">
        <f>IFERROR(VLOOKUP(J1564,'NQ10'!$B$9:$C$145,2,0),"")</f>
        <v/>
      </c>
    </row>
    <row r="1565" spans="1:11" ht="15" customHeight="1" x14ac:dyDescent="0.25">
      <c r="A1565" s="75">
        <v>7</v>
      </c>
      <c r="B1565" s="75">
        <v>140</v>
      </c>
      <c r="C1565" s="75" t="s">
        <v>10</v>
      </c>
      <c r="D1565" s="75">
        <v>354</v>
      </c>
      <c r="F1565" s="75" t="s">
        <v>10</v>
      </c>
      <c r="H1565" s="75" t="s">
        <v>10</v>
      </c>
      <c r="I1565" s="75">
        <v>19489</v>
      </c>
      <c r="K1565" s="75" t="str">
        <f>IFERROR(VLOOKUP(J1565,'NQ10'!$B$9:$C$145,2,0),"")</f>
        <v/>
      </c>
    </row>
    <row r="1566" spans="1:11" ht="15" customHeight="1" x14ac:dyDescent="0.25">
      <c r="A1566" s="75">
        <v>7</v>
      </c>
      <c r="B1566" s="75">
        <v>141</v>
      </c>
      <c r="C1566" s="75" t="s">
        <v>10</v>
      </c>
      <c r="D1566" s="75">
        <v>102</v>
      </c>
      <c r="F1566" s="75" t="s">
        <v>10</v>
      </c>
      <c r="H1566" s="75" t="s">
        <v>10</v>
      </c>
      <c r="I1566" s="75">
        <v>19489</v>
      </c>
      <c r="K1566" s="75" t="str">
        <f>IFERROR(VLOOKUP(J1566,'NQ10'!$B$9:$C$145,2,0),"")</f>
        <v/>
      </c>
    </row>
    <row r="1567" spans="1:11" ht="15" customHeight="1" x14ac:dyDescent="0.25">
      <c r="A1567" s="75">
        <v>7</v>
      </c>
      <c r="B1567" s="75">
        <v>142</v>
      </c>
      <c r="C1567" s="75" t="s">
        <v>10</v>
      </c>
      <c r="D1567" s="75">
        <v>463</v>
      </c>
      <c r="F1567" s="75" t="s">
        <v>10</v>
      </c>
      <c r="H1567" s="75" t="s">
        <v>10</v>
      </c>
      <c r="I1567" s="75">
        <v>19489</v>
      </c>
      <c r="K1567" s="75" t="str">
        <f>IFERROR(VLOOKUP(J1567,'NQ10'!$B$9:$C$145,2,0),"")</f>
        <v/>
      </c>
    </row>
    <row r="1568" spans="1:11" ht="15" customHeight="1" x14ac:dyDescent="0.25">
      <c r="A1568" s="75">
        <v>7</v>
      </c>
      <c r="B1568" s="75">
        <v>143</v>
      </c>
      <c r="C1568" s="75" t="s">
        <v>10</v>
      </c>
      <c r="D1568" s="75">
        <v>218</v>
      </c>
      <c r="F1568" s="75" t="s">
        <v>10</v>
      </c>
      <c r="H1568" s="75" t="s">
        <v>10</v>
      </c>
      <c r="I1568" s="75">
        <v>19489</v>
      </c>
      <c r="K1568" s="75" t="str">
        <f>IFERROR(VLOOKUP(J1568,'NQ10'!$B$9:$C$145,2,0),"")</f>
        <v/>
      </c>
    </row>
    <row r="1569" spans="1:11" ht="15" customHeight="1" x14ac:dyDescent="0.25">
      <c r="A1569" s="75">
        <v>7</v>
      </c>
      <c r="B1569" s="75">
        <v>144</v>
      </c>
      <c r="C1569" s="75" t="s">
        <v>10</v>
      </c>
      <c r="D1569" s="75">
        <v>385</v>
      </c>
      <c r="F1569" s="75" t="s">
        <v>10</v>
      </c>
      <c r="H1569" s="75" t="s">
        <v>10</v>
      </c>
      <c r="I1569" s="75">
        <v>19489</v>
      </c>
      <c r="K1569" s="75" t="str">
        <f>IFERROR(VLOOKUP(J1569,'NQ10'!$B$9:$C$145,2,0),"")</f>
        <v/>
      </c>
    </row>
    <row r="1570" spans="1:11" ht="15" customHeight="1" x14ac:dyDescent="0.25">
      <c r="A1570" s="75">
        <v>7</v>
      </c>
      <c r="B1570" s="75">
        <v>145</v>
      </c>
      <c r="C1570" s="75" t="s">
        <v>10</v>
      </c>
      <c r="D1570" s="75">
        <v>2889</v>
      </c>
      <c r="F1570" s="75" t="s">
        <v>10</v>
      </c>
      <c r="H1570" s="75" t="s">
        <v>10</v>
      </c>
      <c r="I1570" s="75">
        <v>19489</v>
      </c>
      <c r="K1570" s="75" t="str">
        <f>IFERROR(VLOOKUP(J1570,'NQ10'!$B$9:$C$145,2,0),"")</f>
        <v/>
      </c>
    </row>
    <row r="1571" spans="1:11" ht="15" customHeight="1" x14ac:dyDescent="0.25">
      <c r="A1571" s="75">
        <v>7</v>
      </c>
      <c r="B1571" s="75">
        <v>146</v>
      </c>
      <c r="C1571" s="75" t="s">
        <v>10</v>
      </c>
      <c r="D1571" s="75">
        <v>4463</v>
      </c>
      <c r="F1571" s="75" t="s">
        <v>10</v>
      </c>
      <c r="H1571" s="75" t="s">
        <v>10</v>
      </c>
      <c r="I1571" s="75">
        <v>19489</v>
      </c>
      <c r="K1571" s="75" t="str">
        <f>IFERROR(VLOOKUP(J1571,'NQ10'!$B$9:$C$145,2,0),"")</f>
        <v/>
      </c>
    </row>
    <row r="1572" spans="1:11" ht="15" customHeight="1" x14ac:dyDescent="0.25">
      <c r="A1572" s="75">
        <v>7</v>
      </c>
      <c r="B1572" s="75">
        <v>147</v>
      </c>
      <c r="C1572" s="75" t="s">
        <v>10</v>
      </c>
      <c r="D1572" s="75">
        <v>1159</v>
      </c>
      <c r="F1572" s="75" t="s">
        <v>10</v>
      </c>
      <c r="H1572" s="75" t="s">
        <v>10</v>
      </c>
      <c r="I1572" s="75">
        <v>19489</v>
      </c>
      <c r="K1572" s="75" t="str">
        <f>IFERROR(VLOOKUP(J1572,'NQ10'!$B$9:$C$145,2,0),"")</f>
        <v/>
      </c>
    </row>
    <row r="1573" spans="1:11" ht="15" customHeight="1" x14ac:dyDescent="0.25">
      <c r="A1573" s="75">
        <v>7</v>
      </c>
      <c r="B1573" s="75">
        <v>148</v>
      </c>
      <c r="C1573" s="75" t="s">
        <v>10</v>
      </c>
      <c r="D1573" s="75">
        <v>14663</v>
      </c>
      <c r="F1573" s="75" t="s">
        <v>10</v>
      </c>
      <c r="H1573" s="75" t="s">
        <v>10</v>
      </c>
      <c r="I1573" s="75">
        <v>19489</v>
      </c>
      <c r="K1573" s="75" t="str">
        <f>IFERROR(VLOOKUP(J1573,'NQ10'!$B$9:$C$145,2,0),"")</f>
        <v/>
      </c>
    </row>
    <row r="1574" spans="1:11" ht="15" customHeight="1" x14ac:dyDescent="0.25">
      <c r="A1574" s="75">
        <v>7</v>
      </c>
      <c r="B1574" s="75">
        <v>149</v>
      </c>
      <c r="C1574" s="75" t="s">
        <v>10</v>
      </c>
      <c r="D1574" s="75">
        <v>130</v>
      </c>
      <c r="F1574" s="75" t="s">
        <v>10</v>
      </c>
      <c r="H1574" s="75" t="s">
        <v>10</v>
      </c>
      <c r="I1574" s="75">
        <v>19489</v>
      </c>
      <c r="K1574" s="75" t="str">
        <f>IFERROR(VLOOKUP(J1574,'NQ10'!$B$9:$C$145,2,0),"")</f>
        <v/>
      </c>
    </row>
    <row r="1575" spans="1:11" ht="15" customHeight="1" x14ac:dyDescent="0.25">
      <c r="A1575" s="75">
        <v>7</v>
      </c>
      <c r="B1575" s="75">
        <v>150</v>
      </c>
      <c r="C1575" s="75" t="s">
        <v>10</v>
      </c>
      <c r="D1575" s="75">
        <v>3349</v>
      </c>
      <c r="F1575" s="75" t="s">
        <v>10</v>
      </c>
      <c r="H1575" s="75" t="s">
        <v>10</v>
      </c>
      <c r="I1575" s="75">
        <v>19489</v>
      </c>
      <c r="K1575" s="75" t="str">
        <f>IFERROR(VLOOKUP(J1575,'NQ10'!$B$9:$C$145,2,0),"")</f>
        <v/>
      </c>
    </row>
    <row r="1576" spans="1:11" ht="15" customHeight="1" x14ac:dyDescent="0.25">
      <c r="A1576" s="75">
        <v>7</v>
      </c>
      <c r="B1576" s="75">
        <v>151</v>
      </c>
      <c r="C1576" s="75" t="s">
        <v>10</v>
      </c>
      <c r="D1576" s="75">
        <v>441</v>
      </c>
      <c r="F1576" s="75" t="s">
        <v>10</v>
      </c>
      <c r="H1576" s="75" t="s">
        <v>10</v>
      </c>
      <c r="I1576" s="75">
        <v>19489</v>
      </c>
      <c r="K1576" s="75" t="str">
        <f>IFERROR(VLOOKUP(J1576,'NQ10'!$B$9:$C$145,2,0),"")</f>
        <v/>
      </c>
    </row>
    <row r="1577" spans="1:11" ht="15" customHeight="1" x14ac:dyDescent="0.25">
      <c r="A1577" s="75">
        <v>7</v>
      </c>
      <c r="B1577" s="75">
        <v>152</v>
      </c>
      <c r="C1577" s="75" t="s">
        <v>10</v>
      </c>
      <c r="D1577" s="75">
        <v>3174</v>
      </c>
      <c r="F1577" s="75" t="s">
        <v>10</v>
      </c>
      <c r="H1577" s="75" t="s">
        <v>10</v>
      </c>
      <c r="I1577" s="75">
        <v>19489</v>
      </c>
      <c r="K1577" s="75" t="str">
        <f>IFERROR(VLOOKUP(J1577,'NQ10'!$B$9:$C$145,2,0),"")</f>
        <v/>
      </c>
    </row>
    <row r="1578" spans="1:11" ht="15" customHeight="1" x14ac:dyDescent="0.25">
      <c r="A1578" s="75">
        <v>7</v>
      </c>
      <c r="B1578" s="75">
        <v>153</v>
      </c>
      <c r="C1578" s="75" t="s">
        <v>10</v>
      </c>
      <c r="D1578" s="75">
        <v>161</v>
      </c>
      <c r="F1578" s="75" t="s">
        <v>10</v>
      </c>
      <c r="H1578" s="75" t="s">
        <v>10</v>
      </c>
      <c r="I1578" s="75">
        <v>19489</v>
      </c>
      <c r="K1578" s="75" t="str">
        <f>IFERROR(VLOOKUP(J1578,'NQ10'!$B$9:$C$145,2,0),"")</f>
        <v/>
      </c>
    </row>
    <row r="1579" spans="1:11" ht="15" customHeight="1" x14ac:dyDescent="0.25">
      <c r="A1579" s="75">
        <v>7</v>
      </c>
      <c r="B1579" s="75">
        <v>154</v>
      </c>
      <c r="C1579" s="75" t="s">
        <v>10</v>
      </c>
      <c r="D1579" s="75">
        <v>1473</v>
      </c>
      <c r="F1579" s="75" t="s">
        <v>10</v>
      </c>
      <c r="H1579" s="75" t="s">
        <v>10</v>
      </c>
      <c r="I1579" s="75">
        <v>19489</v>
      </c>
      <c r="K1579" s="75" t="str">
        <f>IFERROR(VLOOKUP(J1579,'NQ10'!$B$9:$C$145,2,0),"")</f>
        <v/>
      </c>
    </row>
    <row r="1580" spans="1:11" ht="15" customHeight="1" x14ac:dyDescent="0.25">
      <c r="A1580" s="75">
        <v>7</v>
      </c>
      <c r="B1580" s="75">
        <v>156</v>
      </c>
      <c r="C1580" s="75" t="s">
        <v>10</v>
      </c>
      <c r="D1580" s="75">
        <v>343</v>
      </c>
      <c r="F1580" s="75" t="s">
        <v>10</v>
      </c>
      <c r="H1580" s="75" t="s">
        <v>10</v>
      </c>
      <c r="I1580" s="75">
        <v>19489</v>
      </c>
      <c r="K1580" s="75" t="str">
        <f>IFERROR(VLOOKUP(J1580,'NQ10'!$B$9:$C$145,2,0),"")</f>
        <v/>
      </c>
    </row>
    <row r="1581" spans="1:11" ht="15" customHeight="1" x14ac:dyDescent="0.25">
      <c r="A1581" s="75">
        <v>7</v>
      </c>
      <c r="B1581" s="75">
        <v>157</v>
      </c>
      <c r="C1581" s="75" t="s">
        <v>10</v>
      </c>
      <c r="D1581" s="75">
        <v>1936</v>
      </c>
      <c r="F1581" s="75" t="s">
        <v>10</v>
      </c>
      <c r="H1581" s="75" t="s">
        <v>10</v>
      </c>
      <c r="I1581" s="75">
        <v>19489</v>
      </c>
      <c r="K1581" s="75" t="str">
        <f>IFERROR(VLOOKUP(J1581,'NQ10'!$B$9:$C$145,2,0),"")</f>
        <v/>
      </c>
    </row>
    <row r="1582" spans="1:11" ht="15" customHeight="1" x14ac:dyDescent="0.25">
      <c r="A1582" s="75">
        <v>7</v>
      </c>
      <c r="B1582" s="75">
        <v>158</v>
      </c>
      <c r="C1582" s="75" t="s">
        <v>10</v>
      </c>
      <c r="D1582" s="75">
        <v>874</v>
      </c>
      <c r="F1582" s="75" t="s">
        <v>10</v>
      </c>
      <c r="H1582" s="75" t="s">
        <v>10</v>
      </c>
      <c r="I1582" s="75">
        <v>19489</v>
      </c>
      <c r="K1582" s="75" t="str">
        <f>IFERROR(VLOOKUP(J1582,'NQ10'!$B$9:$C$145,2,0),"")</f>
        <v/>
      </c>
    </row>
    <row r="1583" spans="1:11" ht="15" customHeight="1" x14ac:dyDescent="0.25">
      <c r="A1583" s="75">
        <v>7</v>
      </c>
      <c r="B1583" s="75">
        <v>159</v>
      </c>
      <c r="C1583" s="75" t="s">
        <v>10</v>
      </c>
      <c r="D1583" s="75">
        <v>143</v>
      </c>
      <c r="F1583" s="75" t="s">
        <v>10</v>
      </c>
      <c r="H1583" s="75" t="s">
        <v>10</v>
      </c>
      <c r="I1583" s="75">
        <v>19489</v>
      </c>
      <c r="K1583" s="75" t="str">
        <f>IFERROR(VLOOKUP(J1583,'NQ10'!$B$9:$C$145,2,0),"")</f>
        <v/>
      </c>
    </row>
    <row r="1584" spans="1:11" ht="15" customHeight="1" x14ac:dyDescent="0.25">
      <c r="A1584" s="75">
        <v>7</v>
      </c>
      <c r="B1584" s="75">
        <v>160</v>
      </c>
      <c r="C1584" s="75" t="s">
        <v>10</v>
      </c>
      <c r="D1584" s="75">
        <v>356</v>
      </c>
      <c r="F1584" s="75" t="s">
        <v>10</v>
      </c>
      <c r="H1584" s="75" t="s">
        <v>10</v>
      </c>
      <c r="I1584" s="75">
        <v>19489</v>
      </c>
      <c r="K1584" s="75" t="str">
        <f>IFERROR(VLOOKUP(J1584,'NQ10'!$B$9:$C$145,2,0),"")</f>
        <v/>
      </c>
    </row>
    <row r="1585" spans="1:11" ht="15" customHeight="1" x14ac:dyDescent="0.25">
      <c r="A1585" s="75">
        <v>7</v>
      </c>
      <c r="B1585" s="75">
        <v>161</v>
      </c>
      <c r="C1585" s="75" t="s">
        <v>10</v>
      </c>
      <c r="D1585" s="75">
        <v>1445</v>
      </c>
      <c r="F1585" s="75" t="s">
        <v>10</v>
      </c>
      <c r="H1585" s="75" t="s">
        <v>10</v>
      </c>
      <c r="I1585" s="75">
        <v>19489</v>
      </c>
      <c r="K1585" s="75" t="str">
        <f>IFERROR(VLOOKUP(J1585,'NQ10'!$B$9:$C$145,2,0),"")</f>
        <v/>
      </c>
    </row>
    <row r="1586" spans="1:11" ht="15" customHeight="1" x14ac:dyDescent="0.25">
      <c r="A1586" s="75">
        <v>7</v>
      </c>
      <c r="B1586" s="75">
        <v>162</v>
      </c>
      <c r="C1586" s="75" t="s">
        <v>10</v>
      </c>
      <c r="D1586" s="75">
        <v>7688</v>
      </c>
      <c r="F1586" s="75" t="s">
        <v>10</v>
      </c>
      <c r="H1586" s="75" t="s">
        <v>10</v>
      </c>
      <c r="I1586" s="75">
        <v>19489</v>
      </c>
      <c r="K1586" s="75" t="str">
        <f>IFERROR(VLOOKUP(J1586,'NQ10'!$B$9:$C$145,2,0),"")</f>
        <v/>
      </c>
    </row>
    <row r="1587" spans="1:11" ht="15" customHeight="1" x14ac:dyDescent="0.25">
      <c r="A1587" s="75">
        <v>7</v>
      </c>
      <c r="B1587" s="75">
        <v>163</v>
      </c>
      <c r="C1587" s="75" t="s">
        <v>10</v>
      </c>
      <c r="D1587" s="75">
        <v>2940</v>
      </c>
      <c r="F1587" s="75" t="s">
        <v>10</v>
      </c>
      <c r="H1587" s="75" t="s">
        <v>10</v>
      </c>
      <c r="I1587" s="75">
        <v>19489</v>
      </c>
      <c r="K1587" s="75" t="str">
        <f>IFERROR(VLOOKUP(J1587,'NQ10'!$B$9:$C$145,2,0),"")</f>
        <v/>
      </c>
    </row>
    <row r="1588" spans="1:11" ht="15" customHeight="1" x14ac:dyDescent="0.25">
      <c r="A1588" s="75">
        <v>7</v>
      </c>
      <c r="B1588" s="75">
        <v>164</v>
      </c>
      <c r="C1588" s="75" t="s">
        <v>10</v>
      </c>
      <c r="D1588" s="75">
        <v>4953</v>
      </c>
      <c r="F1588" s="75" t="s">
        <v>10</v>
      </c>
      <c r="H1588" s="75" t="s">
        <v>10</v>
      </c>
      <c r="I1588" s="75">
        <v>19489</v>
      </c>
      <c r="K1588" s="75" t="str">
        <f>IFERROR(VLOOKUP(J1588,'NQ10'!$B$9:$C$145,2,0),"")</f>
        <v/>
      </c>
    </row>
    <row r="1589" spans="1:11" ht="15" customHeight="1" x14ac:dyDescent="0.25">
      <c r="A1589" s="75">
        <v>7</v>
      </c>
      <c r="B1589" s="75">
        <v>166</v>
      </c>
      <c r="C1589" s="75" t="s">
        <v>10</v>
      </c>
      <c r="D1589" s="75">
        <v>597</v>
      </c>
      <c r="F1589" s="75" t="s">
        <v>10</v>
      </c>
      <c r="H1589" s="75" t="s">
        <v>10</v>
      </c>
      <c r="I1589" s="75">
        <v>19489</v>
      </c>
      <c r="K1589" s="75" t="str">
        <f>IFERROR(VLOOKUP(J1589,'NQ10'!$B$9:$C$145,2,0),"")</f>
        <v/>
      </c>
    </row>
    <row r="1590" spans="1:11" ht="15" customHeight="1" x14ac:dyDescent="0.25">
      <c r="A1590" s="75">
        <v>7</v>
      </c>
      <c r="B1590" s="75">
        <v>167</v>
      </c>
      <c r="C1590" s="75" t="s">
        <v>10</v>
      </c>
      <c r="D1590" s="75">
        <v>3450</v>
      </c>
      <c r="F1590" s="75" t="s">
        <v>10</v>
      </c>
      <c r="H1590" s="75" t="s">
        <v>10</v>
      </c>
      <c r="I1590" s="75">
        <v>19489</v>
      </c>
      <c r="K1590" s="75" t="str">
        <f>IFERROR(VLOOKUP(J1590,'NQ10'!$B$9:$C$145,2,0),"")</f>
        <v/>
      </c>
    </row>
    <row r="1591" spans="1:11" ht="15" customHeight="1" x14ac:dyDescent="0.25">
      <c r="A1591" s="75">
        <v>7</v>
      </c>
      <c r="B1591" s="75">
        <v>168</v>
      </c>
      <c r="C1591" s="75" t="s">
        <v>10</v>
      </c>
      <c r="D1591" s="75">
        <v>720</v>
      </c>
      <c r="F1591" s="75" t="s">
        <v>10</v>
      </c>
      <c r="H1591" s="75" t="s">
        <v>10</v>
      </c>
      <c r="I1591" s="75">
        <v>19489</v>
      </c>
      <c r="K1591" s="75" t="str">
        <f>IFERROR(VLOOKUP(J1591,'NQ10'!$B$9:$C$145,2,0),"")</f>
        <v/>
      </c>
    </row>
    <row r="1592" spans="1:11" ht="15" customHeight="1" x14ac:dyDescent="0.25">
      <c r="A1592" s="75">
        <v>7</v>
      </c>
      <c r="B1592" s="75">
        <v>169</v>
      </c>
      <c r="C1592" s="75" t="s">
        <v>10</v>
      </c>
      <c r="D1592" s="75">
        <v>304</v>
      </c>
      <c r="F1592" s="75" t="s">
        <v>10</v>
      </c>
      <c r="H1592" s="75" t="s">
        <v>10</v>
      </c>
      <c r="I1592" s="75">
        <v>19489</v>
      </c>
      <c r="K1592" s="75" t="str">
        <f>IFERROR(VLOOKUP(J1592,'NQ10'!$B$9:$C$145,2,0),"")</f>
        <v/>
      </c>
    </row>
    <row r="1593" spans="1:11" ht="15" customHeight="1" x14ac:dyDescent="0.25">
      <c r="A1593" s="75">
        <v>7</v>
      </c>
      <c r="B1593" s="75">
        <v>170</v>
      </c>
      <c r="C1593" s="75" t="s">
        <v>10</v>
      </c>
      <c r="D1593" s="75">
        <v>132</v>
      </c>
      <c r="F1593" s="75" t="s">
        <v>10</v>
      </c>
      <c r="H1593" s="75" t="s">
        <v>10</v>
      </c>
      <c r="I1593" s="75">
        <v>19489</v>
      </c>
      <c r="K1593" s="75" t="str">
        <f>IFERROR(VLOOKUP(J1593,'NQ10'!$B$9:$C$145,2,0),"")</f>
        <v/>
      </c>
    </row>
    <row r="1594" spans="1:11" ht="15" customHeight="1" x14ac:dyDescent="0.25">
      <c r="A1594" s="75">
        <v>7</v>
      </c>
      <c r="B1594" s="75">
        <v>171</v>
      </c>
      <c r="C1594" s="75" t="s">
        <v>10</v>
      </c>
      <c r="D1594" s="75">
        <v>134</v>
      </c>
      <c r="F1594" s="75" t="s">
        <v>10</v>
      </c>
      <c r="H1594" s="75" t="s">
        <v>10</v>
      </c>
      <c r="I1594" s="75">
        <v>19489</v>
      </c>
      <c r="K1594" s="75" t="str">
        <f>IFERROR(VLOOKUP(J1594,'NQ10'!$B$9:$C$145,2,0),"")</f>
        <v/>
      </c>
    </row>
    <row r="1595" spans="1:11" ht="15" customHeight="1" x14ac:dyDescent="0.25">
      <c r="A1595" s="75">
        <v>7</v>
      </c>
      <c r="B1595" s="75">
        <v>173</v>
      </c>
      <c r="C1595" s="75" t="s">
        <v>10</v>
      </c>
      <c r="D1595" s="75">
        <v>3821</v>
      </c>
      <c r="F1595" s="75" t="s">
        <v>10</v>
      </c>
      <c r="H1595" s="75" t="s">
        <v>10</v>
      </c>
      <c r="I1595" s="75">
        <v>19489</v>
      </c>
      <c r="K1595" s="75" t="str">
        <f>IFERROR(VLOOKUP(J1595,'NQ10'!$B$9:$C$145,2,0),"")</f>
        <v/>
      </c>
    </row>
    <row r="1596" spans="1:11" ht="15" customHeight="1" x14ac:dyDescent="0.25">
      <c r="A1596" s="75">
        <v>7</v>
      </c>
      <c r="B1596" s="75">
        <v>174</v>
      </c>
      <c r="C1596" s="75" t="s">
        <v>10</v>
      </c>
      <c r="D1596" s="75">
        <v>197</v>
      </c>
      <c r="F1596" s="75" t="s">
        <v>10</v>
      </c>
      <c r="H1596" s="75" t="s">
        <v>10</v>
      </c>
      <c r="I1596" s="75">
        <v>19489</v>
      </c>
      <c r="K1596" s="75" t="str">
        <f>IFERROR(VLOOKUP(J1596,'NQ10'!$B$9:$C$145,2,0),"")</f>
        <v/>
      </c>
    </row>
    <row r="1597" spans="1:11" ht="15" customHeight="1" x14ac:dyDescent="0.25">
      <c r="A1597" s="75">
        <v>7</v>
      </c>
      <c r="B1597" s="75">
        <v>175</v>
      </c>
      <c r="C1597" s="75" t="s">
        <v>10</v>
      </c>
      <c r="D1597" s="75">
        <v>96</v>
      </c>
      <c r="F1597" s="75" t="s">
        <v>10</v>
      </c>
      <c r="H1597" s="75" t="s">
        <v>10</v>
      </c>
      <c r="I1597" s="75">
        <v>19489</v>
      </c>
      <c r="K1597" s="75" t="str">
        <f>IFERROR(VLOOKUP(J1597,'NQ10'!$B$9:$C$145,2,0),"")</f>
        <v/>
      </c>
    </row>
    <row r="1598" spans="1:11" ht="15" customHeight="1" x14ac:dyDescent="0.25">
      <c r="A1598" s="75">
        <v>7</v>
      </c>
      <c r="B1598" s="75">
        <v>176</v>
      </c>
      <c r="C1598" s="75" t="s">
        <v>10</v>
      </c>
      <c r="D1598" s="75">
        <v>162</v>
      </c>
      <c r="F1598" s="75" t="s">
        <v>10</v>
      </c>
      <c r="H1598" s="75" t="s">
        <v>10</v>
      </c>
      <c r="I1598" s="75">
        <v>19489</v>
      </c>
      <c r="K1598" s="75" t="str">
        <f>IFERROR(VLOOKUP(J1598,'NQ10'!$B$9:$C$145,2,0),"")</f>
        <v/>
      </c>
    </row>
    <row r="1599" spans="1:11" ht="15" customHeight="1" x14ac:dyDescent="0.25">
      <c r="A1599" s="75">
        <v>7</v>
      </c>
      <c r="B1599" s="75">
        <v>177</v>
      </c>
      <c r="C1599" s="75" t="s">
        <v>10</v>
      </c>
      <c r="D1599" s="75">
        <v>8527</v>
      </c>
      <c r="F1599" s="75" t="s">
        <v>10</v>
      </c>
      <c r="H1599" s="75" t="s">
        <v>10</v>
      </c>
      <c r="I1599" s="75">
        <v>19489</v>
      </c>
      <c r="K1599" s="75" t="str">
        <f>IFERROR(VLOOKUP(J1599,'NQ10'!$B$9:$C$145,2,0),"")</f>
        <v/>
      </c>
    </row>
    <row r="1600" spans="1:11" ht="15" customHeight="1" x14ac:dyDescent="0.25">
      <c r="A1600" s="75">
        <v>7</v>
      </c>
      <c r="B1600" s="75">
        <v>178</v>
      </c>
      <c r="C1600" s="75" t="s">
        <v>10</v>
      </c>
      <c r="D1600" s="75">
        <v>1023</v>
      </c>
      <c r="F1600" s="75" t="s">
        <v>10</v>
      </c>
      <c r="H1600" s="75" t="s">
        <v>10</v>
      </c>
      <c r="I1600" s="75">
        <v>19489</v>
      </c>
      <c r="K1600" s="75" t="str">
        <f>IFERROR(VLOOKUP(J1600,'NQ10'!$B$9:$C$145,2,0),"")</f>
        <v/>
      </c>
    </row>
    <row r="1601" spans="1:11" ht="15" customHeight="1" x14ac:dyDescent="0.25">
      <c r="A1601" s="75">
        <v>7</v>
      </c>
      <c r="B1601" s="75">
        <v>179</v>
      </c>
      <c r="C1601" s="75" t="s">
        <v>10</v>
      </c>
      <c r="D1601" s="75">
        <v>4306</v>
      </c>
      <c r="F1601" s="75" t="s">
        <v>10</v>
      </c>
      <c r="H1601" s="75" t="s">
        <v>10</v>
      </c>
      <c r="I1601" s="75">
        <v>19489</v>
      </c>
      <c r="K1601" s="75" t="str">
        <f>IFERROR(VLOOKUP(J1601,'NQ10'!$B$9:$C$145,2,0),"")</f>
        <v/>
      </c>
    </row>
    <row r="1602" spans="1:11" ht="15" customHeight="1" x14ac:dyDescent="0.25">
      <c r="A1602" s="75">
        <v>7</v>
      </c>
      <c r="B1602" s="75">
        <v>180</v>
      </c>
      <c r="C1602" s="75" t="s">
        <v>10</v>
      </c>
      <c r="D1602" s="75">
        <v>10671</v>
      </c>
      <c r="F1602" s="75" t="s">
        <v>10</v>
      </c>
      <c r="H1602" s="75" t="s">
        <v>10</v>
      </c>
      <c r="I1602" s="75">
        <v>19489</v>
      </c>
      <c r="K1602" s="75" t="str">
        <f>IFERROR(VLOOKUP(J1602,'NQ10'!$B$9:$C$145,2,0),"")</f>
        <v/>
      </c>
    </row>
    <row r="1603" spans="1:11" ht="15" customHeight="1" x14ac:dyDescent="0.25">
      <c r="A1603" s="75">
        <v>7</v>
      </c>
      <c r="B1603" s="75">
        <v>181</v>
      </c>
      <c r="C1603" s="75" t="s">
        <v>10</v>
      </c>
      <c r="D1603" s="75">
        <v>5521</v>
      </c>
      <c r="F1603" s="75" t="s">
        <v>10</v>
      </c>
      <c r="H1603" s="75" t="s">
        <v>10</v>
      </c>
      <c r="I1603" s="75">
        <v>19489</v>
      </c>
      <c r="K1603" s="75" t="str">
        <f>IFERROR(VLOOKUP(J1603,'NQ10'!$B$9:$C$145,2,0),"")</f>
        <v/>
      </c>
    </row>
    <row r="1604" spans="1:11" ht="15" customHeight="1" x14ac:dyDescent="0.25">
      <c r="A1604" s="75">
        <v>7</v>
      </c>
      <c r="B1604" s="75">
        <v>182</v>
      </c>
      <c r="C1604" s="75" t="s">
        <v>10</v>
      </c>
      <c r="D1604" s="75">
        <v>1249</v>
      </c>
      <c r="F1604" s="75" t="s">
        <v>10</v>
      </c>
      <c r="H1604" s="75" t="s">
        <v>10</v>
      </c>
      <c r="I1604" s="75">
        <v>19489</v>
      </c>
      <c r="K1604" s="75" t="str">
        <f>IFERROR(VLOOKUP(J1604,'NQ10'!$B$9:$C$145,2,0),"")</f>
        <v/>
      </c>
    </row>
    <row r="1605" spans="1:11" ht="15" customHeight="1" x14ac:dyDescent="0.25">
      <c r="A1605" s="75">
        <v>7</v>
      </c>
      <c r="B1605" s="75">
        <v>183</v>
      </c>
      <c r="C1605" s="75" t="s">
        <v>10</v>
      </c>
      <c r="D1605" s="75">
        <v>1859</v>
      </c>
      <c r="F1605" s="75" t="s">
        <v>10</v>
      </c>
      <c r="H1605" s="75" t="s">
        <v>10</v>
      </c>
      <c r="I1605" s="75">
        <v>19489</v>
      </c>
      <c r="K1605" s="75" t="str">
        <f>IFERROR(VLOOKUP(J1605,'NQ10'!$B$9:$C$145,2,0),"")</f>
        <v/>
      </c>
    </row>
    <row r="1606" spans="1:11" ht="15" customHeight="1" x14ac:dyDescent="0.25">
      <c r="A1606" s="75">
        <v>7</v>
      </c>
      <c r="B1606" s="75">
        <v>184</v>
      </c>
      <c r="C1606" s="75" t="s">
        <v>10</v>
      </c>
      <c r="D1606" s="75">
        <v>2787</v>
      </c>
      <c r="F1606" s="75" t="s">
        <v>10</v>
      </c>
      <c r="H1606" s="75" t="s">
        <v>10</v>
      </c>
      <c r="I1606" s="75">
        <v>19489</v>
      </c>
      <c r="K1606" s="75" t="str">
        <f>IFERROR(VLOOKUP(J1606,'NQ10'!$B$9:$C$145,2,0),"")</f>
        <v/>
      </c>
    </row>
    <row r="1607" spans="1:11" ht="15" customHeight="1" x14ac:dyDescent="0.25">
      <c r="A1607" s="75">
        <v>7</v>
      </c>
      <c r="B1607" s="75">
        <v>185</v>
      </c>
      <c r="C1607" s="75" t="s">
        <v>10</v>
      </c>
      <c r="D1607" s="75">
        <v>7215</v>
      </c>
      <c r="F1607" s="75" t="s">
        <v>10</v>
      </c>
      <c r="H1607" s="75" t="s">
        <v>10</v>
      </c>
      <c r="I1607" s="75">
        <v>19489</v>
      </c>
      <c r="K1607" s="75" t="str">
        <f>IFERROR(VLOOKUP(J1607,'NQ10'!$B$9:$C$145,2,0),"")</f>
        <v/>
      </c>
    </row>
    <row r="1608" spans="1:11" ht="15" customHeight="1" x14ac:dyDescent="0.25">
      <c r="A1608" s="75">
        <v>7</v>
      </c>
      <c r="B1608" s="75">
        <v>187</v>
      </c>
      <c r="C1608" s="75" t="s">
        <v>10</v>
      </c>
      <c r="D1608" s="75">
        <v>399</v>
      </c>
      <c r="F1608" s="75" t="s">
        <v>10</v>
      </c>
      <c r="H1608" s="75" t="s">
        <v>10</v>
      </c>
      <c r="I1608" s="75">
        <v>19489</v>
      </c>
      <c r="K1608" s="75" t="str">
        <f>IFERROR(VLOOKUP(J1608,'NQ10'!$B$9:$C$145,2,0),"")</f>
        <v/>
      </c>
    </row>
    <row r="1609" spans="1:11" ht="15" customHeight="1" x14ac:dyDescent="0.25">
      <c r="A1609" s="75">
        <v>7</v>
      </c>
      <c r="B1609" s="75">
        <v>188</v>
      </c>
      <c r="C1609" s="75" t="s">
        <v>10</v>
      </c>
      <c r="D1609" s="75">
        <v>302</v>
      </c>
      <c r="F1609" s="75" t="s">
        <v>10</v>
      </c>
      <c r="H1609" s="75" t="s">
        <v>10</v>
      </c>
      <c r="I1609" s="75">
        <v>19489</v>
      </c>
      <c r="K1609" s="75" t="str">
        <f>IFERROR(VLOOKUP(J1609,'NQ10'!$B$9:$C$145,2,0),"")</f>
        <v/>
      </c>
    </row>
    <row r="1610" spans="1:11" ht="15" customHeight="1" x14ac:dyDescent="0.25">
      <c r="A1610" s="75">
        <v>7</v>
      </c>
      <c r="B1610" s="75">
        <v>189</v>
      </c>
      <c r="C1610" s="75" t="s">
        <v>10</v>
      </c>
      <c r="D1610" s="75">
        <v>405</v>
      </c>
      <c r="F1610" s="75" t="s">
        <v>10</v>
      </c>
      <c r="H1610" s="75" t="s">
        <v>10</v>
      </c>
      <c r="I1610" s="75">
        <v>19489</v>
      </c>
      <c r="K1610" s="75" t="str">
        <f>IFERROR(VLOOKUP(J1610,'NQ10'!$B$9:$C$145,2,0),"")</f>
        <v/>
      </c>
    </row>
    <row r="1611" spans="1:11" ht="15" customHeight="1" x14ac:dyDescent="0.25">
      <c r="A1611" s="75">
        <v>7</v>
      </c>
      <c r="B1611" s="75">
        <v>191</v>
      </c>
      <c r="C1611" s="75" t="s">
        <v>10</v>
      </c>
      <c r="D1611" s="75">
        <v>148</v>
      </c>
      <c r="F1611" s="75" t="s">
        <v>10</v>
      </c>
      <c r="H1611" s="75" t="s">
        <v>10</v>
      </c>
      <c r="I1611" s="75">
        <v>19489</v>
      </c>
      <c r="K1611" s="75" t="str">
        <f>IFERROR(VLOOKUP(J1611,'NQ10'!$B$9:$C$145,2,0),"")</f>
        <v/>
      </c>
    </row>
    <row r="1612" spans="1:11" ht="15" customHeight="1" x14ac:dyDescent="0.25">
      <c r="A1612" s="75">
        <v>7</v>
      </c>
      <c r="B1612" s="75">
        <v>192</v>
      </c>
      <c r="C1612" s="75" t="s">
        <v>10</v>
      </c>
      <c r="D1612" s="75">
        <v>358</v>
      </c>
      <c r="F1612" s="75" t="s">
        <v>10</v>
      </c>
      <c r="H1612" s="75" t="s">
        <v>10</v>
      </c>
      <c r="I1612" s="75">
        <v>19489</v>
      </c>
      <c r="K1612" s="75" t="str">
        <f>IFERROR(VLOOKUP(J1612,'NQ10'!$B$9:$C$145,2,0),"")</f>
        <v/>
      </c>
    </row>
    <row r="1613" spans="1:11" ht="15" customHeight="1" x14ac:dyDescent="0.25">
      <c r="A1613" s="75">
        <v>7</v>
      </c>
      <c r="B1613" s="75">
        <v>193</v>
      </c>
      <c r="C1613" s="75" t="s">
        <v>10</v>
      </c>
      <c r="D1613" s="75">
        <v>361</v>
      </c>
      <c r="F1613" s="75" t="s">
        <v>10</v>
      </c>
      <c r="H1613" s="75" t="s">
        <v>10</v>
      </c>
      <c r="I1613" s="75">
        <v>19489</v>
      </c>
      <c r="K1613" s="75" t="str">
        <f>IFERROR(VLOOKUP(J1613,'NQ10'!$B$9:$C$145,2,0),"")</f>
        <v/>
      </c>
    </row>
    <row r="1614" spans="1:11" ht="15" customHeight="1" x14ac:dyDescent="0.25">
      <c r="A1614" s="75">
        <v>7</v>
      </c>
      <c r="B1614" s="75">
        <v>194</v>
      </c>
      <c r="C1614" s="75" t="s">
        <v>10</v>
      </c>
      <c r="D1614" s="75">
        <v>233</v>
      </c>
      <c r="F1614" s="75" t="s">
        <v>10</v>
      </c>
      <c r="H1614" s="75" t="s">
        <v>10</v>
      </c>
      <c r="I1614" s="75">
        <v>19489</v>
      </c>
      <c r="K1614" s="75" t="str">
        <f>IFERROR(VLOOKUP(J1614,'NQ10'!$B$9:$C$145,2,0),"")</f>
        <v/>
      </c>
    </row>
    <row r="1615" spans="1:11" ht="15" customHeight="1" x14ac:dyDescent="0.25">
      <c r="A1615" s="75">
        <v>7</v>
      </c>
      <c r="B1615" s="75">
        <v>195</v>
      </c>
      <c r="C1615" s="75" t="s">
        <v>10</v>
      </c>
      <c r="D1615" s="75">
        <v>6517</v>
      </c>
      <c r="F1615" s="75" t="s">
        <v>10</v>
      </c>
      <c r="H1615" s="75" t="s">
        <v>10</v>
      </c>
      <c r="I1615" s="75">
        <v>19489</v>
      </c>
      <c r="K1615" s="75" t="str">
        <f>IFERROR(VLOOKUP(J1615,'NQ10'!$B$9:$C$145,2,0),"")</f>
        <v/>
      </c>
    </row>
    <row r="1616" spans="1:11" ht="15" customHeight="1" x14ac:dyDescent="0.25">
      <c r="A1616" s="75">
        <v>7</v>
      </c>
      <c r="B1616" s="75">
        <v>196</v>
      </c>
      <c r="C1616" s="75" t="s">
        <v>10</v>
      </c>
      <c r="D1616" s="75">
        <v>6088</v>
      </c>
      <c r="F1616" s="75" t="s">
        <v>10</v>
      </c>
      <c r="H1616" s="75" t="s">
        <v>10</v>
      </c>
      <c r="I1616" s="75">
        <v>19489</v>
      </c>
      <c r="K1616" s="75" t="str">
        <f>IFERROR(VLOOKUP(J1616,'NQ10'!$B$9:$C$145,2,0),"")</f>
        <v/>
      </c>
    </row>
    <row r="1617" spans="1:11" ht="15" customHeight="1" x14ac:dyDescent="0.25">
      <c r="A1617" s="75">
        <v>7</v>
      </c>
      <c r="B1617" s="75">
        <v>197</v>
      </c>
      <c r="C1617" s="75" t="s">
        <v>10</v>
      </c>
      <c r="D1617" s="75">
        <v>1743</v>
      </c>
      <c r="F1617" s="75" t="s">
        <v>10</v>
      </c>
      <c r="H1617" s="75" t="s">
        <v>10</v>
      </c>
      <c r="I1617" s="75">
        <v>19489</v>
      </c>
      <c r="K1617" s="75" t="str">
        <f>IFERROR(VLOOKUP(J1617,'NQ10'!$B$9:$C$145,2,0),"")</f>
        <v/>
      </c>
    </row>
    <row r="1618" spans="1:11" ht="15" customHeight="1" x14ac:dyDescent="0.25">
      <c r="A1618" s="75">
        <v>7</v>
      </c>
      <c r="B1618" s="75">
        <v>198</v>
      </c>
      <c r="C1618" s="75" t="s">
        <v>10</v>
      </c>
      <c r="D1618" s="75">
        <v>371</v>
      </c>
      <c r="F1618" s="75" t="s">
        <v>10</v>
      </c>
      <c r="H1618" s="75" t="s">
        <v>10</v>
      </c>
      <c r="I1618" s="75">
        <v>19489</v>
      </c>
      <c r="K1618" s="75" t="str">
        <f>IFERROR(VLOOKUP(J1618,'NQ10'!$B$9:$C$145,2,0),"")</f>
        <v/>
      </c>
    </row>
    <row r="1619" spans="1:11" ht="15" customHeight="1" x14ac:dyDescent="0.25">
      <c r="A1619" s="75">
        <v>7</v>
      </c>
      <c r="B1619" s="75">
        <v>199</v>
      </c>
      <c r="C1619" s="75" t="s">
        <v>10</v>
      </c>
      <c r="D1619" s="75">
        <v>3951</v>
      </c>
      <c r="F1619" s="75" t="s">
        <v>10</v>
      </c>
      <c r="H1619" s="75" t="s">
        <v>10</v>
      </c>
      <c r="I1619" s="75">
        <v>19489</v>
      </c>
      <c r="K1619" s="75" t="str">
        <f>IFERROR(VLOOKUP(J1619,'NQ10'!$B$9:$C$145,2,0),"")</f>
        <v/>
      </c>
    </row>
    <row r="1620" spans="1:11" ht="15" customHeight="1" x14ac:dyDescent="0.25">
      <c r="A1620" s="75">
        <v>7</v>
      </c>
      <c r="B1620" s="75">
        <v>200</v>
      </c>
      <c r="C1620" s="75" t="s">
        <v>10</v>
      </c>
      <c r="D1620" s="75">
        <v>3915</v>
      </c>
      <c r="F1620" s="75" t="s">
        <v>10</v>
      </c>
      <c r="H1620" s="75" t="s">
        <v>10</v>
      </c>
      <c r="I1620" s="75">
        <v>19489</v>
      </c>
      <c r="K1620" s="75" t="str">
        <f>IFERROR(VLOOKUP(J1620,'NQ10'!$B$9:$C$145,2,0),"")</f>
        <v/>
      </c>
    </row>
    <row r="1621" spans="1:11" ht="15" customHeight="1" x14ac:dyDescent="0.25">
      <c r="A1621" s="75">
        <v>7</v>
      </c>
      <c r="B1621" s="75">
        <v>201</v>
      </c>
      <c r="C1621" s="75" t="s">
        <v>10</v>
      </c>
      <c r="D1621" s="75">
        <v>220</v>
      </c>
      <c r="F1621" s="75" t="s">
        <v>10</v>
      </c>
      <c r="H1621" s="75" t="s">
        <v>10</v>
      </c>
      <c r="I1621" s="75">
        <v>19489</v>
      </c>
      <c r="K1621" s="75" t="str">
        <f>IFERROR(VLOOKUP(J1621,'NQ10'!$B$9:$C$145,2,0),"")</f>
        <v/>
      </c>
    </row>
    <row r="1622" spans="1:11" ht="15" customHeight="1" x14ac:dyDescent="0.25">
      <c r="A1622" s="75">
        <v>7</v>
      </c>
      <c r="B1622" s="75">
        <v>202</v>
      </c>
      <c r="C1622" s="75" t="s">
        <v>10</v>
      </c>
      <c r="D1622" s="75">
        <v>287</v>
      </c>
      <c r="F1622" s="75" t="s">
        <v>10</v>
      </c>
      <c r="H1622" s="75" t="s">
        <v>10</v>
      </c>
      <c r="I1622" s="75">
        <v>19489</v>
      </c>
      <c r="K1622" s="75" t="str">
        <f>IFERROR(VLOOKUP(J1622,'NQ10'!$B$9:$C$145,2,0),"")</f>
        <v/>
      </c>
    </row>
    <row r="1623" spans="1:11" ht="15" customHeight="1" x14ac:dyDescent="0.25">
      <c r="A1623" s="75">
        <v>7</v>
      </c>
      <c r="B1623" s="75">
        <v>203</v>
      </c>
      <c r="C1623" s="75" t="s">
        <v>10</v>
      </c>
      <c r="D1623" s="75">
        <v>454</v>
      </c>
      <c r="F1623" s="75" t="s">
        <v>10</v>
      </c>
      <c r="H1623" s="75" t="s">
        <v>10</v>
      </c>
      <c r="I1623" s="75">
        <v>19489</v>
      </c>
      <c r="K1623" s="75" t="str">
        <f>IFERROR(VLOOKUP(J1623,'NQ10'!$B$9:$C$145,2,0),"")</f>
        <v/>
      </c>
    </row>
    <row r="1624" spans="1:11" ht="15" customHeight="1" x14ac:dyDescent="0.25">
      <c r="A1624" s="75">
        <v>7</v>
      </c>
      <c r="B1624" s="75">
        <v>204</v>
      </c>
      <c r="C1624" s="75" t="s">
        <v>10</v>
      </c>
      <c r="D1624" s="75">
        <v>131</v>
      </c>
      <c r="F1624" s="75" t="s">
        <v>10</v>
      </c>
      <c r="H1624" s="75" t="s">
        <v>10</v>
      </c>
      <c r="I1624" s="75">
        <v>19489</v>
      </c>
      <c r="K1624" s="75" t="str">
        <f>IFERROR(VLOOKUP(J1624,'NQ10'!$B$9:$C$145,2,0),"")</f>
        <v/>
      </c>
    </row>
    <row r="1625" spans="1:11" ht="15" customHeight="1" x14ac:dyDescent="0.25">
      <c r="A1625" s="75">
        <v>7</v>
      </c>
      <c r="B1625" s="75">
        <v>205</v>
      </c>
      <c r="C1625" s="75" t="s">
        <v>10</v>
      </c>
      <c r="D1625" s="75">
        <v>198</v>
      </c>
      <c r="F1625" s="75" t="s">
        <v>10</v>
      </c>
      <c r="H1625" s="75" t="s">
        <v>10</v>
      </c>
      <c r="I1625" s="75">
        <v>19489</v>
      </c>
      <c r="K1625" s="75" t="str">
        <f>IFERROR(VLOOKUP(J1625,'NQ10'!$B$9:$C$145,2,0),"")</f>
        <v/>
      </c>
    </row>
    <row r="1626" spans="1:11" ht="15" customHeight="1" x14ac:dyDescent="0.25">
      <c r="A1626" s="75">
        <v>7</v>
      </c>
      <c r="B1626" s="75">
        <v>206</v>
      </c>
      <c r="C1626" s="75" t="s">
        <v>10</v>
      </c>
      <c r="D1626" s="75">
        <v>533</v>
      </c>
      <c r="F1626" s="75" t="s">
        <v>10</v>
      </c>
      <c r="H1626" s="75" t="s">
        <v>10</v>
      </c>
      <c r="I1626" s="75">
        <v>19489</v>
      </c>
      <c r="K1626" s="75" t="str">
        <f>IFERROR(VLOOKUP(J1626,'NQ10'!$B$9:$C$145,2,0),"")</f>
        <v/>
      </c>
    </row>
    <row r="1627" spans="1:11" ht="15" customHeight="1" x14ac:dyDescent="0.25">
      <c r="A1627" s="75">
        <v>7</v>
      </c>
      <c r="B1627" s="75">
        <v>207</v>
      </c>
      <c r="C1627" s="75" t="s">
        <v>10</v>
      </c>
      <c r="D1627" s="75">
        <v>186</v>
      </c>
      <c r="F1627" s="75" t="s">
        <v>10</v>
      </c>
      <c r="H1627" s="75" t="s">
        <v>10</v>
      </c>
      <c r="I1627" s="75">
        <v>19489</v>
      </c>
      <c r="K1627" s="75" t="str">
        <f>IFERROR(VLOOKUP(J1627,'NQ10'!$B$9:$C$145,2,0),"")</f>
        <v/>
      </c>
    </row>
    <row r="1628" spans="1:11" ht="15" customHeight="1" x14ac:dyDescent="0.25">
      <c r="A1628" s="75">
        <v>7</v>
      </c>
      <c r="B1628" s="75">
        <v>208</v>
      </c>
      <c r="C1628" s="75" t="s">
        <v>10</v>
      </c>
      <c r="D1628" s="75">
        <v>11188</v>
      </c>
      <c r="F1628" s="75" t="s">
        <v>10</v>
      </c>
      <c r="H1628" s="75" t="s">
        <v>10</v>
      </c>
      <c r="I1628" s="75">
        <v>19489</v>
      </c>
      <c r="K1628" s="75" t="str">
        <f>IFERROR(VLOOKUP(J1628,'NQ10'!$B$9:$C$145,2,0),"")</f>
        <v/>
      </c>
    </row>
    <row r="1629" spans="1:11" ht="15" customHeight="1" x14ac:dyDescent="0.25">
      <c r="A1629" s="75">
        <v>7</v>
      </c>
      <c r="B1629" s="75">
        <v>209</v>
      </c>
      <c r="C1629" s="75" t="s">
        <v>10</v>
      </c>
      <c r="D1629" s="75">
        <v>366</v>
      </c>
      <c r="F1629" s="75" t="s">
        <v>10</v>
      </c>
      <c r="H1629" s="75" t="s">
        <v>10</v>
      </c>
      <c r="I1629" s="75">
        <v>19489</v>
      </c>
      <c r="K1629" s="75" t="str">
        <f>IFERROR(VLOOKUP(J1629,'NQ10'!$B$9:$C$145,2,0),"")</f>
        <v/>
      </c>
    </row>
    <row r="1630" spans="1:11" ht="15" customHeight="1" x14ac:dyDescent="0.25">
      <c r="A1630" s="75">
        <v>7</v>
      </c>
      <c r="B1630" s="75">
        <v>210</v>
      </c>
      <c r="C1630" s="75" t="s">
        <v>10</v>
      </c>
      <c r="D1630" s="75">
        <v>2971</v>
      </c>
      <c r="F1630" s="75" t="s">
        <v>10</v>
      </c>
      <c r="H1630" s="75" t="s">
        <v>10</v>
      </c>
      <c r="I1630" s="75">
        <v>19489</v>
      </c>
      <c r="K1630" s="75" t="str">
        <f>IFERROR(VLOOKUP(J1630,'NQ10'!$B$9:$C$145,2,0),"")</f>
        <v/>
      </c>
    </row>
    <row r="1631" spans="1:11" ht="15" customHeight="1" x14ac:dyDescent="0.25">
      <c r="A1631" s="75">
        <v>7</v>
      </c>
      <c r="B1631" s="75">
        <v>211</v>
      </c>
      <c r="C1631" s="75" t="s">
        <v>10</v>
      </c>
      <c r="D1631" s="75">
        <v>433</v>
      </c>
      <c r="F1631" s="75" t="s">
        <v>10</v>
      </c>
      <c r="H1631" s="75" t="s">
        <v>10</v>
      </c>
      <c r="I1631" s="75">
        <v>19489</v>
      </c>
      <c r="K1631" s="75" t="str">
        <f>IFERROR(VLOOKUP(J1631,'NQ10'!$B$9:$C$145,2,0),"")</f>
        <v/>
      </c>
    </row>
    <row r="1632" spans="1:11" ht="15" customHeight="1" x14ac:dyDescent="0.25">
      <c r="A1632" s="75">
        <v>7</v>
      </c>
      <c r="B1632" s="75">
        <v>212</v>
      </c>
      <c r="C1632" s="75" t="s">
        <v>10</v>
      </c>
      <c r="D1632" s="75">
        <v>638</v>
      </c>
      <c r="F1632" s="75" t="s">
        <v>10</v>
      </c>
      <c r="H1632" s="75" t="s">
        <v>10</v>
      </c>
      <c r="I1632" s="75">
        <v>19489</v>
      </c>
      <c r="K1632" s="75" t="str">
        <f>IFERROR(VLOOKUP(J1632,'NQ10'!$B$9:$C$145,2,0),"")</f>
        <v/>
      </c>
    </row>
    <row r="1633" spans="1:11" ht="15" customHeight="1" x14ac:dyDescent="0.25">
      <c r="A1633" s="75">
        <v>7</v>
      </c>
      <c r="B1633" s="75">
        <v>213</v>
      </c>
      <c r="C1633" s="75" t="s">
        <v>10</v>
      </c>
      <c r="D1633" s="75">
        <v>287</v>
      </c>
      <c r="F1633" s="75" t="s">
        <v>10</v>
      </c>
      <c r="H1633" s="75" t="s">
        <v>10</v>
      </c>
      <c r="I1633" s="75">
        <v>19489</v>
      </c>
      <c r="K1633" s="75" t="str">
        <f>IFERROR(VLOOKUP(J1633,'NQ10'!$B$9:$C$145,2,0),"")</f>
        <v/>
      </c>
    </row>
    <row r="1634" spans="1:11" ht="15" customHeight="1" x14ac:dyDescent="0.25">
      <c r="A1634" s="75">
        <v>7</v>
      </c>
      <c r="B1634" s="75">
        <v>214</v>
      </c>
      <c r="C1634" s="75" t="s">
        <v>10</v>
      </c>
      <c r="D1634" s="75">
        <v>325</v>
      </c>
      <c r="F1634" s="75" t="s">
        <v>10</v>
      </c>
      <c r="H1634" s="75" t="s">
        <v>10</v>
      </c>
      <c r="I1634" s="75">
        <v>19489</v>
      </c>
      <c r="K1634" s="75" t="str">
        <f>IFERROR(VLOOKUP(J1634,'NQ10'!$B$9:$C$145,2,0),"")</f>
        <v/>
      </c>
    </row>
    <row r="1635" spans="1:11" ht="15" customHeight="1" x14ac:dyDescent="0.25">
      <c r="A1635" s="75">
        <v>7</v>
      </c>
      <c r="B1635" s="75">
        <v>215</v>
      </c>
      <c r="C1635" s="75" t="s">
        <v>10</v>
      </c>
      <c r="D1635" s="75">
        <v>1486</v>
      </c>
      <c r="F1635" s="75" t="s">
        <v>10</v>
      </c>
      <c r="H1635" s="75" t="s">
        <v>10</v>
      </c>
      <c r="I1635" s="75">
        <v>19489</v>
      </c>
      <c r="K1635" s="75" t="str">
        <f>IFERROR(VLOOKUP(J1635,'NQ10'!$B$9:$C$145,2,0),"")</f>
        <v/>
      </c>
    </row>
    <row r="1636" spans="1:11" ht="15" customHeight="1" x14ac:dyDescent="0.25">
      <c r="A1636" s="75">
        <v>7</v>
      </c>
      <c r="B1636" s="75">
        <v>216</v>
      </c>
      <c r="C1636" s="75" t="s">
        <v>10</v>
      </c>
      <c r="D1636" s="75">
        <v>6783</v>
      </c>
      <c r="F1636" s="75" t="s">
        <v>10</v>
      </c>
      <c r="H1636" s="75" t="s">
        <v>10</v>
      </c>
      <c r="I1636" s="75">
        <v>19489</v>
      </c>
      <c r="K1636" s="75" t="str">
        <f>IFERROR(VLOOKUP(J1636,'NQ10'!$B$9:$C$145,2,0),"")</f>
        <v/>
      </c>
    </row>
    <row r="1637" spans="1:11" ht="15" customHeight="1" x14ac:dyDescent="0.25">
      <c r="A1637" s="75">
        <v>7</v>
      </c>
      <c r="B1637" s="75">
        <v>217</v>
      </c>
      <c r="C1637" s="75" t="s">
        <v>10</v>
      </c>
      <c r="D1637" s="75">
        <v>3251</v>
      </c>
      <c r="F1637" s="75" t="s">
        <v>10</v>
      </c>
      <c r="H1637" s="75" t="s">
        <v>10</v>
      </c>
      <c r="I1637" s="75">
        <v>19489</v>
      </c>
      <c r="K1637" s="75" t="str">
        <f>IFERROR(VLOOKUP(J1637,'NQ10'!$B$9:$C$145,2,0),"")</f>
        <v/>
      </c>
    </row>
    <row r="1638" spans="1:11" ht="15" customHeight="1" x14ac:dyDescent="0.25">
      <c r="A1638" s="75">
        <v>7</v>
      </c>
      <c r="B1638" s="75">
        <v>218</v>
      </c>
      <c r="C1638" s="75" t="s">
        <v>10</v>
      </c>
      <c r="D1638" s="75">
        <v>986</v>
      </c>
      <c r="F1638" s="75" t="s">
        <v>10</v>
      </c>
      <c r="H1638" s="75" t="s">
        <v>10</v>
      </c>
      <c r="I1638" s="75">
        <v>19489</v>
      </c>
      <c r="K1638" s="75" t="str">
        <f>IFERROR(VLOOKUP(J1638,'NQ10'!$B$9:$C$145,2,0),"")</f>
        <v/>
      </c>
    </row>
    <row r="1639" spans="1:11" ht="15" customHeight="1" x14ac:dyDescent="0.25">
      <c r="A1639" s="75">
        <v>7</v>
      </c>
      <c r="B1639" s="75">
        <v>219</v>
      </c>
      <c r="C1639" s="75" t="s">
        <v>10</v>
      </c>
      <c r="D1639" s="75">
        <v>568</v>
      </c>
      <c r="F1639" s="75" t="s">
        <v>10</v>
      </c>
      <c r="H1639" s="75" t="s">
        <v>10</v>
      </c>
      <c r="I1639" s="75">
        <v>19489</v>
      </c>
      <c r="K1639" s="75" t="str">
        <f>IFERROR(VLOOKUP(J1639,'NQ10'!$B$9:$C$145,2,0),"")</f>
        <v/>
      </c>
    </row>
    <row r="1640" spans="1:11" ht="15" customHeight="1" x14ac:dyDescent="0.25">
      <c r="A1640" s="75">
        <v>7</v>
      </c>
      <c r="B1640" s="75">
        <v>220</v>
      </c>
      <c r="C1640" s="75" t="s">
        <v>10</v>
      </c>
      <c r="D1640" s="75">
        <v>645</v>
      </c>
      <c r="F1640" s="75" t="s">
        <v>10</v>
      </c>
      <c r="H1640" s="75" t="s">
        <v>10</v>
      </c>
      <c r="I1640" s="75">
        <v>19489</v>
      </c>
      <c r="K1640" s="75" t="str">
        <f>IFERROR(VLOOKUP(J1640,'NQ10'!$B$9:$C$145,2,0),"")</f>
        <v/>
      </c>
    </row>
    <row r="1641" spans="1:11" ht="15" customHeight="1" x14ac:dyDescent="0.25">
      <c r="A1641" s="75">
        <v>7</v>
      </c>
      <c r="B1641" s="75">
        <v>221</v>
      </c>
      <c r="C1641" s="75" t="s">
        <v>10</v>
      </c>
      <c r="D1641" s="75">
        <v>392</v>
      </c>
      <c r="F1641" s="75" t="s">
        <v>10</v>
      </c>
      <c r="H1641" s="75" t="s">
        <v>10</v>
      </c>
      <c r="I1641" s="75">
        <v>19489</v>
      </c>
      <c r="K1641" s="75" t="str">
        <f>IFERROR(VLOOKUP(J1641,'NQ10'!$B$9:$C$145,2,0),"")</f>
        <v/>
      </c>
    </row>
    <row r="1642" spans="1:11" ht="15" customHeight="1" x14ac:dyDescent="0.25">
      <c r="A1642" s="75">
        <v>7</v>
      </c>
      <c r="B1642" s="75">
        <v>222</v>
      </c>
      <c r="C1642" s="75" t="s">
        <v>10</v>
      </c>
      <c r="D1642" s="75">
        <v>264</v>
      </c>
      <c r="F1642" s="75" t="s">
        <v>10</v>
      </c>
      <c r="H1642" s="75" t="s">
        <v>10</v>
      </c>
      <c r="I1642" s="75">
        <v>19489</v>
      </c>
      <c r="K1642" s="75" t="str">
        <f>IFERROR(VLOOKUP(J1642,'NQ10'!$B$9:$C$145,2,0),"")</f>
        <v/>
      </c>
    </row>
    <row r="1643" spans="1:11" ht="15" customHeight="1" x14ac:dyDescent="0.25">
      <c r="A1643" s="75">
        <v>7</v>
      </c>
      <c r="B1643" s="75">
        <v>223</v>
      </c>
      <c r="C1643" s="75" t="s">
        <v>10</v>
      </c>
      <c r="D1643" s="75">
        <v>272</v>
      </c>
      <c r="F1643" s="75" t="s">
        <v>10</v>
      </c>
      <c r="H1643" s="75" t="s">
        <v>10</v>
      </c>
      <c r="I1643" s="75">
        <v>19489</v>
      </c>
      <c r="K1643" s="75" t="str">
        <f>IFERROR(VLOOKUP(J1643,'NQ10'!$B$9:$C$145,2,0),"")</f>
        <v/>
      </c>
    </row>
    <row r="1644" spans="1:11" ht="15" customHeight="1" x14ac:dyDescent="0.25">
      <c r="A1644" s="75">
        <v>7</v>
      </c>
      <c r="B1644" s="75">
        <v>224</v>
      </c>
      <c r="C1644" s="75" t="s">
        <v>10</v>
      </c>
      <c r="D1644" s="75">
        <v>287</v>
      </c>
      <c r="F1644" s="75" t="s">
        <v>10</v>
      </c>
      <c r="H1644" s="75" t="s">
        <v>10</v>
      </c>
      <c r="I1644" s="75">
        <v>19489</v>
      </c>
      <c r="K1644" s="75" t="str">
        <f>IFERROR(VLOOKUP(J1644,'NQ10'!$B$9:$C$145,2,0),"")</f>
        <v/>
      </c>
    </row>
    <row r="1645" spans="1:11" ht="15" customHeight="1" x14ac:dyDescent="0.25">
      <c r="A1645" s="75">
        <v>7</v>
      </c>
      <c r="B1645" s="75">
        <v>225</v>
      </c>
      <c r="C1645" s="75" t="s">
        <v>10</v>
      </c>
      <c r="D1645" s="75">
        <v>143</v>
      </c>
      <c r="F1645" s="75" t="s">
        <v>10</v>
      </c>
      <c r="H1645" s="75" t="s">
        <v>10</v>
      </c>
      <c r="I1645" s="75">
        <v>19489</v>
      </c>
      <c r="K1645" s="75" t="str">
        <f>IFERROR(VLOOKUP(J1645,'NQ10'!$B$9:$C$145,2,0),"")</f>
        <v/>
      </c>
    </row>
    <row r="1646" spans="1:11" ht="15" customHeight="1" x14ac:dyDescent="0.25">
      <c r="A1646" s="75">
        <v>7</v>
      </c>
      <c r="B1646" s="75">
        <v>226</v>
      </c>
      <c r="C1646" s="75" t="s">
        <v>10</v>
      </c>
      <c r="D1646" s="75">
        <v>768</v>
      </c>
      <c r="F1646" s="75" t="s">
        <v>10</v>
      </c>
      <c r="H1646" s="75" t="s">
        <v>10</v>
      </c>
      <c r="I1646" s="75">
        <v>19489</v>
      </c>
      <c r="K1646" s="75" t="str">
        <f>IFERROR(VLOOKUP(J1646,'NQ10'!$B$9:$C$145,2,0),"")</f>
        <v/>
      </c>
    </row>
    <row r="1647" spans="1:11" ht="15" customHeight="1" x14ac:dyDescent="0.25">
      <c r="A1647" s="75">
        <v>7</v>
      </c>
      <c r="B1647" s="75">
        <v>227</v>
      </c>
      <c r="C1647" s="75" t="s">
        <v>10</v>
      </c>
      <c r="D1647" s="75">
        <v>572</v>
      </c>
      <c r="F1647" s="75" t="s">
        <v>10</v>
      </c>
      <c r="H1647" s="75" t="s">
        <v>10</v>
      </c>
      <c r="I1647" s="75">
        <v>19489</v>
      </c>
      <c r="K1647" s="75" t="str">
        <f>IFERROR(VLOOKUP(J1647,'NQ10'!$B$9:$C$145,2,0),"")</f>
        <v/>
      </c>
    </row>
    <row r="1648" spans="1:11" ht="15" customHeight="1" x14ac:dyDescent="0.25">
      <c r="A1648" s="75">
        <v>7</v>
      </c>
      <c r="B1648" s="75">
        <v>228</v>
      </c>
      <c r="C1648" s="75" t="s">
        <v>10</v>
      </c>
      <c r="D1648" s="75">
        <v>1058</v>
      </c>
      <c r="F1648" s="75" t="s">
        <v>10</v>
      </c>
      <c r="H1648" s="75" t="s">
        <v>10</v>
      </c>
      <c r="I1648" s="75">
        <v>19489</v>
      </c>
      <c r="K1648" s="75" t="str">
        <f>IFERROR(VLOOKUP(J1648,'NQ10'!$B$9:$C$145,2,0),"")</f>
        <v/>
      </c>
    </row>
    <row r="1649" spans="1:11" ht="15" customHeight="1" x14ac:dyDescent="0.25">
      <c r="A1649" s="75">
        <v>7</v>
      </c>
      <c r="B1649" s="75">
        <v>229</v>
      </c>
      <c r="C1649" s="75" t="s">
        <v>10</v>
      </c>
      <c r="D1649" s="75">
        <v>3190</v>
      </c>
      <c r="F1649" s="75" t="s">
        <v>10</v>
      </c>
      <c r="H1649" s="75" t="s">
        <v>10</v>
      </c>
      <c r="I1649" s="75">
        <v>19489</v>
      </c>
      <c r="K1649" s="75" t="str">
        <f>IFERROR(VLOOKUP(J1649,'NQ10'!$B$9:$C$145,2,0),"")</f>
        <v/>
      </c>
    </row>
    <row r="1650" spans="1:11" ht="15" customHeight="1" x14ac:dyDescent="0.25">
      <c r="A1650" s="75">
        <v>7</v>
      </c>
      <c r="B1650" s="75">
        <v>230</v>
      </c>
      <c r="C1650" s="75" t="s">
        <v>10</v>
      </c>
      <c r="D1650" s="75">
        <v>686</v>
      </c>
      <c r="F1650" s="75" t="s">
        <v>10</v>
      </c>
      <c r="H1650" s="75" t="s">
        <v>10</v>
      </c>
      <c r="I1650" s="75">
        <v>19489</v>
      </c>
      <c r="K1650" s="75" t="str">
        <f>IFERROR(VLOOKUP(J1650,'NQ10'!$B$9:$C$145,2,0),"")</f>
        <v/>
      </c>
    </row>
    <row r="1651" spans="1:11" ht="15" customHeight="1" x14ac:dyDescent="0.25">
      <c r="A1651" s="75">
        <v>7</v>
      </c>
      <c r="B1651" s="75">
        <v>231</v>
      </c>
      <c r="C1651" s="75" t="s">
        <v>10</v>
      </c>
      <c r="D1651" s="75">
        <v>765</v>
      </c>
      <c r="F1651" s="75" t="s">
        <v>10</v>
      </c>
      <c r="H1651" s="75" t="s">
        <v>10</v>
      </c>
      <c r="I1651" s="75">
        <v>19489</v>
      </c>
      <c r="K1651" s="75" t="str">
        <f>IFERROR(VLOOKUP(J1651,'NQ10'!$B$9:$C$145,2,0),"")</f>
        <v/>
      </c>
    </row>
    <row r="1652" spans="1:11" ht="15" customHeight="1" x14ac:dyDescent="0.25">
      <c r="A1652" s="75">
        <v>7</v>
      </c>
      <c r="B1652" s="75">
        <v>232</v>
      </c>
      <c r="C1652" s="75" t="s">
        <v>10</v>
      </c>
      <c r="D1652" s="75">
        <v>424</v>
      </c>
      <c r="F1652" s="75" t="s">
        <v>10</v>
      </c>
      <c r="H1652" s="75" t="s">
        <v>10</v>
      </c>
      <c r="I1652" s="75">
        <v>19489</v>
      </c>
      <c r="K1652" s="75" t="str">
        <f>IFERROR(VLOOKUP(J1652,'NQ10'!$B$9:$C$145,2,0),"")</f>
        <v/>
      </c>
    </row>
    <row r="1653" spans="1:11" ht="15" customHeight="1" x14ac:dyDescent="0.25">
      <c r="A1653" s="75">
        <v>7</v>
      </c>
      <c r="B1653" s="75">
        <v>233</v>
      </c>
      <c r="C1653" s="75" t="s">
        <v>10</v>
      </c>
      <c r="D1653" s="75">
        <v>306</v>
      </c>
      <c r="F1653" s="75" t="s">
        <v>10</v>
      </c>
      <c r="H1653" s="75" t="s">
        <v>10</v>
      </c>
      <c r="I1653" s="75">
        <v>19489</v>
      </c>
      <c r="K1653" s="75" t="str">
        <f>IFERROR(VLOOKUP(J1653,'NQ10'!$B$9:$C$145,2,0),"")</f>
        <v/>
      </c>
    </row>
    <row r="1654" spans="1:11" ht="15" customHeight="1" x14ac:dyDescent="0.25">
      <c r="A1654" s="75">
        <v>7</v>
      </c>
      <c r="B1654" s="75">
        <v>234</v>
      </c>
      <c r="C1654" s="75" t="s">
        <v>10</v>
      </c>
      <c r="D1654" s="75">
        <v>461</v>
      </c>
      <c r="F1654" s="75" t="s">
        <v>10</v>
      </c>
      <c r="H1654" s="75" t="s">
        <v>10</v>
      </c>
      <c r="I1654" s="75">
        <v>19489</v>
      </c>
      <c r="K1654" s="75" t="str">
        <f>IFERROR(VLOOKUP(J1654,'NQ10'!$B$9:$C$145,2,0),"")</f>
        <v/>
      </c>
    </row>
    <row r="1655" spans="1:11" ht="15" customHeight="1" x14ac:dyDescent="0.25">
      <c r="A1655" s="75">
        <v>7</v>
      </c>
      <c r="B1655" s="75">
        <v>235</v>
      </c>
      <c r="C1655" s="75" t="s">
        <v>10</v>
      </c>
      <c r="D1655" s="75">
        <v>2523</v>
      </c>
      <c r="F1655" s="75" t="s">
        <v>10</v>
      </c>
      <c r="H1655" s="75" t="s">
        <v>10</v>
      </c>
      <c r="I1655" s="75">
        <v>19489</v>
      </c>
      <c r="K1655" s="75" t="str">
        <f>IFERROR(VLOOKUP(J1655,'NQ10'!$B$9:$C$145,2,0),"")</f>
        <v/>
      </c>
    </row>
    <row r="1656" spans="1:11" ht="15" customHeight="1" x14ac:dyDescent="0.25">
      <c r="A1656" s="75">
        <v>7</v>
      </c>
      <c r="B1656" s="75">
        <v>236</v>
      </c>
      <c r="C1656" s="75" t="s">
        <v>10</v>
      </c>
      <c r="D1656" s="75">
        <v>2007</v>
      </c>
      <c r="F1656" s="75" t="s">
        <v>10</v>
      </c>
      <c r="H1656" s="75" t="s">
        <v>10</v>
      </c>
      <c r="I1656" s="75">
        <v>19489</v>
      </c>
      <c r="K1656" s="75" t="str">
        <f>IFERROR(VLOOKUP(J1656,'NQ10'!$B$9:$C$145,2,0),"")</f>
        <v/>
      </c>
    </row>
    <row r="1657" spans="1:11" ht="15" customHeight="1" x14ac:dyDescent="0.25">
      <c r="A1657" s="75">
        <v>7</v>
      </c>
      <c r="B1657" s="75">
        <v>237</v>
      </c>
      <c r="C1657" s="75" t="s">
        <v>10</v>
      </c>
      <c r="D1657" s="75">
        <v>17302</v>
      </c>
      <c r="F1657" s="75" t="s">
        <v>10</v>
      </c>
      <c r="H1657" s="75" t="s">
        <v>10</v>
      </c>
      <c r="I1657" s="75">
        <v>19489</v>
      </c>
      <c r="K1657" s="75" t="str">
        <f>IFERROR(VLOOKUP(J1657,'NQ10'!$B$9:$C$145,2,0),"")</f>
        <v/>
      </c>
    </row>
    <row r="1658" spans="1:11" ht="15" customHeight="1" x14ac:dyDescent="0.25">
      <c r="A1658" s="75">
        <v>7</v>
      </c>
      <c r="B1658" s="75">
        <v>239</v>
      </c>
      <c r="C1658" s="75" t="s">
        <v>10</v>
      </c>
      <c r="D1658" s="75">
        <v>2943</v>
      </c>
      <c r="F1658" s="75" t="s">
        <v>10</v>
      </c>
      <c r="H1658" s="75" t="s">
        <v>10</v>
      </c>
      <c r="I1658" s="75">
        <v>19489</v>
      </c>
      <c r="K1658" s="75" t="str">
        <f>IFERROR(VLOOKUP(J1658,'NQ10'!$B$9:$C$145,2,0),"")</f>
        <v/>
      </c>
    </row>
    <row r="1659" spans="1:11" ht="15" customHeight="1" x14ac:dyDescent="0.25">
      <c r="A1659" s="75">
        <v>7</v>
      </c>
      <c r="B1659" s="75">
        <v>240</v>
      </c>
      <c r="C1659" s="75" t="s">
        <v>10</v>
      </c>
      <c r="D1659" s="75">
        <v>3759</v>
      </c>
      <c r="F1659" s="75" t="s">
        <v>10</v>
      </c>
      <c r="H1659" s="75" t="s">
        <v>10</v>
      </c>
      <c r="I1659" s="75">
        <v>19489</v>
      </c>
      <c r="K1659" s="75" t="str">
        <f>IFERROR(VLOOKUP(J1659,'NQ10'!$B$9:$C$145,2,0),"")</f>
        <v/>
      </c>
    </row>
    <row r="1660" spans="1:11" ht="15" customHeight="1" x14ac:dyDescent="0.25">
      <c r="A1660" s="75">
        <v>7</v>
      </c>
      <c r="B1660" s="75">
        <v>241</v>
      </c>
      <c r="C1660" s="75" t="s">
        <v>10</v>
      </c>
      <c r="D1660" s="75">
        <v>529</v>
      </c>
      <c r="F1660" s="75" t="s">
        <v>10</v>
      </c>
      <c r="H1660" s="75" t="s">
        <v>10</v>
      </c>
      <c r="I1660" s="75">
        <v>19489</v>
      </c>
      <c r="K1660" s="75" t="str">
        <f>IFERROR(VLOOKUP(J1660,'NQ10'!$B$9:$C$145,2,0),"")</f>
        <v/>
      </c>
    </row>
    <row r="1661" spans="1:11" ht="15" customHeight="1" x14ac:dyDescent="0.25">
      <c r="A1661" s="75">
        <v>7</v>
      </c>
      <c r="B1661" s="75">
        <v>242</v>
      </c>
      <c r="C1661" s="75" t="s">
        <v>10</v>
      </c>
      <c r="D1661" s="75">
        <v>729</v>
      </c>
      <c r="F1661" s="75" t="s">
        <v>10</v>
      </c>
      <c r="H1661" s="75" t="s">
        <v>10</v>
      </c>
      <c r="I1661" s="75">
        <v>19489</v>
      </c>
      <c r="K1661" s="75" t="str">
        <f>IFERROR(VLOOKUP(J1661,'NQ10'!$B$9:$C$145,2,0),"")</f>
        <v/>
      </c>
    </row>
    <row r="1662" spans="1:11" ht="15" customHeight="1" x14ac:dyDescent="0.25">
      <c r="A1662" s="75">
        <v>7</v>
      </c>
      <c r="B1662" s="75">
        <v>243</v>
      </c>
      <c r="C1662" s="75" t="s">
        <v>10</v>
      </c>
      <c r="D1662" s="75">
        <v>584</v>
      </c>
      <c r="F1662" s="75" t="s">
        <v>10</v>
      </c>
      <c r="H1662" s="75" t="s">
        <v>10</v>
      </c>
      <c r="I1662" s="75">
        <v>19489</v>
      </c>
      <c r="K1662" s="75" t="str">
        <f>IFERROR(VLOOKUP(J1662,'NQ10'!$B$9:$C$145,2,0),"")</f>
        <v/>
      </c>
    </row>
    <row r="1663" spans="1:11" ht="15" customHeight="1" x14ac:dyDescent="0.25">
      <c r="A1663" s="75">
        <v>7</v>
      </c>
      <c r="B1663" s="75">
        <v>244</v>
      </c>
      <c r="C1663" s="75" t="s">
        <v>10</v>
      </c>
      <c r="D1663" s="75">
        <v>324</v>
      </c>
      <c r="F1663" s="75" t="s">
        <v>10</v>
      </c>
      <c r="H1663" s="75" t="s">
        <v>10</v>
      </c>
      <c r="I1663" s="75">
        <v>19489</v>
      </c>
      <c r="K1663" s="75" t="str">
        <f>IFERROR(VLOOKUP(J1663,'NQ10'!$B$9:$C$145,2,0),"")</f>
        <v/>
      </c>
    </row>
    <row r="1664" spans="1:11" ht="15" customHeight="1" x14ac:dyDescent="0.25">
      <c r="A1664" s="75">
        <v>7</v>
      </c>
      <c r="B1664" s="75">
        <v>245</v>
      </c>
      <c r="C1664" s="75" t="s">
        <v>10</v>
      </c>
      <c r="D1664" s="75">
        <v>395</v>
      </c>
      <c r="F1664" s="75" t="s">
        <v>10</v>
      </c>
      <c r="H1664" s="75" t="s">
        <v>10</v>
      </c>
      <c r="I1664" s="75">
        <v>19489</v>
      </c>
      <c r="K1664" s="75" t="str">
        <f>IFERROR(VLOOKUP(J1664,'NQ10'!$B$9:$C$145,2,0),"")</f>
        <v/>
      </c>
    </row>
    <row r="1665" spans="1:11" ht="15" customHeight="1" x14ac:dyDescent="0.25">
      <c r="A1665" s="75">
        <v>7</v>
      </c>
      <c r="B1665" s="75">
        <v>246</v>
      </c>
      <c r="C1665" s="75" t="s">
        <v>10</v>
      </c>
      <c r="D1665" s="75">
        <v>759</v>
      </c>
      <c r="F1665" s="75" t="s">
        <v>10</v>
      </c>
      <c r="H1665" s="75" t="s">
        <v>10</v>
      </c>
      <c r="I1665" s="75">
        <v>19489</v>
      </c>
      <c r="K1665" s="75" t="str">
        <f>IFERROR(VLOOKUP(J1665,'NQ10'!$B$9:$C$145,2,0),"")</f>
        <v/>
      </c>
    </row>
    <row r="1666" spans="1:11" ht="15" customHeight="1" x14ac:dyDescent="0.25">
      <c r="A1666" s="75">
        <v>7</v>
      </c>
      <c r="B1666" s="75">
        <v>247</v>
      </c>
      <c r="C1666" s="75" t="s">
        <v>10</v>
      </c>
      <c r="D1666" s="75">
        <v>2177</v>
      </c>
      <c r="F1666" s="75" t="s">
        <v>10</v>
      </c>
      <c r="H1666" s="75" t="s">
        <v>10</v>
      </c>
      <c r="I1666" s="75">
        <v>19489</v>
      </c>
      <c r="K1666" s="75" t="str">
        <f>IFERROR(VLOOKUP(J1666,'NQ10'!$B$9:$C$145,2,0),"")</f>
        <v/>
      </c>
    </row>
    <row r="1667" spans="1:11" ht="15" customHeight="1" x14ac:dyDescent="0.25">
      <c r="A1667" s="75">
        <v>7</v>
      </c>
      <c r="B1667" s="75">
        <v>248</v>
      </c>
      <c r="C1667" s="75" t="s">
        <v>10</v>
      </c>
      <c r="D1667" s="75">
        <v>1282</v>
      </c>
      <c r="F1667" s="75" t="s">
        <v>10</v>
      </c>
      <c r="H1667" s="75" t="s">
        <v>10</v>
      </c>
      <c r="I1667" s="75">
        <v>19489</v>
      </c>
      <c r="K1667" s="75" t="str">
        <f>IFERROR(VLOOKUP(J1667,'NQ10'!$B$9:$C$145,2,0),"")</f>
        <v/>
      </c>
    </row>
    <row r="1668" spans="1:11" ht="15" customHeight="1" x14ac:dyDescent="0.25">
      <c r="A1668" s="75">
        <v>7</v>
      </c>
      <c r="B1668" s="75">
        <v>249</v>
      </c>
      <c r="C1668" s="75" t="s">
        <v>10</v>
      </c>
      <c r="D1668" s="75">
        <v>254</v>
      </c>
      <c r="F1668" s="75" t="s">
        <v>10</v>
      </c>
      <c r="H1668" s="75" t="s">
        <v>10</v>
      </c>
      <c r="I1668" s="75">
        <v>19489</v>
      </c>
      <c r="K1668" s="75" t="str">
        <f>IFERROR(VLOOKUP(J1668,'NQ10'!$B$9:$C$145,2,0),"")</f>
        <v/>
      </c>
    </row>
    <row r="1669" spans="1:11" ht="15" customHeight="1" x14ac:dyDescent="0.25">
      <c r="A1669" s="75">
        <v>7</v>
      </c>
      <c r="B1669" s="75">
        <v>250</v>
      </c>
      <c r="C1669" s="75" t="s">
        <v>10</v>
      </c>
      <c r="D1669" s="75">
        <v>239</v>
      </c>
      <c r="F1669" s="75" t="s">
        <v>10</v>
      </c>
      <c r="H1669" s="75" t="s">
        <v>10</v>
      </c>
      <c r="I1669" s="75">
        <v>19489</v>
      </c>
      <c r="K1669" s="75" t="str">
        <f>IFERROR(VLOOKUP(J1669,'NQ10'!$B$9:$C$145,2,0),"")</f>
        <v/>
      </c>
    </row>
    <row r="1670" spans="1:11" ht="15" customHeight="1" x14ac:dyDescent="0.25">
      <c r="A1670" s="75">
        <v>7</v>
      </c>
      <c r="B1670" s="75">
        <v>251</v>
      </c>
      <c r="C1670" s="75" t="s">
        <v>10</v>
      </c>
      <c r="D1670" s="75">
        <v>409</v>
      </c>
      <c r="F1670" s="75" t="s">
        <v>10</v>
      </c>
      <c r="H1670" s="75" t="s">
        <v>10</v>
      </c>
      <c r="I1670" s="75">
        <v>19489</v>
      </c>
      <c r="K1670" s="75" t="str">
        <f>IFERROR(VLOOKUP(J1670,'NQ10'!$B$9:$C$145,2,0),"")</f>
        <v/>
      </c>
    </row>
    <row r="1671" spans="1:11" ht="15" customHeight="1" x14ac:dyDescent="0.25">
      <c r="A1671" s="75">
        <v>7</v>
      </c>
      <c r="B1671" s="75">
        <v>252</v>
      </c>
      <c r="C1671" s="75" t="s">
        <v>10</v>
      </c>
      <c r="D1671" s="75">
        <v>354</v>
      </c>
      <c r="F1671" s="75" t="s">
        <v>10</v>
      </c>
      <c r="H1671" s="75" t="s">
        <v>10</v>
      </c>
      <c r="I1671" s="75">
        <v>19489</v>
      </c>
      <c r="K1671" s="75" t="str">
        <f>IFERROR(VLOOKUP(J1671,'NQ10'!$B$9:$C$145,2,0),"")</f>
        <v/>
      </c>
    </row>
    <row r="1672" spans="1:11" ht="15" customHeight="1" x14ac:dyDescent="0.25">
      <c r="A1672" s="75">
        <v>7</v>
      </c>
      <c r="B1672" s="75">
        <v>253</v>
      </c>
      <c r="C1672" s="75" t="s">
        <v>10</v>
      </c>
      <c r="D1672" s="75">
        <v>188</v>
      </c>
      <c r="F1672" s="75" t="s">
        <v>10</v>
      </c>
      <c r="H1672" s="75" t="s">
        <v>10</v>
      </c>
      <c r="I1672" s="75">
        <v>19489</v>
      </c>
      <c r="K1672" s="75" t="str">
        <f>IFERROR(VLOOKUP(J1672,'NQ10'!$B$9:$C$145,2,0),"")</f>
        <v/>
      </c>
    </row>
    <row r="1673" spans="1:11" ht="15" customHeight="1" x14ac:dyDescent="0.25">
      <c r="A1673" s="75">
        <v>7</v>
      </c>
      <c r="B1673" s="75">
        <v>254</v>
      </c>
      <c r="C1673" s="75" t="s">
        <v>10</v>
      </c>
      <c r="D1673" s="75">
        <v>3365</v>
      </c>
      <c r="F1673" s="75" t="s">
        <v>10</v>
      </c>
      <c r="H1673" s="75" t="s">
        <v>10</v>
      </c>
      <c r="I1673" s="75">
        <v>19489</v>
      </c>
      <c r="K1673" s="75" t="str">
        <f>IFERROR(VLOOKUP(J1673,'NQ10'!$B$9:$C$145,2,0),"")</f>
        <v/>
      </c>
    </row>
    <row r="1674" spans="1:11" ht="15" customHeight="1" x14ac:dyDescent="0.25">
      <c r="A1674" s="75">
        <v>7</v>
      </c>
      <c r="B1674" s="75">
        <v>257</v>
      </c>
      <c r="C1674" s="75" t="s">
        <v>10</v>
      </c>
      <c r="D1674" s="75">
        <v>3394</v>
      </c>
      <c r="F1674" s="75" t="s">
        <v>10</v>
      </c>
      <c r="H1674" s="75" t="s">
        <v>10</v>
      </c>
      <c r="I1674" s="75">
        <v>19489</v>
      </c>
      <c r="K1674" s="75" t="str">
        <f>IFERROR(VLOOKUP(J1674,'NQ10'!$B$9:$C$145,2,0),"")</f>
        <v/>
      </c>
    </row>
    <row r="1675" spans="1:11" ht="15" customHeight="1" x14ac:dyDescent="0.25">
      <c r="A1675" s="75">
        <v>7</v>
      </c>
      <c r="B1675" s="75">
        <v>259</v>
      </c>
      <c r="C1675" s="75" t="s">
        <v>10</v>
      </c>
      <c r="D1675" s="75">
        <v>1113</v>
      </c>
      <c r="F1675" s="75" t="s">
        <v>10</v>
      </c>
      <c r="H1675" s="75" t="s">
        <v>10</v>
      </c>
      <c r="I1675" s="75">
        <v>19489</v>
      </c>
      <c r="K1675" s="75" t="str">
        <f>IFERROR(VLOOKUP(J1675,'NQ10'!$B$9:$C$145,2,0),"")</f>
        <v/>
      </c>
    </row>
    <row r="1676" spans="1:11" ht="15" customHeight="1" x14ac:dyDescent="0.25">
      <c r="A1676" s="75">
        <v>7</v>
      </c>
      <c r="B1676" s="75">
        <v>260</v>
      </c>
      <c r="C1676" s="75" t="s">
        <v>10</v>
      </c>
      <c r="D1676" s="75">
        <v>1040</v>
      </c>
      <c r="F1676" s="75" t="s">
        <v>10</v>
      </c>
      <c r="H1676" s="75" t="s">
        <v>10</v>
      </c>
      <c r="I1676" s="75">
        <v>19489</v>
      </c>
      <c r="K1676" s="75" t="str">
        <f>IFERROR(VLOOKUP(J1676,'NQ10'!$B$9:$C$145,2,0),"")</f>
        <v/>
      </c>
    </row>
    <row r="1677" spans="1:11" ht="15" customHeight="1" x14ac:dyDescent="0.25">
      <c r="A1677" s="75">
        <v>7</v>
      </c>
      <c r="B1677" s="75">
        <v>261</v>
      </c>
      <c r="C1677" s="75" t="s">
        <v>10</v>
      </c>
      <c r="D1677" s="75">
        <v>1010</v>
      </c>
      <c r="F1677" s="75" t="s">
        <v>10</v>
      </c>
      <c r="H1677" s="75" t="s">
        <v>10</v>
      </c>
      <c r="I1677" s="75">
        <v>19489</v>
      </c>
      <c r="K1677" s="75" t="str">
        <f>IFERROR(VLOOKUP(J1677,'NQ10'!$B$9:$C$145,2,0),"")</f>
        <v/>
      </c>
    </row>
    <row r="1678" spans="1:11" ht="15" customHeight="1" x14ac:dyDescent="0.25">
      <c r="A1678" s="75">
        <v>7</v>
      </c>
      <c r="B1678" s="75">
        <v>262</v>
      </c>
      <c r="C1678" s="75" t="s">
        <v>10</v>
      </c>
      <c r="D1678" s="75">
        <v>295</v>
      </c>
      <c r="F1678" s="75" t="s">
        <v>10</v>
      </c>
      <c r="H1678" s="75" t="s">
        <v>10</v>
      </c>
      <c r="I1678" s="75">
        <v>19489</v>
      </c>
      <c r="K1678" s="75" t="str">
        <f>IFERROR(VLOOKUP(J1678,'NQ10'!$B$9:$C$145,2,0),"")</f>
        <v/>
      </c>
    </row>
    <row r="1679" spans="1:11" ht="15" customHeight="1" x14ac:dyDescent="0.25">
      <c r="A1679" s="75">
        <v>7</v>
      </c>
      <c r="B1679" s="75">
        <v>263</v>
      </c>
      <c r="C1679" s="75" t="s">
        <v>10</v>
      </c>
      <c r="D1679" s="75">
        <v>1227</v>
      </c>
      <c r="F1679" s="75" t="s">
        <v>10</v>
      </c>
      <c r="H1679" s="75" t="s">
        <v>10</v>
      </c>
      <c r="I1679" s="75">
        <v>19489</v>
      </c>
      <c r="K1679" s="75" t="str">
        <f>IFERROR(VLOOKUP(J1679,'NQ10'!$B$9:$C$145,2,0),"")</f>
        <v/>
      </c>
    </row>
    <row r="1680" spans="1:11" ht="15" customHeight="1" x14ac:dyDescent="0.25">
      <c r="A1680" s="75">
        <v>7</v>
      </c>
      <c r="B1680" s="75">
        <v>264</v>
      </c>
      <c r="C1680" s="75" t="s">
        <v>10</v>
      </c>
      <c r="D1680" s="75">
        <v>2346</v>
      </c>
      <c r="F1680" s="75" t="s">
        <v>10</v>
      </c>
      <c r="H1680" s="75" t="s">
        <v>10</v>
      </c>
      <c r="I1680" s="75">
        <v>19489</v>
      </c>
      <c r="K1680" s="75" t="str">
        <f>IFERROR(VLOOKUP(J1680,'NQ10'!$B$9:$C$145,2,0),"")</f>
        <v/>
      </c>
    </row>
    <row r="1681" spans="1:11" ht="15" customHeight="1" x14ac:dyDescent="0.25">
      <c r="A1681" s="75">
        <v>7</v>
      </c>
      <c r="B1681" s="75">
        <v>265</v>
      </c>
      <c r="C1681" s="75" t="s">
        <v>10</v>
      </c>
      <c r="D1681" s="75">
        <v>4649</v>
      </c>
      <c r="F1681" s="75" t="s">
        <v>10</v>
      </c>
      <c r="H1681" s="75" t="s">
        <v>10</v>
      </c>
      <c r="I1681" s="75">
        <v>19489</v>
      </c>
      <c r="K1681" s="75" t="str">
        <f>IFERROR(VLOOKUP(J1681,'NQ10'!$B$9:$C$145,2,0),"")</f>
        <v/>
      </c>
    </row>
    <row r="1682" spans="1:11" ht="15" customHeight="1" x14ac:dyDescent="0.25">
      <c r="A1682" s="75">
        <v>7</v>
      </c>
      <c r="B1682" s="75">
        <v>266</v>
      </c>
      <c r="C1682" s="75" t="s">
        <v>10</v>
      </c>
      <c r="D1682" s="75">
        <v>1136</v>
      </c>
      <c r="F1682" s="75" t="s">
        <v>10</v>
      </c>
      <c r="H1682" s="75" t="s">
        <v>10</v>
      </c>
      <c r="I1682" s="75">
        <v>19489</v>
      </c>
      <c r="K1682" s="75" t="str">
        <f>IFERROR(VLOOKUP(J1682,'NQ10'!$B$9:$C$145,2,0),"")</f>
        <v/>
      </c>
    </row>
    <row r="1683" spans="1:11" ht="15" customHeight="1" x14ac:dyDescent="0.25">
      <c r="A1683" s="75">
        <v>7</v>
      </c>
      <c r="B1683" s="75">
        <v>267</v>
      </c>
      <c r="C1683" s="75" t="s">
        <v>10</v>
      </c>
      <c r="D1683" s="75">
        <v>407</v>
      </c>
      <c r="F1683" s="75" t="s">
        <v>10</v>
      </c>
      <c r="H1683" s="75" t="s">
        <v>10</v>
      </c>
      <c r="I1683" s="75">
        <v>19489</v>
      </c>
      <c r="K1683" s="75" t="str">
        <f>IFERROR(VLOOKUP(J1683,'NQ10'!$B$9:$C$145,2,0),"")</f>
        <v/>
      </c>
    </row>
    <row r="1684" spans="1:11" ht="15" customHeight="1" x14ac:dyDescent="0.25">
      <c r="A1684" s="75">
        <v>7</v>
      </c>
      <c r="B1684" s="75">
        <v>270</v>
      </c>
      <c r="C1684" s="75" t="s">
        <v>10</v>
      </c>
      <c r="D1684" s="75">
        <v>3790</v>
      </c>
      <c r="F1684" s="75" t="s">
        <v>10</v>
      </c>
      <c r="H1684" s="75" t="s">
        <v>10</v>
      </c>
      <c r="I1684" s="75">
        <v>19489</v>
      </c>
      <c r="K1684" s="75" t="str">
        <f>IFERROR(VLOOKUP(J1684,'NQ10'!$B$9:$C$145,2,0),"")</f>
        <v/>
      </c>
    </row>
    <row r="1685" spans="1:11" ht="15" customHeight="1" x14ac:dyDescent="0.25">
      <c r="A1685" s="75">
        <v>7</v>
      </c>
      <c r="B1685" s="75">
        <v>271</v>
      </c>
      <c r="C1685" s="75" t="s">
        <v>10</v>
      </c>
      <c r="D1685" s="75">
        <v>4071</v>
      </c>
      <c r="F1685" s="75" t="s">
        <v>10</v>
      </c>
      <c r="H1685" s="75" t="s">
        <v>10</v>
      </c>
      <c r="I1685" s="75">
        <v>19489</v>
      </c>
      <c r="K1685" s="75" t="str">
        <f>IFERROR(VLOOKUP(J1685,'NQ10'!$B$9:$C$145,2,0),"")</f>
        <v/>
      </c>
    </row>
    <row r="1686" spans="1:11" ht="15" customHeight="1" x14ac:dyDescent="0.25">
      <c r="A1686" s="75">
        <v>7</v>
      </c>
      <c r="B1686" s="75">
        <v>272</v>
      </c>
      <c r="C1686" s="75" t="s">
        <v>10</v>
      </c>
      <c r="D1686" s="75">
        <v>5096</v>
      </c>
      <c r="F1686" s="75" t="s">
        <v>10</v>
      </c>
      <c r="H1686" s="75" t="s">
        <v>10</v>
      </c>
      <c r="I1686" s="75">
        <v>19489</v>
      </c>
      <c r="K1686" s="75" t="str">
        <f>IFERROR(VLOOKUP(J1686,'NQ10'!$B$9:$C$145,2,0),"")</f>
        <v/>
      </c>
    </row>
    <row r="1687" spans="1:11" ht="15" customHeight="1" x14ac:dyDescent="0.25">
      <c r="A1687" s="75">
        <v>7</v>
      </c>
      <c r="B1687" s="75">
        <v>273</v>
      </c>
      <c r="C1687" s="75" t="s">
        <v>10</v>
      </c>
      <c r="D1687" s="75">
        <v>1793</v>
      </c>
      <c r="F1687" s="75" t="s">
        <v>10</v>
      </c>
      <c r="H1687" s="75" t="s">
        <v>10</v>
      </c>
      <c r="I1687" s="75">
        <v>19489</v>
      </c>
      <c r="K1687" s="75" t="str">
        <f>IFERROR(VLOOKUP(J1687,'NQ10'!$B$9:$C$145,2,0),"")</f>
        <v/>
      </c>
    </row>
    <row r="1688" spans="1:11" ht="15" customHeight="1" x14ac:dyDescent="0.25">
      <c r="A1688" s="75">
        <v>7</v>
      </c>
      <c r="B1688" s="75">
        <v>274</v>
      </c>
      <c r="C1688" s="75" t="s">
        <v>10</v>
      </c>
      <c r="D1688" s="75">
        <v>867</v>
      </c>
      <c r="F1688" s="75" t="s">
        <v>10</v>
      </c>
      <c r="H1688" s="75" t="s">
        <v>10</v>
      </c>
      <c r="I1688" s="75">
        <v>19489</v>
      </c>
      <c r="K1688" s="75" t="str">
        <f>IFERROR(VLOOKUP(J1688,'NQ10'!$B$9:$C$145,2,0),"")</f>
        <v/>
      </c>
    </row>
    <row r="1689" spans="1:11" ht="15" customHeight="1" x14ac:dyDescent="0.25">
      <c r="A1689" s="75">
        <v>7</v>
      </c>
      <c r="B1689" s="75">
        <v>275</v>
      </c>
      <c r="C1689" s="75" t="s">
        <v>10</v>
      </c>
      <c r="D1689" s="75">
        <v>3446</v>
      </c>
      <c r="F1689" s="75" t="s">
        <v>10</v>
      </c>
      <c r="H1689" s="75" t="s">
        <v>10</v>
      </c>
      <c r="I1689" s="75">
        <v>19489</v>
      </c>
      <c r="K1689" s="75" t="str">
        <f>IFERROR(VLOOKUP(J1689,'NQ10'!$B$9:$C$145,2,0),"")</f>
        <v/>
      </c>
    </row>
    <row r="1690" spans="1:11" ht="15" customHeight="1" x14ac:dyDescent="0.25">
      <c r="A1690" s="75">
        <v>7</v>
      </c>
      <c r="B1690" s="75">
        <v>276</v>
      </c>
      <c r="C1690" s="75" t="s">
        <v>10</v>
      </c>
      <c r="D1690" s="75">
        <v>25631</v>
      </c>
      <c r="F1690" s="75" t="s">
        <v>10</v>
      </c>
      <c r="H1690" s="75" t="s">
        <v>10</v>
      </c>
      <c r="I1690" s="75">
        <v>19489</v>
      </c>
      <c r="K1690" s="75" t="str">
        <f>IFERROR(VLOOKUP(J1690,'NQ10'!$B$9:$C$145,2,0),"")</f>
        <v/>
      </c>
    </row>
    <row r="1691" spans="1:11" ht="15" customHeight="1" x14ac:dyDescent="0.25">
      <c r="A1691" s="75">
        <v>7</v>
      </c>
      <c r="B1691" s="75">
        <v>801</v>
      </c>
      <c r="C1691" s="75" t="s">
        <v>10</v>
      </c>
      <c r="D1691" s="75">
        <v>4485</v>
      </c>
      <c r="F1691" s="75" t="s">
        <v>10</v>
      </c>
      <c r="H1691" s="75" t="s">
        <v>10</v>
      </c>
      <c r="I1691" s="75">
        <v>19489</v>
      </c>
      <c r="K1691" s="75" t="str">
        <f>IFERROR(VLOOKUP(J1691,'NQ10'!$B$9:$C$145,2,0),"")</f>
        <v/>
      </c>
    </row>
    <row r="1692" spans="1:11" ht="15" customHeight="1" x14ac:dyDescent="0.25">
      <c r="A1692" s="75">
        <v>7</v>
      </c>
      <c r="B1692" s="75">
        <v>802</v>
      </c>
      <c r="C1692" s="75" t="s">
        <v>10</v>
      </c>
      <c r="D1692" s="75">
        <v>13474</v>
      </c>
      <c r="F1692" s="75" t="s">
        <v>10</v>
      </c>
      <c r="H1692" s="75" t="s">
        <v>10</v>
      </c>
      <c r="I1692" s="75">
        <v>19489</v>
      </c>
      <c r="K1692" s="75" t="str">
        <f>IFERROR(VLOOKUP(J1692,'NQ10'!$B$9:$C$145,2,0),"")</f>
        <v/>
      </c>
    </row>
    <row r="1693" spans="1:11" ht="15" customHeight="1" x14ac:dyDescent="0.25">
      <c r="A1693" s="75">
        <v>7</v>
      </c>
      <c r="B1693" s="75">
        <v>803</v>
      </c>
      <c r="C1693" s="75" t="s">
        <v>10</v>
      </c>
      <c r="D1693" s="75">
        <v>1394</v>
      </c>
      <c r="F1693" s="75" t="s">
        <v>10</v>
      </c>
      <c r="H1693" s="75" t="s">
        <v>10</v>
      </c>
      <c r="I1693" s="75">
        <v>19489</v>
      </c>
      <c r="K1693" s="75" t="str">
        <f>IFERROR(VLOOKUP(J1693,'NQ10'!$B$9:$C$145,2,0),"")</f>
        <v/>
      </c>
    </row>
    <row r="1694" spans="1:11" ht="15" customHeight="1" x14ac:dyDescent="0.25">
      <c r="A1694" s="75">
        <v>7</v>
      </c>
      <c r="B1694" s="75">
        <v>804</v>
      </c>
      <c r="C1694" s="75" t="s">
        <v>10</v>
      </c>
      <c r="D1694" s="75">
        <v>284</v>
      </c>
      <c r="F1694" s="75" t="s">
        <v>10</v>
      </c>
      <c r="H1694" s="75" t="s">
        <v>10</v>
      </c>
      <c r="I1694" s="75">
        <v>19489</v>
      </c>
      <c r="K1694" s="75" t="str">
        <f>IFERROR(VLOOKUP(J1694,'NQ10'!$B$9:$C$145,2,0),"")</f>
        <v/>
      </c>
    </row>
    <row r="1695" spans="1:11" ht="15" customHeight="1" x14ac:dyDescent="0.25">
      <c r="A1695" s="75">
        <v>7</v>
      </c>
      <c r="B1695" s="75">
        <v>805</v>
      </c>
      <c r="C1695" s="75" t="s">
        <v>10</v>
      </c>
      <c r="D1695" s="75">
        <v>9588</v>
      </c>
      <c r="F1695" s="75" t="s">
        <v>10</v>
      </c>
      <c r="H1695" s="75" t="s">
        <v>10</v>
      </c>
      <c r="I1695" s="75">
        <v>19489</v>
      </c>
      <c r="K1695" s="75" t="str">
        <f>IFERROR(VLOOKUP(J1695,'NQ10'!$B$9:$C$145,2,0),"")</f>
        <v/>
      </c>
    </row>
    <row r="1696" spans="1:11" ht="15" customHeight="1" x14ac:dyDescent="0.25">
      <c r="A1696" s="75">
        <v>7</v>
      </c>
      <c r="B1696" s="75">
        <v>806</v>
      </c>
      <c r="C1696" s="75" t="s">
        <v>10</v>
      </c>
      <c r="D1696" s="75">
        <v>2453</v>
      </c>
      <c r="F1696" s="75" t="s">
        <v>10</v>
      </c>
      <c r="H1696" s="75" t="s">
        <v>10</v>
      </c>
      <c r="I1696" s="75">
        <v>19489</v>
      </c>
      <c r="K1696" s="75" t="str">
        <f>IFERROR(VLOOKUP(J1696,'NQ10'!$B$9:$C$145,2,0),"")</f>
        <v/>
      </c>
    </row>
    <row r="1697" spans="1:11" ht="15" customHeight="1" x14ac:dyDescent="0.25">
      <c r="A1697" s="75">
        <v>7</v>
      </c>
      <c r="B1697" s="75">
        <v>807</v>
      </c>
      <c r="C1697" s="75" t="s">
        <v>10</v>
      </c>
      <c r="D1697" s="75">
        <v>2681</v>
      </c>
      <c r="F1697" s="75" t="s">
        <v>10</v>
      </c>
      <c r="H1697" s="75" t="s">
        <v>10</v>
      </c>
      <c r="I1697" s="75">
        <v>19489</v>
      </c>
      <c r="K1697" s="75" t="str">
        <f>IFERROR(VLOOKUP(J1697,'NQ10'!$B$9:$C$145,2,0),"")</f>
        <v/>
      </c>
    </row>
    <row r="1698" spans="1:11" ht="15" customHeight="1" x14ac:dyDescent="0.25">
      <c r="A1698" s="75">
        <v>7</v>
      </c>
      <c r="B1698" s="75">
        <v>811</v>
      </c>
      <c r="C1698" s="75" t="s">
        <v>10</v>
      </c>
      <c r="D1698" s="75">
        <v>9988</v>
      </c>
      <c r="F1698" s="75" t="s">
        <v>10</v>
      </c>
      <c r="H1698" s="75" t="s">
        <v>10</v>
      </c>
      <c r="I1698" s="75">
        <v>19489</v>
      </c>
      <c r="K1698" s="75" t="str">
        <f>IFERROR(VLOOKUP(J1698,'NQ10'!$B$9:$C$145,2,0),"")</f>
        <v/>
      </c>
    </row>
    <row r="1699" spans="1:11" ht="15" customHeight="1" x14ac:dyDescent="0.25">
      <c r="A1699" s="75">
        <v>7</v>
      </c>
      <c r="B1699" s="75">
        <v>814</v>
      </c>
      <c r="C1699" s="75" t="s">
        <v>10</v>
      </c>
      <c r="D1699" s="75">
        <v>6269</v>
      </c>
      <c r="F1699" s="75" t="s">
        <v>10</v>
      </c>
      <c r="H1699" s="75" t="s">
        <v>10</v>
      </c>
      <c r="I1699" s="75">
        <v>19489</v>
      </c>
      <c r="K1699" s="75" t="str">
        <f>IFERROR(VLOOKUP(J1699,'NQ10'!$B$9:$C$145,2,0),"")</f>
        <v/>
      </c>
    </row>
    <row r="1700" spans="1:11" ht="15" customHeight="1" x14ac:dyDescent="0.25">
      <c r="A1700" s="75">
        <v>8</v>
      </c>
      <c r="C1700" s="75" t="s">
        <v>10</v>
      </c>
      <c r="D1700" s="75">
        <v>3099</v>
      </c>
      <c r="F1700" s="75" t="s">
        <v>10</v>
      </c>
      <c r="H1700" s="75" t="s">
        <v>10</v>
      </c>
      <c r="I1700" s="75">
        <v>19489</v>
      </c>
      <c r="K1700" s="75" t="str">
        <f>IFERROR(VLOOKUP(J1700,'NQ10'!$B$9:$C$145,2,0),"")</f>
        <v/>
      </c>
    </row>
    <row r="1701" spans="1:11" ht="15" customHeight="1" x14ac:dyDescent="0.25">
      <c r="A1701" s="75">
        <v>8</v>
      </c>
      <c r="C1701" s="75" t="s">
        <v>10</v>
      </c>
      <c r="D1701" s="75">
        <v>185</v>
      </c>
      <c r="F1701" s="75" t="s">
        <v>10</v>
      </c>
      <c r="H1701" s="75" t="s">
        <v>10</v>
      </c>
      <c r="I1701" s="75">
        <v>19489</v>
      </c>
      <c r="K1701" s="75" t="str">
        <f>IFERROR(VLOOKUP(J1701,'NQ10'!$B$9:$C$145,2,0),"")</f>
        <v/>
      </c>
    </row>
    <row r="1702" spans="1:11" ht="15" customHeight="1" x14ac:dyDescent="0.25">
      <c r="A1702" s="75">
        <v>8</v>
      </c>
      <c r="C1702" s="75" t="s">
        <v>10</v>
      </c>
      <c r="D1702" s="75">
        <v>211</v>
      </c>
      <c r="F1702" s="75" t="s">
        <v>10</v>
      </c>
      <c r="H1702" s="75" t="s">
        <v>10</v>
      </c>
      <c r="I1702" s="75">
        <v>19489</v>
      </c>
      <c r="K1702" s="75" t="str">
        <f>IFERROR(VLOOKUP(J1702,'NQ10'!$B$9:$C$145,2,0),"")</f>
        <v/>
      </c>
    </row>
    <row r="1703" spans="1:11" ht="15" customHeight="1" x14ac:dyDescent="0.25">
      <c r="A1703" s="75">
        <v>8</v>
      </c>
      <c r="C1703" s="75" t="s">
        <v>10</v>
      </c>
      <c r="D1703" s="75">
        <v>629</v>
      </c>
      <c r="F1703" s="75" t="s">
        <v>10</v>
      </c>
      <c r="H1703" s="75" t="s">
        <v>10</v>
      </c>
      <c r="I1703" s="75">
        <v>19489</v>
      </c>
      <c r="K1703" s="75" t="str">
        <f>IFERROR(VLOOKUP(J1703,'NQ10'!$B$9:$C$145,2,0),"")</f>
        <v/>
      </c>
    </row>
    <row r="1704" spans="1:11" ht="15" customHeight="1" x14ac:dyDescent="0.25">
      <c r="A1704" s="75">
        <v>8</v>
      </c>
      <c r="C1704" s="75" t="s">
        <v>10</v>
      </c>
      <c r="D1704" s="75">
        <v>2185</v>
      </c>
      <c r="F1704" s="75" t="s">
        <v>10</v>
      </c>
      <c r="H1704" s="75" t="s">
        <v>10</v>
      </c>
      <c r="I1704" s="75">
        <v>19489</v>
      </c>
      <c r="K1704" s="75" t="str">
        <f>IFERROR(VLOOKUP(J1704,'NQ10'!$B$9:$C$145,2,0),"")</f>
        <v/>
      </c>
    </row>
    <row r="1705" spans="1:11" ht="15" customHeight="1" x14ac:dyDescent="0.25">
      <c r="A1705" s="75">
        <v>8</v>
      </c>
      <c r="C1705" s="75" t="s">
        <v>10</v>
      </c>
      <c r="D1705" s="75">
        <v>94</v>
      </c>
      <c r="F1705" s="75" t="s">
        <v>10</v>
      </c>
      <c r="H1705" s="75" t="s">
        <v>10</v>
      </c>
      <c r="I1705" s="75">
        <v>19489</v>
      </c>
      <c r="K1705" s="75" t="str">
        <f>IFERROR(VLOOKUP(J1705,'NQ10'!$B$9:$C$145,2,0),"")</f>
        <v/>
      </c>
    </row>
    <row r="1706" spans="1:11" ht="15" customHeight="1" x14ac:dyDescent="0.25">
      <c r="A1706" s="75">
        <v>8</v>
      </c>
      <c r="C1706" s="75" t="s">
        <v>10</v>
      </c>
      <c r="D1706" s="75">
        <v>871</v>
      </c>
      <c r="F1706" s="75" t="s">
        <v>10</v>
      </c>
      <c r="H1706" s="75" t="s">
        <v>10</v>
      </c>
      <c r="I1706" s="75">
        <v>19489</v>
      </c>
      <c r="K1706" s="75" t="str">
        <f>IFERROR(VLOOKUP(J1706,'NQ10'!$B$9:$C$145,2,0),"")</f>
        <v/>
      </c>
    </row>
    <row r="1707" spans="1:11" ht="15" customHeight="1" x14ac:dyDescent="0.25">
      <c r="A1707" s="75">
        <v>8</v>
      </c>
      <c r="C1707" s="75" t="s">
        <v>10</v>
      </c>
      <c r="D1707" s="75">
        <v>328</v>
      </c>
      <c r="F1707" s="75" t="s">
        <v>10</v>
      </c>
      <c r="H1707" s="75" t="s">
        <v>10</v>
      </c>
      <c r="I1707" s="75">
        <v>19489</v>
      </c>
      <c r="K1707" s="75" t="str">
        <f>IFERROR(VLOOKUP(J1707,'NQ10'!$B$9:$C$145,2,0),"")</f>
        <v/>
      </c>
    </row>
    <row r="1708" spans="1:11" ht="15" customHeight="1" x14ac:dyDescent="0.25">
      <c r="A1708" s="75">
        <v>8</v>
      </c>
      <c r="C1708" s="75" t="s">
        <v>10</v>
      </c>
      <c r="D1708" s="75">
        <v>150</v>
      </c>
      <c r="F1708" s="75" t="s">
        <v>10</v>
      </c>
      <c r="H1708" s="75" t="s">
        <v>10</v>
      </c>
      <c r="I1708" s="75">
        <v>19489</v>
      </c>
      <c r="K1708" s="75" t="str">
        <f>IFERROR(VLOOKUP(J1708,'NQ10'!$B$9:$C$145,2,0),"")</f>
        <v/>
      </c>
    </row>
    <row r="1709" spans="1:11" ht="15" customHeight="1" x14ac:dyDescent="0.25">
      <c r="A1709" s="75">
        <v>8</v>
      </c>
      <c r="C1709" s="75" t="s">
        <v>10</v>
      </c>
      <c r="D1709" s="75">
        <v>381</v>
      </c>
      <c r="F1709" s="75" t="s">
        <v>10</v>
      </c>
      <c r="H1709" s="75" t="s">
        <v>10</v>
      </c>
      <c r="I1709" s="75">
        <v>19489</v>
      </c>
      <c r="K1709" s="75" t="str">
        <f>IFERROR(VLOOKUP(J1709,'NQ10'!$B$9:$C$145,2,0),"")</f>
        <v/>
      </c>
    </row>
    <row r="1710" spans="1:11" ht="15" customHeight="1" x14ac:dyDescent="0.25">
      <c r="A1710" s="75">
        <v>8</v>
      </c>
      <c r="C1710" s="75" t="s">
        <v>10</v>
      </c>
      <c r="D1710" s="75">
        <v>532</v>
      </c>
      <c r="F1710" s="75" t="s">
        <v>10</v>
      </c>
      <c r="H1710" s="75" t="s">
        <v>10</v>
      </c>
      <c r="I1710" s="75">
        <v>19489</v>
      </c>
      <c r="K1710" s="75" t="str">
        <f>IFERROR(VLOOKUP(J1710,'NQ10'!$B$9:$C$145,2,0),"")</f>
        <v/>
      </c>
    </row>
    <row r="1711" spans="1:11" ht="15" customHeight="1" x14ac:dyDescent="0.25">
      <c r="A1711" s="75">
        <v>8</v>
      </c>
      <c r="C1711" s="75" t="s">
        <v>10</v>
      </c>
      <c r="D1711" s="75">
        <v>328</v>
      </c>
      <c r="F1711" s="75" t="s">
        <v>10</v>
      </c>
      <c r="H1711" s="75" t="s">
        <v>10</v>
      </c>
      <c r="I1711" s="75">
        <v>19489</v>
      </c>
      <c r="K1711" s="75" t="str">
        <f>IFERROR(VLOOKUP(J1711,'NQ10'!$B$9:$C$145,2,0),"")</f>
        <v/>
      </c>
    </row>
    <row r="1712" spans="1:11" ht="15" customHeight="1" x14ac:dyDescent="0.25">
      <c r="A1712" s="75">
        <v>8</v>
      </c>
      <c r="C1712" s="75" t="s">
        <v>10</v>
      </c>
      <c r="D1712" s="75">
        <v>276</v>
      </c>
      <c r="F1712" s="75" t="s">
        <v>10</v>
      </c>
      <c r="H1712" s="75" t="s">
        <v>10</v>
      </c>
      <c r="I1712" s="75">
        <v>19489</v>
      </c>
      <c r="K1712" s="75" t="str">
        <f>IFERROR(VLOOKUP(J1712,'NQ10'!$B$9:$C$145,2,0),"")</f>
        <v/>
      </c>
    </row>
    <row r="1713" spans="1:11" ht="15" customHeight="1" x14ac:dyDescent="0.25">
      <c r="A1713" s="75">
        <v>8</v>
      </c>
      <c r="C1713" s="75" t="s">
        <v>10</v>
      </c>
      <c r="D1713" s="75">
        <v>368</v>
      </c>
      <c r="F1713" s="75" t="s">
        <v>10</v>
      </c>
      <c r="H1713" s="75" t="s">
        <v>10</v>
      </c>
      <c r="I1713" s="75">
        <v>19489</v>
      </c>
      <c r="K1713" s="75" t="str">
        <f>IFERROR(VLOOKUP(J1713,'NQ10'!$B$9:$C$145,2,0),"")</f>
        <v/>
      </c>
    </row>
    <row r="1714" spans="1:11" ht="15" customHeight="1" x14ac:dyDescent="0.25">
      <c r="A1714" s="75">
        <v>8</v>
      </c>
      <c r="C1714" s="75" t="s">
        <v>10</v>
      </c>
      <c r="D1714" s="75">
        <v>414</v>
      </c>
      <c r="F1714" s="75" t="s">
        <v>10</v>
      </c>
      <c r="H1714" s="75" t="s">
        <v>10</v>
      </c>
      <c r="I1714" s="75">
        <v>19489</v>
      </c>
      <c r="K1714" s="75" t="str">
        <f>IFERROR(VLOOKUP(J1714,'NQ10'!$B$9:$C$145,2,0),"")</f>
        <v/>
      </c>
    </row>
    <row r="1715" spans="1:11" ht="15" customHeight="1" x14ac:dyDescent="0.25">
      <c r="A1715" s="75">
        <v>8</v>
      </c>
      <c r="C1715" s="75" t="s">
        <v>10</v>
      </c>
      <c r="D1715" s="75">
        <v>460</v>
      </c>
      <c r="F1715" s="75" t="s">
        <v>10</v>
      </c>
      <c r="H1715" s="75" t="s">
        <v>10</v>
      </c>
      <c r="I1715" s="75">
        <v>19489</v>
      </c>
      <c r="K1715" s="75" t="str">
        <f>IFERROR(VLOOKUP(J1715,'NQ10'!$B$9:$C$145,2,0),"")</f>
        <v/>
      </c>
    </row>
    <row r="1716" spans="1:11" ht="15" customHeight="1" x14ac:dyDescent="0.25">
      <c r="A1716" s="75">
        <v>8</v>
      </c>
      <c r="C1716" s="75" t="s">
        <v>10</v>
      </c>
      <c r="D1716" s="75">
        <v>675</v>
      </c>
      <c r="F1716" s="75" t="s">
        <v>10</v>
      </c>
      <c r="H1716" s="75" t="s">
        <v>10</v>
      </c>
      <c r="I1716" s="75">
        <v>19489</v>
      </c>
      <c r="K1716" s="75" t="str">
        <f>IFERROR(VLOOKUP(J1716,'NQ10'!$B$9:$C$145,2,0),"")</f>
        <v/>
      </c>
    </row>
    <row r="1717" spans="1:11" ht="15" customHeight="1" x14ac:dyDescent="0.25">
      <c r="A1717" s="75">
        <v>8</v>
      </c>
      <c r="C1717" s="75" t="s">
        <v>10</v>
      </c>
      <c r="D1717" s="75">
        <v>1382</v>
      </c>
      <c r="F1717" s="75" t="s">
        <v>10</v>
      </c>
      <c r="H1717" s="75" t="s">
        <v>10</v>
      </c>
      <c r="I1717" s="75">
        <v>19489</v>
      </c>
      <c r="K1717" s="75" t="str">
        <f>IFERROR(VLOOKUP(J1717,'NQ10'!$B$9:$C$145,2,0),"")</f>
        <v/>
      </c>
    </row>
    <row r="1718" spans="1:11" ht="15" customHeight="1" x14ac:dyDescent="0.25">
      <c r="A1718" s="75">
        <v>8</v>
      </c>
      <c r="C1718" s="75" t="s">
        <v>10</v>
      </c>
      <c r="D1718" s="75">
        <v>0</v>
      </c>
      <c r="F1718" s="75" t="s">
        <v>10</v>
      </c>
      <c r="H1718" s="75" t="s">
        <v>10</v>
      </c>
      <c r="I1718" s="75">
        <v>19489</v>
      </c>
      <c r="K1718" s="75" t="str">
        <f>IFERROR(VLOOKUP(J1718,'NQ10'!$B$9:$C$145,2,0),"")</f>
        <v/>
      </c>
    </row>
    <row r="1719" spans="1:11" ht="15" customHeight="1" x14ac:dyDescent="0.25">
      <c r="A1719" s="75">
        <v>8</v>
      </c>
      <c r="C1719" s="75" t="s">
        <v>10</v>
      </c>
      <c r="D1719" s="75">
        <v>77</v>
      </c>
      <c r="F1719" s="75" t="s">
        <v>10</v>
      </c>
      <c r="H1719" s="75" t="s">
        <v>10</v>
      </c>
      <c r="I1719" s="75">
        <v>19489</v>
      </c>
      <c r="K1719" s="75" t="str">
        <f>IFERROR(VLOOKUP(J1719,'NQ10'!$B$9:$C$145,2,0),"")</f>
        <v/>
      </c>
    </row>
    <row r="1720" spans="1:11" ht="15" customHeight="1" x14ac:dyDescent="0.25">
      <c r="A1720" s="75">
        <v>8</v>
      </c>
      <c r="C1720" s="75" t="s">
        <v>10</v>
      </c>
      <c r="D1720" s="75">
        <v>616</v>
      </c>
      <c r="F1720" s="75" t="s">
        <v>10</v>
      </c>
      <c r="H1720" s="75" t="s">
        <v>10</v>
      </c>
      <c r="I1720" s="75">
        <v>19489</v>
      </c>
      <c r="K1720" s="75" t="str">
        <f>IFERROR(VLOOKUP(J1720,'NQ10'!$B$9:$C$145,2,0),"")</f>
        <v/>
      </c>
    </row>
    <row r="1721" spans="1:11" ht="15" customHeight="1" x14ac:dyDescent="0.25">
      <c r="A1721" s="75">
        <v>8</v>
      </c>
      <c r="C1721" s="75" t="s">
        <v>10</v>
      </c>
      <c r="D1721" s="75">
        <v>125</v>
      </c>
      <c r="F1721" s="75" t="s">
        <v>10</v>
      </c>
      <c r="H1721" s="75" t="s">
        <v>10</v>
      </c>
      <c r="I1721" s="75">
        <v>19489</v>
      </c>
      <c r="K1721" s="75" t="str">
        <f>IFERROR(VLOOKUP(J1721,'NQ10'!$B$9:$C$145,2,0),"")</f>
        <v/>
      </c>
    </row>
    <row r="1722" spans="1:11" ht="15" customHeight="1" x14ac:dyDescent="0.25">
      <c r="A1722" s="75">
        <v>8</v>
      </c>
      <c r="C1722" s="75" t="s">
        <v>10</v>
      </c>
      <c r="D1722" s="75">
        <v>2775</v>
      </c>
      <c r="F1722" s="75" t="s">
        <v>10</v>
      </c>
      <c r="H1722" s="75" t="s">
        <v>10</v>
      </c>
      <c r="I1722" s="75">
        <v>19489</v>
      </c>
      <c r="K1722" s="75" t="str">
        <f>IFERROR(VLOOKUP(J1722,'NQ10'!$B$9:$C$145,2,0),"")</f>
        <v/>
      </c>
    </row>
    <row r="1723" spans="1:11" ht="15" customHeight="1" x14ac:dyDescent="0.25">
      <c r="A1723" s="75">
        <v>8</v>
      </c>
      <c r="C1723" s="75" t="s">
        <v>10</v>
      </c>
      <c r="D1723" s="75">
        <v>85</v>
      </c>
      <c r="F1723" s="75" t="s">
        <v>10</v>
      </c>
      <c r="H1723" s="75" t="s">
        <v>10</v>
      </c>
      <c r="I1723" s="75">
        <v>19489</v>
      </c>
      <c r="K1723" s="75" t="str">
        <f>IFERROR(VLOOKUP(J1723,'NQ10'!$B$9:$C$145,2,0),"")</f>
        <v/>
      </c>
    </row>
    <row r="1724" spans="1:11" ht="15" customHeight="1" x14ac:dyDescent="0.25">
      <c r="A1724" s="75">
        <v>8</v>
      </c>
      <c r="C1724" s="75" t="s">
        <v>10</v>
      </c>
      <c r="D1724" s="75">
        <v>7821</v>
      </c>
      <c r="F1724" s="75" t="s">
        <v>10</v>
      </c>
      <c r="H1724" s="75" t="s">
        <v>10</v>
      </c>
      <c r="I1724" s="75">
        <v>19489</v>
      </c>
      <c r="K1724" s="75" t="str">
        <f>IFERROR(VLOOKUP(J1724,'NQ10'!$B$9:$C$145,2,0),"")</f>
        <v/>
      </c>
    </row>
    <row r="1725" spans="1:11" ht="15" customHeight="1" x14ac:dyDescent="0.25">
      <c r="A1725" s="75">
        <v>8</v>
      </c>
      <c r="C1725" s="75" t="s">
        <v>10</v>
      </c>
      <c r="D1725" s="75">
        <v>6199</v>
      </c>
      <c r="F1725" s="75" t="s">
        <v>10</v>
      </c>
      <c r="H1725" s="75" t="s">
        <v>10</v>
      </c>
      <c r="I1725" s="75">
        <v>19489</v>
      </c>
      <c r="K1725" s="75" t="str">
        <f>IFERROR(VLOOKUP(J1725,'NQ10'!$B$9:$C$145,2,0),"")</f>
        <v/>
      </c>
    </row>
    <row r="1726" spans="1:11" ht="15" customHeight="1" x14ac:dyDescent="0.25">
      <c r="A1726" s="75">
        <v>8</v>
      </c>
      <c r="C1726" s="75" t="s">
        <v>10</v>
      </c>
      <c r="D1726" s="75">
        <v>167</v>
      </c>
      <c r="F1726" s="75" t="s">
        <v>10</v>
      </c>
      <c r="H1726" s="75" t="s">
        <v>10</v>
      </c>
      <c r="I1726" s="75">
        <v>19489</v>
      </c>
      <c r="K1726" s="75" t="str">
        <f>IFERROR(VLOOKUP(J1726,'NQ10'!$B$9:$C$145,2,0),"")</f>
        <v/>
      </c>
    </row>
    <row r="1727" spans="1:11" ht="15" customHeight="1" x14ac:dyDescent="0.25">
      <c r="A1727" s="75">
        <v>8</v>
      </c>
      <c r="C1727" s="75" t="s">
        <v>10</v>
      </c>
      <c r="D1727" s="75">
        <v>3246</v>
      </c>
      <c r="F1727" s="75" t="s">
        <v>10</v>
      </c>
      <c r="H1727" s="75" t="s">
        <v>10</v>
      </c>
      <c r="I1727" s="75">
        <v>19489</v>
      </c>
      <c r="K1727" s="75" t="str">
        <f>IFERROR(VLOOKUP(J1727,'NQ10'!$B$9:$C$145,2,0),"")</f>
        <v/>
      </c>
    </row>
    <row r="1728" spans="1:11" ht="15" customHeight="1" x14ac:dyDescent="0.25">
      <c r="A1728" s="75">
        <v>8</v>
      </c>
      <c r="C1728" s="75" t="s">
        <v>10</v>
      </c>
      <c r="D1728" s="75">
        <v>243</v>
      </c>
      <c r="F1728" s="75" t="s">
        <v>10</v>
      </c>
      <c r="H1728" s="75" t="s">
        <v>10</v>
      </c>
      <c r="I1728" s="75">
        <v>19489</v>
      </c>
      <c r="K1728" s="75" t="str">
        <f>IFERROR(VLOOKUP(J1728,'NQ10'!$B$9:$C$145,2,0),"")</f>
        <v/>
      </c>
    </row>
    <row r="1729" spans="1:11" ht="15" customHeight="1" x14ac:dyDescent="0.25">
      <c r="A1729" s="75">
        <v>8</v>
      </c>
      <c r="C1729" s="75" t="s">
        <v>10</v>
      </c>
      <c r="D1729" s="75">
        <v>1700</v>
      </c>
      <c r="F1729" s="75" t="s">
        <v>10</v>
      </c>
      <c r="H1729" s="75" t="s">
        <v>10</v>
      </c>
      <c r="I1729" s="75">
        <v>19489</v>
      </c>
      <c r="K1729" s="75" t="str">
        <f>IFERROR(VLOOKUP(J1729,'NQ10'!$B$9:$C$145,2,0),"")</f>
        <v/>
      </c>
    </row>
    <row r="1730" spans="1:11" ht="15" customHeight="1" x14ac:dyDescent="0.25">
      <c r="A1730" s="75">
        <v>8</v>
      </c>
      <c r="C1730" s="75" t="s">
        <v>10</v>
      </c>
      <c r="D1730" s="75">
        <v>0</v>
      </c>
      <c r="F1730" s="75" t="s">
        <v>10</v>
      </c>
      <c r="H1730" s="75" t="s">
        <v>10</v>
      </c>
      <c r="I1730" s="75">
        <v>19489</v>
      </c>
      <c r="K1730" s="75" t="str">
        <f>IFERROR(VLOOKUP(J1730,'NQ10'!$B$9:$C$145,2,0),"")</f>
        <v/>
      </c>
    </row>
    <row r="1731" spans="1:11" ht="15" customHeight="1" x14ac:dyDescent="0.25">
      <c r="A1731" s="75">
        <v>8</v>
      </c>
      <c r="C1731" s="75" t="s">
        <v>10</v>
      </c>
      <c r="D1731" s="75">
        <v>4291</v>
      </c>
      <c r="F1731" s="75" t="s">
        <v>10</v>
      </c>
      <c r="H1731" s="75" t="s">
        <v>10</v>
      </c>
      <c r="I1731" s="75">
        <v>19489</v>
      </c>
      <c r="K1731" s="75" t="str">
        <f>IFERROR(VLOOKUP(J1731,'NQ10'!$B$9:$C$145,2,0),"")</f>
        <v/>
      </c>
    </row>
    <row r="1732" spans="1:11" ht="15" customHeight="1" x14ac:dyDescent="0.25">
      <c r="A1732" s="75">
        <v>8</v>
      </c>
      <c r="C1732" s="75" t="s">
        <v>10</v>
      </c>
      <c r="D1732" s="75">
        <v>5078</v>
      </c>
      <c r="F1732" s="75" t="s">
        <v>10</v>
      </c>
      <c r="H1732" s="75" t="s">
        <v>10</v>
      </c>
      <c r="I1732" s="75">
        <v>19489</v>
      </c>
      <c r="K1732" s="75" t="str">
        <f>IFERROR(VLOOKUP(J1732,'NQ10'!$B$9:$C$145,2,0),"")</f>
        <v/>
      </c>
    </row>
    <row r="1733" spans="1:11" ht="15" customHeight="1" x14ac:dyDescent="0.25">
      <c r="A1733" s="75">
        <v>8</v>
      </c>
      <c r="C1733" s="75" t="s">
        <v>10</v>
      </c>
      <c r="D1733" s="75">
        <v>320</v>
      </c>
      <c r="F1733" s="75" t="s">
        <v>10</v>
      </c>
      <c r="H1733" s="75" t="s">
        <v>10</v>
      </c>
      <c r="I1733" s="75">
        <v>19489</v>
      </c>
      <c r="K1733" s="75" t="str">
        <f>IFERROR(VLOOKUP(J1733,'NQ10'!$B$9:$C$145,2,0),"")</f>
        <v/>
      </c>
    </row>
    <row r="1734" spans="1:11" ht="15" customHeight="1" x14ac:dyDescent="0.25">
      <c r="A1734" s="75">
        <v>8</v>
      </c>
      <c r="C1734" s="75" t="s">
        <v>10</v>
      </c>
      <c r="D1734" s="75">
        <v>351</v>
      </c>
      <c r="F1734" s="75" t="s">
        <v>10</v>
      </c>
      <c r="H1734" s="75" t="s">
        <v>10</v>
      </c>
      <c r="I1734" s="75">
        <v>19489</v>
      </c>
      <c r="K1734" s="75" t="str">
        <f>IFERROR(VLOOKUP(J1734,'NQ10'!$B$9:$C$145,2,0),"")</f>
        <v/>
      </c>
    </row>
    <row r="1735" spans="1:11" ht="15" customHeight="1" x14ac:dyDescent="0.25">
      <c r="A1735" s="75">
        <v>8</v>
      </c>
      <c r="C1735" s="75" t="s">
        <v>10</v>
      </c>
      <c r="D1735" s="75">
        <v>6536</v>
      </c>
      <c r="F1735" s="75" t="s">
        <v>10</v>
      </c>
      <c r="H1735" s="75" t="s">
        <v>10</v>
      </c>
      <c r="I1735" s="75">
        <v>19489</v>
      </c>
      <c r="K1735" s="75" t="str">
        <f>IFERROR(VLOOKUP(J1735,'NQ10'!$B$9:$C$145,2,0),"")</f>
        <v/>
      </c>
    </row>
    <row r="1736" spans="1:11" ht="15" customHeight="1" x14ac:dyDescent="0.25">
      <c r="A1736" s="75">
        <v>8</v>
      </c>
      <c r="C1736" s="75" t="s">
        <v>10</v>
      </c>
      <c r="D1736" s="75">
        <v>443</v>
      </c>
      <c r="F1736" s="75" t="s">
        <v>10</v>
      </c>
      <c r="H1736" s="75" t="s">
        <v>10</v>
      </c>
      <c r="I1736" s="75">
        <v>19489</v>
      </c>
      <c r="K1736" s="75" t="str">
        <f>IFERROR(VLOOKUP(J1736,'NQ10'!$B$9:$C$145,2,0),"")</f>
        <v/>
      </c>
    </row>
    <row r="1737" spans="1:11" ht="15" customHeight="1" x14ac:dyDescent="0.25">
      <c r="A1737" s="75">
        <v>8</v>
      </c>
      <c r="C1737" s="75" t="s">
        <v>10</v>
      </c>
      <c r="D1737" s="75">
        <v>284</v>
      </c>
      <c r="F1737" s="75" t="s">
        <v>10</v>
      </c>
      <c r="H1737" s="75" t="s">
        <v>10</v>
      </c>
      <c r="I1737" s="75">
        <v>19489</v>
      </c>
      <c r="K1737" s="75" t="str">
        <f>IFERROR(VLOOKUP(J1737,'NQ10'!$B$9:$C$145,2,0),"")</f>
        <v/>
      </c>
    </row>
    <row r="1738" spans="1:11" ht="15" customHeight="1" x14ac:dyDescent="0.25">
      <c r="A1738" s="75">
        <v>8</v>
      </c>
      <c r="C1738" s="75" t="s">
        <v>10</v>
      </c>
      <c r="D1738" s="75">
        <v>35864</v>
      </c>
      <c r="F1738" s="75" t="s">
        <v>10</v>
      </c>
      <c r="H1738" s="75" t="s">
        <v>10</v>
      </c>
      <c r="I1738" s="75">
        <v>19489</v>
      </c>
      <c r="K1738" s="75" t="str">
        <f>IFERROR(VLOOKUP(J1738,'NQ10'!$B$9:$C$145,2,0),"")</f>
        <v/>
      </c>
    </row>
    <row r="1739" spans="1:11" ht="15" customHeight="1" x14ac:dyDescent="0.25">
      <c r="A1739" s="75">
        <v>8</v>
      </c>
      <c r="C1739" s="75" t="s">
        <v>10</v>
      </c>
      <c r="D1739" s="75">
        <v>79</v>
      </c>
      <c r="F1739" s="75" t="s">
        <v>10</v>
      </c>
      <c r="H1739" s="75" t="s">
        <v>10</v>
      </c>
      <c r="I1739" s="75">
        <v>19489</v>
      </c>
      <c r="K1739" s="75" t="str">
        <f>IFERROR(VLOOKUP(J1739,'NQ10'!$B$9:$C$145,2,0),"")</f>
        <v/>
      </c>
    </row>
    <row r="1740" spans="1:11" ht="15" customHeight="1" x14ac:dyDescent="0.25">
      <c r="A1740" s="75">
        <v>8</v>
      </c>
      <c r="C1740" s="75" t="s">
        <v>10</v>
      </c>
      <c r="D1740" s="75">
        <v>1104</v>
      </c>
      <c r="F1740" s="75" t="s">
        <v>10</v>
      </c>
      <c r="H1740" s="75" t="s">
        <v>10</v>
      </c>
      <c r="I1740" s="75">
        <v>19489</v>
      </c>
      <c r="K1740" s="75" t="str">
        <f>IFERROR(VLOOKUP(J1740,'NQ10'!$B$9:$C$145,2,0),"")</f>
        <v/>
      </c>
    </row>
    <row r="1741" spans="1:11" ht="15" customHeight="1" x14ac:dyDescent="0.25">
      <c r="A1741" s="75">
        <v>8</v>
      </c>
      <c r="B1741" s="75" t="s">
        <v>529</v>
      </c>
      <c r="C1741" s="75" t="s">
        <v>10</v>
      </c>
      <c r="D1741" s="75">
        <v>2202</v>
      </c>
      <c r="F1741" s="75" t="s">
        <v>10</v>
      </c>
      <c r="H1741" s="75" t="s">
        <v>10</v>
      </c>
      <c r="I1741" s="75">
        <v>19489</v>
      </c>
      <c r="K1741" s="75" t="str">
        <f>IFERROR(VLOOKUP(J1741,'NQ10'!$B$9:$C$145,2,0),"")</f>
        <v/>
      </c>
    </row>
    <row r="1742" spans="1:11" ht="15" customHeight="1" x14ac:dyDescent="0.25">
      <c r="A1742" s="75">
        <v>8</v>
      </c>
      <c r="B1742" s="75" t="s">
        <v>530</v>
      </c>
      <c r="C1742" s="75" t="s">
        <v>10</v>
      </c>
      <c r="D1742" s="75">
        <v>331</v>
      </c>
      <c r="F1742" s="75" t="s">
        <v>10</v>
      </c>
      <c r="H1742" s="75" t="s">
        <v>10</v>
      </c>
      <c r="I1742" s="75">
        <v>19489</v>
      </c>
      <c r="K1742" s="75" t="str">
        <f>IFERROR(VLOOKUP(J1742,'NQ10'!$B$9:$C$145,2,0),"")</f>
        <v/>
      </c>
    </row>
    <row r="1743" spans="1:11" ht="15" customHeight="1" x14ac:dyDescent="0.25">
      <c r="A1743" s="75">
        <v>8</v>
      </c>
      <c r="B1743" s="75" t="s">
        <v>531</v>
      </c>
      <c r="C1743" s="75" t="s">
        <v>10</v>
      </c>
      <c r="D1743" s="75">
        <v>5130</v>
      </c>
      <c r="F1743" s="75" t="s">
        <v>10</v>
      </c>
      <c r="H1743" s="75" t="s">
        <v>10</v>
      </c>
      <c r="I1743" s="75">
        <v>19489</v>
      </c>
      <c r="K1743" s="75" t="str">
        <f>IFERROR(VLOOKUP(J1743,'NQ10'!$B$9:$C$145,2,0),"")</f>
        <v/>
      </c>
    </row>
    <row r="1744" spans="1:11" ht="15" customHeight="1" x14ac:dyDescent="0.25">
      <c r="A1744" s="75">
        <v>8</v>
      </c>
      <c r="B1744" s="75" t="s">
        <v>532</v>
      </c>
      <c r="C1744" s="75" t="s">
        <v>10</v>
      </c>
      <c r="D1744" s="75">
        <v>355</v>
      </c>
      <c r="F1744" s="75" t="s">
        <v>10</v>
      </c>
      <c r="H1744" s="75" t="s">
        <v>10</v>
      </c>
      <c r="I1744" s="75">
        <v>19489</v>
      </c>
      <c r="K1744" s="75" t="str">
        <f>IFERROR(VLOOKUP(J1744,'NQ10'!$B$9:$C$145,2,0),"")</f>
        <v/>
      </c>
    </row>
    <row r="1745" spans="1:11" ht="15" customHeight="1" x14ac:dyDescent="0.25">
      <c r="A1745" s="75">
        <v>8</v>
      </c>
      <c r="B1745" s="75">
        <v>1</v>
      </c>
      <c r="C1745" s="75" t="s">
        <v>10</v>
      </c>
      <c r="D1745" s="75">
        <v>204248</v>
      </c>
      <c r="F1745" s="75" t="s">
        <v>10</v>
      </c>
      <c r="H1745" s="75" t="s">
        <v>10</v>
      </c>
      <c r="I1745" s="75">
        <v>19489</v>
      </c>
      <c r="K1745" s="75" t="str">
        <f>IFERROR(VLOOKUP(J1745,'NQ10'!$B$9:$C$145,2,0),"")</f>
        <v/>
      </c>
    </row>
    <row r="1746" spans="1:11" ht="15" customHeight="1" x14ac:dyDescent="0.25">
      <c r="A1746" s="75">
        <v>8</v>
      </c>
      <c r="B1746" s="75">
        <v>1</v>
      </c>
      <c r="C1746" s="75" t="s">
        <v>10</v>
      </c>
      <c r="D1746" s="75">
        <v>2845</v>
      </c>
      <c r="F1746" s="75" t="s">
        <v>10</v>
      </c>
      <c r="H1746" s="75" t="s">
        <v>10</v>
      </c>
      <c r="I1746" s="75">
        <v>19489</v>
      </c>
      <c r="K1746" s="75" t="str">
        <f>IFERROR(VLOOKUP(J1746,'NQ10'!$B$9:$C$145,2,0),"")</f>
        <v/>
      </c>
    </row>
    <row r="1747" spans="1:11" ht="15" customHeight="1" x14ac:dyDescent="0.25">
      <c r="A1747" s="75">
        <v>8</v>
      </c>
      <c r="B1747" s="75">
        <v>5</v>
      </c>
      <c r="C1747" s="75" t="s">
        <v>10</v>
      </c>
      <c r="D1747" s="75">
        <v>3062</v>
      </c>
      <c r="F1747" s="75" t="s">
        <v>10</v>
      </c>
      <c r="H1747" s="75" t="s">
        <v>10</v>
      </c>
      <c r="I1747" s="75">
        <v>19489</v>
      </c>
      <c r="K1747" s="75" t="str">
        <f>IFERROR(VLOOKUP(J1747,'NQ10'!$B$9:$C$145,2,0),"")</f>
        <v/>
      </c>
    </row>
    <row r="1748" spans="1:11" ht="15" customHeight="1" x14ac:dyDescent="0.25">
      <c r="A1748" s="75">
        <v>8</v>
      </c>
      <c r="B1748" s="75">
        <v>6</v>
      </c>
      <c r="C1748" s="75" t="s">
        <v>10</v>
      </c>
      <c r="D1748" s="75">
        <v>13854</v>
      </c>
      <c r="F1748" s="75" t="s">
        <v>10</v>
      </c>
      <c r="H1748" s="75" t="s">
        <v>10</v>
      </c>
      <c r="I1748" s="75">
        <v>19489</v>
      </c>
      <c r="K1748" s="75" t="str">
        <f>IFERROR(VLOOKUP(J1748,'NQ10'!$B$9:$C$145,2,0),"")</f>
        <v/>
      </c>
    </row>
    <row r="1749" spans="1:11" ht="15" customHeight="1" x14ac:dyDescent="0.25">
      <c r="A1749" s="75">
        <v>8</v>
      </c>
      <c r="B1749" s="75">
        <v>7</v>
      </c>
      <c r="C1749" s="75" t="s">
        <v>10</v>
      </c>
      <c r="D1749" s="75">
        <v>880</v>
      </c>
      <c r="F1749" s="75" t="s">
        <v>10</v>
      </c>
      <c r="H1749" s="75" t="s">
        <v>10</v>
      </c>
      <c r="I1749" s="75">
        <v>19489</v>
      </c>
      <c r="K1749" s="75" t="str">
        <f>IFERROR(VLOOKUP(J1749,'NQ10'!$B$9:$C$145,2,0),"")</f>
        <v/>
      </c>
    </row>
    <row r="1750" spans="1:11" ht="15" customHeight="1" x14ac:dyDescent="0.25">
      <c r="A1750" s="75">
        <v>8</v>
      </c>
      <c r="B1750" s="75">
        <v>8</v>
      </c>
      <c r="C1750" s="75" t="s">
        <v>10</v>
      </c>
      <c r="D1750" s="75">
        <v>5800</v>
      </c>
      <c r="F1750" s="75" t="s">
        <v>10</v>
      </c>
      <c r="H1750" s="75" t="s">
        <v>10</v>
      </c>
      <c r="I1750" s="75">
        <v>19489</v>
      </c>
      <c r="K1750" s="75" t="str">
        <f>IFERROR(VLOOKUP(J1750,'NQ10'!$B$9:$C$145,2,0),"")</f>
        <v/>
      </c>
    </row>
    <row r="1751" spans="1:11" ht="15" customHeight="1" x14ac:dyDescent="0.25">
      <c r="A1751" s="75">
        <v>8</v>
      </c>
      <c r="B1751" s="75">
        <v>10</v>
      </c>
      <c r="C1751" s="75" t="s">
        <v>10</v>
      </c>
      <c r="D1751" s="75">
        <v>12691</v>
      </c>
      <c r="F1751" s="75" t="s">
        <v>10</v>
      </c>
      <c r="H1751" s="75" t="s">
        <v>10</v>
      </c>
      <c r="I1751" s="75">
        <v>19489</v>
      </c>
      <c r="K1751" s="75" t="str">
        <f>IFERROR(VLOOKUP(J1751,'NQ10'!$B$9:$C$145,2,0),"")</f>
        <v/>
      </c>
    </row>
    <row r="1752" spans="1:11" ht="15" customHeight="1" x14ac:dyDescent="0.25">
      <c r="A1752" s="75">
        <v>8</v>
      </c>
      <c r="B1752" s="75">
        <v>12</v>
      </c>
      <c r="C1752" s="75" t="s">
        <v>10</v>
      </c>
      <c r="D1752" s="75">
        <v>5300</v>
      </c>
      <c r="F1752" s="75" t="s">
        <v>10</v>
      </c>
      <c r="H1752" s="75" t="s">
        <v>10</v>
      </c>
      <c r="I1752" s="75">
        <v>19489</v>
      </c>
      <c r="K1752" s="75" t="str">
        <f>IFERROR(VLOOKUP(J1752,'NQ10'!$B$9:$C$145,2,0),"")</f>
        <v/>
      </c>
    </row>
    <row r="1753" spans="1:11" ht="15" customHeight="1" x14ac:dyDescent="0.25">
      <c r="A1753" s="75">
        <v>8</v>
      </c>
      <c r="B1753" s="75">
        <v>13</v>
      </c>
      <c r="C1753" s="75" t="s">
        <v>10</v>
      </c>
      <c r="D1753" s="75">
        <v>5692</v>
      </c>
      <c r="F1753" s="75" t="s">
        <v>10</v>
      </c>
      <c r="H1753" s="75" t="s">
        <v>10</v>
      </c>
      <c r="I1753" s="75">
        <v>19489</v>
      </c>
      <c r="K1753" s="75" t="str">
        <f>IFERROR(VLOOKUP(J1753,'NQ10'!$B$9:$C$145,2,0),"")</f>
        <v/>
      </c>
    </row>
    <row r="1754" spans="1:11" ht="15" customHeight="1" x14ac:dyDescent="0.25">
      <c r="A1754" s="75">
        <v>8</v>
      </c>
      <c r="B1754" s="75">
        <v>15</v>
      </c>
      <c r="C1754" s="75" t="s">
        <v>10</v>
      </c>
      <c r="D1754" s="75">
        <v>3815</v>
      </c>
      <c r="F1754" s="75" t="s">
        <v>10</v>
      </c>
      <c r="H1754" s="75" t="s">
        <v>10</v>
      </c>
      <c r="I1754" s="75">
        <v>19489</v>
      </c>
      <c r="K1754" s="75" t="str">
        <f>IFERROR(VLOOKUP(J1754,'NQ10'!$B$9:$C$145,2,0),"")</f>
        <v/>
      </c>
    </row>
    <row r="1755" spans="1:11" ht="15" customHeight="1" x14ac:dyDescent="0.25">
      <c r="A1755" s="75">
        <v>8</v>
      </c>
      <c r="B1755" s="75">
        <v>16</v>
      </c>
      <c r="C1755" s="75" t="s">
        <v>10</v>
      </c>
      <c r="D1755" s="75">
        <v>947</v>
      </c>
      <c r="F1755" s="75" t="s">
        <v>10</v>
      </c>
      <c r="H1755" s="75" t="s">
        <v>10</v>
      </c>
      <c r="I1755" s="75">
        <v>19489</v>
      </c>
      <c r="K1755" s="75" t="str">
        <f>IFERROR(VLOOKUP(J1755,'NQ10'!$B$9:$C$145,2,0),"")</f>
        <v/>
      </c>
    </row>
    <row r="1756" spans="1:11" ht="15" customHeight="1" x14ac:dyDescent="0.25">
      <c r="A1756" s="75">
        <v>8</v>
      </c>
      <c r="B1756" s="75">
        <v>18</v>
      </c>
      <c r="C1756" s="75" t="s">
        <v>10</v>
      </c>
      <c r="D1756" s="75">
        <v>578</v>
      </c>
      <c r="F1756" s="75" t="s">
        <v>10</v>
      </c>
      <c r="H1756" s="75" t="s">
        <v>10</v>
      </c>
      <c r="I1756" s="75">
        <v>19489</v>
      </c>
      <c r="K1756" s="75" t="str">
        <f>IFERROR(VLOOKUP(J1756,'NQ10'!$B$9:$C$145,2,0),"")</f>
        <v/>
      </c>
    </row>
    <row r="1757" spans="1:11" ht="15" customHeight="1" x14ac:dyDescent="0.25">
      <c r="A1757" s="75">
        <v>8</v>
      </c>
      <c r="B1757" s="75">
        <v>19</v>
      </c>
      <c r="C1757" s="75" t="s">
        <v>10</v>
      </c>
      <c r="D1757" s="75">
        <v>2658</v>
      </c>
      <c r="F1757" s="75" t="s">
        <v>10</v>
      </c>
      <c r="H1757" s="75" t="s">
        <v>10</v>
      </c>
      <c r="I1757" s="75">
        <v>19489</v>
      </c>
      <c r="K1757" s="75" t="str">
        <f>IFERROR(VLOOKUP(J1757,'NQ10'!$B$9:$C$145,2,0),"")</f>
        <v/>
      </c>
    </row>
    <row r="1758" spans="1:11" ht="15" customHeight="1" x14ac:dyDescent="0.25">
      <c r="A1758" s="75">
        <v>8</v>
      </c>
      <c r="B1758" s="75">
        <v>20</v>
      </c>
      <c r="C1758" s="75" t="s">
        <v>10</v>
      </c>
      <c r="D1758" s="75">
        <v>5551</v>
      </c>
      <c r="F1758" s="75" t="s">
        <v>10</v>
      </c>
      <c r="H1758" s="75" t="s">
        <v>10</v>
      </c>
      <c r="I1758" s="75">
        <v>19489</v>
      </c>
      <c r="K1758" s="75" t="str">
        <f>IFERROR(VLOOKUP(J1758,'NQ10'!$B$9:$C$145,2,0),"")</f>
        <v/>
      </c>
    </row>
    <row r="1759" spans="1:11" ht="15" customHeight="1" x14ac:dyDescent="0.25">
      <c r="A1759" s="75">
        <v>8</v>
      </c>
      <c r="B1759" s="75">
        <v>21</v>
      </c>
      <c r="C1759" s="75" t="s">
        <v>10</v>
      </c>
      <c r="D1759" s="75">
        <v>5272</v>
      </c>
      <c r="F1759" s="75" t="s">
        <v>10</v>
      </c>
      <c r="H1759" s="75" t="s">
        <v>10</v>
      </c>
      <c r="I1759" s="75">
        <v>19489</v>
      </c>
      <c r="K1759" s="75" t="str">
        <f>IFERROR(VLOOKUP(J1759,'NQ10'!$B$9:$C$145,2,0),"")</f>
        <v/>
      </c>
    </row>
    <row r="1760" spans="1:11" ht="15" customHeight="1" x14ac:dyDescent="0.25">
      <c r="A1760" s="75">
        <v>8</v>
      </c>
      <c r="B1760" s="75">
        <v>22</v>
      </c>
      <c r="C1760" s="75" t="s">
        <v>10</v>
      </c>
      <c r="D1760" s="75">
        <v>7070</v>
      </c>
      <c r="F1760" s="75" t="s">
        <v>10</v>
      </c>
      <c r="H1760" s="75" t="s">
        <v>10</v>
      </c>
      <c r="I1760" s="75">
        <v>19489</v>
      </c>
      <c r="K1760" s="75" t="str">
        <f>IFERROR(VLOOKUP(J1760,'NQ10'!$B$9:$C$145,2,0),"")</f>
        <v/>
      </c>
    </row>
    <row r="1761" spans="1:11" ht="15" customHeight="1" x14ac:dyDescent="0.25">
      <c r="A1761" s="75">
        <v>8</v>
      </c>
      <c r="B1761" s="75">
        <v>23</v>
      </c>
      <c r="C1761" s="75" t="s">
        <v>10</v>
      </c>
      <c r="D1761" s="75">
        <v>2120</v>
      </c>
      <c r="F1761" s="75" t="s">
        <v>10</v>
      </c>
      <c r="H1761" s="75" t="s">
        <v>10</v>
      </c>
      <c r="I1761" s="75">
        <v>19489</v>
      </c>
      <c r="K1761" s="75" t="str">
        <f>IFERROR(VLOOKUP(J1761,'NQ10'!$B$9:$C$145,2,0),"")</f>
        <v/>
      </c>
    </row>
    <row r="1762" spans="1:11" ht="15" customHeight="1" x14ac:dyDescent="0.25">
      <c r="A1762" s="75">
        <v>8</v>
      </c>
      <c r="B1762" s="75">
        <v>24</v>
      </c>
      <c r="C1762" s="75" t="s">
        <v>10</v>
      </c>
      <c r="D1762" s="75">
        <v>3693</v>
      </c>
      <c r="F1762" s="75" t="s">
        <v>10</v>
      </c>
      <c r="H1762" s="75" t="s">
        <v>10</v>
      </c>
      <c r="I1762" s="75">
        <v>19489</v>
      </c>
      <c r="K1762" s="75" t="str">
        <f>IFERROR(VLOOKUP(J1762,'NQ10'!$B$9:$C$145,2,0),"")</f>
        <v/>
      </c>
    </row>
    <row r="1763" spans="1:11" ht="15" customHeight="1" x14ac:dyDescent="0.25">
      <c r="A1763" s="75">
        <v>8</v>
      </c>
      <c r="B1763" s="75">
        <v>25</v>
      </c>
      <c r="C1763" s="75" t="s">
        <v>10</v>
      </c>
      <c r="D1763" s="75">
        <v>2164</v>
      </c>
      <c r="F1763" s="75" t="s">
        <v>10</v>
      </c>
      <c r="H1763" s="75" t="s">
        <v>10</v>
      </c>
      <c r="I1763" s="75">
        <v>19489</v>
      </c>
      <c r="K1763" s="75" t="str">
        <f>IFERROR(VLOOKUP(J1763,'NQ10'!$B$9:$C$145,2,0),"")</f>
        <v/>
      </c>
    </row>
    <row r="1764" spans="1:11" ht="15" customHeight="1" x14ac:dyDescent="0.25">
      <c r="A1764" s="75">
        <v>8</v>
      </c>
      <c r="B1764" s="75">
        <v>26</v>
      </c>
      <c r="C1764" s="75" t="s">
        <v>10</v>
      </c>
      <c r="D1764" s="75">
        <v>2100</v>
      </c>
      <c r="F1764" s="75" t="s">
        <v>10</v>
      </c>
      <c r="H1764" s="75" t="s">
        <v>10</v>
      </c>
      <c r="I1764" s="75">
        <v>19489</v>
      </c>
      <c r="K1764" s="75" t="str">
        <f>IFERROR(VLOOKUP(J1764,'NQ10'!$B$9:$C$145,2,0),"")</f>
        <v/>
      </c>
    </row>
    <row r="1765" spans="1:11" ht="15" customHeight="1" x14ac:dyDescent="0.25">
      <c r="A1765" s="75">
        <v>8</v>
      </c>
      <c r="B1765" s="75">
        <v>27</v>
      </c>
      <c r="C1765" s="75" t="s">
        <v>10</v>
      </c>
      <c r="D1765" s="75">
        <v>2325</v>
      </c>
      <c r="F1765" s="75" t="s">
        <v>10</v>
      </c>
      <c r="H1765" s="75" t="s">
        <v>10</v>
      </c>
      <c r="I1765" s="75">
        <v>19489</v>
      </c>
      <c r="K1765" s="75" t="str">
        <f>IFERROR(VLOOKUP(J1765,'NQ10'!$B$9:$C$145,2,0),"")</f>
        <v/>
      </c>
    </row>
    <row r="1766" spans="1:11" ht="15" customHeight="1" x14ac:dyDescent="0.25">
      <c r="A1766" s="75">
        <v>8</v>
      </c>
      <c r="B1766" s="75">
        <v>28</v>
      </c>
      <c r="C1766" s="75" t="s">
        <v>10</v>
      </c>
      <c r="D1766" s="75">
        <v>1207</v>
      </c>
      <c r="F1766" s="75" t="s">
        <v>10</v>
      </c>
      <c r="H1766" s="75" t="s">
        <v>10</v>
      </c>
      <c r="I1766" s="75">
        <v>19489</v>
      </c>
      <c r="K1766" s="75" t="str">
        <f>IFERROR(VLOOKUP(J1766,'NQ10'!$B$9:$C$145,2,0),"")</f>
        <v/>
      </c>
    </row>
    <row r="1767" spans="1:11" ht="15" customHeight="1" x14ac:dyDescent="0.25">
      <c r="A1767" s="75">
        <v>8</v>
      </c>
      <c r="B1767" s="75">
        <v>30</v>
      </c>
      <c r="C1767" s="75" t="s">
        <v>10</v>
      </c>
      <c r="D1767" s="75">
        <v>1294</v>
      </c>
      <c r="F1767" s="75" t="s">
        <v>10</v>
      </c>
      <c r="H1767" s="75" t="s">
        <v>10</v>
      </c>
      <c r="I1767" s="75">
        <v>19489</v>
      </c>
      <c r="K1767" s="75" t="str">
        <f>IFERROR(VLOOKUP(J1767,'NQ10'!$B$9:$C$145,2,0),"")</f>
        <v/>
      </c>
    </row>
    <row r="1768" spans="1:11" ht="15" customHeight="1" x14ac:dyDescent="0.25">
      <c r="A1768" s="75">
        <v>8</v>
      </c>
      <c r="B1768" s="75">
        <v>31</v>
      </c>
      <c r="C1768" s="75" t="s">
        <v>10</v>
      </c>
      <c r="D1768" s="75">
        <v>1027</v>
      </c>
      <c r="F1768" s="75" t="s">
        <v>10</v>
      </c>
      <c r="H1768" s="75" t="s">
        <v>10</v>
      </c>
      <c r="I1768" s="75">
        <v>19489</v>
      </c>
      <c r="K1768" s="75" t="str">
        <f>IFERROR(VLOOKUP(J1768,'NQ10'!$B$9:$C$145,2,0),"")</f>
        <v/>
      </c>
    </row>
    <row r="1769" spans="1:11" ht="15" customHeight="1" x14ac:dyDescent="0.25">
      <c r="A1769" s="75">
        <v>8</v>
      </c>
      <c r="B1769" s="75">
        <v>32</v>
      </c>
      <c r="C1769" s="75" t="s">
        <v>10</v>
      </c>
      <c r="D1769" s="75">
        <v>1082</v>
      </c>
      <c r="F1769" s="75" t="s">
        <v>10</v>
      </c>
      <c r="H1769" s="75" t="s">
        <v>10</v>
      </c>
      <c r="I1769" s="75">
        <v>19489</v>
      </c>
      <c r="K1769" s="75" t="str">
        <f>IFERROR(VLOOKUP(J1769,'NQ10'!$B$9:$C$145,2,0),"")</f>
        <v/>
      </c>
    </row>
    <row r="1770" spans="1:11" ht="15" customHeight="1" x14ac:dyDescent="0.25">
      <c r="A1770" s="75">
        <v>8</v>
      </c>
      <c r="B1770" s="75">
        <v>33</v>
      </c>
      <c r="C1770" s="75" t="s">
        <v>10</v>
      </c>
      <c r="D1770" s="75">
        <v>676</v>
      </c>
      <c r="F1770" s="75" t="s">
        <v>10</v>
      </c>
      <c r="H1770" s="75" t="s">
        <v>10</v>
      </c>
      <c r="I1770" s="75">
        <v>19489</v>
      </c>
      <c r="K1770" s="75" t="str">
        <f>IFERROR(VLOOKUP(J1770,'NQ10'!$B$9:$C$145,2,0),"")</f>
        <v/>
      </c>
    </row>
    <row r="1771" spans="1:11" ht="15" customHeight="1" x14ac:dyDescent="0.25">
      <c r="A1771" s="75">
        <v>8</v>
      </c>
      <c r="B1771" s="75">
        <v>34</v>
      </c>
      <c r="C1771" s="75" t="s">
        <v>10</v>
      </c>
      <c r="D1771" s="75">
        <v>4275</v>
      </c>
      <c r="F1771" s="75" t="s">
        <v>10</v>
      </c>
      <c r="H1771" s="75" t="s">
        <v>10</v>
      </c>
      <c r="I1771" s="75">
        <v>19489</v>
      </c>
      <c r="K1771" s="75" t="str">
        <f>IFERROR(VLOOKUP(J1771,'NQ10'!$B$9:$C$145,2,0),"")</f>
        <v/>
      </c>
    </row>
    <row r="1772" spans="1:11" ht="15" customHeight="1" x14ac:dyDescent="0.25">
      <c r="A1772" s="75">
        <v>8</v>
      </c>
      <c r="B1772" s="75">
        <v>35</v>
      </c>
      <c r="C1772" s="75" t="s">
        <v>10</v>
      </c>
      <c r="D1772" s="75">
        <v>1557</v>
      </c>
      <c r="F1772" s="75" t="s">
        <v>10</v>
      </c>
      <c r="H1772" s="75" t="s">
        <v>10</v>
      </c>
      <c r="I1772" s="75">
        <v>19489</v>
      </c>
      <c r="K1772" s="75" t="str">
        <f>IFERROR(VLOOKUP(J1772,'NQ10'!$B$9:$C$145,2,0),"")</f>
        <v/>
      </c>
    </row>
    <row r="1773" spans="1:11" ht="15" customHeight="1" x14ac:dyDescent="0.25">
      <c r="A1773" s="75">
        <v>8</v>
      </c>
      <c r="B1773" s="75">
        <v>36</v>
      </c>
      <c r="C1773" s="75" t="s">
        <v>10</v>
      </c>
      <c r="D1773" s="75">
        <v>2947</v>
      </c>
      <c r="F1773" s="75" t="s">
        <v>10</v>
      </c>
      <c r="H1773" s="75" t="s">
        <v>10</v>
      </c>
      <c r="I1773" s="75">
        <v>19489</v>
      </c>
      <c r="K1773" s="75" t="str">
        <f>IFERROR(VLOOKUP(J1773,'NQ10'!$B$9:$C$145,2,0),"")</f>
        <v/>
      </c>
    </row>
    <row r="1774" spans="1:11" ht="15" customHeight="1" x14ac:dyDescent="0.25">
      <c r="A1774" s="75">
        <v>8</v>
      </c>
      <c r="B1774" s="75">
        <v>37</v>
      </c>
      <c r="C1774" s="75" t="s">
        <v>10</v>
      </c>
      <c r="D1774" s="75">
        <v>1510</v>
      </c>
      <c r="F1774" s="75" t="s">
        <v>10</v>
      </c>
      <c r="H1774" s="75" t="s">
        <v>10</v>
      </c>
      <c r="I1774" s="75">
        <v>19489</v>
      </c>
      <c r="K1774" s="75" t="str">
        <f>IFERROR(VLOOKUP(J1774,'NQ10'!$B$9:$C$145,2,0),"")</f>
        <v/>
      </c>
    </row>
    <row r="1775" spans="1:11" ht="15" customHeight="1" x14ac:dyDescent="0.25">
      <c r="A1775" s="75">
        <v>8</v>
      </c>
      <c r="B1775" s="75">
        <v>39</v>
      </c>
      <c r="C1775" s="75" t="s">
        <v>10</v>
      </c>
      <c r="D1775" s="75">
        <v>7515</v>
      </c>
      <c r="F1775" s="75" t="s">
        <v>10</v>
      </c>
      <c r="H1775" s="75" t="s">
        <v>10</v>
      </c>
      <c r="I1775" s="75">
        <v>19489</v>
      </c>
      <c r="K1775" s="75" t="str">
        <f>IFERROR(VLOOKUP(J1775,'NQ10'!$B$9:$C$145,2,0),"")</f>
        <v/>
      </c>
    </row>
    <row r="1776" spans="1:11" ht="15" customHeight="1" x14ac:dyDescent="0.25">
      <c r="A1776" s="75">
        <v>8</v>
      </c>
      <c r="B1776" s="75">
        <v>41</v>
      </c>
      <c r="C1776" s="75" t="s">
        <v>10</v>
      </c>
      <c r="D1776" s="75">
        <v>2990</v>
      </c>
      <c r="F1776" s="75" t="s">
        <v>10</v>
      </c>
      <c r="H1776" s="75" t="s">
        <v>10</v>
      </c>
      <c r="I1776" s="75">
        <v>19489</v>
      </c>
      <c r="K1776" s="75" t="str">
        <f>IFERROR(VLOOKUP(J1776,'NQ10'!$B$9:$C$145,2,0),"")</f>
        <v/>
      </c>
    </row>
    <row r="1777" spans="1:11" ht="15" customHeight="1" x14ac:dyDescent="0.25">
      <c r="A1777" s="75">
        <v>8</v>
      </c>
      <c r="B1777" s="75">
        <v>42</v>
      </c>
      <c r="C1777" s="75" t="s">
        <v>10</v>
      </c>
      <c r="D1777" s="75">
        <v>2575</v>
      </c>
      <c r="F1777" s="75" t="s">
        <v>10</v>
      </c>
      <c r="H1777" s="75" t="s">
        <v>10</v>
      </c>
      <c r="I1777" s="75">
        <v>19489</v>
      </c>
      <c r="K1777" s="75" t="str">
        <f>IFERROR(VLOOKUP(J1777,'NQ10'!$B$9:$C$145,2,0),"")</f>
        <v/>
      </c>
    </row>
    <row r="1778" spans="1:11" ht="15" customHeight="1" x14ac:dyDescent="0.25">
      <c r="A1778" s="75">
        <v>8</v>
      </c>
      <c r="B1778" s="75">
        <v>43</v>
      </c>
      <c r="C1778" s="75" t="s">
        <v>10</v>
      </c>
      <c r="D1778" s="75">
        <v>1954</v>
      </c>
      <c r="F1778" s="75" t="s">
        <v>10</v>
      </c>
      <c r="H1778" s="75" t="s">
        <v>10</v>
      </c>
      <c r="I1778" s="75">
        <v>19489</v>
      </c>
      <c r="K1778" s="75" t="str">
        <f>IFERROR(VLOOKUP(J1778,'NQ10'!$B$9:$C$145,2,0),"")</f>
        <v/>
      </c>
    </row>
    <row r="1779" spans="1:11" ht="15" customHeight="1" x14ac:dyDescent="0.25">
      <c r="A1779" s="75">
        <v>8</v>
      </c>
      <c r="B1779" s="75">
        <v>44</v>
      </c>
      <c r="C1779" s="75" t="s">
        <v>10</v>
      </c>
      <c r="D1779" s="75">
        <v>14411</v>
      </c>
      <c r="F1779" s="75" t="s">
        <v>10</v>
      </c>
      <c r="H1779" s="75" t="s">
        <v>10</v>
      </c>
      <c r="I1779" s="75">
        <v>19489</v>
      </c>
      <c r="K1779" s="75" t="str">
        <f>IFERROR(VLOOKUP(J1779,'NQ10'!$B$9:$C$145,2,0),"")</f>
        <v/>
      </c>
    </row>
    <row r="1780" spans="1:11" ht="15" customHeight="1" x14ac:dyDescent="0.25">
      <c r="A1780" s="75">
        <v>8</v>
      </c>
      <c r="B1780" s="75">
        <v>45</v>
      </c>
      <c r="C1780" s="75" t="s">
        <v>10</v>
      </c>
      <c r="D1780" s="75">
        <v>990</v>
      </c>
      <c r="F1780" s="75" t="s">
        <v>10</v>
      </c>
      <c r="H1780" s="75" t="s">
        <v>10</v>
      </c>
      <c r="I1780" s="75">
        <v>19489</v>
      </c>
      <c r="K1780" s="75" t="str">
        <f>IFERROR(VLOOKUP(J1780,'NQ10'!$B$9:$C$145,2,0),"")</f>
        <v/>
      </c>
    </row>
    <row r="1781" spans="1:11" ht="15" customHeight="1" x14ac:dyDescent="0.25">
      <c r="A1781" s="75">
        <v>8</v>
      </c>
      <c r="B1781" s="75">
        <v>46</v>
      </c>
      <c r="C1781" s="75" t="s">
        <v>10</v>
      </c>
      <c r="D1781" s="75">
        <v>3905</v>
      </c>
      <c r="F1781" s="75" t="s">
        <v>10</v>
      </c>
      <c r="H1781" s="75" t="s">
        <v>10</v>
      </c>
      <c r="I1781" s="75">
        <v>19489</v>
      </c>
      <c r="K1781" s="75" t="str">
        <f>IFERROR(VLOOKUP(J1781,'NQ10'!$B$9:$C$145,2,0),"")</f>
        <v/>
      </c>
    </row>
    <row r="1782" spans="1:11" ht="15" customHeight="1" x14ac:dyDescent="0.25">
      <c r="A1782" s="75">
        <v>8</v>
      </c>
      <c r="B1782" s="75">
        <v>48</v>
      </c>
      <c r="C1782" s="75" t="s">
        <v>10</v>
      </c>
      <c r="D1782" s="75">
        <v>6257</v>
      </c>
      <c r="F1782" s="75" t="s">
        <v>10</v>
      </c>
      <c r="H1782" s="75" t="s">
        <v>10</v>
      </c>
      <c r="I1782" s="75">
        <v>19489</v>
      </c>
      <c r="K1782" s="75" t="str">
        <f>IFERROR(VLOOKUP(J1782,'NQ10'!$B$9:$C$145,2,0),"")</f>
        <v/>
      </c>
    </row>
    <row r="1783" spans="1:11" ht="15" customHeight="1" x14ac:dyDescent="0.25">
      <c r="A1783" s="75">
        <v>8</v>
      </c>
      <c r="B1783" s="75">
        <v>49</v>
      </c>
      <c r="C1783" s="75" t="s">
        <v>10</v>
      </c>
      <c r="D1783" s="75">
        <v>10988</v>
      </c>
      <c r="F1783" s="75" t="s">
        <v>10</v>
      </c>
      <c r="H1783" s="75" t="s">
        <v>10</v>
      </c>
      <c r="I1783" s="75">
        <v>19489</v>
      </c>
      <c r="K1783" s="75" t="str">
        <f>IFERROR(VLOOKUP(J1783,'NQ10'!$B$9:$C$145,2,0),"")</f>
        <v/>
      </c>
    </row>
    <row r="1784" spans="1:11" ht="15" customHeight="1" x14ac:dyDescent="0.25">
      <c r="A1784" s="75">
        <v>8</v>
      </c>
      <c r="B1784" s="75">
        <v>50</v>
      </c>
      <c r="C1784" s="75" t="s">
        <v>10</v>
      </c>
      <c r="D1784" s="75">
        <v>3297</v>
      </c>
      <c r="F1784" s="75" t="s">
        <v>10</v>
      </c>
      <c r="H1784" s="75" t="s">
        <v>10</v>
      </c>
      <c r="I1784" s="75">
        <v>19489</v>
      </c>
      <c r="K1784" s="75" t="str">
        <f>IFERROR(VLOOKUP(J1784,'NQ10'!$B$9:$C$145,2,0),"")</f>
        <v/>
      </c>
    </row>
    <row r="1785" spans="1:11" ht="15" customHeight="1" x14ac:dyDescent="0.25">
      <c r="A1785" s="75">
        <v>8</v>
      </c>
      <c r="B1785" s="75">
        <v>51</v>
      </c>
      <c r="C1785" s="75" t="s">
        <v>10</v>
      </c>
      <c r="D1785" s="75">
        <v>2789</v>
      </c>
      <c r="F1785" s="75" t="s">
        <v>10</v>
      </c>
      <c r="H1785" s="75" t="s">
        <v>10</v>
      </c>
      <c r="I1785" s="75">
        <v>19489</v>
      </c>
      <c r="K1785" s="75" t="str">
        <f>IFERROR(VLOOKUP(J1785,'NQ10'!$B$9:$C$145,2,0),"")</f>
        <v/>
      </c>
    </row>
    <row r="1786" spans="1:11" ht="15" customHeight="1" x14ac:dyDescent="0.25">
      <c r="A1786" s="75">
        <v>8</v>
      </c>
      <c r="B1786" s="75">
        <v>52</v>
      </c>
      <c r="C1786" s="75" t="s">
        <v>10</v>
      </c>
      <c r="D1786" s="75">
        <v>2245</v>
      </c>
      <c r="F1786" s="75" t="s">
        <v>10</v>
      </c>
      <c r="H1786" s="75" t="s">
        <v>10</v>
      </c>
      <c r="I1786" s="75">
        <v>19489</v>
      </c>
      <c r="K1786" s="75" t="str">
        <f>IFERROR(VLOOKUP(J1786,'NQ10'!$B$9:$C$145,2,0),"")</f>
        <v/>
      </c>
    </row>
    <row r="1787" spans="1:11" ht="15" customHeight="1" x14ac:dyDescent="0.25">
      <c r="A1787" s="75">
        <v>8</v>
      </c>
      <c r="B1787" s="75">
        <v>53</v>
      </c>
      <c r="C1787" s="75" t="s">
        <v>10</v>
      </c>
      <c r="D1787" s="75">
        <v>1777</v>
      </c>
      <c r="F1787" s="75" t="s">
        <v>10</v>
      </c>
      <c r="H1787" s="75" t="s">
        <v>10</v>
      </c>
      <c r="I1787" s="75">
        <v>19489</v>
      </c>
      <c r="K1787" s="75" t="str">
        <f>IFERROR(VLOOKUP(J1787,'NQ10'!$B$9:$C$145,2,0),"")</f>
        <v/>
      </c>
    </row>
    <row r="1788" spans="1:11" ht="15" customHeight="1" x14ac:dyDescent="0.25">
      <c r="A1788" s="75">
        <v>8</v>
      </c>
      <c r="B1788" s="75">
        <v>54</v>
      </c>
      <c r="C1788" s="75" t="s">
        <v>10</v>
      </c>
      <c r="D1788" s="75">
        <v>2302</v>
      </c>
      <c r="F1788" s="75" t="s">
        <v>10</v>
      </c>
      <c r="H1788" s="75" t="s">
        <v>10</v>
      </c>
      <c r="I1788" s="75">
        <v>19489</v>
      </c>
      <c r="K1788" s="75" t="str">
        <f>IFERROR(VLOOKUP(J1788,'NQ10'!$B$9:$C$145,2,0),"")</f>
        <v/>
      </c>
    </row>
    <row r="1789" spans="1:11" ht="15" customHeight="1" x14ac:dyDescent="0.25">
      <c r="A1789" s="75">
        <v>8</v>
      </c>
      <c r="B1789" s="75">
        <v>55</v>
      </c>
      <c r="C1789" s="75" t="s">
        <v>10</v>
      </c>
      <c r="D1789" s="75">
        <v>946</v>
      </c>
      <c r="F1789" s="75" t="s">
        <v>10</v>
      </c>
      <c r="H1789" s="75" t="s">
        <v>10</v>
      </c>
      <c r="I1789" s="75">
        <v>19489</v>
      </c>
      <c r="K1789" s="75" t="str">
        <f>IFERROR(VLOOKUP(J1789,'NQ10'!$B$9:$C$145,2,0),"")</f>
        <v/>
      </c>
    </row>
    <row r="1790" spans="1:11" ht="15" customHeight="1" x14ac:dyDescent="0.25">
      <c r="A1790" s="75">
        <v>8</v>
      </c>
      <c r="B1790" s="75">
        <v>56</v>
      </c>
      <c r="C1790" s="75" t="s">
        <v>10</v>
      </c>
      <c r="D1790" s="75">
        <v>1833</v>
      </c>
      <c r="F1790" s="75" t="s">
        <v>10</v>
      </c>
      <c r="H1790" s="75" t="s">
        <v>10</v>
      </c>
      <c r="I1790" s="75">
        <v>19489</v>
      </c>
      <c r="K1790" s="75" t="str">
        <f>IFERROR(VLOOKUP(J1790,'NQ10'!$B$9:$C$145,2,0),"")</f>
        <v/>
      </c>
    </row>
    <row r="1791" spans="1:11" ht="15" customHeight="1" x14ac:dyDescent="0.25">
      <c r="A1791" s="75">
        <v>8</v>
      </c>
      <c r="B1791" s="75">
        <v>58</v>
      </c>
      <c r="C1791" s="75" t="s">
        <v>10</v>
      </c>
      <c r="D1791" s="75">
        <v>181</v>
      </c>
      <c r="F1791" s="75" t="s">
        <v>10</v>
      </c>
      <c r="H1791" s="75" t="s">
        <v>10</v>
      </c>
      <c r="I1791" s="75">
        <v>19489</v>
      </c>
      <c r="K1791" s="75" t="str">
        <f>IFERROR(VLOOKUP(J1791,'NQ10'!$B$9:$C$145,2,0),"")</f>
        <v/>
      </c>
    </row>
    <row r="1792" spans="1:11" ht="15" customHeight="1" x14ac:dyDescent="0.25">
      <c r="A1792" s="75">
        <v>8</v>
      </c>
      <c r="B1792" s="75">
        <v>59</v>
      </c>
      <c r="C1792" s="75" t="s">
        <v>10</v>
      </c>
      <c r="D1792" s="75">
        <v>784</v>
      </c>
      <c r="F1792" s="75" t="s">
        <v>10</v>
      </c>
      <c r="H1792" s="75" t="s">
        <v>10</v>
      </c>
      <c r="I1792" s="75">
        <v>19489</v>
      </c>
      <c r="K1792" s="75" t="str">
        <f>IFERROR(VLOOKUP(J1792,'NQ10'!$B$9:$C$145,2,0),"")</f>
        <v/>
      </c>
    </row>
    <row r="1793" spans="1:11" ht="15" customHeight="1" x14ac:dyDescent="0.25">
      <c r="A1793" s="75">
        <v>8</v>
      </c>
      <c r="B1793" s="75">
        <v>60</v>
      </c>
      <c r="C1793" s="75" t="s">
        <v>10</v>
      </c>
      <c r="D1793" s="75">
        <v>2883</v>
      </c>
      <c r="F1793" s="75" t="s">
        <v>10</v>
      </c>
      <c r="H1793" s="75" t="s">
        <v>10</v>
      </c>
      <c r="I1793" s="75">
        <v>19489</v>
      </c>
      <c r="K1793" s="75" t="str">
        <f>IFERROR(VLOOKUP(J1793,'NQ10'!$B$9:$C$145,2,0),"")</f>
        <v/>
      </c>
    </row>
    <row r="1794" spans="1:11" ht="15" customHeight="1" x14ac:dyDescent="0.25">
      <c r="A1794" s="75">
        <v>8</v>
      </c>
      <c r="B1794" s="75">
        <v>62</v>
      </c>
      <c r="C1794" s="75" t="s">
        <v>10</v>
      </c>
      <c r="D1794" s="75">
        <v>3535</v>
      </c>
      <c r="F1794" s="75" t="s">
        <v>10</v>
      </c>
      <c r="H1794" s="75" t="s">
        <v>10</v>
      </c>
      <c r="I1794" s="75">
        <v>19489</v>
      </c>
      <c r="K1794" s="75" t="str">
        <f>IFERROR(VLOOKUP(J1794,'NQ10'!$B$9:$C$145,2,0),"")</f>
        <v/>
      </c>
    </row>
    <row r="1795" spans="1:11" ht="15" customHeight="1" x14ac:dyDescent="0.25">
      <c r="A1795" s="75">
        <v>8</v>
      </c>
      <c r="B1795" s="75">
        <v>63</v>
      </c>
      <c r="C1795" s="75" t="s">
        <v>10</v>
      </c>
      <c r="D1795" s="75">
        <v>1920</v>
      </c>
      <c r="F1795" s="75" t="s">
        <v>10</v>
      </c>
      <c r="H1795" s="75" t="s">
        <v>10</v>
      </c>
      <c r="I1795" s="75">
        <v>19489</v>
      </c>
      <c r="K1795" s="75" t="str">
        <f>IFERROR(VLOOKUP(J1795,'NQ10'!$B$9:$C$145,2,0),"")</f>
        <v/>
      </c>
    </row>
    <row r="1796" spans="1:11" ht="15" customHeight="1" x14ac:dyDescent="0.25">
      <c r="A1796" s="75">
        <v>8</v>
      </c>
      <c r="B1796" s="75">
        <v>64</v>
      </c>
      <c r="C1796" s="75" t="s">
        <v>10</v>
      </c>
      <c r="D1796" s="75">
        <v>483</v>
      </c>
      <c r="F1796" s="75" t="s">
        <v>10</v>
      </c>
      <c r="H1796" s="75" t="s">
        <v>10</v>
      </c>
      <c r="I1796" s="75">
        <v>19489</v>
      </c>
      <c r="K1796" s="75" t="str">
        <f>IFERROR(VLOOKUP(J1796,'NQ10'!$B$9:$C$145,2,0),"")</f>
        <v/>
      </c>
    </row>
    <row r="1797" spans="1:11" ht="15" customHeight="1" x14ac:dyDescent="0.25">
      <c r="A1797" s="75">
        <v>8</v>
      </c>
      <c r="B1797" s="75">
        <v>65</v>
      </c>
      <c r="C1797" s="75" t="s">
        <v>10</v>
      </c>
      <c r="D1797" s="75">
        <v>367</v>
      </c>
      <c r="F1797" s="75" t="s">
        <v>10</v>
      </c>
      <c r="H1797" s="75" t="s">
        <v>10</v>
      </c>
      <c r="I1797" s="75">
        <v>19489</v>
      </c>
      <c r="K1797" s="75" t="str">
        <f>IFERROR(VLOOKUP(J1797,'NQ10'!$B$9:$C$145,2,0),"")</f>
        <v/>
      </c>
    </row>
    <row r="1798" spans="1:11" ht="15" customHeight="1" x14ac:dyDescent="0.25">
      <c r="A1798" s="75">
        <v>8</v>
      </c>
      <c r="B1798" s="75">
        <v>66</v>
      </c>
      <c r="C1798" s="75" t="s">
        <v>10</v>
      </c>
      <c r="D1798" s="75">
        <v>3553</v>
      </c>
      <c r="F1798" s="75" t="s">
        <v>10</v>
      </c>
      <c r="H1798" s="75" t="s">
        <v>10</v>
      </c>
      <c r="I1798" s="75">
        <v>19489</v>
      </c>
      <c r="K1798" s="75" t="str">
        <f>IFERROR(VLOOKUP(J1798,'NQ10'!$B$9:$C$145,2,0),"")</f>
        <v/>
      </c>
    </row>
    <row r="1799" spans="1:11" ht="15" customHeight="1" x14ac:dyDescent="0.25">
      <c r="A1799" s="75">
        <v>8</v>
      </c>
      <c r="B1799" s="75">
        <v>68</v>
      </c>
      <c r="C1799" s="75" t="s">
        <v>10</v>
      </c>
      <c r="D1799" s="75">
        <v>5448</v>
      </c>
      <c r="F1799" s="75" t="s">
        <v>10</v>
      </c>
      <c r="H1799" s="75" t="s">
        <v>10</v>
      </c>
      <c r="I1799" s="75">
        <v>19489</v>
      </c>
      <c r="K1799" s="75" t="str">
        <f>IFERROR(VLOOKUP(J1799,'NQ10'!$B$9:$C$145,2,0),"")</f>
        <v/>
      </c>
    </row>
    <row r="1800" spans="1:11" ht="15" customHeight="1" x14ac:dyDescent="0.25">
      <c r="A1800" s="75">
        <v>8</v>
      </c>
      <c r="B1800" s="75">
        <v>69</v>
      </c>
      <c r="C1800" s="75" t="s">
        <v>10</v>
      </c>
      <c r="D1800" s="75">
        <v>3892</v>
      </c>
      <c r="F1800" s="75" t="s">
        <v>10</v>
      </c>
      <c r="H1800" s="75" t="s">
        <v>10</v>
      </c>
      <c r="I1800" s="75">
        <v>19489</v>
      </c>
      <c r="K1800" s="75" t="str">
        <f>IFERROR(VLOOKUP(J1800,'NQ10'!$B$9:$C$145,2,0),"")</f>
        <v/>
      </c>
    </row>
    <row r="1801" spans="1:11" ht="15" customHeight="1" x14ac:dyDescent="0.25">
      <c r="A1801" s="75">
        <v>8</v>
      </c>
      <c r="B1801" s="75">
        <v>70</v>
      </c>
      <c r="C1801" s="75" t="s">
        <v>10</v>
      </c>
      <c r="D1801" s="75">
        <v>6129</v>
      </c>
      <c r="F1801" s="75" t="s">
        <v>10</v>
      </c>
      <c r="H1801" s="75" t="s">
        <v>10</v>
      </c>
      <c r="I1801" s="75">
        <v>19489</v>
      </c>
      <c r="K1801" s="75" t="str">
        <f>IFERROR(VLOOKUP(J1801,'NQ10'!$B$9:$C$145,2,0),"")</f>
        <v/>
      </c>
    </row>
    <row r="1802" spans="1:11" ht="15" customHeight="1" x14ac:dyDescent="0.25">
      <c r="A1802" s="75">
        <v>8</v>
      </c>
      <c r="B1802" s="75">
        <v>71</v>
      </c>
      <c r="C1802" s="75" t="s">
        <v>10</v>
      </c>
      <c r="D1802" s="75">
        <v>2399</v>
      </c>
      <c r="F1802" s="75" t="s">
        <v>10</v>
      </c>
      <c r="H1802" s="75" t="s">
        <v>10</v>
      </c>
      <c r="I1802" s="75">
        <v>19489</v>
      </c>
      <c r="K1802" s="75" t="str">
        <f>IFERROR(VLOOKUP(J1802,'NQ10'!$B$9:$C$145,2,0),"")</f>
        <v/>
      </c>
    </row>
    <row r="1803" spans="1:11" ht="15" customHeight="1" x14ac:dyDescent="0.25">
      <c r="A1803" s="75">
        <v>8</v>
      </c>
      <c r="B1803" s="75">
        <v>72</v>
      </c>
      <c r="C1803" s="75" t="s">
        <v>10</v>
      </c>
      <c r="D1803" s="75">
        <v>442</v>
      </c>
      <c r="F1803" s="75" t="s">
        <v>10</v>
      </c>
      <c r="H1803" s="75" t="s">
        <v>10</v>
      </c>
      <c r="I1803" s="75">
        <v>19489</v>
      </c>
      <c r="K1803" s="75" t="str">
        <f>IFERROR(VLOOKUP(J1803,'NQ10'!$B$9:$C$145,2,0),"")</f>
        <v/>
      </c>
    </row>
    <row r="1804" spans="1:11" ht="15" customHeight="1" x14ac:dyDescent="0.25">
      <c r="A1804" s="75">
        <v>8</v>
      </c>
      <c r="B1804" s="75">
        <v>73</v>
      </c>
      <c r="C1804" s="75" t="s">
        <v>10</v>
      </c>
      <c r="D1804" s="75">
        <v>2814</v>
      </c>
      <c r="F1804" s="75" t="s">
        <v>10</v>
      </c>
      <c r="H1804" s="75" t="s">
        <v>10</v>
      </c>
      <c r="I1804" s="75">
        <v>19489</v>
      </c>
      <c r="K1804" s="75" t="str">
        <f>IFERROR(VLOOKUP(J1804,'NQ10'!$B$9:$C$145,2,0),"")</f>
        <v/>
      </c>
    </row>
    <row r="1805" spans="1:11" ht="15" customHeight="1" x14ac:dyDescent="0.25">
      <c r="A1805" s="75">
        <v>8</v>
      </c>
      <c r="B1805" s="75">
        <v>74</v>
      </c>
      <c r="C1805" s="75" t="s">
        <v>10</v>
      </c>
      <c r="D1805" s="75">
        <v>4082</v>
      </c>
      <c r="F1805" s="75" t="s">
        <v>10</v>
      </c>
      <c r="H1805" s="75" t="s">
        <v>10</v>
      </c>
      <c r="I1805" s="75">
        <v>19489</v>
      </c>
      <c r="K1805" s="75" t="str">
        <f>IFERROR(VLOOKUP(J1805,'NQ10'!$B$9:$C$145,2,0),"")</f>
        <v/>
      </c>
    </row>
    <row r="1806" spans="1:11" ht="15" customHeight="1" x14ac:dyDescent="0.25">
      <c r="A1806" s="75">
        <v>8</v>
      </c>
      <c r="B1806" s="75">
        <v>75</v>
      </c>
      <c r="C1806" s="75" t="s">
        <v>10</v>
      </c>
      <c r="D1806" s="75">
        <v>1912</v>
      </c>
      <c r="F1806" s="75" t="s">
        <v>10</v>
      </c>
      <c r="H1806" s="75" t="s">
        <v>10</v>
      </c>
      <c r="I1806" s="75">
        <v>19489</v>
      </c>
      <c r="K1806" s="75" t="str">
        <f>IFERROR(VLOOKUP(J1806,'NQ10'!$B$9:$C$145,2,0),"")</f>
        <v/>
      </c>
    </row>
    <row r="1807" spans="1:11" ht="15" customHeight="1" x14ac:dyDescent="0.25">
      <c r="A1807" s="75">
        <v>8</v>
      </c>
      <c r="B1807" s="75">
        <v>76</v>
      </c>
      <c r="C1807" s="75" t="s">
        <v>10</v>
      </c>
      <c r="D1807" s="75">
        <v>2493</v>
      </c>
      <c r="F1807" s="75" t="s">
        <v>10</v>
      </c>
      <c r="H1807" s="75" t="s">
        <v>10</v>
      </c>
      <c r="I1807" s="75">
        <v>19489</v>
      </c>
      <c r="K1807" s="75" t="str">
        <f>IFERROR(VLOOKUP(J1807,'NQ10'!$B$9:$C$145,2,0),"")</f>
        <v/>
      </c>
    </row>
    <row r="1808" spans="1:11" ht="15" customHeight="1" x14ac:dyDescent="0.25">
      <c r="A1808" s="75">
        <v>8</v>
      </c>
      <c r="B1808" s="75">
        <v>77</v>
      </c>
      <c r="C1808" s="75" t="s">
        <v>10</v>
      </c>
      <c r="D1808" s="75">
        <v>1176</v>
      </c>
      <c r="F1808" s="75" t="s">
        <v>10</v>
      </c>
      <c r="H1808" s="75" t="s">
        <v>10</v>
      </c>
      <c r="I1808" s="75">
        <v>19489</v>
      </c>
      <c r="K1808" s="75" t="str">
        <f>IFERROR(VLOOKUP(J1808,'NQ10'!$B$9:$C$145,2,0),"")</f>
        <v/>
      </c>
    </row>
    <row r="1809" spans="1:11" ht="15" customHeight="1" x14ac:dyDescent="0.25">
      <c r="A1809" s="75">
        <v>8</v>
      </c>
      <c r="B1809" s="75">
        <v>78</v>
      </c>
      <c r="C1809" s="75" t="s">
        <v>10</v>
      </c>
      <c r="D1809" s="75">
        <v>2157</v>
      </c>
      <c r="F1809" s="75" t="s">
        <v>10</v>
      </c>
      <c r="H1809" s="75" t="s">
        <v>10</v>
      </c>
      <c r="I1809" s="75">
        <v>19489</v>
      </c>
      <c r="K1809" s="75" t="str">
        <f>IFERROR(VLOOKUP(J1809,'NQ10'!$B$9:$C$145,2,0),"")</f>
        <v/>
      </c>
    </row>
    <row r="1810" spans="1:11" ht="15" customHeight="1" x14ac:dyDescent="0.25">
      <c r="A1810" s="75">
        <v>8</v>
      </c>
      <c r="B1810" s="75">
        <v>79</v>
      </c>
      <c r="C1810" s="75" t="s">
        <v>10</v>
      </c>
      <c r="D1810" s="75">
        <v>3477</v>
      </c>
      <c r="F1810" s="75" t="s">
        <v>10</v>
      </c>
      <c r="H1810" s="75" t="s">
        <v>10</v>
      </c>
      <c r="I1810" s="75">
        <v>19489</v>
      </c>
      <c r="K1810" s="75" t="str">
        <f>IFERROR(VLOOKUP(J1810,'NQ10'!$B$9:$C$145,2,0),"")</f>
        <v/>
      </c>
    </row>
    <row r="1811" spans="1:11" ht="15" customHeight="1" x14ac:dyDescent="0.25">
      <c r="A1811" s="75">
        <v>8</v>
      </c>
      <c r="B1811" s="75">
        <v>80</v>
      </c>
      <c r="C1811" s="75" t="s">
        <v>10</v>
      </c>
      <c r="D1811" s="75">
        <v>2342</v>
      </c>
      <c r="F1811" s="75" t="s">
        <v>10</v>
      </c>
      <c r="H1811" s="75" t="s">
        <v>10</v>
      </c>
      <c r="I1811" s="75">
        <v>19489</v>
      </c>
      <c r="K1811" s="75" t="str">
        <f>IFERROR(VLOOKUP(J1811,'NQ10'!$B$9:$C$145,2,0),"")</f>
        <v/>
      </c>
    </row>
    <row r="1812" spans="1:11" ht="15" customHeight="1" x14ac:dyDescent="0.25">
      <c r="A1812" s="75">
        <v>8</v>
      </c>
      <c r="B1812" s="75">
        <v>81</v>
      </c>
      <c r="C1812" s="75" t="s">
        <v>10</v>
      </c>
      <c r="D1812" s="75">
        <v>512</v>
      </c>
      <c r="F1812" s="75" t="s">
        <v>10</v>
      </c>
      <c r="H1812" s="75" t="s">
        <v>10</v>
      </c>
      <c r="I1812" s="75">
        <v>19489</v>
      </c>
      <c r="K1812" s="75" t="str">
        <f>IFERROR(VLOOKUP(J1812,'NQ10'!$B$9:$C$145,2,0),"")</f>
        <v/>
      </c>
    </row>
    <row r="1813" spans="1:11" ht="15" customHeight="1" x14ac:dyDescent="0.25">
      <c r="A1813" s="75">
        <v>8</v>
      </c>
      <c r="B1813" s="75">
        <v>82</v>
      </c>
      <c r="C1813" s="75" t="s">
        <v>10</v>
      </c>
      <c r="D1813" s="75">
        <v>1610</v>
      </c>
      <c r="F1813" s="75" t="s">
        <v>10</v>
      </c>
      <c r="H1813" s="75" t="s">
        <v>10</v>
      </c>
      <c r="I1813" s="75">
        <v>19489</v>
      </c>
      <c r="K1813" s="75" t="str">
        <f>IFERROR(VLOOKUP(J1813,'NQ10'!$B$9:$C$145,2,0),"")</f>
        <v/>
      </c>
    </row>
    <row r="1814" spans="1:11" ht="15" customHeight="1" x14ac:dyDescent="0.25">
      <c r="A1814" s="75">
        <v>8</v>
      </c>
      <c r="B1814" s="75">
        <v>84</v>
      </c>
      <c r="C1814" s="75" t="s">
        <v>10</v>
      </c>
      <c r="D1814" s="75">
        <v>7516</v>
      </c>
      <c r="F1814" s="75" t="s">
        <v>10</v>
      </c>
      <c r="H1814" s="75" t="s">
        <v>10</v>
      </c>
      <c r="I1814" s="75">
        <v>19489</v>
      </c>
      <c r="K1814" s="75" t="str">
        <f>IFERROR(VLOOKUP(J1814,'NQ10'!$B$9:$C$145,2,0),"")</f>
        <v/>
      </c>
    </row>
    <row r="1815" spans="1:11" ht="15" customHeight="1" x14ac:dyDescent="0.25">
      <c r="A1815" s="75">
        <v>8</v>
      </c>
      <c r="B1815" s="75">
        <v>85</v>
      </c>
      <c r="C1815" s="75" t="s">
        <v>10</v>
      </c>
      <c r="D1815" s="75">
        <v>4289</v>
      </c>
      <c r="F1815" s="75" t="s">
        <v>10</v>
      </c>
      <c r="H1815" s="75" t="s">
        <v>10</v>
      </c>
      <c r="I1815" s="75">
        <v>19489</v>
      </c>
      <c r="K1815" s="75" t="str">
        <f>IFERROR(VLOOKUP(J1815,'NQ10'!$B$9:$C$145,2,0),"")</f>
        <v/>
      </c>
    </row>
    <row r="1816" spans="1:11" ht="15" customHeight="1" x14ac:dyDescent="0.25">
      <c r="A1816" s="75">
        <v>8</v>
      </c>
      <c r="B1816" s="75">
        <v>86</v>
      </c>
      <c r="C1816" s="75" t="s">
        <v>10</v>
      </c>
      <c r="D1816" s="75">
        <v>2684</v>
      </c>
      <c r="F1816" s="75" t="s">
        <v>10</v>
      </c>
      <c r="H1816" s="75" t="s">
        <v>10</v>
      </c>
      <c r="I1816" s="75">
        <v>19489</v>
      </c>
      <c r="K1816" s="75" t="str">
        <f>IFERROR(VLOOKUP(J1816,'NQ10'!$B$9:$C$145,2,0),"")</f>
        <v/>
      </c>
    </row>
    <row r="1817" spans="1:11" ht="15" customHeight="1" x14ac:dyDescent="0.25">
      <c r="A1817" s="75">
        <v>8</v>
      </c>
      <c r="B1817" s="75">
        <v>87</v>
      </c>
      <c r="C1817" s="75" t="s">
        <v>10</v>
      </c>
      <c r="D1817" s="75">
        <v>1626</v>
      </c>
      <c r="F1817" s="75" t="s">
        <v>10</v>
      </c>
      <c r="H1817" s="75" t="s">
        <v>10</v>
      </c>
      <c r="I1817" s="75">
        <v>19489</v>
      </c>
      <c r="K1817" s="75" t="str">
        <f>IFERROR(VLOOKUP(J1817,'NQ10'!$B$9:$C$145,2,0),"")</f>
        <v/>
      </c>
    </row>
    <row r="1818" spans="1:11" ht="15" customHeight="1" x14ac:dyDescent="0.25">
      <c r="A1818" s="75">
        <v>8</v>
      </c>
      <c r="B1818" s="75">
        <v>88</v>
      </c>
      <c r="C1818" s="75" t="s">
        <v>10</v>
      </c>
      <c r="D1818" s="75">
        <v>360</v>
      </c>
      <c r="F1818" s="75" t="s">
        <v>10</v>
      </c>
      <c r="H1818" s="75" t="s">
        <v>10</v>
      </c>
      <c r="I1818" s="75">
        <v>19489</v>
      </c>
      <c r="K1818" s="75" t="str">
        <f>IFERROR(VLOOKUP(J1818,'NQ10'!$B$9:$C$145,2,0),"")</f>
        <v/>
      </c>
    </row>
    <row r="1819" spans="1:11" ht="15" customHeight="1" x14ac:dyDescent="0.25">
      <c r="A1819" s="75">
        <v>8</v>
      </c>
      <c r="B1819" s="75">
        <v>90</v>
      </c>
      <c r="C1819" s="75" t="s">
        <v>10</v>
      </c>
      <c r="D1819" s="75">
        <v>2502</v>
      </c>
      <c r="F1819" s="75" t="s">
        <v>10</v>
      </c>
      <c r="H1819" s="75" t="s">
        <v>10</v>
      </c>
      <c r="I1819" s="75">
        <v>19489</v>
      </c>
      <c r="K1819" s="75" t="str">
        <f>IFERROR(VLOOKUP(J1819,'NQ10'!$B$9:$C$145,2,0),"")</f>
        <v/>
      </c>
    </row>
    <row r="1820" spans="1:11" ht="15" customHeight="1" x14ac:dyDescent="0.25">
      <c r="A1820" s="75">
        <v>8</v>
      </c>
      <c r="B1820" s="75">
        <v>91</v>
      </c>
      <c r="C1820" s="75" t="s">
        <v>10</v>
      </c>
      <c r="D1820" s="75">
        <v>2277</v>
      </c>
      <c r="F1820" s="75" t="s">
        <v>10</v>
      </c>
      <c r="H1820" s="75" t="s">
        <v>10</v>
      </c>
      <c r="I1820" s="75">
        <v>19489</v>
      </c>
      <c r="K1820" s="75" t="str">
        <f>IFERROR(VLOOKUP(J1820,'NQ10'!$B$9:$C$145,2,0),"")</f>
        <v/>
      </c>
    </row>
    <row r="1821" spans="1:11" ht="15" customHeight="1" x14ac:dyDescent="0.25">
      <c r="A1821" s="75">
        <v>8</v>
      </c>
      <c r="B1821" s="75">
        <v>92</v>
      </c>
      <c r="C1821" s="75" t="s">
        <v>10</v>
      </c>
      <c r="D1821" s="75">
        <v>588</v>
      </c>
      <c r="F1821" s="75" t="s">
        <v>10</v>
      </c>
      <c r="H1821" s="75" t="s">
        <v>10</v>
      </c>
      <c r="I1821" s="75">
        <v>19489</v>
      </c>
      <c r="K1821" s="75" t="str">
        <f>IFERROR(VLOOKUP(J1821,'NQ10'!$B$9:$C$145,2,0),"")</f>
        <v/>
      </c>
    </row>
    <row r="1822" spans="1:11" ht="15" customHeight="1" x14ac:dyDescent="0.25">
      <c r="A1822" s="75">
        <v>8</v>
      </c>
      <c r="B1822" s="75">
        <v>93</v>
      </c>
      <c r="C1822" s="75" t="s">
        <v>10</v>
      </c>
      <c r="D1822" s="75">
        <v>1038</v>
      </c>
      <c r="F1822" s="75" t="s">
        <v>10</v>
      </c>
      <c r="H1822" s="75" t="s">
        <v>10</v>
      </c>
      <c r="I1822" s="75">
        <v>19489</v>
      </c>
      <c r="K1822" s="75" t="str">
        <f>IFERROR(VLOOKUP(J1822,'NQ10'!$B$9:$C$145,2,0),"")</f>
        <v/>
      </c>
    </row>
    <row r="1823" spans="1:11" ht="15" customHeight="1" x14ac:dyDescent="0.25">
      <c r="A1823" s="75">
        <v>8</v>
      </c>
      <c r="B1823" s="75">
        <v>94</v>
      </c>
      <c r="C1823" s="75" t="s">
        <v>10</v>
      </c>
      <c r="D1823" s="75">
        <v>957</v>
      </c>
      <c r="F1823" s="75" t="s">
        <v>10</v>
      </c>
      <c r="H1823" s="75" t="s">
        <v>10</v>
      </c>
      <c r="I1823" s="75">
        <v>19489</v>
      </c>
      <c r="K1823" s="75" t="str">
        <f>IFERROR(VLOOKUP(J1823,'NQ10'!$B$9:$C$145,2,0),"")</f>
        <v/>
      </c>
    </row>
    <row r="1824" spans="1:11" ht="15" customHeight="1" x14ac:dyDescent="0.25">
      <c r="A1824" s="75">
        <v>8</v>
      </c>
      <c r="B1824" s="75">
        <v>95</v>
      </c>
      <c r="C1824" s="75" t="s">
        <v>10</v>
      </c>
      <c r="D1824" s="75">
        <v>445</v>
      </c>
      <c r="F1824" s="75" t="s">
        <v>10</v>
      </c>
      <c r="H1824" s="75" t="s">
        <v>10</v>
      </c>
      <c r="I1824" s="75">
        <v>19489</v>
      </c>
      <c r="K1824" s="75" t="str">
        <f>IFERROR(VLOOKUP(J1824,'NQ10'!$B$9:$C$145,2,0),"")</f>
        <v/>
      </c>
    </row>
    <row r="1825" spans="1:11" ht="15" customHeight="1" x14ac:dyDescent="0.25">
      <c r="A1825" s="75">
        <v>8</v>
      </c>
      <c r="B1825" s="75">
        <v>97</v>
      </c>
      <c r="C1825" s="75" t="s">
        <v>10</v>
      </c>
      <c r="D1825" s="75">
        <v>264</v>
      </c>
      <c r="F1825" s="75" t="s">
        <v>10</v>
      </c>
      <c r="H1825" s="75" t="s">
        <v>10</v>
      </c>
      <c r="I1825" s="75">
        <v>19489</v>
      </c>
      <c r="K1825" s="75" t="str">
        <f>IFERROR(VLOOKUP(J1825,'NQ10'!$B$9:$C$145,2,0),"")</f>
        <v/>
      </c>
    </row>
    <row r="1826" spans="1:11" ht="15" customHeight="1" x14ac:dyDescent="0.25">
      <c r="A1826" s="75">
        <v>8</v>
      </c>
      <c r="B1826" s="75">
        <v>99</v>
      </c>
      <c r="C1826" s="75" t="s">
        <v>10</v>
      </c>
      <c r="D1826" s="75">
        <v>1731</v>
      </c>
      <c r="F1826" s="75" t="s">
        <v>10</v>
      </c>
      <c r="H1826" s="75" t="s">
        <v>10</v>
      </c>
      <c r="I1826" s="75">
        <v>19489</v>
      </c>
      <c r="K1826" s="75" t="str">
        <f>IFERROR(VLOOKUP(J1826,'NQ10'!$B$9:$C$145,2,0),"")</f>
        <v/>
      </c>
    </row>
    <row r="1827" spans="1:11" ht="15" customHeight="1" x14ac:dyDescent="0.25">
      <c r="A1827" s="75">
        <v>8</v>
      </c>
      <c r="B1827" s="75">
        <v>100</v>
      </c>
      <c r="C1827" s="75" t="s">
        <v>10</v>
      </c>
      <c r="D1827" s="75">
        <v>750</v>
      </c>
      <c r="F1827" s="75" t="s">
        <v>10</v>
      </c>
      <c r="H1827" s="75" t="s">
        <v>10</v>
      </c>
      <c r="I1827" s="75">
        <v>19489</v>
      </c>
      <c r="K1827" s="75" t="str">
        <f>IFERROR(VLOOKUP(J1827,'NQ10'!$B$9:$C$145,2,0),"")</f>
        <v/>
      </c>
    </row>
    <row r="1828" spans="1:11" ht="15" customHeight="1" x14ac:dyDescent="0.25">
      <c r="A1828" s="75">
        <v>8</v>
      </c>
      <c r="B1828" s="75">
        <v>102</v>
      </c>
      <c r="C1828" s="75" t="s">
        <v>10</v>
      </c>
      <c r="D1828" s="75">
        <v>6311</v>
      </c>
      <c r="F1828" s="75" t="s">
        <v>10</v>
      </c>
      <c r="H1828" s="75" t="s">
        <v>10</v>
      </c>
      <c r="I1828" s="75">
        <v>19489</v>
      </c>
      <c r="K1828" s="75" t="str">
        <f>IFERROR(VLOOKUP(J1828,'NQ10'!$B$9:$C$145,2,0),"")</f>
        <v/>
      </c>
    </row>
    <row r="1829" spans="1:11" ht="15" customHeight="1" x14ac:dyDescent="0.25">
      <c r="A1829" s="75">
        <v>8</v>
      </c>
      <c r="B1829" s="75">
        <v>103</v>
      </c>
      <c r="C1829" s="75" t="s">
        <v>10</v>
      </c>
      <c r="D1829" s="75">
        <v>4334</v>
      </c>
      <c r="F1829" s="75" t="s">
        <v>10</v>
      </c>
      <c r="H1829" s="75" t="s">
        <v>10</v>
      </c>
      <c r="I1829" s="75">
        <v>19489</v>
      </c>
      <c r="K1829" s="75" t="str">
        <f>IFERROR(VLOOKUP(J1829,'NQ10'!$B$9:$C$145,2,0),"")</f>
        <v/>
      </c>
    </row>
    <row r="1830" spans="1:11" ht="15" customHeight="1" x14ac:dyDescent="0.25">
      <c r="A1830" s="75">
        <v>8</v>
      </c>
      <c r="B1830" s="75">
        <v>104</v>
      </c>
      <c r="C1830" s="75" t="s">
        <v>10</v>
      </c>
      <c r="D1830" s="75">
        <v>5255</v>
      </c>
      <c r="F1830" s="75" t="s">
        <v>10</v>
      </c>
      <c r="H1830" s="75" t="s">
        <v>10</v>
      </c>
      <c r="I1830" s="75">
        <v>19489</v>
      </c>
      <c r="K1830" s="75" t="str">
        <f>IFERROR(VLOOKUP(J1830,'NQ10'!$B$9:$C$145,2,0),"")</f>
        <v/>
      </c>
    </row>
    <row r="1831" spans="1:11" ht="15" customHeight="1" x14ac:dyDescent="0.25">
      <c r="A1831" s="75">
        <v>8</v>
      </c>
      <c r="B1831" s="75">
        <v>105</v>
      </c>
      <c r="C1831" s="75" t="s">
        <v>10</v>
      </c>
      <c r="D1831" s="75">
        <v>859</v>
      </c>
      <c r="F1831" s="75" t="s">
        <v>10</v>
      </c>
      <c r="H1831" s="75" t="s">
        <v>10</v>
      </c>
      <c r="I1831" s="75">
        <v>19489</v>
      </c>
      <c r="K1831" s="75" t="str">
        <f>IFERROR(VLOOKUP(J1831,'NQ10'!$B$9:$C$145,2,0),"")</f>
        <v/>
      </c>
    </row>
    <row r="1832" spans="1:11" ht="15" customHeight="1" x14ac:dyDescent="0.25">
      <c r="A1832" s="75">
        <v>8</v>
      </c>
      <c r="B1832" s="75">
        <v>106</v>
      </c>
      <c r="C1832" s="75" t="s">
        <v>10</v>
      </c>
      <c r="D1832" s="75">
        <v>1024</v>
      </c>
      <c r="F1832" s="75" t="s">
        <v>10</v>
      </c>
      <c r="H1832" s="75" t="s">
        <v>10</v>
      </c>
      <c r="I1832" s="75">
        <v>19489</v>
      </c>
      <c r="K1832" s="75" t="str">
        <f>IFERROR(VLOOKUP(J1832,'NQ10'!$B$9:$C$145,2,0),"")</f>
        <v/>
      </c>
    </row>
    <row r="1833" spans="1:11" ht="15" customHeight="1" x14ac:dyDescent="0.25">
      <c r="A1833" s="75">
        <v>8</v>
      </c>
      <c r="B1833" s="75">
        <v>107</v>
      </c>
      <c r="C1833" s="75" t="s">
        <v>10</v>
      </c>
      <c r="D1833" s="75">
        <v>7961</v>
      </c>
      <c r="F1833" s="75" t="s">
        <v>10</v>
      </c>
      <c r="H1833" s="75" t="s">
        <v>10</v>
      </c>
      <c r="I1833" s="75">
        <v>19489</v>
      </c>
      <c r="K1833" s="75" t="str">
        <f>IFERROR(VLOOKUP(J1833,'NQ10'!$B$9:$C$145,2,0),"")</f>
        <v/>
      </c>
    </row>
    <row r="1834" spans="1:11" ht="15" customHeight="1" x14ac:dyDescent="0.25">
      <c r="A1834" s="75">
        <v>8</v>
      </c>
      <c r="B1834" s="75">
        <v>108</v>
      </c>
      <c r="C1834" s="75" t="s">
        <v>10</v>
      </c>
      <c r="D1834" s="75">
        <v>258</v>
      </c>
      <c r="F1834" s="75" t="s">
        <v>10</v>
      </c>
      <c r="H1834" s="75" t="s">
        <v>10</v>
      </c>
      <c r="I1834" s="75">
        <v>19489</v>
      </c>
      <c r="K1834" s="75" t="str">
        <f>IFERROR(VLOOKUP(J1834,'NQ10'!$B$9:$C$145,2,0),"")</f>
        <v/>
      </c>
    </row>
    <row r="1835" spans="1:11" ht="15" customHeight="1" x14ac:dyDescent="0.25">
      <c r="A1835" s="75">
        <v>8</v>
      </c>
      <c r="B1835" s="75">
        <v>109</v>
      </c>
      <c r="C1835" s="75" t="s">
        <v>10</v>
      </c>
      <c r="D1835" s="75">
        <v>2162</v>
      </c>
      <c r="F1835" s="75" t="s">
        <v>10</v>
      </c>
      <c r="H1835" s="75" t="s">
        <v>10</v>
      </c>
      <c r="I1835" s="75">
        <v>19489</v>
      </c>
      <c r="K1835" s="75" t="str">
        <f>IFERROR(VLOOKUP(J1835,'NQ10'!$B$9:$C$145,2,0),"")</f>
        <v/>
      </c>
    </row>
    <row r="1836" spans="1:11" ht="15" customHeight="1" x14ac:dyDescent="0.25">
      <c r="A1836" s="75">
        <v>8</v>
      </c>
      <c r="B1836" s="75">
        <v>110</v>
      </c>
      <c r="C1836" s="75" t="s">
        <v>10</v>
      </c>
      <c r="D1836" s="75">
        <v>2355</v>
      </c>
      <c r="F1836" s="75" t="s">
        <v>10</v>
      </c>
      <c r="H1836" s="75" t="s">
        <v>10</v>
      </c>
      <c r="I1836" s="75">
        <v>19489</v>
      </c>
      <c r="K1836" s="75" t="str">
        <f>IFERROR(VLOOKUP(J1836,'NQ10'!$B$9:$C$145,2,0),"")</f>
        <v/>
      </c>
    </row>
    <row r="1837" spans="1:11" ht="15" customHeight="1" x14ac:dyDescent="0.25">
      <c r="A1837" s="75">
        <v>8</v>
      </c>
      <c r="B1837" s="75">
        <v>111</v>
      </c>
      <c r="C1837" s="75" t="s">
        <v>10</v>
      </c>
      <c r="D1837" s="75">
        <v>2056</v>
      </c>
      <c r="F1837" s="75" t="s">
        <v>10</v>
      </c>
      <c r="H1837" s="75" t="s">
        <v>10</v>
      </c>
      <c r="I1837" s="75">
        <v>19489</v>
      </c>
      <c r="K1837" s="75" t="str">
        <f>IFERROR(VLOOKUP(J1837,'NQ10'!$B$9:$C$145,2,0),"")</f>
        <v/>
      </c>
    </row>
    <row r="1838" spans="1:11" ht="15" customHeight="1" x14ac:dyDescent="0.25">
      <c r="A1838" s="75">
        <v>8</v>
      </c>
      <c r="B1838" s="75">
        <v>112</v>
      </c>
      <c r="C1838" s="75" t="s">
        <v>10</v>
      </c>
      <c r="D1838" s="75">
        <v>7834</v>
      </c>
      <c r="F1838" s="75" t="s">
        <v>10</v>
      </c>
      <c r="H1838" s="75" t="s">
        <v>10</v>
      </c>
      <c r="I1838" s="75">
        <v>19489</v>
      </c>
      <c r="K1838" s="75" t="str">
        <f>IFERROR(VLOOKUP(J1838,'NQ10'!$B$9:$C$145,2,0),"")</f>
        <v/>
      </c>
    </row>
    <row r="1839" spans="1:11" ht="15" customHeight="1" x14ac:dyDescent="0.25">
      <c r="A1839" s="75">
        <v>8</v>
      </c>
      <c r="B1839" s="75">
        <v>113</v>
      </c>
      <c r="C1839" s="75" t="s">
        <v>10</v>
      </c>
      <c r="D1839" s="75">
        <v>4489</v>
      </c>
      <c r="F1839" s="75" t="s">
        <v>10</v>
      </c>
      <c r="H1839" s="75" t="s">
        <v>10</v>
      </c>
      <c r="I1839" s="75">
        <v>19489</v>
      </c>
      <c r="K1839" s="75" t="str">
        <f>IFERROR(VLOOKUP(J1839,'NQ10'!$B$9:$C$145,2,0),"")</f>
        <v/>
      </c>
    </row>
    <row r="1840" spans="1:11" ht="15" customHeight="1" x14ac:dyDescent="0.25">
      <c r="A1840" s="75">
        <v>8</v>
      </c>
      <c r="B1840" s="75">
        <v>114</v>
      </c>
      <c r="C1840" s="75" t="s">
        <v>10</v>
      </c>
      <c r="D1840" s="75">
        <v>4240</v>
      </c>
      <c r="F1840" s="75" t="s">
        <v>10</v>
      </c>
      <c r="H1840" s="75" t="s">
        <v>10</v>
      </c>
      <c r="I1840" s="75">
        <v>19489</v>
      </c>
      <c r="K1840" s="75" t="str">
        <f>IFERROR(VLOOKUP(J1840,'NQ10'!$B$9:$C$145,2,0),"")</f>
        <v/>
      </c>
    </row>
    <row r="1841" spans="1:11" ht="15" customHeight="1" x14ac:dyDescent="0.25">
      <c r="A1841" s="75">
        <v>8</v>
      </c>
      <c r="B1841" s="75">
        <v>115</v>
      </c>
      <c r="C1841" s="75" t="s">
        <v>10</v>
      </c>
      <c r="D1841" s="75">
        <v>636</v>
      </c>
      <c r="F1841" s="75" t="s">
        <v>10</v>
      </c>
      <c r="H1841" s="75" t="s">
        <v>10</v>
      </c>
      <c r="I1841" s="75">
        <v>19489</v>
      </c>
      <c r="K1841" s="75" t="str">
        <f>IFERROR(VLOOKUP(J1841,'NQ10'!$B$9:$C$145,2,0),"")</f>
        <v/>
      </c>
    </row>
    <row r="1842" spans="1:11" ht="15" customHeight="1" x14ac:dyDescent="0.25">
      <c r="A1842" s="75">
        <v>8</v>
      </c>
      <c r="B1842" s="75">
        <v>116</v>
      </c>
      <c r="C1842" s="75" t="s">
        <v>10</v>
      </c>
      <c r="D1842" s="75">
        <v>566</v>
      </c>
      <c r="F1842" s="75" t="s">
        <v>10</v>
      </c>
      <c r="H1842" s="75" t="s">
        <v>10</v>
      </c>
      <c r="I1842" s="75">
        <v>19489</v>
      </c>
      <c r="K1842" s="75" t="str">
        <f>IFERROR(VLOOKUP(J1842,'NQ10'!$B$9:$C$145,2,0),"")</f>
        <v/>
      </c>
    </row>
    <row r="1843" spans="1:11" ht="15" customHeight="1" x14ac:dyDescent="0.25">
      <c r="A1843" s="75">
        <v>8</v>
      </c>
      <c r="B1843" s="75">
        <v>117</v>
      </c>
      <c r="C1843" s="75" t="s">
        <v>10</v>
      </c>
      <c r="D1843" s="75">
        <v>4019</v>
      </c>
      <c r="F1843" s="75" t="s">
        <v>10</v>
      </c>
      <c r="H1843" s="75" t="s">
        <v>10</v>
      </c>
      <c r="I1843" s="75">
        <v>19489</v>
      </c>
      <c r="K1843" s="75" t="str">
        <f>IFERROR(VLOOKUP(J1843,'NQ10'!$B$9:$C$145,2,0),"")</f>
        <v/>
      </c>
    </row>
    <row r="1844" spans="1:11" ht="15" customHeight="1" x14ac:dyDescent="0.25">
      <c r="A1844" s="75">
        <v>8</v>
      </c>
      <c r="B1844" s="75">
        <v>118</v>
      </c>
      <c r="C1844" s="75" t="s">
        <v>10</v>
      </c>
      <c r="D1844" s="75">
        <v>1917</v>
      </c>
      <c r="F1844" s="75" t="s">
        <v>10</v>
      </c>
      <c r="H1844" s="75" t="s">
        <v>10</v>
      </c>
      <c r="I1844" s="75">
        <v>19489</v>
      </c>
      <c r="K1844" s="75" t="str">
        <f>IFERROR(VLOOKUP(J1844,'NQ10'!$B$9:$C$145,2,0),"")</f>
        <v/>
      </c>
    </row>
    <row r="1845" spans="1:11" ht="15" customHeight="1" x14ac:dyDescent="0.25">
      <c r="A1845" s="75">
        <v>8</v>
      </c>
      <c r="B1845" s="75">
        <v>119</v>
      </c>
      <c r="C1845" s="75" t="s">
        <v>10</v>
      </c>
      <c r="D1845" s="75">
        <v>1910</v>
      </c>
      <c r="F1845" s="75" t="s">
        <v>10</v>
      </c>
      <c r="H1845" s="75" t="s">
        <v>10</v>
      </c>
      <c r="I1845" s="75">
        <v>19489</v>
      </c>
      <c r="K1845" s="75" t="str">
        <f>IFERROR(VLOOKUP(J1845,'NQ10'!$B$9:$C$145,2,0),"")</f>
        <v/>
      </c>
    </row>
    <row r="1846" spans="1:11" ht="15" customHeight="1" x14ac:dyDescent="0.25">
      <c r="A1846" s="75">
        <v>8</v>
      </c>
      <c r="B1846" s="75">
        <v>120</v>
      </c>
      <c r="C1846" s="75" t="s">
        <v>10</v>
      </c>
      <c r="D1846" s="75">
        <v>1897</v>
      </c>
      <c r="F1846" s="75" t="s">
        <v>10</v>
      </c>
      <c r="H1846" s="75" t="s">
        <v>10</v>
      </c>
      <c r="I1846" s="75">
        <v>19489</v>
      </c>
      <c r="K1846" s="75" t="str">
        <f>IFERROR(VLOOKUP(J1846,'NQ10'!$B$9:$C$145,2,0),"")</f>
        <v/>
      </c>
    </row>
    <row r="1847" spans="1:11" ht="15" customHeight="1" x14ac:dyDescent="0.25">
      <c r="A1847" s="75">
        <v>8</v>
      </c>
      <c r="B1847" s="75">
        <v>122</v>
      </c>
      <c r="C1847" s="75" t="s">
        <v>10</v>
      </c>
      <c r="D1847" s="75">
        <v>1098</v>
      </c>
      <c r="F1847" s="75" t="s">
        <v>10</v>
      </c>
      <c r="H1847" s="75" t="s">
        <v>10</v>
      </c>
      <c r="I1847" s="75">
        <v>19489</v>
      </c>
      <c r="K1847" s="75" t="str">
        <f>IFERROR(VLOOKUP(J1847,'NQ10'!$B$9:$C$145,2,0),"")</f>
        <v/>
      </c>
    </row>
    <row r="1848" spans="1:11" ht="15" customHeight="1" x14ac:dyDescent="0.25">
      <c r="A1848" s="75">
        <v>8</v>
      </c>
      <c r="B1848" s="75">
        <v>123</v>
      </c>
      <c r="C1848" s="75" t="s">
        <v>10</v>
      </c>
      <c r="D1848" s="75">
        <v>2529</v>
      </c>
      <c r="F1848" s="75" t="s">
        <v>10</v>
      </c>
      <c r="H1848" s="75" t="s">
        <v>10</v>
      </c>
      <c r="I1848" s="75">
        <v>19489</v>
      </c>
      <c r="K1848" s="75" t="str">
        <f>IFERROR(VLOOKUP(J1848,'NQ10'!$B$9:$C$145,2,0),"")</f>
        <v/>
      </c>
    </row>
    <row r="1849" spans="1:11" ht="15" customHeight="1" x14ac:dyDescent="0.25">
      <c r="A1849" s="75">
        <v>8</v>
      </c>
      <c r="B1849" s="75">
        <v>124</v>
      </c>
      <c r="C1849" s="75" t="s">
        <v>10</v>
      </c>
      <c r="D1849" s="75">
        <v>241</v>
      </c>
      <c r="F1849" s="75" t="s">
        <v>10</v>
      </c>
      <c r="H1849" s="75" t="s">
        <v>10</v>
      </c>
      <c r="I1849" s="75">
        <v>19489</v>
      </c>
      <c r="K1849" s="75" t="str">
        <f>IFERROR(VLOOKUP(J1849,'NQ10'!$B$9:$C$145,2,0),"")</f>
        <v/>
      </c>
    </row>
    <row r="1850" spans="1:11" ht="15" customHeight="1" x14ac:dyDescent="0.25">
      <c r="A1850" s="75">
        <v>8</v>
      </c>
      <c r="B1850" s="75">
        <v>125</v>
      </c>
      <c r="C1850" s="75" t="s">
        <v>10</v>
      </c>
      <c r="D1850" s="75">
        <v>3998</v>
      </c>
      <c r="F1850" s="75" t="s">
        <v>10</v>
      </c>
      <c r="H1850" s="75" t="s">
        <v>10</v>
      </c>
      <c r="I1850" s="75">
        <v>19489</v>
      </c>
      <c r="K1850" s="75" t="str">
        <f>IFERROR(VLOOKUP(J1850,'NQ10'!$B$9:$C$145,2,0),"")</f>
        <v/>
      </c>
    </row>
    <row r="1851" spans="1:11" ht="15" customHeight="1" x14ac:dyDescent="0.25">
      <c r="A1851" s="75">
        <v>8</v>
      </c>
      <c r="B1851" s="75">
        <v>126</v>
      </c>
      <c r="C1851" s="75" t="s">
        <v>10</v>
      </c>
      <c r="D1851" s="75">
        <v>6233</v>
      </c>
      <c r="F1851" s="75" t="s">
        <v>10</v>
      </c>
      <c r="H1851" s="75" t="s">
        <v>10</v>
      </c>
      <c r="I1851" s="75">
        <v>19489</v>
      </c>
      <c r="K1851" s="75" t="str">
        <f>IFERROR(VLOOKUP(J1851,'NQ10'!$B$9:$C$145,2,0),"")</f>
        <v/>
      </c>
    </row>
    <row r="1852" spans="1:11" ht="15" customHeight="1" x14ac:dyDescent="0.25">
      <c r="A1852" s="75">
        <v>8</v>
      </c>
      <c r="B1852" s="75">
        <v>127</v>
      </c>
      <c r="C1852" s="75" t="s">
        <v>10</v>
      </c>
      <c r="D1852" s="75">
        <v>799</v>
      </c>
      <c r="F1852" s="75" t="s">
        <v>10</v>
      </c>
      <c r="H1852" s="75" t="s">
        <v>10</v>
      </c>
      <c r="I1852" s="75">
        <v>19489</v>
      </c>
      <c r="K1852" s="75" t="str">
        <f>IFERROR(VLOOKUP(J1852,'NQ10'!$B$9:$C$145,2,0),"")</f>
        <v/>
      </c>
    </row>
    <row r="1853" spans="1:11" ht="15" customHeight="1" x14ac:dyDescent="0.25">
      <c r="A1853" s="75">
        <v>8</v>
      </c>
      <c r="B1853" s="75">
        <v>228</v>
      </c>
      <c r="C1853" s="75" t="s">
        <v>10</v>
      </c>
      <c r="D1853" s="75">
        <v>1619</v>
      </c>
      <c r="F1853" s="75" t="s">
        <v>10</v>
      </c>
      <c r="H1853" s="75" t="s">
        <v>10</v>
      </c>
      <c r="I1853" s="75">
        <v>19489</v>
      </c>
      <c r="K1853" s="75" t="str">
        <f>IFERROR(VLOOKUP(J1853,'NQ10'!$B$9:$C$145,2,0),"")</f>
        <v/>
      </c>
    </row>
    <row r="1854" spans="1:11" ht="15" customHeight="1" x14ac:dyDescent="0.25">
      <c r="A1854" s="75">
        <v>8</v>
      </c>
      <c r="B1854" s="75">
        <v>801</v>
      </c>
      <c r="C1854" s="75" t="s">
        <v>10</v>
      </c>
      <c r="D1854" s="75">
        <v>8331</v>
      </c>
      <c r="F1854" s="75" t="s">
        <v>10</v>
      </c>
      <c r="H1854" s="75" t="s">
        <v>10</v>
      </c>
      <c r="I1854" s="75">
        <v>19489</v>
      </c>
      <c r="K1854" s="75" t="str">
        <f>IFERROR(VLOOKUP(J1854,'NQ10'!$B$9:$C$145,2,0),"")</f>
        <v/>
      </c>
    </row>
    <row r="1855" spans="1:11" ht="15" customHeight="1" x14ac:dyDescent="0.25">
      <c r="A1855" s="75">
        <v>8</v>
      </c>
      <c r="B1855" s="75">
        <v>802</v>
      </c>
      <c r="C1855" s="75" t="s">
        <v>10</v>
      </c>
      <c r="D1855" s="75">
        <v>224</v>
      </c>
      <c r="F1855" s="75" t="s">
        <v>10</v>
      </c>
      <c r="H1855" s="75" t="s">
        <v>10</v>
      </c>
      <c r="I1855" s="75">
        <v>19489</v>
      </c>
      <c r="K1855" s="75" t="str">
        <f>IFERROR(VLOOKUP(J1855,'NQ10'!$B$9:$C$145,2,0),"")</f>
        <v/>
      </c>
    </row>
    <row r="1856" spans="1:11" ht="15" customHeight="1" x14ac:dyDescent="0.25">
      <c r="A1856" s="75">
        <v>8</v>
      </c>
      <c r="B1856" s="75">
        <v>804</v>
      </c>
      <c r="C1856" s="75" t="s">
        <v>10</v>
      </c>
      <c r="D1856" s="75">
        <v>298</v>
      </c>
      <c r="F1856" s="75" t="s">
        <v>10</v>
      </c>
      <c r="H1856" s="75" t="s">
        <v>10</v>
      </c>
      <c r="I1856" s="75">
        <v>19489</v>
      </c>
      <c r="K1856" s="75" t="str">
        <f>IFERROR(VLOOKUP(J1856,'NQ10'!$B$9:$C$145,2,0),"")</f>
        <v/>
      </c>
    </row>
    <row r="1857" spans="1:11" ht="15" customHeight="1" x14ac:dyDescent="0.25">
      <c r="A1857" s="75">
        <v>8</v>
      </c>
      <c r="B1857" s="75">
        <v>805</v>
      </c>
      <c r="C1857" s="75" t="s">
        <v>10</v>
      </c>
      <c r="D1857" s="75">
        <v>6517</v>
      </c>
      <c r="F1857" s="75" t="s">
        <v>10</v>
      </c>
      <c r="H1857" s="75" t="s">
        <v>10</v>
      </c>
      <c r="I1857" s="75">
        <v>19489</v>
      </c>
      <c r="K1857" s="75" t="str">
        <f>IFERROR(VLOOKUP(J1857,'NQ10'!$B$9:$C$145,2,0),"")</f>
        <v/>
      </c>
    </row>
    <row r="1858" spans="1:11" ht="15" customHeight="1" x14ac:dyDescent="0.25">
      <c r="A1858" s="75">
        <v>9</v>
      </c>
      <c r="C1858" s="75" t="s">
        <v>10</v>
      </c>
      <c r="D1858" s="75">
        <v>2015</v>
      </c>
      <c r="F1858" s="75" t="s">
        <v>10</v>
      </c>
      <c r="H1858" s="75" t="s">
        <v>10</v>
      </c>
      <c r="I1858" s="75">
        <v>19489</v>
      </c>
      <c r="K1858" s="75" t="str">
        <f>IFERROR(VLOOKUP(J1858,'NQ10'!$B$9:$C$145,2,0),"")</f>
        <v/>
      </c>
    </row>
    <row r="1859" spans="1:11" ht="15" customHeight="1" x14ac:dyDescent="0.25">
      <c r="A1859" s="75">
        <v>9</v>
      </c>
      <c r="C1859" s="75" t="s">
        <v>10</v>
      </c>
      <c r="D1859" s="75">
        <v>139</v>
      </c>
      <c r="F1859" s="75" t="s">
        <v>10</v>
      </c>
      <c r="H1859" s="75" t="s">
        <v>10</v>
      </c>
      <c r="I1859" s="75">
        <v>19489</v>
      </c>
      <c r="K1859" s="75" t="str">
        <f>IFERROR(VLOOKUP(J1859,'NQ10'!$B$9:$C$145,2,0),"")</f>
        <v/>
      </c>
    </row>
    <row r="1860" spans="1:11" ht="15" customHeight="1" x14ac:dyDescent="0.25">
      <c r="A1860" s="75">
        <v>9</v>
      </c>
      <c r="C1860" s="75" t="s">
        <v>10</v>
      </c>
      <c r="D1860" s="75">
        <v>182</v>
      </c>
      <c r="F1860" s="75" t="s">
        <v>10</v>
      </c>
      <c r="H1860" s="75" t="s">
        <v>10</v>
      </c>
      <c r="I1860" s="75">
        <v>19489</v>
      </c>
      <c r="K1860" s="75" t="str">
        <f>IFERROR(VLOOKUP(J1860,'NQ10'!$B$9:$C$145,2,0),"")</f>
        <v/>
      </c>
    </row>
    <row r="1861" spans="1:11" ht="15" customHeight="1" x14ac:dyDescent="0.25">
      <c r="A1861" s="75">
        <v>9</v>
      </c>
      <c r="C1861" s="75" t="s">
        <v>10</v>
      </c>
      <c r="D1861" s="75">
        <v>283</v>
      </c>
      <c r="F1861" s="75" t="s">
        <v>10</v>
      </c>
      <c r="H1861" s="75" t="s">
        <v>10</v>
      </c>
      <c r="I1861" s="75">
        <v>19489</v>
      </c>
      <c r="K1861" s="75" t="str">
        <f>IFERROR(VLOOKUP(J1861,'NQ10'!$B$9:$C$145,2,0),"")</f>
        <v/>
      </c>
    </row>
    <row r="1862" spans="1:11" ht="15" customHeight="1" x14ac:dyDescent="0.25">
      <c r="A1862" s="75">
        <v>9</v>
      </c>
      <c r="C1862" s="75" t="s">
        <v>10</v>
      </c>
      <c r="D1862" s="75">
        <v>501</v>
      </c>
      <c r="F1862" s="75" t="s">
        <v>10</v>
      </c>
      <c r="H1862" s="75" t="s">
        <v>10</v>
      </c>
      <c r="I1862" s="75">
        <v>19489</v>
      </c>
      <c r="K1862" s="75" t="str">
        <f>IFERROR(VLOOKUP(J1862,'NQ10'!$B$9:$C$145,2,0),"")</f>
        <v/>
      </c>
    </row>
    <row r="1863" spans="1:11" ht="15" customHeight="1" x14ac:dyDescent="0.25">
      <c r="A1863" s="75">
        <v>9</v>
      </c>
      <c r="C1863" s="75" t="s">
        <v>10</v>
      </c>
      <c r="D1863" s="75">
        <v>141</v>
      </c>
      <c r="F1863" s="75" t="s">
        <v>10</v>
      </c>
      <c r="H1863" s="75" t="s">
        <v>10</v>
      </c>
      <c r="I1863" s="75">
        <v>19489</v>
      </c>
      <c r="K1863" s="75" t="str">
        <f>IFERROR(VLOOKUP(J1863,'NQ10'!$B$9:$C$145,2,0),"")</f>
        <v/>
      </c>
    </row>
    <row r="1864" spans="1:11" ht="15" customHeight="1" x14ac:dyDescent="0.25">
      <c r="A1864" s="75">
        <v>9</v>
      </c>
      <c r="C1864" s="75" t="s">
        <v>10</v>
      </c>
      <c r="D1864" s="75">
        <v>257</v>
      </c>
      <c r="F1864" s="75" t="s">
        <v>10</v>
      </c>
      <c r="H1864" s="75" t="s">
        <v>10</v>
      </c>
      <c r="I1864" s="75">
        <v>19489</v>
      </c>
      <c r="K1864" s="75" t="str">
        <f>IFERROR(VLOOKUP(J1864,'NQ10'!$B$9:$C$145,2,0),"")</f>
        <v/>
      </c>
    </row>
    <row r="1865" spans="1:11" ht="15" customHeight="1" x14ac:dyDescent="0.25">
      <c r="A1865" s="75">
        <v>9</v>
      </c>
      <c r="B1865" s="75">
        <v>1</v>
      </c>
      <c r="C1865" s="75" t="s">
        <v>10</v>
      </c>
      <c r="D1865" s="75">
        <v>7476</v>
      </c>
      <c r="F1865" s="75" t="s">
        <v>10</v>
      </c>
      <c r="H1865" s="75" t="s">
        <v>10</v>
      </c>
      <c r="I1865" s="75">
        <v>19489</v>
      </c>
      <c r="K1865" s="75" t="str">
        <f>IFERROR(VLOOKUP(J1865,'NQ10'!$B$9:$C$145,2,0),"")</f>
        <v/>
      </c>
    </row>
    <row r="1866" spans="1:11" ht="15" customHeight="1" x14ac:dyDescent="0.25">
      <c r="A1866" s="75">
        <v>9</v>
      </c>
      <c r="B1866" s="75">
        <v>2</v>
      </c>
      <c r="C1866" s="75" t="s">
        <v>10</v>
      </c>
      <c r="D1866" s="75">
        <v>1174</v>
      </c>
      <c r="F1866" s="75" t="s">
        <v>10</v>
      </c>
      <c r="H1866" s="75" t="s">
        <v>10</v>
      </c>
      <c r="I1866" s="75">
        <v>19489</v>
      </c>
      <c r="K1866" s="75" t="str">
        <f>IFERROR(VLOOKUP(J1866,'NQ10'!$B$9:$C$145,2,0),"")</f>
        <v/>
      </c>
    </row>
    <row r="1867" spans="1:11" ht="15" customHeight="1" x14ac:dyDescent="0.25">
      <c r="A1867" s="75">
        <v>9</v>
      </c>
      <c r="B1867" s="75">
        <v>3</v>
      </c>
      <c r="C1867" s="75" t="s">
        <v>10</v>
      </c>
      <c r="D1867" s="75">
        <v>20751</v>
      </c>
      <c r="F1867" s="75" t="s">
        <v>10</v>
      </c>
      <c r="H1867" s="75" t="s">
        <v>10</v>
      </c>
      <c r="I1867" s="75">
        <v>19489</v>
      </c>
      <c r="K1867" s="75" t="str">
        <f>IFERROR(VLOOKUP(J1867,'NQ10'!$B$9:$C$145,2,0),"")</f>
        <v/>
      </c>
    </row>
    <row r="1868" spans="1:11" ht="15" customHeight="1" x14ac:dyDescent="0.25">
      <c r="A1868" s="75">
        <v>9</v>
      </c>
      <c r="B1868" s="75">
        <v>4</v>
      </c>
      <c r="C1868" s="75" t="s">
        <v>10</v>
      </c>
      <c r="D1868" s="75">
        <v>6250</v>
      </c>
      <c r="F1868" s="75" t="s">
        <v>10</v>
      </c>
      <c r="H1868" s="75" t="s">
        <v>10</v>
      </c>
      <c r="I1868" s="75">
        <v>19489</v>
      </c>
      <c r="K1868" s="75" t="str">
        <f>IFERROR(VLOOKUP(J1868,'NQ10'!$B$9:$C$145,2,0),"")</f>
        <v/>
      </c>
    </row>
    <row r="1869" spans="1:11" ht="15" customHeight="1" x14ac:dyDescent="0.25">
      <c r="A1869" s="75">
        <v>9</v>
      </c>
      <c r="B1869" s="75">
        <v>5</v>
      </c>
      <c r="C1869" s="75" t="s">
        <v>10</v>
      </c>
      <c r="D1869" s="75">
        <v>11420</v>
      </c>
      <c r="F1869" s="75" t="s">
        <v>10</v>
      </c>
      <c r="H1869" s="75" t="s">
        <v>10</v>
      </c>
      <c r="I1869" s="75">
        <v>19489</v>
      </c>
      <c r="K1869" s="75" t="str">
        <f>IFERROR(VLOOKUP(J1869,'NQ10'!$B$9:$C$145,2,0),"")</f>
        <v/>
      </c>
    </row>
    <row r="1870" spans="1:11" ht="15" customHeight="1" x14ac:dyDescent="0.25">
      <c r="A1870" s="75">
        <v>9</v>
      </c>
      <c r="B1870" s="75">
        <v>6</v>
      </c>
      <c r="C1870" s="75" t="s">
        <v>10</v>
      </c>
      <c r="D1870" s="75">
        <v>7027</v>
      </c>
      <c r="F1870" s="75" t="s">
        <v>10</v>
      </c>
      <c r="H1870" s="75" t="s">
        <v>10</v>
      </c>
      <c r="I1870" s="75">
        <v>19489</v>
      </c>
      <c r="K1870" s="75" t="str">
        <f>IFERROR(VLOOKUP(J1870,'NQ10'!$B$9:$C$145,2,0),"")</f>
        <v/>
      </c>
    </row>
    <row r="1871" spans="1:11" ht="15" customHeight="1" x14ac:dyDescent="0.25">
      <c r="A1871" s="75">
        <v>9</v>
      </c>
      <c r="B1871" s="75">
        <v>7</v>
      </c>
      <c r="C1871" s="75" t="s">
        <v>10</v>
      </c>
      <c r="D1871" s="75">
        <v>2480</v>
      </c>
      <c r="F1871" s="75" t="s">
        <v>10</v>
      </c>
      <c r="H1871" s="75" t="s">
        <v>10</v>
      </c>
      <c r="I1871" s="75">
        <v>19489</v>
      </c>
      <c r="K1871" s="75" t="str">
        <f>IFERROR(VLOOKUP(J1871,'NQ10'!$B$9:$C$145,2,0),"")</f>
        <v/>
      </c>
    </row>
    <row r="1872" spans="1:11" ht="15" customHeight="1" x14ac:dyDescent="0.25">
      <c r="A1872" s="75">
        <v>9</v>
      </c>
      <c r="B1872" s="75">
        <v>12</v>
      </c>
      <c r="C1872" s="75" t="s">
        <v>10</v>
      </c>
      <c r="D1872" s="75">
        <v>6423</v>
      </c>
      <c r="F1872" s="75" t="s">
        <v>10</v>
      </c>
      <c r="H1872" s="75" t="s">
        <v>10</v>
      </c>
      <c r="I1872" s="75">
        <v>19489</v>
      </c>
      <c r="K1872" s="75" t="str">
        <f>IFERROR(VLOOKUP(J1872,'NQ10'!$B$9:$C$145,2,0),"")</f>
        <v/>
      </c>
    </row>
    <row r="1873" spans="1:11" ht="15" customHeight="1" x14ac:dyDescent="0.25">
      <c r="A1873" s="75">
        <v>9</v>
      </c>
      <c r="B1873" s="75">
        <v>15</v>
      </c>
      <c r="C1873" s="75" t="s">
        <v>10</v>
      </c>
      <c r="D1873" s="75">
        <v>8348</v>
      </c>
      <c r="F1873" s="75" t="s">
        <v>10</v>
      </c>
      <c r="H1873" s="75" t="s">
        <v>10</v>
      </c>
      <c r="I1873" s="75">
        <v>19489</v>
      </c>
      <c r="K1873" s="75" t="str">
        <f>IFERROR(VLOOKUP(J1873,'NQ10'!$B$9:$C$145,2,0),"")</f>
        <v/>
      </c>
    </row>
    <row r="1874" spans="1:11" ht="15" customHeight="1" x14ac:dyDescent="0.25">
      <c r="A1874" s="75">
        <v>9</v>
      </c>
      <c r="B1874" s="75">
        <v>16</v>
      </c>
      <c r="C1874" s="75" t="s">
        <v>10</v>
      </c>
      <c r="D1874" s="75">
        <v>1970</v>
      </c>
      <c r="F1874" s="75" t="s">
        <v>10</v>
      </c>
      <c r="H1874" s="75" t="s">
        <v>10</v>
      </c>
      <c r="I1874" s="75">
        <v>19489</v>
      </c>
      <c r="K1874" s="75" t="str">
        <f>IFERROR(VLOOKUP(J1874,'NQ10'!$B$9:$C$145,2,0),"")</f>
        <v/>
      </c>
    </row>
    <row r="1875" spans="1:11" ht="15" customHeight="1" x14ac:dyDescent="0.25">
      <c r="A1875" s="75">
        <v>9</v>
      </c>
      <c r="B1875" s="75">
        <v>17</v>
      </c>
      <c r="C1875" s="75" t="s">
        <v>10</v>
      </c>
      <c r="D1875" s="75">
        <v>2874</v>
      </c>
      <c r="F1875" s="75" t="s">
        <v>10</v>
      </c>
      <c r="H1875" s="75" t="s">
        <v>10</v>
      </c>
      <c r="I1875" s="75">
        <v>19489</v>
      </c>
      <c r="K1875" s="75" t="str">
        <f>IFERROR(VLOOKUP(J1875,'NQ10'!$B$9:$C$145,2,0),"")</f>
        <v/>
      </c>
    </row>
    <row r="1876" spans="1:11" ht="15" customHeight="1" x14ac:dyDescent="0.25">
      <c r="A1876" s="75">
        <v>9</v>
      </c>
      <c r="B1876" s="75">
        <v>18</v>
      </c>
      <c r="C1876" s="75" t="s">
        <v>10</v>
      </c>
      <c r="D1876" s="75">
        <v>648</v>
      </c>
      <c r="F1876" s="75" t="s">
        <v>10</v>
      </c>
      <c r="H1876" s="75" t="s">
        <v>10</v>
      </c>
      <c r="I1876" s="75">
        <v>19489</v>
      </c>
      <c r="K1876" s="75" t="str">
        <f>IFERROR(VLOOKUP(J1876,'NQ10'!$B$9:$C$145,2,0),"")</f>
        <v/>
      </c>
    </row>
    <row r="1877" spans="1:11" ht="15" customHeight="1" x14ac:dyDescent="0.25">
      <c r="A1877" s="75">
        <v>9</v>
      </c>
      <c r="B1877" s="75">
        <v>19</v>
      </c>
      <c r="C1877" s="75" t="s">
        <v>10</v>
      </c>
      <c r="D1877" s="75">
        <v>2337</v>
      </c>
      <c r="F1877" s="75" t="s">
        <v>10</v>
      </c>
      <c r="H1877" s="75" t="s">
        <v>10</v>
      </c>
      <c r="I1877" s="75">
        <v>19489</v>
      </c>
      <c r="K1877" s="75" t="str">
        <f>IFERROR(VLOOKUP(J1877,'NQ10'!$B$9:$C$145,2,0),"")</f>
        <v/>
      </c>
    </row>
    <row r="1878" spans="1:11" ht="15" customHeight="1" x14ac:dyDescent="0.25">
      <c r="A1878" s="75">
        <v>9</v>
      </c>
      <c r="B1878" s="75">
        <v>22</v>
      </c>
      <c r="C1878" s="75" t="s">
        <v>10</v>
      </c>
      <c r="D1878" s="75">
        <v>13372</v>
      </c>
      <c r="F1878" s="75" t="s">
        <v>10</v>
      </c>
      <c r="H1878" s="75" t="s">
        <v>10</v>
      </c>
      <c r="I1878" s="75">
        <v>19489</v>
      </c>
      <c r="K1878" s="75" t="str">
        <f>IFERROR(VLOOKUP(J1878,'NQ10'!$B$9:$C$145,2,0),"")</f>
        <v/>
      </c>
    </row>
    <row r="1879" spans="1:11" ht="15" customHeight="1" x14ac:dyDescent="0.25">
      <c r="A1879" s="75">
        <v>9</v>
      </c>
      <c r="B1879" s="75">
        <v>25</v>
      </c>
      <c r="C1879" s="75" t="s">
        <v>10</v>
      </c>
      <c r="D1879" s="75">
        <v>5768</v>
      </c>
      <c r="F1879" s="75" t="s">
        <v>10</v>
      </c>
      <c r="H1879" s="75" t="s">
        <v>10</v>
      </c>
      <c r="I1879" s="75">
        <v>19489</v>
      </c>
      <c r="K1879" s="75" t="str">
        <f>IFERROR(VLOOKUP(J1879,'NQ10'!$B$9:$C$145,2,0),"")</f>
        <v/>
      </c>
    </row>
    <row r="1880" spans="1:11" ht="15" customHeight="1" x14ac:dyDescent="0.25">
      <c r="A1880" s="75">
        <v>9</v>
      </c>
      <c r="B1880" s="75">
        <v>26</v>
      </c>
      <c r="C1880" s="75" t="s">
        <v>10</v>
      </c>
      <c r="D1880" s="75">
        <v>6276</v>
      </c>
      <c r="F1880" s="75" t="s">
        <v>10</v>
      </c>
      <c r="H1880" s="75" t="s">
        <v>10</v>
      </c>
      <c r="I1880" s="75">
        <v>19489</v>
      </c>
      <c r="K1880" s="75" t="str">
        <f>IFERROR(VLOOKUP(J1880,'NQ10'!$B$9:$C$145,2,0),"")</f>
        <v/>
      </c>
    </row>
    <row r="1881" spans="1:11" ht="15" customHeight="1" x14ac:dyDescent="0.25">
      <c r="A1881" s="75">
        <v>9</v>
      </c>
      <c r="B1881" s="75">
        <v>27</v>
      </c>
      <c r="C1881" s="75" t="s">
        <v>10</v>
      </c>
      <c r="D1881" s="75">
        <v>4491</v>
      </c>
      <c r="F1881" s="75" t="s">
        <v>10</v>
      </c>
      <c r="H1881" s="75" t="s">
        <v>10</v>
      </c>
      <c r="I1881" s="75">
        <v>19489</v>
      </c>
      <c r="K1881" s="75" t="str">
        <f>IFERROR(VLOOKUP(J1881,'NQ10'!$B$9:$C$145,2,0),"")</f>
        <v/>
      </c>
    </row>
    <row r="1882" spans="1:11" ht="15" customHeight="1" x14ac:dyDescent="0.25">
      <c r="A1882" s="75">
        <v>9</v>
      </c>
      <c r="B1882" s="75">
        <v>28</v>
      </c>
      <c r="C1882" s="75" t="s">
        <v>10</v>
      </c>
      <c r="D1882" s="75">
        <v>4078</v>
      </c>
      <c r="F1882" s="75" t="s">
        <v>10</v>
      </c>
      <c r="H1882" s="75" t="s">
        <v>10</v>
      </c>
      <c r="I1882" s="75">
        <v>19489</v>
      </c>
      <c r="K1882" s="75" t="str">
        <f>IFERROR(VLOOKUP(J1882,'NQ10'!$B$9:$C$145,2,0),"")</f>
        <v/>
      </c>
    </row>
    <row r="1883" spans="1:11" ht="15" customHeight="1" x14ac:dyDescent="0.25">
      <c r="A1883" s="75">
        <v>9</v>
      </c>
      <c r="B1883" s="75">
        <v>29</v>
      </c>
      <c r="C1883" s="75" t="s">
        <v>10</v>
      </c>
      <c r="D1883" s="75">
        <v>10806</v>
      </c>
      <c r="F1883" s="75" t="s">
        <v>10</v>
      </c>
      <c r="H1883" s="75" t="s">
        <v>10</v>
      </c>
      <c r="I1883" s="75">
        <v>19489</v>
      </c>
      <c r="K1883" s="75" t="str">
        <f>IFERROR(VLOOKUP(J1883,'NQ10'!$B$9:$C$145,2,0),"")</f>
        <v/>
      </c>
    </row>
    <row r="1884" spans="1:11" ht="15" customHeight="1" x14ac:dyDescent="0.25">
      <c r="A1884" s="75">
        <v>10</v>
      </c>
      <c r="C1884" s="75" t="s">
        <v>10</v>
      </c>
      <c r="D1884" s="75">
        <v>319</v>
      </c>
      <c r="F1884" s="75" t="s">
        <v>10</v>
      </c>
      <c r="H1884" s="75" t="s">
        <v>10</v>
      </c>
      <c r="I1884" s="75">
        <v>19489</v>
      </c>
      <c r="K1884" s="75" t="str">
        <f>IFERROR(VLOOKUP(J1884,'NQ10'!$B$9:$C$145,2,0),"")</f>
        <v/>
      </c>
    </row>
    <row r="1885" spans="1:11" ht="15" customHeight="1" x14ac:dyDescent="0.25">
      <c r="A1885" s="75">
        <v>10</v>
      </c>
      <c r="B1885" s="75">
        <v>1</v>
      </c>
      <c r="C1885" s="75" t="s">
        <v>10</v>
      </c>
      <c r="D1885" s="75">
        <v>5733</v>
      </c>
      <c r="F1885" s="75" t="s">
        <v>10</v>
      </c>
      <c r="H1885" s="75" t="s">
        <v>10</v>
      </c>
      <c r="I1885" s="75">
        <v>19489</v>
      </c>
      <c r="K1885" s="75" t="str">
        <f>IFERROR(VLOOKUP(J1885,'NQ10'!$B$9:$C$145,2,0),"")</f>
        <v/>
      </c>
    </row>
    <row r="1886" spans="1:11" ht="15" customHeight="1" x14ac:dyDescent="0.25">
      <c r="A1886" s="75">
        <v>10</v>
      </c>
      <c r="B1886" s="75">
        <v>2</v>
      </c>
      <c r="C1886" s="75" t="s">
        <v>10</v>
      </c>
      <c r="D1886" s="75">
        <v>8923</v>
      </c>
      <c r="F1886" s="75" t="s">
        <v>10</v>
      </c>
      <c r="H1886" s="75" t="s">
        <v>10</v>
      </c>
      <c r="I1886" s="75">
        <v>19489</v>
      </c>
      <c r="K1886" s="75" t="str">
        <f>IFERROR(VLOOKUP(J1886,'NQ10'!$B$9:$C$145,2,0),"")</f>
        <v/>
      </c>
    </row>
    <row r="1887" spans="1:11" ht="15" customHeight="1" x14ac:dyDescent="0.25">
      <c r="A1887" s="75">
        <v>10</v>
      </c>
      <c r="B1887" s="75">
        <v>3</v>
      </c>
      <c r="C1887" s="75" t="s">
        <v>10</v>
      </c>
      <c r="D1887" s="75">
        <v>8899</v>
      </c>
      <c r="F1887" s="75" t="s">
        <v>10</v>
      </c>
      <c r="H1887" s="75" t="s">
        <v>10</v>
      </c>
      <c r="I1887" s="75">
        <v>19489</v>
      </c>
      <c r="K1887" s="75" t="str">
        <f>IFERROR(VLOOKUP(J1887,'NQ10'!$B$9:$C$145,2,0),"")</f>
        <v/>
      </c>
    </row>
    <row r="1888" spans="1:11" ht="15" customHeight="1" x14ac:dyDescent="0.25">
      <c r="A1888" s="75">
        <v>10</v>
      </c>
      <c r="B1888" s="75">
        <v>4</v>
      </c>
      <c r="C1888" s="75" t="s">
        <v>10</v>
      </c>
      <c r="D1888" s="75">
        <v>15091</v>
      </c>
      <c r="F1888" s="75" t="s">
        <v>10</v>
      </c>
      <c r="H1888" s="75" t="s">
        <v>10</v>
      </c>
      <c r="I1888" s="75">
        <v>19489</v>
      </c>
      <c r="K1888" s="75" t="str">
        <f>IFERROR(VLOOKUP(J1888,'NQ10'!$B$9:$C$145,2,0),"")</f>
        <v/>
      </c>
    </row>
    <row r="1889" spans="1:11" ht="15" customHeight="1" x14ac:dyDescent="0.25">
      <c r="A1889" s="75">
        <v>10</v>
      </c>
      <c r="B1889" s="75">
        <v>5</v>
      </c>
      <c r="C1889" s="75" t="s">
        <v>10</v>
      </c>
      <c r="D1889" s="75">
        <v>3027</v>
      </c>
      <c r="F1889" s="75" t="s">
        <v>10</v>
      </c>
      <c r="H1889" s="75" t="s">
        <v>10</v>
      </c>
      <c r="I1889" s="75">
        <v>19489</v>
      </c>
      <c r="K1889" s="75" t="str">
        <f>IFERROR(VLOOKUP(J1889,'NQ10'!$B$9:$C$145,2,0),"")</f>
        <v/>
      </c>
    </row>
    <row r="1890" spans="1:11" ht="15" customHeight="1" x14ac:dyDescent="0.25">
      <c r="A1890" s="75">
        <v>10</v>
      </c>
      <c r="B1890" s="75">
        <v>6</v>
      </c>
      <c r="C1890" s="75" t="s">
        <v>10</v>
      </c>
      <c r="D1890" s="75">
        <v>611</v>
      </c>
      <c r="F1890" s="75" t="s">
        <v>10</v>
      </c>
      <c r="H1890" s="75" t="s">
        <v>10</v>
      </c>
      <c r="I1890" s="75">
        <v>19489</v>
      </c>
      <c r="K1890" s="75" t="str">
        <f>IFERROR(VLOOKUP(J1890,'NQ10'!$B$9:$C$145,2,0),"")</f>
        <v/>
      </c>
    </row>
    <row r="1891" spans="1:11" ht="15" customHeight="1" x14ac:dyDescent="0.25">
      <c r="A1891" s="75">
        <v>10</v>
      </c>
      <c r="B1891" s="75">
        <v>7</v>
      </c>
      <c r="C1891" s="75" t="s">
        <v>10</v>
      </c>
      <c r="D1891" s="75">
        <v>1602</v>
      </c>
      <c r="F1891" s="75" t="s">
        <v>10</v>
      </c>
      <c r="H1891" s="75" t="s">
        <v>10</v>
      </c>
      <c r="I1891" s="75">
        <v>19489</v>
      </c>
      <c r="K1891" s="75" t="str">
        <f>IFERROR(VLOOKUP(J1891,'NQ10'!$B$9:$C$145,2,0),"")</f>
        <v/>
      </c>
    </row>
    <row r="1892" spans="1:11" ht="15" customHeight="1" x14ac:dyDescent="0.25">
      <c r="A1892" s="75">
        <v>10</v>
      </c>
      <c r="B1892" s="75">
        <v>8</v>
      </c>
      <c r="C1892" s="75" t="s">
        <v>10</v>
      </c>
      <c r="D1892" s="75">
        <v>713</v>
      </c>
      <c r="F1892" s="75" t="s">
        <v>10</v>
      </c>
      <c r="H1892" s="75" t="s">
        <v>10</v>
      </c>
      <c r="I1892" s="75">
        <v>19489</v>
      </c>
      <c r="K1892" s="75" t="str">
        <f>IFERROR(VLOOKUP(J1892,'NQ10'!$B$9:$C$145,2,0),"")</f>
        <v/>
      </c>
    </row>
    <row r="1893" spans="1:11" ht="15" customHeight="1" x14ac:dyDescent="0.25">
      <c r="A1893" s="75">
        <v>10</v>
      </c>
      <c r="B1893" s="75">
        <v>9</v>
      </c>
      <c r="C1893" s="75" t="s">
        <v>10</v>
      </c>
      <c r="D1893" s="75">
        <v>6337</v>
      </c>
      <c r="F1893" s="75" t="s">
        <v>10</v>
      </c>
      <c r="H1893" s="75" t="s">
        <v>10</v>
      </c>
      <c r="I1893" s="75">
        <v>19489</v>
      </c>
      <c r="K1893" s="75" t="str">
        <f>IFERROR(VLOOKUP(J1893,'NQ10'!$B$9:$C$145,2,0),"")</f>
        <v/>
      </c>
    </row>
    <row r="1894" spans="1:11" ht="15" customHeight="1" x14ac:dyDescent="0.25">
      <c r="A1894" s="75">
        <v>10</v>
      </c>
      <c r="B1894" s="75">
        <v>10</v>
      </c>
      <c r="C1894" s="75" t="s">
        <v>10</v>
      </c>
      <c r="D1894" s="75">
        <v>536</v>
      </c>
      <c r="F1894" s="75" t="s">
        <v>10</v>
      </c>
      <c r="H1894" s="75" t="s">
        <v>10</v>
      </c>
      <c r="I1894" s="75">
        <v>19489</v>
      </c>
      <c r="K1894" s="75" t="str">
        <f>IFERROR(VLOOKUP(J1894,'NQ10'!$B$9:$C$145,2,0),"")</f>
        <v/>
      </c>
    </row>
    <row r="1895" spans="1:11" ht="15" customHeight="1" x14ac:dyDescent="0.25">
      <c r="A1895" s="75">
        <v>10</v>
      </c>
      <c r="B1895" s="75">
        <v>11</v>
      </c>
      <c r="C1895" s="75" t="s">
        <v>10</v>
      </c>
      <c r="D1895" s="75">
        <v>2143</v>
      </c>
      <c r="F1895" s="75" t="s">
        <v>10</v>
      </c>
      <c r="H1895" s="75" t="s">
        <v>10</v>
      </c>
      <c r="I1895" s="75">
        <v>19489</v>
      </c>
      <c r="K1895" s="75" t="str">
        <f>IFERROR(VLOOKUP(J1895,'NQ10'!$B$9:$C$145,2,0),"")</f>
        <v/>
      </c>
    </row>
    <row r="1896" spans="1:11" ht="15" customHeight="1" x14ac:dyDescent="0.25">
      <c r="A1896" s="75">
        <v>10</v>
      </c>
      <c r="B1896" s="75">
        <v>12</v>
      </c>
      <c r="C1896" s="75" t="s">
        <v>10</v>
      </c>
      <c r="D1896" s="75">
        <v>949</v>
      </c>
      <c r="F1896" s="75" t="s">
        <v>10</v>
      </c>
      <c r="H1896" s="75" t="s">
        <v>10</v>
      </c>
      <c r="I1896" s="75">
        <v>19489</v>
      </c>
      <c r="K1896" s="75" t="str">
        <f>IFERROR(VLOOKUP(J1896,'NQ10'!$B$9:$C$145,2,0),"")</f>
        <v/>
      </c>
    </row>
    <row r="1897" spans="1:11" ht="15" customHeight="1" x14ac:dyDescent="0.25">
      <c r="A1897" s="75">
        <v>10</v>
      </c>
      <c r="B1897" s="75">
        <v>13</v>
      </c>
      <c r="C1897" s="75" t="s">
        <v>10</v>
      </c>
      <c r="D1897" s="75">
        <v>194</v>
      </c>
      <c r="F1897" s="75" t="s">
        <v>10</v>
      </c>
      <c r="H1897" s="75" t="s">
        <v>10</v>
      </c>
      <c r="I1897" s="75">
        <v>19489</v>
      </c>
      <c r="K1897" s="75" t="str">
        <f>IFERROR(VLOOKUP(J1897,'NQ10'!$B$9:$C$145,2,0),"")</f>
        <v/>
      </c>
    </row>
    <row r="1898" spans="1:11" ht="15" customHeight="1" x14ac:dyDescent="0.25">
      <c r="A1898" s="75">
        <v>10</v>
      </c>
      <c r="B1898" s="75">
        <v>14</v>
      </c>
      <c r="C1898" s="75" t="s">
        <v>10</v>
      </c>
      <c r="D1898" s="75">
        <v>2014</v>
      </c>
      <c r="F1898" s="75" t="s">
        <v>10</v>
      </c>
      <c r="H1898" s="75" t="s">
        <v>10</v>
      </c>
      <c r="I1898" s="75">
        <v>19489</v>
      </c>
      <c r="K1898" s="75" t="str">
        <f>IFERROR(VLOOKUP(J1898,'NQ10'!$B$9:$C$145,2,0),"")</f>
        <v/>
      </c>
    </row>
    <row r="1899" spans="1:11" ht="15" customHeight="1" x14ac:dyDescent="0.25">
      <c r="A1899" s="75">
        <v>10</v>
      </c>
      <c r="B1899" s="75">
        <v>16</v>
      </c>
      <c r="C1899" s="75" t="s">
        <v>10</v>
      </c>
      <c r="D1899" s="75">
        <v>1276</v>
      </c>
      <c r="F1899" s="75" t="s">
        <v>10</v>
      </c>
      <c r="H1899" s="75" t="s">
        <v>10</v>
      </c>
      <c r="I1899" s="75">
        <v>19489</v>
      </c>
      <c r="K1899" s="75" t="str">
        <f>IFERROR(VLOOKUP(J1899,'NQ10'!$B$9:$C$145,2,0),"")</f>
        <v/>
      </c>
    </row>
    <row r="1900" spans="1:11" ht="15" customHeight="1" x14ac:dyDescent="0.25">
      <c r="A1900" s="75">
        <v>10</v>
      </c>
      <c r="B1900" s="75">
        <v>17</v>
      </c>
      <c r="C1900" s="75" t="s">
        <v>10</v>
      </c>
      <c r="D1900" s="75">
        <v>404</v>
      </c>
      <c r="F1900" s="75" t="s">
        <v>10</v>
      </c>
      <c r="H1900" s="75" t="s">
        <v>10</v>
      </c>
      <c r="I1900" s="75">
        <v>19489</v>
      </c>
      <c r="K1900" s="75" t="str">
        <f>IFERROR(VLOOKUP(J1900,'NQ10'!$B$9:$C$145,2,0),"")</f>
        <v/>
      </c>
    </row>
    <row r="1901" spans="1:11" ht="15" customHeight="1" x14ac:dyDescent="0.25">
      <c r="A1901" s="75">
        <v>10</v>
      </c>
      <c r="B1901" s="75">
        <v>18</v>
      </c>
      <c r="C1901" s="75" t="s">
        <v>10</v>
      </c>
      <c r="D1901" s="75">
        <v>120</v>
      </c>
      <c r="F1901" s="75" t="s">
        <v>10</v>
      </c>
      <c r="H1901" s="75" t="s">
        <v>10</v>
      </c>
      <c r="I1901" s="75">
        <v>19489</v>
      </c>
      <c r="K1901" s="75" t="str">
        <f>IFERROR(VLOOKUP(J1901,'NQ10'!$B$9:$C$145,2,0),"")</f>
        <v/>
      </c>
    </row>
    <row r="1902" spans="1:11" ht="15" customHeight="1" x14ac:dyDescent="0.25">
      <c r="A1902" s="75">
        <v>10</v>
      </c>
      <c r="B1902" s="75">
        <v>19</v>
      </c>
      <c r="C1902" s="75" t="s">
        <v>10</v>
      </c>
      <c r="D1902" s="75">
        <v>86</v>
      </c>
      <c r="F1902" s="75" t="s">
        <v>10</v>
      </c>
      <c r="H1902" s="75" t="s">
        <v>10</v>
      </c>
      <c r="I1902" s="75">
        <v>19489</v>
      </c>
      <c r="K1902" s="75" t="str">
        <f>IFERROR(VLOOKUP(J1902,'NQ10'!$B$9:$C$145,2,0),"")</f>
        <v/>
      </c>
    </row>
    <row r="1903" spans="1:11" ht="15" customHeight="1" x14ac:dyDescent="0.25">
      <c r="A1903" s="75">
        <v>10</v>
      </c>
      <c r="B1903" s="75">
        <v>20</v>
      </c>
      <c r="C1903" s="75" t="s">
        <v>10</v>
      </c>
      <c r="D1903" s="75">
        <v>345</v>
      </c>
      <c r="F1903" s="75" t="s">
        <v>10</v>
      </c>
      <c r="H1903" s="75" t="s">
        <v>10</v>
      </c>
      <c r="I1903" s="75">
        <v>19489</v>
      </c>
      <c r="K1903" s="75" t="str">
        <f>IFERROR(VLOOKUP(J1903,'NQ10'!$B$9:$C$145,2,0),"")</f>
        <v/>
      </c>
    </row>
    <row r="1904" spans="1:11" ht="15" customHeight="1" x14ac:dyDescent="0.25">
      <c r="A1904" s="75">
        <v>10</v>
      </c>
      <c r="B1904" s="75">
        <v>21</v>
      </c>
      <c r="C1904" s="75" t="s">
        <v>10</v>
      </c>
      <c r="D1904" s="75">
        <v>170</v>
      </c>
      <c r="F1904" s="75" t="s">
        <v>10</v>
      </c>
      <c r="H1904" s="75" t="s">
        <v>10</v>
      </c>
      <c r="I1904" s="75">
        <v>19489</v>
      </c>
      <c r="K1904" s="75" t="str">
        <f>IFERROR(VLOOKUP(J1904,'NQ10'!$B$9:$C$145,2,0),"")</f>
        <v/>
      </c>
    </row>
    <row r="1905" spans="1:11" ht="15" customHeight="1" x14ac:dyDescent="0.25">
      <c r="A1905" s="75">
        <v>10</v>
      </c>
      <c r="B1905" s="75">
        <v>22</v>
      </c>
      <c r="C1905" s="75" t="s">
        <v>10</v>
      </c>
      <c r="D1905" s="75">
        <v>121</v>
      </c>
      <c r="F1905" s="75" t="s">
        <v>10</v>
      </c>
      <c r="H1905" s="75" t="s">
        <v>10</v>
      </c>
      <c r="I1905" s="75">
        <v>19489</v>
      </c>
      <c r="K1905" s="75" t="str">
        <f>IFERROR(VLOOKUP(J1905,'NQ10'!$B$9:$C$145,2,0),"")</f>
        <v/>
      </c>
    </row>
    <row r="1906" spans="1:11" ht="15" customHeight="1" x14ac:dyDescent="0.25">
      <c r="A1906" s="75">
        <v>10</v>
      </c>
      <c r="B1906" s="75">
        <v>23</v>
      </c>
      <c r="C1906" s="75" t="s">
        <v>10</v>
      </c>
      <c r="D1906" s="75">
        <v>638</v>
      </c>
      <c r="F1906" s="75" t="s">
        <v>10</v>
      </c>
      <c r="H1906" s="75" t="s">
        <v>10</v>
      </c>
      <c r="I1906" s="75">
        <v>19489</v>
      </c>
      <c r="K1906" s="75" t="str">
        <f>IFERROR(VLOOKUP(J1906,'NQ10'!$B$9:$C$145,2,0),"")</f>
        <v/>
      </c>
    </row>
    <row r="1907" spans="1:11" ht="15" customHeight="1" x14ac:dyDescent="0.25">
      <c r="A1907" s="75">
        <v>10</v>
      </c>
      <c r="B1907" s="75">
        <v>24</v>
      </c>
      <c r="C1907" s="75" t="s">
        <v>10</v>
      </c>
      <c r="D1907" s="75">
        <v>991</v>
      </c>
      <c r="F1907" s="75" t="s">
        <v>10</v>
      </c>
      <c r="H1907" s="75" t="s">
        <v>10</v>
      </c>
      <c r="I1907" s="75">
        <v>19489</v>
      </c>
      <c r="K1907" s="75" t="str">
        <f>IFERROR(VLOOKUP(J1907,'NQ10'!$B$9:$C$145,2,0),"")</f>
        <v/>
      </c>
    </row>
    <row r="1908" spans="1:11" ht="15" customHeight="1" x14ac:dyDescent="0.25">
      <c r="A1908" s="75">
        <v>10</v>
      </c>
      <c r="B1908" s="75">
        <v>25</v>
      </c>
      <c r="C1908" s="75" t="s">
        <v>10</v>
      </c>
      <c r="D1908" s="75">
        <v>81</v>
      </c>
      <c r="F1908" s="75" t="s">
        <v>10</v>
      </c>
      <c r="H1908" s="75" t="s">
        <v>10</v>
      </c>
      <c r="I1908" s="75">
        <v>19489</v>
      </c>
      <c r="K1908" s="75" t="str">
        <f>IFERROR(VLOOKUP(J1908,'NQ10'!$B$9:$C$145,2,0),"")</f>
        <v/>
      </c>
    </row>
    <row r="1909" spans="1:11" ht="15" customHeight="1" x14ac:dyDescent="0.25">
      <c r="A1909" s="75">
        <v>10</v>
      </c>
      <c r="B1909" s="75">
        <v>28</v>
      </c>
      <c r="C1909" s="75" t="s">
        <v>10</v>
      </c>
      <c r="D1909" s="75">
        <v>286</v>
      </c>
      <c r="F1909" s="75" t="s">
        <v>10</v>
      </c>
      <c r="H1909" s="75" t="s">
        <v>10</v>
      </c>
      <c r="I1909" s="75">
        <v>19489</v>
      </c>
      <c r="K1909" s="75" t="str">
        <f>IFERROR(VLOOKUP(J1909,'NQ10'!$B$9:$C$145,2,0),"")</f>
        <v/>
      </c>
    </row>
    <row r="1910" spans="1:11" ht="15" customHeight="1" x14ac:dyDescent="0.25">
      <c r="A1910" s="75">
        <v>10</v>
      </c>
      <c r="B1910" s="75">
        <v>29</v>
      </c>
      <c r="C1910" s="75" t="s">
        <v>10</v>
      </c>
      <c r="D1910" s="75">
        <v>87</v>
      </c>
      <c r="F1910" s="75" t="s">
        <v>10</v>
      </c>
      <c r="H1910" s="75" t="s">
        <v>10</v>
      </c>
      <c r="I1910" s="75">
        <v>19489</v>
      </c>
      <c r="K1910" s="75" t="str">
        <f>IFERROR(VLOOKUP(J1910,'NQ10'!$B$9:$C$145,2,0),"")</f>
        <v/>
      </c>
    </row>
    <row r="1911" spans="1:11" ht="15" customHeight="1" x14ac:dyDescent="0.25">
      <c r="A1911" s="75">
        <v>10</v>
      </c>
      <c r="B1911" s="75">
        <v>30</v>
      </c>
      <c r="C1911" s="75" t="s">
        <v>10</v>
      </c>
      <c r="D1911" s="75">
        <v>199</v>
      </c>
      <c r="F1911" s="75" t="s">
        <v>10</v>
      </c>
      <c r="H1911" s="75" t="s">
        <v>10</v>
      </c>
      <c r="I1911" s="75">
        <v>19489</v>
      </c>
      <c r="K1911" s="75" t="str">
        <f>IFERROR(VLOOKUP(J1911,'NQ10'!$B$9:$C$145,2,0),"")</f>
        <v/>
      </c>
    </row>
    <row r="1912" spans="1:11" ht="15" customHeight="1" x14ac:dyDescent="0.25">
      <c r="A1912" s="75">
        <v>10</v>
      </c>
      <c r="B1912" s="75">
        <v>31</v>
      </c>
      <c r="C1912" s="75" t="s">
        <v>10</v>
      </c>
      <c r="D1912" s="75">
        <v>323</v>
      </c>
      <c r="F1912" s="75" t="s">
        <v>10</v>
      </c>
      <c r="H1912" s="75" t="s">
        <v>10</v>
      </c>
      <c r="I1912" s="75">
        <v>19489</v>
      </c>
      <c r="K1912" s="75" t="str">
        <f>IFERROR(VLOOKUP(J1912,'NQ10'!$B$9:$C$145,2,0),"")</f>
        <v/>
      </c>
    </row>
    <row r="1913" spans="1:11" ht="15" customHeight="1" x14ac:dyDescent="0.25">
      <c r="A1913" s="75">
        <v>10</v>
      </c>
      <c r="B1913" s="75">
        <v>33</v>
      </c>
      <c r="C1913" s="75" t="s">
        <v>10</v>
      </c>
      <c r="D1913" s="75">
        <v>177</v>
      </c>
      <c r="F1913" s="75" t="s">
        <v>10</v>
      </c>
      <c r="H1913" s="75" t="s">
        <v>10</v>
      </c>
      <c r="I1913" s="75">
        <v>19489</v>
      </c>
      <c r="K1913" s="75" t="str">
        <f>IFERROR(VLOOKUP(J1913,'NQ10'!$B$9:$C$145,2,0),"")</f>
        <v/>
      </c>
    </row>
    <row r="1914" spans="1:11" ht="15" customHeight="1" x14ac:dyDescent="0.25">
      <c r="A1914" s="75">
        <v>10</v>
      </c>
      <c r="B1914" s="75">
        <v>35</v>
      </c>
      <c r="C1914" s="75" t="s">
        <v>10</v>
      </c>
      <c r="D1914" s="75">
        <v>317</v>
      </c>
      <c r="F1914" s="75" t="s">
        <v>10</v>
      </c>
      <c r="H1914" s="75" t="s">
        <v>10</v>
      </c>
      <c r="I1914" s="75">
        <v>19489</v>
      </c>
      <c r="K1914" s="75" t="str">
        <f>IFERROR(VLOOKUP(J1914,'NQ10'!$B$9:$C$145,2,0),"")</f>
        <v/>
      </c>
    </row>
    <row r="1915" spans="1:11" ht="15" customHeight="1" x14ac:dyDescent="0.25">
      <c r="A1915" s="75">
        <v>10</v>
      </c>
      <c r="B1915" s="75">
        <v>36</v>
      </c>
      <c r="C1915" s="75" t="s">
        <v>10</v>
      </c>
      <c r="D1915" s="75">
        <v>87</v>
      </c>
      <c r="F1915" s="75" t="s">
        <v>10</v>
      </c>
      <c r="H1915" s="75" t="s">
        <v>10</v>
      </c>
      <c r="I1915" s="75">
        <v>19489</v>
      </c>
      <c r="K1915" s="75" t="str">
        <f>IFERROR(VLOOKUP(J1915,'NQ10'!$B$9:$C$145,2,0),"")</f>
        <v/>
      </c>
    </row>
    <row r="1916" spans="1:11" ht="15" customHeight="1" x14ac:dyDescent="0.25">
      <c r="A1916" s="75">
        <v>10</v>
      </c>
      <c r="B1916" s="75">
        <v>37</v>
      </c>
      <c r="C1916" s="75" t="s">
        <v>10</v>
      </c>
      <c r="D1916" s="75">
        <v>332</v>
      </c>
      <c r="F1916" s="75" t="s">
        <v>10</v>
      </c>
      <c r="H1916" s="75" t="s">
        <v>10</v>
      </c>
      <c r="I1916" s="75">
        <v>19489</v>
      </c>
      <c r="K1916" s="75" t="str">
        <f>IFERROR(VLOOKUP(J1916,'NQ10'!$B$9:$C$145,2,0),"")</f>
        <v/>
      </c>
    </row>
    <row r="1917" spans="1:11" ht="15" customHeight="1" x14ac:dyDescent="0.25">
      <c r="A1917" s="75">
        <v>10</v>
      </c>
      <c r="B1917" s="75">
        <v>38</v>
      </c>
      <c r="C1917" s="75" t="s">
        <v>10</v>
      </c>
      <c r="D1917" s="75">
        <v>266</v>
      </c>
      <c r="F1917" s="75" t="s">
        <v>10</v>
      </c>
      <c r="H1917" s="75" t="s">
        <v>10</v>
      </c>
      <c r="I1917" s="75">
        <v>19489</v>
      </c>
      <c r="K1917" s="75" t="str">
        <f>IFERROR(VLOOKUP(J1917,'NQ10'!$B$9:$C$145,2,0),"")</f>
        <v/>
      </c>
    </row>
    <row r="1918" spans="1:11" ht="15" customHeight="1" x14ac:dyDescent="0.25">
      <c r="A1918" s="75">
        <v>10</v>
      </c>
      <c r="B1918" s="75">
        <v>39</v>
      </c>
      <c r="C1918" s="75" t="s">
        <v>10</v>
      </c>
      <c r="D1918" s="75">
        <v>2018</v>
      </c>
      <c r="F1918" s="75" t="s">
        <v>10</v>
      </c>
      <c r="H1918" s="75" t="s">
        <v>10</v>
      </c>
      <c r="I1918" s="75">
        <v>19489</v>
      </c>
      <c r="K1918" s="75" t="str">
        <f>IFERROR(VLOOKUP(J1918,'NQ10'!$B$9:$C$145,2,0),"")</f>
        <v/>
      </c>
    </row>
    <row r="1919" spans="1:11" ht="15" customHeight="1" x14ac:dyDescent="0.25">
      <c r="A1919" s="75">
        <v>10</v>
      </c>
      <c r="B1919" s="75">
        <v>40</v>
      </c>
      <c r="C1919" s="75" t="s">
        <v>10</v>
      </c>
      <c r="D1919" s="75">
        <v>2805</v>
      </c>
      <c r="F1919" s="75" t="s">
        <v>10</v>
      </c>
      <c r="H1919" s="75" t="s">
        <v>10</v>
      </c>
      <c r="I1919" s="75">
        <v>19489</v>
      </c>
      <c r="K1919" s="75" t="str">
        <f>IFERROR(VLOOKUP(J1919,'NQ10'!$B$9:$C$145,2,0),"")</f>
        <v/>
      </c>
    </row>
    <row r="1920" spans="1:11" ht="15" customHeight="1" x14ac:dyDescent="0.25">
      <c r="A1920" s="75">
        <v>10</v>
      </c>
      <c r="B1920" s="75">
        <v>41</v>
      </c>
      <c r="C1920" s="75" t="s">
        <v>10</v>
      </c>
      <c r="D1920" s="75">
        <v>1392</v>
      </c>
      <c r="F1920" s="75" t="s">
        <v>10</v>
      </c>
      <c r="H1920" s="75" t="s">
        <v>10</v>
      </c>
      <c r="I1920" s="75">
        <v>19489</v>
      </c>
      <c r="K1920" s="75" t="str">
        <f>IFERROR(VLOOKUP(J1920,'NQ10'!$B$9:$C$145,2,0),"")</f>
        <v/>
      </c>
    </row>
    <row r="1921" spans="1:11" ht="15" customHeight="1" x14ac:dyDescent="0.25">
      <c r="A1921" s="75">
        <v>10</v>
      </c>
      <c r="B1921" s="75">
        <v>42</v>
      </c>
      <c r="C1921" s="75" t="s">
        <v>10</v>
      </c>
      <c r="D1921" s="75">
        <v>170</v>
      </c>
      <c r="F1921" s="75" t="s">
        <v>10</v>
      </c>
      <c r="H1921" s="75" t="s">
        <v>10</v>
      </c>
      <c r="I1921" s="75">
        <v>19489</v>
      </c>
      <c r="K1921" s="75" t="str">
        <f>IFERROR(VLOOKUP(J1921,'NQ10'!$B$9:$C$145,2,0),"")</f>
        <v/>
      </c>
    </row>
    <row r="1922" spans="1:11" ht="15" customHeight="1" x14ac:dyDescent="0.25">
      <c r="A1922" s="75">
        <v>10</v>
      </c>
      <c r="B1922" s="75">
        <v>43</v>
      </c>
      <c r="C1922" s="75" t="s">
        <v>10</v>
      </c>
      <c r="D1922" s="75">
        <v>2587</v>
      </c>
      <c r="F1922" s="75" t="s">
        <v>10</v>
      </c>
      <c r="H1922" s="75" t="s">
        <v>10</v>
      </c>
      <c r="I1922" s="75">
        <v>19489</v>
      </c>
      <c r="K1922" s="75" t="str">
        <f>IFERROR(VLOOKUP(J1922,'NQ10'!$B$9:$C$145,2,0),"")</f>
        <v/>
      </c>
    </row>
    <row r="1923" spans="1:11" ht="15" customHeight="1" x14ac:dyDescent="0.25">
      <c r="A1923" s="75">
        <v>10</v>
      </c>
      <c r="B1923" s="75">
        <v>44</v>
      </c>
      <c r="C1923" s="75" t="s">
        <v>10</v>
      </c>
      <c r="D1923" s="75">
        <v>273</v>
      </c>
      <c r="F1923" s="75" t="s">
        <v>10</v>
      </c>
      <c r="H1923" s="75" t="s">
        <v>10</v>
      </c>
      <c r="I1923" s="75">
        <v>19489</v>
      </c>
      <c r="K1923" s="75" t="str">
        <f>IFERROR(VLOOKUP(J1923,'NQ10'!$B$9:$C$145,2,0),"")</f>
        <v/>
      </c>
    </row>
    <row r="1924" spans="1:11" ht="15" customHeight="1" x14ac:dyDescent="0.25">
      <c r="A1924" s="75">
        <v>10</v>
      </c>
      <c r="B1924" s="75">
        <v>45</v>
      </c>
      <c r="C1924" s="75" t="s">
        <v>10</v>
      </c>
      <c r="D1924" s="75">
        <v>305</v>
      </c>
      <c r="F1924" s="75" t="s">
        <v>10</v>
      </c>
      <c r="H1924" s="75" t="s">
        <v>10</v>
      </c>
      <c r="I1924" s="75">
        <v>19489</v>
      </c>
      <c r="K1924" s="75" t="str">
        <f>IFERROR(VLOOKUP(J1924,'NQ10'!$B$9:$C$145,2,0),"")</f>
        <v/>
      </c>
    </row>
    <row r="1925" spans="1:11" ht="15" customHeight="1" x14ac:dyDescent="0.25">
      <c r="A1925" s="75">
        <v>10</v>
      </c>
      <c r="B1925" s="75">
        <v>46</v>
      </c>
      <c r="C1925" s="75" t="s">
        <v>10</v>
      </c>
      <c r="D1925" s="75">
        <v>82</v>
      </c>
      <c r="F1925" s="75" t="s">
        <v>10</v>
      </c>
      <c r="H1925" s="75" t="s">
        <v>10</v>
      </c>
      <c r="I1925" s="75">
        <v>19489</v>
      </c>
      <c r="K1925" s="75" t="str">
        <f>IFERROR(VLOOKUP(J1925,'NQ10'!$B$9:$C$145,2,0),"")</f>
        <v/>
      </c>
    </row>
    <row r="1926" spans="1:11" ht="15" customHeight="1" x14ac:dyDescent="0.25">
      <c r="A1926" s="75">
        <v>10</v>
      </c>
      <c r="B1926" s="75">
        <v>47</v>
      </c>
      <c r="C1926" s="75" t="s">
        <v>10</v>
      </c>
      <c r="D1926" s="75">
        <v>284</v>
      </c>
      <c r="F1926" s="75" t="s">
        <v>10</v>
      </c>
      <c r="H1926" s="75" t="s">
        <v>10</v>
      </c>
      <c r="I1926" s="75">
        <v>19489</v>
      </c>
      <c r="K1926" s="75" t="str">
        <f>IFERROR(VLOOKUP(J1926,'NQ10'!$B$9:$C$145,2,0),"")</f>
        <v/>
      </c>
    </row>
    <row r="1927" spans="1:11" ht="15" customHeight="1" x14ac:dyDescent="0.25">
      <c r="A1927" s="75">
        <v>10</v>
      </c>
      <c r="B1927" s="75">
        <v>48</v>
      </c>
      <c r="C1927" s="75" t="s">
        <v>10</v>
      </c>
      <c r="D1927" s="75">
        <v>195</v>
      </c>
      <c r="F1927" s="75" t="s">
        <v>10</v>
      </c>
      <c r="H1927" s="75" t="s">
        <v>10</v>
      </c>
      <c r="I1927" s="75">
        <v>19489</v>
      </c>
      <c r="K1927" s="75" t="str">
        <f>IFERROR(VLOOKUP(J1927,'NQ10'!$B$9:$C$145,2,0),"")</f>
        <v/>
      </c>
    </row>
    <row r="1928" spans="1:11" ht="15" customHeight="1" x14ac:dyDescent="0.25">
      <c r="A1928" s="75">
        <v>10</v>
      </c>
      <c r="B1928" s="75">
        <v>49</v>
      </c>
      <c r="C1928" s="75" t="s">
        <v>10</v>
      </c>
      <c r="D1928" s="75">
        <v>189</v>
      </c>
      <c r="F1928" s="75" t="s">
        <v>10</v>
      </c>
      <c r="H1928" s="75" t="s">
        <v>10</v>
      </c>
      <c r="I1928" s="75">
        <v>19489</v>
      </c>
      <c r="K1928" s="75" t="str">
        <f>IFERROR(VLOOKUP(J1928,'NQ10'!$B$9:$C$145,2,0),"")</f>
        <v/>
      </c>
    </row>
    <row r="1929" spans="1:11" ht="15" customHeight="1" x14ac:dyDescent="0.25">
      <c r="A1929" s="75">
        <v>10</v>
      </c>
      <c r="B1929" s="75">
        <v>50</v>
      </c>
      <c r="C1929" s="75" t="s">
        <v>10</v>
      </c>
      <c r="D1929" s="75">
        <v>148</v>
      </c>
      <c r="F1929" s="75" t="s">
        <v>10</v>
      </c>
      <c r="H1929" s="75" t="s">
        <v>10</v>
      </c>
      <c r="I1929" s="75">
        <v>19489</v>
      </c>
      <c r="K1929" s="75" t="str">
        <f>IFERROR(VLOOKUP(J1929,'NQ10'!$B$9:$C$145,2,0),"")</f>
        <v/>
      </c>
    </row>
    <row r="1930" spans="1:11" ht="15" customHeight="1" x14ac:dyDescent="0.25">
      <c r="A1930" s="75">
        <v>10</v>
      </c>
      <c r="B1930" s="75">
        <v>51</v>
      </c>
      <c r="C1930" s="75" t="s">
        <v>10</v>
      </c>
      <c r="D1930" s="75">
        <v>145</v>
      </c>
      <c r="F1930" s="75" t="s">
        <v>10</v>
      </c>
      <c r="H1930" s="75" t="s">
        <v>10</v>
      </c>
      <c r="I1930" s="75">
        <v>19489</v>
      </c>
      <c r="K1930" s="75" t="str">
        <f>IFERROR(VLOOKUP(J1930,'NQ10'!$B$9:$C$145,2,0),"")</f>
        <v/>
      </c>
    </row>
    <row r="1931" spans="1:11" ht="15" customHeight="1" x14ac:dyDescent="0.25">
      <c r="A1931" s="75">
        <v>10</v>
      </c>
      <c r="B1931" s="75">
        <v>52</v>
      </c>
      <c r="C1931" s="75" t="s">
        <v>10</v>
      </c>
      <c r="D1931" s="75">
        <v>92</v>
      </c>
      <c r="F1931" s="75" t="s">
        <v>10</v>
      </c>
      <c r="H1931" s="75" t="s">
        <v>10</v>
      </c>
      <c r="I1931" s="75">
        <v>19489</v>
      </c>
      <c r="K1931" s="75" t="str">
        <f>IFERROR(VLOOKUP(J1931,'NQ10'!$B$9:$C$145,2,0),"")</f>
        <v/>
      </c>
    </row>
    <row r="1932" spans="1:11" ht="15" customHeight="1" x14ac:dyDescent="0.25">
      <c r="A1932" s="75">
        <v>10</v>
      </c>
      <c r="B1932" s="75">
        <v>53</v>
      </c>
      <c r="C1932" s="75" t="s">
        <v>10</v>
      </c>
      <c r="D1932" s="75">
        <v>427</v>
      </c>
      <c r="F1932" s="75" t="s">
        <v>10</v>
      </c>
      <c r="H1932" s="75" t="s">
        <v>10</v>
      </c>
      <c r="I1932" s="75">
        <v>19489</v>
      </c>
      <c r="K1932" s="75" t="str">
        <f>IFERROR(VLOOKUP(J1932,'NQ10'!$B$9:$C$145,2,0),"")</f>
        <v/>
      </c>
    </row>
    <row r="1933" spans="1:11" ht="15" customHeight="1" x14ac:dyDescent="0.25">
      <c r="A1933" s="75">
        <v>10</v>
      </c>
      <c r="B1933" s="75">
        <v>54</v>
      </c>
      <c r="C1933" s="75" t="s">
        <v>10</v>
      </c>
      <c r="D1933" s="75">
        <v>278</v>
      </c>
      <c r="F1933" s="75" t="s">
        <v>10</v>
      </c>
      <c r="H1933" s="75" t="s">
        <v>10</v>
      </c>
      <c r="I1933" s="75">
        <v>19489</v>
      </c>
      <c r="K1933" s="75" t="str">
        <f>IFERROR(VLOOKUP(J1933,'NQ10'!$B$9:$C$145,2,0),"")</f>
        <v/>
      </c>
    </row>
    <row r="1934" spans="1:11" ht="15" customHeight="1" x14ac:dyDescent="0.25">
      <c r="A1934" s="75">
        <v>10</v>
      </c>
      <c r="B1934" s="75">
        <v>55</v>
      </c>
      <c r="C1934" s="75" t="s">
        <v>10</v>
      </c>
      <c r="D1934" s="75">
        <v>211</v>
      </c>
      <c r="F1934" s="75" t="s">
        <v>10</v>
      </c>
      <c r="H1934" s="75" t="s">
        <v>10</v>
      </c>
      <c r="I1934" s="75">
        <v>19489</v>
      </c>
      <c r="K1934" s="75" t="str">
        <f>IFERROR(VLOOKUP(J1934,'NQ10'!$B$9:$C$145,2,0),"")</f>
        <v/>
      </c>
    </row>
    <row r="1935" spans="1:11" ht="15" customHeight="1" x14ac:dyDescent="0.25">
      <c r="A1935" s="75">
        <v>10</v>
      </c>
      <c r="B1935" s="75">
        <v>56</v>
      </c>
      <c r="C1935" s="75" t="s">
        <v>10</v>
      </c>
      <c r="D1935" s="75">
        <v>743</v>
      </c>
      <c r="F1935" s="75" t="s">
        <v>10</v>
      </c>
      <c r="H1935" s="75" t="s">
        <v>10</v>
      </c>
      <c r="I1935" s="75">
        <v>19489</v>
      </c>
      <c r="K1935" s="75" t="str">
        <f>IFERROR(VLOOKUP(J1935,'NQ10'!$B$9:$C$145,2,0),"")</f>
        <v/>
      </c>
    </row>
    <row r="1936" spans="1:11" ht="15" customHeight="1" x14ac:dyDescent="0.25">
      <c r="A1936" s="75">
        <v>10</v>
      </c>
      <c r="B1936" s="75">
        <v>57</v>
      </c>
      <c r="C1936" s="75" t="s">
        <v>10</v>
      </c>
      <c r="D1936" s="75">
        <v>330</v>
      </c>
      <c r="F1936" s="75" t="s">
        <v>10</v>
      </c>
      <c r="H1936" s="75" t="s">
        <v>10</v>
      </c>
      <c r="I1936" s="75">
        <v>19489</v>
      </c>
      <c r="K1936" s="75" t="str">
        <f>IFERROR(VLOOKUP(J1936,'NQ10'!$B$9:$C$145,2,0),"")</f>
        <v/>
      </c>
    </row>
    <row r="1937" spans="1:11" ht="15" customHeight="1" x14ac:dyDescent="0.25">
      <c r="A1937" s="75">
        <v>10</v>
      </c>
      <c r="B1937" s="75">
        <v>58</v>
      </c>
      <c r="C1937" s="75" t="s">
        <v>10</v>
      </c>
      <c r="D1937" s="75">
        <v>3875</v>
      </c>
      <c r="F1937" s="75" t="s">
        <v>10</v>
      </c>
      <c r="H1937" s="75" t="s">
        <v>10</v>
      </c>
      <c r="I1937" s="75">
        <v>19489</v>
      </c>
      <c r="K1937" s="75" t="str">
        <f>IFERROR(VLOOKUP(J1937,'NQ10'!$B$9:$C$145,2,0),"")</f>
        <v/>
      </c>
    </row>
    <row r="1938" spans="1:11" ht="15" customHeight="1" x14ac:dyDescent="0.25">
      <c r="A1938" s="75">
        <v>10</v>
      </c>
      <c r="B1938" s="75">
        <v>59</v>
      </c>
      <c r="C1938" s="75" t="s">
        <v>10</v>
      </c>
      <c r="D1938" s="75">
        <v>339</v>
      </c>
      <c r="F1938" s="75" t="s">
        <v>10</v>
      </c>
      <c r="H1938" s="75" t="s">
        <v>10</v>
      </c>
      <c r="I1938" s="75">
        <v>19489</v>
      </c>
      <c r="K1938" s="75" t="str">
        <f>IFERROR(VLOOKUP(J1938,'NQ10'!$B$9:$C$145,2,0),"")</f>
        <v/>
      </c>
    </row>
    <row r="1939" spans="1:11" ht="15" customHeight="1" x14ac:dyDescent="0.25">
      <c r="A1939" s="75">
        <v>10</v>
      </c>
      <c r="B1939" s="75">
        <v>60</v>
      </c>
      <c r="C1939" s="75" t="s">
        <v>10</v>
      </c>
      <c r="D1939" s="75">
        <v>209</v>
      </c>
      <c r="F1939" s="75" t="s">
        <v>10</v>
      </c>
      <c r="H1939" s="75" t="s">
        <v>10</v>
      </c>
      <c r="I1939" s="75">
        <v>19489</v>
      </c>
      <c r="K1939" s="75" t="str">
        <f>IFERROR(VLOOKUP(J1939,'NQ10'!$B$9:$C$145,2,0),"")</f>
        <v/>
      </c>
    </row>
    <row r="1940" spans="1:11" ht="15" customHeight="1" x14ac:dyDescent="0.25">
      <c r="A1940" s="75">
        <v>10</v>
      </c>
      <c r="B1940" s="75">
        <v>61</v>
      </c>
      <c r="C1940" s="75" t="s">
        <v>10</v>
      </c>
      <c r="D1940" s="75">
        <v>332</v>
      </c>
      <c r="F1940" s="75" t="s">
        <v>10</v>
      </c>
      <c r="H1940" s="75" t="s">
        <v>10</v>
      </c>
      <c r="I1940" s="75">
        <v>19489</v>
      </c>
      <c r="K1940" s="75" t="str">
        <f>IFERROR(VLOOKUP(J1940,'NQ10'!$B$9:$C$145,2,0),"")</f>
        <v/>
      </c>
    </row>
    <row r="1941" spans="1:11" ht="15" customHeight="1" x14ac:dyDescent="0.25">
      <c r="A1941" s="75">
        <v>10</v>
      </c>
      <c r="B1941" s="75">
        <v>62</v>
      </c>
      <c r="C1941" s="75" t="s">
        <v>10</v>
      </c>
      <c r="D1941" s="75">
        <v>402</v>
      </c>
      <c r="F1941" s="75" t="s">
        <v>10</v>
      </c>
      <c r="H1941" s="75" t="s">
        <v>10</v>
      </c>
      <c r="I1941" s="75">
        <v>19489</v>
      </c>
      <c r="K1941" s="75" t="str">
        <f>IFERROR(VLOOKUP(J1941,'NQ10'!$B$9:$C$145,2,0),"")</f>
        <v/>
      </c>
    </row>
    <row r="1942" spans="1:11" ht="15" customHeight="1" x14ac:dyDescent="0.25">
      <c r="A1942" s="75">
        <v>10</v>
      </c>
      <c r="B1942" s="75">
        <v>63</v>
      </c>
      <c r="C1942" s="75" t="s">
        <v>10</v>
      </c>
      <c r="D1942" s="75">
        <v>572</v>
      </c>
      <c r="F1942" s="75" t="s">
        <v>10</v>
      </c>
      <c r="H1942" s="75" t="s">
        <v>10</v>
      </c>
      <c r="I1942" s="75">
        <v>19489</v>
      </c>
      <c r="K1942" s="75" t="str">
        <f>IFERROR(VLOOKUP(J1942,'NQ10'!$B$9:$C$145,2,0),"")</f>
        <v/>
      </c>
    </row>
    <row r="1943" spans="1:11" ht="15" customHeight="1" x14ac:dyDescent="0.25">
      <c r="A1943" s="75">
        <v>10</v>
      </c>
      <c r="B1943" s="75">
        <v>64</v>
      </c>
      <c r="C1943" s="75" t="s">
        <v>10</v>
      </c>
      <c r="D1943" s="75">
        <v>88</v>
      </c>
      <c r="F1943" s="75" t="s">
        <v>10</v>
      </c>
      <c r="H1943" s="75" t="s">
        <v>10</v>
      </c>
      <c r="I1943" s="75">
        <v>19489</v>
      </c>
      <c r="K1943" s="75" t="str">
        <f>IFERROR(VLOOKUP(J1943,'NQ10'!$B$9:$C$145,2,0),"")</f>
        <v/>
      </c>
    </row>
    <row r="1944" spans="1:11" ht="15" customHeight="1" x14ac:dyDescent="0.25">
      <c r="A1944" s="75">
        <v>10</v>
      </c>
      <c r="B1944" s="75">
        <v>65</v>
      </c>
      <c r="C1944" s="75" t="s">
        <v>10</v>
      </c>
      <c r="D1944" s="75">
        <v>114</v>
      </c>
      <c r="F1944" s="75" t="s">
        <v>10</v>
      </c>
      <c r="H1944" s="75" t="s">
        <v>10</v>
      </c>
      <c r="I1944" s="75">
        <v>19489</v>
      </c>
      <c r="K1944" s="75" t="str">
        <f>IFERROR(VLOOKUP(J1944,'NQ10'!$B$9:$C$145,2,0),"")</f>
        <v/>
      </c>
    </row>
    <row r="1945" spans="1:11" ht="15" customHeight="1" x14ac:dyDescent="0.25">
      <c r="A1945" s="75">
        <v>10</v>
      </c>
      <c r="B1945" s="75">
        <v>66</v>
      </c>
      <c r="C1945" s="75" t="s">
        <v>10</v>
      </c>
      <c r="D1945" s="75">
        <v>159</v>
      </c>
      <c r="F1945" s="75" t="s">
        <v>10</v>
      </c>
      <c r="H1945" s="75" t="s">
        <v>10</v>
      </c>
      <c r="I1945" s="75">
        <v>19489</v>
      </c>
      <c r="K1945" s="75" t="str">
        <f>IFERROR(VLOOKUP(J1945,'NQ10'!$B$9:$C$145,2,0),"")</f>
        <v/>
      </c>
    </row>
    <row r="1946" spans="1:11" ht="15" customHeight="1" x14ac:dyDescent="0.25">
      <c r="A1946" s="75">
        <v>10</v>
      </c>
      <c r="B1946" s="75">
        <v>68</v>
      </c>
      <c r="C1946" s="75" t="s">
        <v>10</v>
      </c>
      <c r="D1946" s="75">
        <v>244</v>
      </c>
      <c r="F1946" s="75" t="s">
        <v>10</v>
      </c>
      <c r="H1946" s="75" t="s">
        <v>10</v>
      </c>
      <c r="I1946" s="75">
        <v>19489</v>
      </c>
      <c r="K1946" s="75" t="str">
        <f>IFERROR(VLOOKUP(J1946,'NQ10'!$B$9:$C$145,2,0),"")</f>
        <v/>
      </c>
    </row>
    <row r="1947" spans="1:11" ht="15" customHeight="1" x14ac:dyDescent="0.25">
      <c r="A1947" s="75">
        <v>10</v>
      </c>
      <c r="B1947" s="75">
        <v>69</v>
      </c>
      <c r="C1947" s="75" t="s">
        <v>10</v>
      </c>
      <c r="D1947" s="75">
        <v>183</v>
      </c>
      <c r="F1947" s="75" t="s">
        <v>10</v>
      </c>
      <c r="H1947" s="75" t="s">
        <v>10</v>
      </c>
      <c r="I1947" s="75">
        <v>19489</v>
      </c>
      <c r="K1947" s="75" t="str">
        <f>IFERROR(VLOOKUP(J1947,'NQ10'!$B$9:$C$145,2,0),"")</f>
        <v/>
      </c>
    </row>
    <row r="1948" spans="1:11" ht="15" customHeight="1" x14ac:dyDescent="0.25">
      <c r="A1948" s="75">
        <v>10</v>
      </c>
      <c r="B1948" s="75">
        <v>70</v>
      </c>
      <c r="C1948" s="75" t="s">
        <v>10</v>
      </c>
      <c r="D1948" s="75">
        <v>225</v>
      </c>
      <c r="F1948" s="75" t="s">
        <v>10</v>
      </c>
      <c r="H1948" s="75" t="s">
        <v>10</v>
      </c>
      <c r="I1948" s="75">
        <v>19489</v>
      </c>
      <c r="K1948" s="75" t="str">
        <f>IFERROR(VLOOKUP(J1948,'NQ10'!$B$9:$C$145,2,0),"")</f>
        <v/>
      </c>
    </row>
    <row r="1949" spans="1:11" ht="15" customHeight="1" x14ac:dyDescent="0.25">
      <c r="A1949" s="75">
        <v>10</v>
      </c>
      <c r="B1949" s="75">
        <v>71</v>
      </c>
      <c r="C1949" s="75" t="s">
        <v>10</v>
      </c>
      <c r="D1949" s="75">
        <v>113</v>
      </c>
      <c r="F1949" s="75" t="s">
        <v>10</v>
      </c>
      <c r="H1949" s="75" t="s">
        <v>10</v>
      </c>
      <c r="I1949" s="75">
        <v>19489</v>
      </c>
      <c r="K1949" s="75" t="str">
        <f>IFERROR(VLOOKUP(J1949,'NQ10'!$B$9:$C$145,2,0),"")</f>
        <v/>
      </c>
    </row>
    <row r="1950" spans="1:11" ht="15" customHeight="1" x14ac:dyDescent="0.25">
      <c r="A1950" s="75">
        <v>10</v>
      </c>
      <c r="B1950" s="75">
        <v>72</v>
      </c>
      <c r="C1950" s="75" t="s">
        <v>10</v>
      </c>
      <c r="D1950" s="75">
        <v>125</v>
      </c>
      <c r="F1950" s="75" t="s">
        <v>10</v>
      </c>
      <c r="H1950" s="75" t="s">
        <v>10</v>
      </c>
      <c r="I1950" s="75">
        <v>19489</v>
      </c>
      <c r="K1950" s="75" t="str">
        <f>IFERROR(VLOOKUP(J1950,'NQ10'!$B$9:$C$145,2,0),"")</f>
        <v/>
      </c>
    </row>
    <row r="1951" spans="1:11" ht="15" customHeight="1" x14ac:dyDescent="0.25">
      <c r="A1951" s="75">
        <v>10</v>
      </c>
      <c r="B1951" s="75">
        <v>73</v>
      </c>
      <c r="C1951" s="75" t="s">
        <v>10</v>
      </c>
      <c r="D1951" s="75">
        <v>295</v>
      </c>
      <c r="F1951" s="75" t="s">
        <v>10</v>
      </c>
      <c r="H1951" s="75" t="s">
        <v>10</v>
      </c>
      <c r="I1951" s="75">
        <v>19489</v>
      </c>
      <c r="K1951" s="75" t="str">
        <f>IFERROR(VLOOKUP(J1951,'NQ10'!$B$9:$C$145,2,0),"")</f>
        <v/>
      </c>
    </row>
    <row r="1952" spans="1:11" ht="15" customHeight="1" x14ac:dyDescent="0.25">
      <c r="A1952" s="75">
        <v>10</v>
      </c>
      <c r="B1952" s="75">
        <v>74</v>
      </c>
      <c r="C1952" s="75" t="s">
        <v>10</v>
      </c>
      <c r="D1952" s="75">
        <v>396</v>
      </c>
      <c r="F1952" s="75" t="s">
        <v>10</v>
      </c>
      <c r="H1952" s="75" t="s">
        <v>10</v>
      </c>
      <c r="I1952" s="75">
        <v>19489</v>
      </c>
      <c r="K1952" s="75" t="str">
        <f>IFERROR(VLOOKUP(J1952,'NQ10'!$B$9:$C$145,2,0),"")</f>
        <v/>
      </c>
    </row>
    <row r="1953" spans="1:11" ht="15" customHeight="1" x14ac:dyDescent="0.25">
      <c r="A1953" s="75">
        <v>10</v>
      </c>
      <c r="B1953" s="75">
        <v>75</v>
      </c>
      <c r="C1953" s="75" t="s">
        <v>10</v>
      </c>
      <c r="D1953" s="75">
        <v>310</v>
      </c>
      <c r="F1953" s="75" t="s">
        <v>10</v>
      </c>
      <c r="H1953" s="75" t="s">
        <v>10</v>
      </c>
      <c r="I1953" s="75">
        <v>19489</v>
      </c>
      <c r="K1953" s="75" t="str">
        <f>IFERROR(VLOOKUP(J1953,'NQ10'!$B$9:$C$145,2,0),"")</f>
        <v/>
      </c>
    </row>
    <row r="1954" spans="1:11" ht="15" customHeight="1" x14ac:dyDescent="0.25">
      <c r="A1954" s="75">
        <v>10</v>
      </c>
      <c r="B1954" s="75">
        <v>78</v>
      </c>
      <c r="C1954" s="75" t="s">
        <v>10</v>
      </c>
      <c r="D1954" s="75">
        <v>273</v>
      </c>
      <c r="F1954" s="75" t="s">
        <v>10</v>
      </c>
      <c r="H1954" s="75" t="s">
        <v>10</v>
      </c>
      <c r="I1954" s="75">
        <v>19489</v>
      </c>
      <c r="K1954" s="75" t="str">
        <f>IFERROR(VLOOKUP(J1954,'NQ10'!$B$9:$C$145,2,0),"")</f>
        <v/>
      </c>
    </row>
    <row r="1955" spans="1:11" ht="15" customHeight="1" x14ac:dyDescent="0.25">
      <c r="A1955" s="75">
        <v>10</v>
      </c>
      <c r="B1955" s="75">
        <v>79</v>
      </c>
      <c r="C1955" s="75" t="s">
        <v>10</v>
      </c>
      <c r="D1955" s="75">
        <v>339</v>
      </c>
      <c r="F1955" s="75" t="s">
        <v>10</v>
      </c>
      <c r="H1955" s="75" t="s">
        <v>10</v>
      </c>
      <c r="I1955" s="75">
        <v>19489</v>
      </c>
      <c r="K1955" s="75" t="str">
        <f>IFERROR(VLOOKUP(J1955,'NQ10'!$B$9:$C$145,2,0),"")</f>
        <v/>
      </c>
    </row>
    <row r="1956" spans="1:11" ht="15" customHeight="1" x14ac:dyDescent="0.25">
      <c r="A1956" s="75">
        <v>10</v>
      </c>
      <c r="B1956" s="75">
        <v>80</v>
      </c>
      <c r="C1956" s="75" t="s">
        <v>10</v>
      </c>
      <c r="D1956" s="75">
        <v>332</v>
      </c>
      <c r="F1956" s="75" t="s">
        <v>10</v>
      </c>
      <c r="H1956" s="75" t="s">
        <v>10</v>
      </c>
      <c r="I1956" s="75">
        <v>19489</v>
      </c>
      <c r="K1956" s="75" t="str">
        <f>IFERROR(VLOOKUP(J1956,'NQ10'!$B$9:$C$145,2,0),"")</f>
        <v/>
      </c>
    </row>
    <row r="1957" spans="1:11" ht="15" customHeight="1" x14ac:dyDescent="0.25">
      <c r="A1957" s="75">
        <v>10</v>
      </c>
      <c r="B1957" s="75">
        <v>81</v>
      </c>
      <c r="C1957" s="75" t="s">
        <v>10</v>
      </c>
      <c r="D1957" s="75">
        <v>1990</v>
      </c>
      <c r="F1957" s="75" t="s">
        <v>10</v>
      </c>
      <c r="H1957" s="75" t="s">
        <v>10</v>
      </c>
      <c r="I1957" s="75">
        <v>19489</v>
      </c>
      <c r="K1957" s="75" t="str">
        <f>IFERROR(VLOOKUP(J1957,'NQ10'!$B$9:$C$145,2,0),"")</f>
        <v/>
      </c>
    </row>
    <row r="1958" spans="1:11" ht="15" customHeight="1" x14ac:dyDescent="0.25">
      <c r="A1958" s="75">
        <v>10</v>
      </c>
      <c r="B1958" s="75">
        <v>82</v>
      </c>
      <c r="C1958" s="75" t="s">
        <v>10</v>
      </c>
      <c r="D1958" s="75">
        <v>1440</v>
      </c>
      <c r="F1958" s="75" t="s">
        <v>10</v>
      </c>
      <c r="H1958" s="75" t="s">
        <v>10</v>
      </c>
      <c r="I1958" s="75">
        <v>19489</v>
      </c>
      <c r="K1958" s="75" t="str">
        <f>IFERROR(VLOOKUP(J1958,'NQ10'!$B$9:$C$145,2,0),"")</f>
        <v/>
      </c>
    </row>
    <row r="1959" spans="1:11" ht="15" customHeight="1" x14ac:dyDescent="0.25">
      <c r="A1959" s="75">
        <v>10</v>
      </c>
      <c r="B1959" s="75">
        <v>83</v>
      </c>
      <c r="C1959" s="75" t="s">
        <v>10</v>
      </c>
      <c r="D1959" s="75">
        <v>230</v>
      </c>
      <c r="F1959" s="75" t="s">
        <v>10</v>
      </c>
      <c r="H1959" s="75" t="s">
        <v>10</v>
      </c>
      <c r="I1959" s="75">
        <v>19489</v>
      </c>
      <c r="K1959" s="75" t="str">
        <f>IFERROR(VLOOKUP(J1959,'NQ10'!$B$9:$C$145,2,0),"")</f>
        <v/>
      </c>
    </row>
    <row r="1960" spans="1:11" ht="15" customHeight="1" x14ac:dyDescent="0.25">
      <c r="A1960" s="75">
        <v>10</v>
      </c>
      <c r="B1960" s="75">
        <v>84</v>
      </c>
      <c r="C1960" s="75" t="s">
        <v>10</v>
      </c>
      <c r="D1960" s="75">
        <v>130</v>
      </c>
      <c r="F1960" s="75" t="s">
        <v>10</v>
      </c>
      <c r="H1960" s="75" t="s">
        <v>10</v>
      </c>
      <c r="I1960" s="75">
        <v>19489</v>
      </c>
      <c r="K1960" s="75" t="str">
        <f>IFERROR(VLOOKUP(J1960,'NQ10'!$B$9:$C$145,2,0),"")</f>
        <v/>
      </c>
    </row>
    <row r="1961" spans="1:11" ht="15" customHeight="1" x14ac:dyDescent="0.25">
      <c r="A1961" s="75">
        <v>10</v>
      </c>
      <c r="B1961" s="75">
        <v>85</v>
      </c>
      <c r="C1961" s="75" t="s">
        <v>10</v>
      </c>
      <c r="D1961" s="75">
        <v>329</v>
      </c>
      <c r="F1961" s="75" t="s">
        <v>10</v>
      </c>
      <c r="H1961" s="75" t="s">
        <v>10</v>
      </c>
      <c r="I1961" s="75">
        <v>19489</v>
      </c>
      <c r="K1961" s="75" t="str">
        <f>IFERROR(VLOOKUP(J1961,'NQ10'!$B$9:$C$145,2,0),"")</f>
        <v/>
      </c>
    </row>
    <row r="1962" spans="1:11" ht="15" customHeight="1" x14ac:dyDescent="0.25">
      <c r="A1962" s="75">
        <v>10</v>
      </c>
      <c r="B1962" s="75">
        <v>86</v>
      </c>
      <c r="C1962" s="75" t="s">
        <v>10</v>
      </c>
      <c r="D1962" s="75">
        <v>326</v>
      </c>
      <c r="F1962" s="75" t="s">
        <v>10</v>
      </c>
      <c r="H1962" s="75" t="s">
        <v>10</v>
      </c>
      <c r="I1962" s="75">
        <v>19489</v>
      </c>
      <c r="K1962" s="75" t="str">
        <f>IFERROR(VLOOKUP(J1962,'NQ10'!$B$9:$C$145,2,0),"")</f>
        <v/>
      </c>
    </row>
    <row r="1963" spans="1:11" ht="15" customHeight="1" x14ac:dyDescent="0.25">
      <c r="A1963" s="75">
        <v>10</v>
      </c>
      <c r="B1963" s="75">
        <v>87</v>
      </c>
      <c r="C1963" s="75" t="s">
        <v>10</v>
      </c>
      <c r="D1963" s="75">
        <v>127</v>
      </c>
      <c r="F1963" s="75" t="s">
        <v>10</v>
      </c>
      <c r="H1963" s="75" t="s">
        <v>10</v>
      </c>
      <c r="I1963" s="75">
        <v>19489</v>
      </c>
      <c r="K1963" s="75" t="str">
        <f>IFERROR(VLOOKUP(J1963,'NQ10'!$B$9:$C$145,2,0),"")</f>
        <v/>
      </c>
    </row>
    <row r="1964" spans="1:11" ht="15" customHeight="1" x14ac:dyDescent="0.25">
      <c r="A1964" s="75">
        <v>10</v>
      </c>
      <c r="B1964" s="75">
        <v>88</v>
      </c>
      <c r="C1964" s="75" t="s">
        <v>10</v>
      </c>
      <c r="D1964" s="75">
        <v>141</v>
      </c>
      <c r="F1964" s="75" t="s">
        <v>10</v>
      </c>
      <c r="H1964" s="75" t="s">
        <v>10</v>
      </c>
      <c r="I1964" s="75">
        <v>19489</v>
      </c>
      <c r="K1964" s="75" t="str">
        <f>IFERROR(VLOOKUP(J1964,'NQ10'!$B$9:$C$145,2,0),"")</f>
        <v/>
      </c>
    </row>
    <row r="1965" spans="1:11" ht="15" customHeight="1" x14ac:dyDescent="0.25">
      <c r="A1965" s="75">
        <v>10</v>
      </c>
      <c r="B1965" s="75">
        <v>89</v>
      </c>
      <c r="C1965" s="75" t="s">
        <v>10</v>
      </c>
      <c r="D1965" s="75">
        <v>177</v>
      </c>
      <c r="F1965" s="75" t="s">
        <v>10</v>
      </c>
      <c r="H1965" s="75" t="s">
        <v>10</v>
      </c>
      <c r="I1965" s="75">
        <v>19489</v>
      </c>
      <c r="K1965" s="75" t="str">
        <f>IFERROR(VLOOKUP(J1965,'NQ10'!$B$9:$C$145,2,0),"")</f>
        <v/>
      </c>
    </row>
    <row r="1966" spans="1:11" ht="15" customHeight="1" x14ac:dyDescent="0.25">
      <c r="A1966" s="75">
        <v>10</v>
      </c>
      <c r="B1966" s="75">
        <v>90</v>
      </c>
      <c r="C1966" s="75" t="s">
        <v>10</v>
      </c>
      <c r="D1966" s="75">
        <v>306</v>
      </c>
      <c r="F1966" s="75" t="s">
        <v>10</v>
      </c>
      <c r="H1966" s="75" t="s">
        <v>10</v>
      </c>
      <c r="I1966" s="75">
        <v>19489</v>
      </c>
      <c r="K1966" s="75" t="str">
        <f>IFERROR(VLOOKUP(J1966,'NQ10'!$B$9:$C$145,2,0),"")</f>
        <v/>
      </c>
    </row>
    <row r="1967" spans="1:11" ht="15" customHeight="1" x14ac:dyDescent="0.25">
      <c r="A1967" s="75">
        <v>10</v>
      </c>
      <c r="B1967" s="75">
        <v>91</v>
      </c>
      <c r="C1967" s="75" t="s">
        <v>10</v>
      </c>
      <c r="D1967" s="75">
        <v>210</v>
      </c>
      <c r="F1967" s="75" t="s">
        <v>10</v>
      </c>
      <c r="H1967" s="75" t="s">
        <v>10</v>
      </c>
      <c r="I1967" s="75">
        <v>19489</v>
      </c>
      <c r="K1967" s="75" t="str">
        <f>IFERROR(VLOOKUP(J1967,'NQ10'!$B$9:$C$145,2,0),"")</f>
        <v/>
      </c>
    </row>
    <row r="1968" spans="1:11" ht="15" customHeight="1" x14ac:dyDescent="0.25">
      <c r="A1968" s="75">
        <v>10</v>
      </c>
      <c r="B1968" s="75">
        <v>92</v>
      </c>
      <c r="C1968" s="75" t="s">
        <v>10</v>
      </c>
      <c r="D1968" s="75">
        <v>88</v>
      </c>
      <c r="F1968" s="75" t="s">
        <v>10</v>
      </c>
      <c r="H1968" s="75" t="s">
        <v>10</v>
      </c>
      <c r="I1968" s="75">
        <v>19489</v>
      </c>
      <c r="K1968" s="75" t="str">
        <f>IFERROR(VLOOKUP(J1968,'NQ10'!$B$9:$C$145,2,0),"")</f>
        <v/>
      </c>
    </row>
    <row r="1969" spans="1:11" ht="15" customHeight="1" x14ac:dyDescent="0.25">
      <c r="A1969" s="75">
        <v>10</v>
      </c>
      <c r="B1969" s="75">
        <v>93</v>
      </c>
      <c r="C1969" s="75" t="s">
        <v>10</v>
      </c>
      <c r="D1969" s="75">
        <v>253</v>
      </c>
      <c r="F1969" s="75" t="s">
        <v>10</v>
      </c>
      <c r="H1969" s="75" t="s">
        <v>10</v>
      </c>
      <c r="I1969" s="75">
        <v>19489</v>
      </c>
      <c r="K1969" s="75" t="str">
        <f>IFERROR(VLOOKUP(J1969,'NQ10'!$B$9:$C$145,2,0),"")</f>
        <v/>
      </c>
    </row>
    <row r="1970" spans="1:11" ht="15" customHeight="1" x14ac:dyDescent="0.25">
      <c r="A1970" s="75">
        <v>10</v>
      </c>
      <c r="B1970" s="75">
        <v>96</v>
      </c>
      <c r="C1970" s="75" t="s">
        <v>10</v>
      </c>
      <c r="D1970" s="75">
        <v>245</v>
      </c>
      <c r="F1970" s="75" t="s">
        <v>10</v>
      </c>
      <c r="H1970" s="75" t="s">
        <v>10</v>
      </c>
      <c r="I1970" s="75">
        <v>19489</v>
      </c>
      <c r="K1970" s="75" t="str">
        <f>IFERROR(VLOOKUP(J1970,'NQ10'!$B$9:$C$145,2,0),"")</f>
        <v/>
      </c>
    </row>
    <row r="1971" spans="1:11" ht="15" customHeight="1" x14ac:dyDescent="0.25">
      <c r="A1971" s="75">
        <v>10</v>
      </c>
      <c r="B1971" s="75">
        <v>97</v>
      </c>
      <c r="C1971" s="75" t="s">
        <v>10</v>
      </c>
      <c r="D1971" s="75">
        <v>145</v>
      </c>
      <c r="F1971" s="75" t="s">
        <v>10</v>
      </c>
      <c r="H1971" s="75" t="s">
        <v>10</v>
      </c>
      <c r="I1971" s="75">
        <v>19489</v>
      </c>
      <c r="K1971" s="75" t="str">
        <f>IFERROR(VLOOKUP(J1971,'NQ10'!$B$9:$C$145,2,0),"")</f>
        <v/>
      </c>
    </row>
    <row r="1972" spans="1:11" ht="15" customHeight="1" x14ac:dyDescent="0.25">
      <c r="A1972" s="75">
        <v>10</v>
      </c>
      <c r="B1972" s="75">
        <v>98</v>
      </c>
      <c r="C1972" s="75" t="s">
        <v>10</v>
      </c>
      <c r="D1972" s="75">
        <v>89</v>
      </c>
      <c r="F1972" s="75" t="s">
        <v>10</v>
      </c>
      <c r="H1972" s="75" t="s">
        <v>10</v>
      </c>
      <c r="I1972" s="75">
        <v>19489</v>
      </c>
      <c r="K1972" s="75" t="str">
        <f>IFERROR(VLOOKUP(J1972,'NQ10'!$B$9:$C$145,2,0),"")</f>
        <v/>
      </c>
    </row>
    <row r="1973" spans="1:11" ht="15" customHeight="1" x14ac:dyDescent="0.25">
      <c r="A1973" s="75">
        <v>10</v>
      </c>
      <c r="B1973" s="75">
        <v>99</v>
      </c>
      <c r="C1973" s="75" t="s">
        <v>10</v>
      </c>
      <c r="D1973" s="75">
        <v>86</v>
      </c>
      <c r="F1973" s="75" t="s">
        <v>10</v>
      </c>
      <c r="H1973" s="75" t="s">
        <v>10</v>
      </c>
      <c r="I1973" s="75">
        <v>19489</v>
      </c>
      <c r="K1973" s="75" t="str">
        <f>IFERROR(VLOOKUP(J1973,'NQ10'!$B$9:$C$145,2,0),"")</f>
        <v/>
      </c>
    </row>
    <row r="1974" spans="1:11" ht="15" customHeight="1" x14ac:dyDescent="0.25">
      <c r="A1974" s="75">
        <v>10</v>
      </c>
      <c r="B1974" s="75">
        <v>100</v>
      </c>
      <c r="C1974" s="75" t="s">
        <v>10</v>
      </c>
      <c r="D1974" s="75">
        <v>425</v>
      </c>
      <c r="F1974" s="75" t="s">
        <v>10</v>
      </c>
      <c r="H1974" s="75" t="s">
        <v>10</v>
      </c>
      <c r="I1974" s="75">
        <v>19489</v>
      </c>
      <c r="K1974" s="75" t="str">
        <f>IFERROR(VLOOKUP(J1974,'NQ10'!$B$9:$C$145,2,0),"")</f>
        <v/>
      </c>
    </row>
    <row r="1975" spans="1:11" ht="15" customHeight="1" x14ac:dyDescent="0.25">
      <c r="A1975" s="75">
        <v>10</v>
      </c>
      <c r="B1975" s="75">
        <v>101</v>
      </c>
      <c r="C1975" s="75" t="s">
        <v>10</v>
      </c>
      <c r="D1975" s="75">
        <v>125</v>
      </c>
      <c r="F1975" s="75" t="s">
        <v>10</v>
      </c>
      <c r="H1975" s="75" t="s">
        <v>10</v>
      </c>
      <c r="I1975" s="75">
        <v>19489</v>
      </c>
      <c r="K1975" s="75" t="str">
        <f>IFERROR(VLOOKUP(J1975,'NQ10'!$B$9:$C$145,2,0),"")</f>
        <v/>
      </c>
    </row>
    <row r="1976" spans="1:11" ht="15" customHeight="1" x14ac:dyDescent="0.25">
      <c r="A1976" s="75">
        <v>10</v>
      </c>
      <c r="B1976" s="75">
        <v>102</v>
      </c>
      <c r="C1976" s="75" t="s">
        <v>10</v>
      </c>
      <c r="D1976" s="75">
        <v>241</v>
      </c>
      <c r="F1976" s="75" t="s">
        <v>10</v>
      </c>
      <c r="H1976" s="75" t="s">
        <v>10</v>
      </c>
      <c r="I1976" s="75">
        <v>19489</v>
      </c>
      <c r="K1976" s="75" t="str">
        <f>IFERROR(VLOOKUP(J1976,'NQ10'!$B$9:$C$145,2,0),"")</f>
        <v/>
      </c>
    </row>
    <row r="1977" spans="1:11" ht="15" customHeight="1" x14ac:dyDescent="0.25">
      <c r="A1977" s="75">
        <v>10</v>
      </c>
      <c r="B1977" s="75">
        <v>103</v>
      </c>
      <c r="C1977" s="75" t="s">
        <v>10</v>
      </c>
      <c r="D1977" s="75">
        <v>446</v>
      </c>
      <c r="F1977" s="75" t="s">
        <v>10</v>
      </c>
      <c r="H1977" s="75" t="s">
        <v>10</v>
      </c>
      <c r="I1977" s="75">
        <v>19489</v>
      </c>
      <c r="K1977" s="75" t="str">
        <f>IFERROR(VLOOKUP(J1977,'NQ10'!$B$9:$C$145,2,0),"")</f>
        <v/>
      </c>
    </row>
    <row r="1978" spans="1:11" ht="15" customHeight="1" x14ac:dyDescent="0.25">
      <c r="A1978" s="75">
        <v>10</v>
      </c>
      <c r="B1978" s="75">
        <v>104</v>
      </c>
      <c r="C1978" s="75" t="s">
        <v>10</v>
      </c>
      <c r="D1978" s="75">
        <v>133</v>
      </c>
      <c r="F1978" s="75" t="s">
        <v>10</v>
      </c>
      <c r="H1978" s="75" t="s">
        <v>10</v>
      </c>
      <c r="I1978" s="75">
        <v>19489</v>
      </c>
      <c r="K1978" s="75" t="str">
        <f>IFERROR(VLOOKUP(J1978,'NQ10'!$B$9:$C$145,2,0),"")</f>
        <v/>
      </c>
    </row>
    <row r="1979" spans="1:11" ht="15" customHeight="1" x14ac:dyDescent="0.25">
      <c r="A1979" s="75">
        <v>10</v>
      </c>
      <c r="B1979" s="75">
        <v>105</v>
      </c>
      <c r="C1979" s="75" t="s">
        <v>10</v>
      </c>
      <c r="D1979" s="75">
        <v>542</v>
      </c>
      <c r="F1979" s="75" t="s">
        <v>10</v>
      </c>
      <c r="H1979" s="75" t="s">
        <v>10</v>
      </c>
      <c r="I1979" s="75">
        <v>19489</v>
      </c>
      <c r="K1979" s="75" t="str">
        <f>IFERROR(VLOOKUP(J1979,'NQ10'!$B$9:$C$145,2,0),"")</f>
        <v/>
      </c>
    </row>
    <row r="1980" spans="1:11" ht="15" customHeight="1" x14ac:dyDescent="0.25">
      <c r="A1980" s="75">
        <v>10</v>
      </c>
      <c r="B1980" s="75">
        <v>106</v>
      </c>
      <c r="C1980" s="75" t="s">
        <v>10</v>
      </c>
      <c r="D1980" s="75">
        <v>632</v>
      </c>
      <c r="F1980" s="75" t="s">
        <v>10</v>
      </c>
      <c r="H1980" s="75" t="s">
        <v>10</v>
      </c>
      <c r="I1980" s="75">
        <v>19489</v>
      </c>
      <c r="K1980" s="75" t="str">
        <f>IFERROR(VLOOKUP(J1980,'NQ10'!$B$9:$C$145,2,0),"")</f>
        <v/>
      </c>
    </row>
    <row r="1981" spans="1:11" ht="15" customHeight="1" x14ac:dyDescent="0.25">
      <c r="A1981" s="75">
        <v>10</v>
      </c>
      <c r="B1981" s="75">
        <v>107</v>
      </c>
      <c r="C1981" s="75" t="s">
        <v>10</v>
      </c>
      <c r="D1981" s="75">
        <v>2005</v>
      </c>
      <c r="F1981" s="75" t="s">
        <v>10</v>
      </c>
      <c r="H1981" s="75" t="s">
        <v>10</v>
      </c>
      <c r="I1981" s="75">
        <v>19489</v>
      </c>
      <c r="K1981" s="75" t="str">
        <f>IFERROR(VLOOKUP(J1981,'NQ10'!$B$9:$C$145,2,0),"")</f>
        <v/>
      </c>
    </row>
    <row r="1982" spans="1:11" ht="15" customHeight="1" x14ac:dyDescent="0.25">
      <c r="A1982" s="75">
        <v>10</v>
      </c>
      <c r="B1982" s="75">
        <v>108</v>
      </c>
      <c r="C1982" s="75" t="s">
        <v>10</v>
      </c>
      <c r="D1982" s="75">
        <v>317</v>
      </c>
      <c r="F1982" s="75" t="s">
        <v>10</v>
      </c>
      <c r="H1982" s="75" t="s">
        <v>10</v>
      </c>
      <c r="I1982" s="75">
        <v>19489</v>
      </c>
      <c r="K1982" s="75" t="str">
        <f>IFERROR(VLOOKUP(J1982,'NQ10'!$B$9:$C$145,2,0),"")</f>
        <v/>
      </c>
    </row>
    <row r="1983" spans="1:11" ht="15" customHeight="1" x14ac:dyDescent="0.25">
      <c r="A1983" s="75">
        <v>10</v>
      </c>
      <c r="B1983" s="75">
        <v>109</v>
      </c>
      <c r="C1983" s="75" t="s">
        <v>10</v>
      </c>
      <c r="D1983" s="75">
        <v>340</v>
      </c>
      <c r="F1983" s="75" t="s">
        <v>10</v>
      </c>
      <c r="H1983" s="75" t="s">
        <v>10</v>
      </c>
      <c r="I1983" s="75">
        <v>19489</v>
      </c>
      <c r="K1983" s="75" t="str">
        <f>IFERROR(VLOOKUP(J1983,'NQ10'!$B$9:$C$145,2,0),"")</f>
        <v/>
      </c>
    </row>
    <row r="1984" spans="1:11" ht="15" customHeight="1" x14ac:dyDescent="0.25">
      <c r="A1984" s="75">
        <v>10</v>
      </c>
      <c r="B1984" s="75">
        <v>110</v>
      </c>
      <c r="C1984" s="75" t="s">
        <v>10</v>
      </c>
      <c r="D1984" s="75">
        <v>452</v>
      </c>
      <c r="F1984" s="75" t="s">
        <v>10</v>
      </c>
      <c r="H1984" s="75" t="s">
        <v>10</v>
      </c>
      <c r="I1984" s="75">
        <v>19489</v>
      </c>
      <c r="K1984" s="75" t="str">
        <f>IFERROR(VLOOKUP(J1984,'NQ10'!$B$9:$C$145,2,0),"")</f>
        <v/>
      </c>
    </row>
    <row r="1985" spans="1:11" ht="15" customHeight="1" x14ac:dyDescent="0.25">
      <c r="A1985" s="75">
        <v>10</v>
      </c>
      <c r="B1985" s="75">
        <v>111</v>
      </c>
      <c r="C1985" s="75" t="s">
        <v>10</v>
      </c>
      <c r="D1985" s="75">
        <v>87</v>
      </c>
      <c r="F1985" s="75" t="s">
        <v>10</v>
      </c>
      <c r="H1985" s="75" t="s">
        <v>10</v>
      </c>
      <c r="I1985" s="75">
        <v>19489</v>
      </c>
      <c r="K1985" s="75" t="str">
        <f>IFERROR(VLOOKUP(J1985,'NQ10'!$B$9:$C$145,2,0),"")</f>
        <v/>
      </c>
    </row>
    <row r="1986" spans="1:11" ht="15" customHeight="1" x14ac:dyDescent="0.25">
      <c r="A1986" s="75">
        <v>10</v>
      </c>
      <c r="B1986" s="75">
        <v>114</v>
      </c>
      <c r="C1986" s="75" t="s">
        <v>10</v>
      </c>
      <c r="D1986" s="75">
        <v>197</v>
      </c>
      <c r="F1986" s="75" t="s">
        <v>10</v>
      </c>
      <c r="H1986" s="75" t="s">
        <v>10</v>
      </c>
      <c r="I1986" s="75">
        <v>19489</v>
      </c>
      <c r="K1986" s="75" t="str">
        <f>IFERROR(VLOOKUP(J1986,'NQ10'!$B$9:$C$145,2,0),"")</f>
        <v/>
      </c>
    </row>
    <row r="1987" spans="1:11" ht="15" customHeight="1" x14ac:dyDescent="0.25">
      <c r="A1987" s="75">
        <v>10</v>
      </c>
      <c r="B1987" s="75">
        <v>115</v>
      </c>
      <c r="C1987" s="75" t="s">
        <v>10</v>
      </c>
      <c r="D1987" s="75">
        <v>461</v>
      </c>
      <c r="F1987" s="75" t="s">
        <v>10</v>
      </c>
      <c r="H1987" s="75" t="s">
        <v>10</v>
      </c>
      <c r="I1987" s="75">
        <v>19489</v>
      </c>
      <c r="K1987" s="75" t="str">
        <f>IFERROR(VLOOKUP(J1987,'NQ10'!$B$9:$C$145,2,0),"")</f>
        <v/>
      </c>
    </row>
    <row r="1988" spans="1:11" ht="15" customHeight="1" x14ac:dyDescent="0.25">
      <c r="A1988" s="75">
        <v>10</v>
      </c>
      <c r="B1988" s="75">
        <v>116</v>
      </c>
      <c r="C1988" s="75" t="s">
        <v>10</v>
      </c>
      <c r="D1988" s="75">
        <v>174</v>
      </c>
      <c r="F1988" s="75" t="s">
        <v>10</v>
      </c>
      <c r="H1988" s="75" t="s">
        <v>10</v>
      </c>
      <c r="I1988" s="75">
        <v>19489</v>
      </c>
      <c r="K1988" s="75" t="str">
        <f>IFERROR(VLOOKUP(J1988,'NQ10'!$B$9:$C$145,2,0),"")</f>
        <v/>
      </c>
    </row>
    <row r="1989" spans="1:11" ht="15" customHeight="1" x14ac:dyDescent="0.25">
      <c r="A1989" s="75">
        <v>10</v>
      </c>
      <c r="B1989" s="75">
        <v>117</v>
      </c>
      <c r="C1989" s="75" t="s">
        <v>10</v>
      </c>
      <c r="D1989" s="75">
        <v>115</v>
      </c>
      <c r="F1989" s="75" t="s">
        <v>10</v>
      </c>
      <c r="H1989" s="75" t="s">
        <v>10</v>
      </c>
      <c r="I1989" s="75">
        <v>19489</v>
      </c>
      <c r="K1989" s="75" t="str">
        <f>IFERROR(VLOOKUP(J1989,'NQ10'!$B$9:$C$145,2,0),"")</f>
        <v/>
      </c>
    </row>
    <row r="1990" spans="1:11" ht="15" customHeight="1" x14ac:dyDescent="0.25">
      <c r="A1990" s="75">
        <v>10</v>
      </c>
      <c r="B1990" s="75">
        <v>118</v>
      </c>
      <c r="C1990" s="75" t="s">
        <v>10</v>
      </c>
      <c r="D1990" s="75">
        <v>133</v>
      </c>
      <c r="F1990" s="75" t="s">
        <v>10</v>
      </c>
      <c r="H1990" s="75" t="s">
        <v>10</v>
      </c>
      <c r="I1990" s="75">
        <v>19489</v>
      </c>
      <c r="K1990" s="75" t="str">
        <f>IFERROR(VLOOKUP(J1990,'NQ10'!$B$9:$C$145,2,0),"")</f>
        <v/>
      </c>
    </row>
    <row r="1991" spans="1:11" ht="15" customHeight="1" x14ac:dyDescent="0.25">
      <c r="A1991" s="75">
        <v>10</v>
      </c>
      <c r="B1991" s="75">
        <v>119</v>
      </c>
      <c r="C1991" s="75" t="s">
        <v>10</v>
      </c>
      <c r="D1991" s="75">
        <v>120</v>
      </c>
      <c r="F1991" s="75" t="s">
        <v>10</v>
      </c>
      <c r="H1991" s="75" t="s">
        <v>10</v>
      </c>
      <c r="I1991" s="75">
        <v>19489</v>
      </c>
      <c r="K1991" s="75" t="str">
        <f>IFERROR(VLOOKUP(J1991,'NQ10'!$B$9:$C$145,2,0),"")</f>
        <v/>
      </c>
    </row>
    <row r="1992" spans="1:11" ht="15" customHeight="1" x14ac:dyDescent="0.25">
      <c r="A1992" s="75">
        <v>10</v>
      </c>
      <c r="B1992" s="75">
        <v>120</v>
      </c>
      <c r="C1992" s="75" t="s">
        <v>10</v>
      </c>
      <c r="D1992" s="75">
        <v>264</v>
      </c>
      <c r="F1992" s="75" t="s">
        <v>10</v>
      </c>
      <c r="H1992" s="75" t="s">
        <v>10</v>
      </c>
      <c r="I1992" s="75">
        <v>19489</v>
      </c>
      <c r="K1992" s="75" t="str">
        <f>IFERROR(VLOOKUP(J1992,'NQ10'!$B$9:$C$145,2,0),"")</f>
        <v/>
      </c>
    </row>
    <row r="1993" spans="1:11" ht="15" customHeight="1" x14ac:dyDescent="0.25">
      <c r="A1993" s="75">
        <v>10</v>
      </c>
      <c r="B1993" s="75">
        <v>122</v>
      </c>
      <c r="C1993" s="75" t="s">
        <v>10</v>
      </c>
      <c r="D1993" s="75">
        <v>226</v>
      </c>
      <c r="F1993" s="75" t="s">
        <v>10</v>
      </c>
      <c r="H1993" s="75" t="s">
        <v>10</v>
      </c>
      <c r="I1993" s="75">
        <v>19489</v>
      </c>
      <c r="K1993" s="75" t="str">
        <f>IFERROR(VLOOKUP(J1993,'NQ10'!$B$9:$C$145,2,0),"")</f>
        <v/>
      </c>
    </row>
    <row r="1994" spans="1:11" ht="15" customHeight="1" x14ac:dyDescent="0.25">
      <c r="A1994" s="75">
        <v>10</v>
      </c>
      <c r="B1994" s="75">
        <v>123</v>
      </c>
      <c r="C1994" s="75" t="s">
        <v>10</v>
      </c>
      <c r="D1994" s="75">
        <v>143</v>
      </c>
      <c r="F1994" s="75" t="s">
        <v>10</v>
      </c>
      <c r="H1994" s="75" t="s">
        <v>10</v>
      </c>
      <c r="I1994" s="75">
        <v>19489</v>
      </c>
      <c r="K1994" s="75" t="str">
        <f>IFERROR(VLOOKUP(J1994,'NQ10'!$B$9:$C$145,2,0),"")</f>
        <v/>
      </c>
    </row>
    <row r="1995" spans="1:11" ht="15" customHeight="1" x14ac:dyDescent="0.25">
      <c r="A1995" s="75">
        <v>10</v>
      </c>
      <c r="B1995" s="75">
        <v>124</v>
      </c>
      <c r="C1995" s="75" t="s">
        <v>10</v>
      </c>
      <c r="D1995" s="75">
        <v>247</v>
      </c>
      <c r="F1995" s="75" t="s">
        <v>10</v>
      </c>
      <c r="H1995" s="75" t="s">
        <v>10</v>
      </c>
      <c r="I1995" s="75">
        <v>19489</v>
      </c>
      <c r="K1995" s="75" t="str">
        <f>IFERROR(VLOOKUP(J1995,'NQ10'!$B$9:$C$145,2,0),"")</f>
        <v/>
      </c>
    </row>
    <row r="1996" spans="1:11" ht="15" customHeight="1" x14ac:dyDescent="0.25">
      <c r="A1996" s="75">
        <v>10</v>
      </c>
      <c r="B1996" s="75">
        <v>125</v>
      </c>
      <c r="C1996" s="75" t="s">
        <v>10</v>
      </c>
      <c r="D1996" s="75">
        <v>381</v>
      </c>
      <c r="F1996" s="75" t="s">
        <v>10</v>
      </c>
      <c r="H1996" s="75" t="s">
        <v>10</v>
      </c>
      <c r="I1996" s="75">
        <v>19489</v>
      </c>
      <c r="K1996" s="75" t="str">
        <f>IFERROR(VLOOKUP(J1996,'NQ10'!$B$9:$C$145,2,0),"")</f>
        <v/>
      </c>
    </row>
    <row r="1997" spans="1:11" ht="15" customHeight="1" x14ac:dyDescent="0.25">
      <c r="A1997" s="75">
        <v>10</v>
      </c>
      <c r="B1997" s="75">
        <v>126</v>
      </c>
      <c r="C1997" s="75" t="s">
        <v>10</v>
      </c>
      <c r="D1997" s="75">
        <v>411</v>
      </c>
      <c r="F1997" s="75" t="s">
        <v>10</v>
      </c>
      <c r="H1997" s="75" t="s">
        <v>10</v>
      </c>
      <c r="I1997" s="75">
        <v>19489</v>
      </c>
      <c r="K1997" s="75" t="str">
        <f>IFERROR(VLOOKUP(J1997,'NQ10'!$B$9:$C$145,2,0),"")</f>
        <v/>
      </c>
    </row>
    <row r="1998" spans="1:11" ht="15" customHeight="1" x14ac:dyDescent="0.25">
      <c r="A1998" s="75">
        <v>10</v>
      </c>
      <c r="B1998" s="75">
        <v>127</v>
      </c>
      <c r="C1998" s="75" t="s">
        <v>10</v>
      </c>
      <c r="D1998" s="75">
        <v>535</v>
      </c>
      <c r="F1998" s="75" t="s">
        <v>10</v>
      </c>
      <c r="H1998" s="75" t="s">
        <v>10</v>
      </c>
      <c r="I1998" s="75">
        <v>19489</v>
      </c>
      <c r="K1998" s="75" t="str">
        <f>IFERROR(VLOOKUP(J1998,'NQ10'!$B$9:$C$145,2,0),"")</f>
        <v/>
      </c>
    </row>
    <row r="1999" spans="1:11" ht="15" customHeight="1" x14ac:dyDescent="0.25">
      <c r="A1999" s="75">
        <v>10</v>
      </c>
      <c r="B1999" s="75">
        <v>128</v>
      </c>
      <c r="C1999" s="75" t="s">
        <v>10</v>
      </c>
      <c r="D1999" s="75">
        <v>228</v>
      </c>
      <c r="F1999" s="75" t="s">
        <v>10</v>
      </c>
      <c r="H1999" s="75" t="s">
        <v>10</v>
      </c>
      <c r="I1999" s="75">
        <v>19489</v>
      </c>
      <c r="K1999" s="75" t="str">
        <f>IFERROR(VLOOKUP(J1999,'NQ10'!$B$9:$C$145,2,0),"")</f>
        <v/>
      </c>
    </row>
    <row r="2000" spans="1:11" ht="15" customHeight="1" x14ac:dyDescent="0.25">
      <c r="A2000" s="75">
        <v>10</v>
      </c>
      <c r="B2000" s="75">
        <v>129</v>
      </c>
      <c r="C2000" s="75" t="s">
        <v>10</v>
      </c>
      <c r="D2000" s="75">
        <v>165</v>
      </c>
      <c r="F2000" s="75" t="s">
        <v>10</v>
      </c>
      <c r="H2000" s="75" t="s">
        <v>10</v>
      </c>
      <c r="I2000" s="75">
        <v>19489</v>
      </c>
      <c r="K2000" s="75" t="str">
        <f>IFERROR(VLOOKUP(J2000,'NQ10'!$B$9:$C$145,2,0),"")</f>
        <v/>
      </c>
    </row>
    <row r="2001" spans="1:11" ht="15" customHeight="1" x14ac:dyDescent="0.25">
      <c r="A2001" s="75">
        <v>10</v>
      </c>
      <c r="B2001" s="75">
        <v>130</v>
      </c>
      <c r="C2001" s="75" t="s">
        <v>10</v>
      </c>
      <c r="D2001" s="75">
        <v>144</v>
      </c>
      <c r="F2001" s="75" t="s">
        <v>10</v>
      </c>
      <c r="H2001" s="75" t="s">
        <v>10</v>
      </c>
      <c r="I2001" s="75">
        <v>19489</v>
      </c>
      <c r="K2001" s="75" t="str">
        <f>IFERROR(VLOOKUP(J2001,'NQ10'!$B$9:$C$145,2,0),"")</f>
        <v/>
      </c>
    </row>
    <row r="2002" spans="1:11" ht="15" customHeight="1" x14ac:dyDescent="0.25">
      <c r="A2002" s="75">
        <v>10</v>
      </c>
      <c r="B2002" s="75">
        <v>131</v>
      </c>
      <c r="C2002" s="75" t="s">
        <v>10</v>
      </c>
      <c r="D2002" s="75">
        <v>244</v>
      </c>
      <c r="F2002" s="75" t="s">
        <v>10</v>
      </c>
      <c r="H2002" s="75" t="s">
        <v>10</v>
      </c>
      <c r="I2002" s="75">
        <v>19489</v>
      </c>
      <c r="K2002" s="75" t="str">
        <f>IFERROR(VLOOKUP(J2002,'NQ10'!$B$9:$C$145,2,0),"")</f>
        <v/>
      </c>
    </row>
    <row r="2003" spans="1:11" ht="15" customHeight="1" x14ac:dyDescent="0.25">
      <c r="A2003" s="75">
        <v>10</v>
      </c>
      <c r="B2003" s="75">
        <v>132</v>
      </c>
      <c r="C2003" s="75" t="s">
        <v>10</v>
      </c>
      <c r="D2003" s="75">
        <v>441</v>
      </c>
      <c r="F2003" s="75" t="s">
        <v>10</v>
      </c>
      <c r="H2003" s="75" t="s">
        <v>10</v>
      </c>
      <c r="I2003" s="75">
        <v>19489</v>
      </c>
      <c r="K2003" s="75" t="str">
        <f>IFERROR(VLOOKUP(J2003,'NQ10'!$B$9:$C$145,2,0),"")</f>
        <v/>
      </c>
    </row>
    <row r="2004" spans="1:11" ht="15" customHeight="1" x14ac:dyDescent="0.25">
      <c r="A2004" s="75">
        <v>10</v>
      </c>
      <c r="B2004" s="75">
        <v>133</v>
      </c>
      <c r="C2004" s="75" t="s">
        <v>10</v>
      </c>
      <c r="D2004" s="75">
        <v>3144</v>
      </c>
      <c r="F2004" s="75" t="s">
        <v>10</v>
      </c>
      <c r="H2004" s="75" t="s">
        <v>10</v>
      </c>
      <c r="I2004" s="75">
        <v>19489</v>
      </c>
      <c r="K2004" s="75" t="str">
        <f>IFERROR(VLOOKUP(J2004,'NQ10'!$B$9:$C$145,2,0),"")</f>
        <v/>
      </c>
    </row>
    <row r="2005" spans="1:11" ht="15" customHeight="1" x14ac:dyDescent="0.25">
      <c r="A2005" s="75">
        <v>10</v>
      </c>
      <c r="B2005" s="75">
        <v>134</v>
      </c>
      <c r="C2005" s="75" t="s">
        <v>10</v>
      </c>
      <c r="D2005" s="75">
        <v>943</v>
      </c>
      <c r="F2005" s="75" t="s">
        <v>10</v>
      </c>
      <c r="H2005" s="75" t="s">
        <v>10</v>
      </c>
      <c r="I2005" s="75">
        <v>19489</v>
      </c>
      <c r="K2005" s="75" t="str">
        <f>IFERROR(VLOOKUP(J2005,'NQ10'!$B$9:$C$145,2,0),"")</f>
        <v/>
      </c>
    </row>
    <row r="2006" spans="1:11" ht="15" customHeight="1" x14ac:dyDescent="0.25">
      <c r="A2006" s="75">
        <v>10</v>
      </c>
      <c r="B2006" s="75">
        <v>135</v>
      </c>
      <c r="C2006" s="75" t="s">
        <v>10</v>
      </c>
      <c r="D2006" s="75">
        <v>482</v>
      </c>
      <c r="F2006" s="75" t="s">
        <v>10</v>
      </c>
      <c r="H2006" s="75" t="s">
        <v>10</v>
      </c>
      <c r="I2006" s="75">
        <v>19489</v>
      </c>
      <c r="K2006" s="75" t="str">
        <f>IFERROR(VLOOKUP(J2006,'NQ10'!$B$9:$C$145,2,0),"")</f>
        <v/>
      </c>
    </row>
    <row r="2007" spans="1:11" ht="15" customHeight="1" x14ac:dyDescent="0.25">
      <c r="A2007" s="75">
        <v>10</v>
      </c>
      <c r="B2007" s="75">
        <v>136</v>
      </c>
      <c r="C2007" s="75" t="s">
        <v>10</v>
      </c>
      <c r="D2007" s="75">
        <v>406</v>
      </c>
      <c r="F2007" s="75" t="s">
        <v>10</v>
      </c>
      <c r="H2007" s="75" t="s">
        <v>10</v>
      </c>
      <c r="I2007" s="75">
        <v>19489</v>
      </c>
      <c r="K2007" s="75" t="str">
        <f>IFERROR(VLOOKUP(J2007,'NQ10'!$B$9:$C$145,2,0),"")</f>
        <v/>
      </c>
    </row>
    <row r="2008" spans="1:11" ht="15" customHeight="1" x14ac:dyDescent="0.25">
      <c r="A2008" s="75">
        <v>10</v>
      </c>
      <c r="B2008" s="75">
        <v>137</v>
      </c>
      <c r="C2008" s="75" t="s">
        <v>10</v>
      </c>
      <c r="D2008" s="75">
        <v>441</v>
      </c>
      <c r="F2008" s="75" t="s">
        <v>10</v>
      </c>
      <c r="H2008" s="75" t="s">
        <v>10</v>
      </c>
      <c r="I2008" s="75">
        <v>19489</v>
      </c>
      <c r="K2008" s="75" t="str">
        <f>IFERROR(VLOOKUP(J2008,'NQ10'!$B$9:$C$145,2,0),"")</f>
        <v/>
      </c>
    </row>
    <row r="2009" spans="1:11" ht="15" customHeight="1" x14ac:dyDescent="0.25">
      <c r="A2009" s="75">
        <v>10</v>
      </c>
      <c r="B2009" s="75">
        <v>138</v>
      </c>
      <c r="C2009" s="75" t="s">
        <v>10</v>
      </c>
      <c r="D2009" s="75">
        <v>341</v>
      </c>
      <c r="F2009" s="75" t="s">
        <v>10</v>
      </c>
      <c r="H2009" s="75" t="s">
        <v>10</v>
      </c>
      <c r="I2009" s="75">
        <v>19489</v>
      </c>
      <c r="K2009" s="75" t="str">
        <f>IFERROR(VLOOKUP(J2009,'NQ10'!$B$9:$C$145,2,0),"")</f>
        <v/>
      </c>
    </row>
    <row r="2010" spans="1:11" ht="15" customHeight="1" x14ac:dyDescent="0.25">
      <c r="A2010" s="75">
        <v>10</v>
      </c>
      <c r="B2010" s="75">
        <v>139</v>
      </c>
      <c r="C2010" s="75" t="s">
        <v>10</v>
      </c>
      <c r="D2010" s="75">
        <v>534</v>
      </c>
      <c r="F2010" s="75" t="s">
        <v>10</v>
      </c>
      <c r="H2010" s="75" t="s">
        <v>10</v>
      </c>
      <c r="I2010" s="75">
        <v>19489</v>
      </c>
      <c r="K2010" s="75" t="str">
        <f>IFERROR(VLOOKUP(J2010,'NQ10'!$B$9:$C$145,2,0),"")</f>
        <v/>
      </c>
    </row>
    <row r="2011" spans="1:11" ht="15" customHeight="1" x14ac:dyDescent="0.25">
      <c r="A2011" s="75">
        <v>10</v>
      </c>
      <c r="B2011" s="75">
        <v>140</v>
      </c>
      <c r="C2011" s="75" t="s">
        <v>10</v>
      </c>
      <c r="D2011" s="75">
        <v>388</v>
      </c>
      <c r="F2011" s="75" t="s">
        <v>10</v>
      </c>
      <c r="H2011" s="75" t="s">
        <v>10</v>
      </c>
      <c r="I2011" s="75">
        <v>19489</v>
      </c>
      <c r="K2011" s="75" t="str">
        <f>IFERROR(VLOOKUP(J2011,'NQ10'!$B$9:$C$145,2,0),"")</f>
        <v/>
      </c>
    </row>
    <row r="2012" spans="1:11" ht="15" customHeight="1" x14ac:dyDescent="0.25">
      <c r="A2012" s="75">
        <v>10</v>
      </c>
      <c r="B2012" s="75">
        <v>141</v>
      </c>
      <c r="C2012" s="75" t="s">
        <v>10</v>
      </c>
      <c r="D2012" s="75">
        <v>306</v>
      </c>
      <c r="F2012" s="75" t="s">
        <v>10</v>
      </c>
      <c r="H2012" s="75" t="s">
        <v>10</v>
      </c>
      <c r="I2012" s="75">
        <v>19489</v>
      </c>
      <c r="K2012" s="75" t="str">
        <f>IFERROR(VLOOKUP(J2012,'NQ10'!$B$9:$C$145,2,0),"")</f>
        <v/>
      </c>
    </row>
    <row r="2013" spans="1:11" ht="15" customHeight="1" x14ac:dyDescent="0.25">
      <c r="A2013" s="75">
        <v>10</v>
      </c>
      <c r="B2013" s="75">
        <v>142</v>
      </c>
      <c r="C2013" s="75" t="s">
        <v>10</v>
      </c>
      <c r="D2013" s="75">
        <v>224</v>
      </c>
      <c r="F2013" s="75" t="s">
        <v>10</v>
      </c>
      <c r="H2013" s="75" t="s">
        <v>10</v>
      </c>
      <c r="I2013" s="75">
        <v>19489</v>
      </c>
      <c r="K2013" s="75" t="str">
        <f>IFERROR(VLOOKUP(J2013,'NQ10'!$B$9:$C$145,2,0),"")</f>
        <v/>
      </c>
    </row>
    <row r="2014" spans="1:11" ht="15" customHeight="1" x14ac:dyDescent="0.25">
      <c r="A2014" s="75">
        <v>10</v>
      </c>
      <c r="B2014" s="75">
        <v>143</v>
      </c>
      <c r="C2014" s="75" t="s">
        <v>10</v>
      </c>
      <c r="D2014" s="75">
        <v>383</v>
      </c>
      <c r="F2014" s="75" t="s">
        <v>10</v>
      </c>
      <c r="H2014" s="75" t="s">
        <v>10</v>
      </c>
      <c r="I2014" s="75">
        <v>19489</v>
      </c>
      <c r="K2014" s="75" t="str">
        <f>IFERROR(VLOOKUP(J2014,'NQ10'!$B$9:$C$145,2,0),"")</f>
        <v/>
      </c>
    </row>
    <row r="2015" spans="1:11" ht="15" customHeight="1" x14ac:dyDescent="0.25">
      <c r="A2015" s="75">
        <v>10</v>
      </c>
      <c r="B2015" s="75">
        <v>144</v>
      </c>
      <c r="C2015" s="75" t="s">
        <v>10</v>
      </c>
      <c r="D2015" s="75">
        <v>250</v>
      </c>
      <c r="F2015" s="75" t="s">
        <v>10</v>
      </c>
      <c r="H2015" s="75" t="s">
        <v>10</v>
      </c>
      <c r="I2015" s="75">
        <v>19489</v>
      </c>
      <c r="K2015" s="75" t="str">
        <f>IFERROR(VLOOKUP(J2015,'NQ10'!$B$9:$C$145,2,0),"")</f>
        <v/>
      </c>
    </row>
    <row r="2016" spans="1:11" ht="15" customHeight="1" x14ac:dyDescent="0.25">
      <c r="A2016" s="75">
        <v>10</v>
      </c>
      <c r="B2016" s="75">
        <v>145</v>
      </c>
      <c r="C2016" s="75" t="s">
        <v>10</v>
      </c>
      <c r="D2016" s="75">
        <v>208</v>
      </c>
      <c r="F2016" s="75" t="s">
        <v>10</v>
      </c>
      <c r="H2016" s="75" t="s">
        <v>10</v>
      </c>
      <c r="I2016" s="75">
        <v>19489</v>
      </c>
      <c r="K2016" s="75" t="str">
        <f>IFERROR(VLOOKUP(J2016,'NQ10'!$B$9:$C$145,2,0),"")</f>
        <v/>
      </c>
    </row>
    <row r="2017" spans="1:11" ht="15" customHeight="1" x14ac:dyDescent="0.25">
      <c r="A2017" s="75">
        <v>10</v>
      </c>
      <c r="B2017" s="75">
        <v>146</v>
      </c>
      <c r="C2017" s="75" t="s">
        <v>10</v>
      </c>
      <c r="D2017" s="75">
        <v>880</v>
      </c>
      <c r="F2017" s="75" t="s">
        <v>10</v>
      </c>
      <c r="H2017" s="75" t="s">
        <v>10</v>
      </c>
      <c r="I2017" s="75">
        <v>19489</v>
      </c>
      <c r="K2017" s="75" t="str">
        <f>IFERROR(VLOOKUP(J2017,'NQ10'!$B$9:$C$145,2,0),"")</f>
        <v/>
      </c>
    </row>
    <row r="2018" spans="1:11" ht="15" customHeight="1" x14ac:dyDescent="0.25">
      <c r="A2018" s="75">
        <v>10</v>
      </c>
      <c r="B2018" s="75">
        <v>147</v>
      </c>
      <c r="C2018" s="75" t="s">
        <v>10</v>
      </c>
      <c r="D2018" s="75">
        <v>1083</v>
      </c>
      <c r="F2018" s="75" t="s">
        <v>10</v>
      </c>
      <c r="H2018" s="75" t="s">
        <v>10</v>
      </c>
      <c r="I2018" s="75">
        <v>19489</v>
      </c>
      <c r="K2018" s="75" t="str">
        <f>IFERROR(VLOOKUP(J2018,'NQ10'!$B$9:$C$145,2,0),"")</f>
        <v/>
      </c>
    </row>
    <row r="2019" spans="1:11" ht="15" customHeight="1" x14ac:dyDescent="0.25">
      <c r="A2019" s="75">
        <v>10</v>
      </c>
      <c r="B2019" s="75">
        <v>148</v>
      </c>
      <c r="C2019" s="75" t="s">
        <v>10</v>
      </c>
      <c r="D2019" s="75">
        <v>180</v>
      </c>
      <c r="F2019" s="75" t="s">
        <v>10</v>
      </c>
      <c r="H2019" s="75" t="s">
        <v>10</v>
      </c>
      <c r="I2019" s="75">
        <v>19489</v>
      </c>
      <c r="K2019" s="75" t="str">
        <f>IFERROR(VLOOKUP(J2019,'NQ10'!$B$9:$C$145,2,0),"")</f>
        <v/>
      </c>
    </row>
    <row r="2020" spans="1:11" ht="15" customHeight="1" x14ac:dyDescent="0.25">
      <c r="A2020" s="75">
        <v>10</v>
      </c>
      <c r="B2020" s="75">
        <v>149</v>
      </c>
      <c r="C2020" s="75" t="s">
        <v>10</v>
      </c>
      <c r="D2020" s="75">
        <v>261</v>
      </c>
      <c r="F2020" s="75" t="s">
        <v>10</v>
      </c>
      <c r="H2020" s="75" t="s">
        <v>10</v>
      </c>
      <c r="I2020" s="75">
        <v>19489</v>
      </c>
      <c r="K2020" s="75" t="str">
        <f>IFERROR(VLOOKUP(J2020,'NQ10'!$B$9:$C$145,2,0),"")</f>
        <v/>
      </c>
    </row>
    <row r="2021" spans="1:11" ht="15" customHeight="1" x14ac:dyDescent="0.25">
      <c r="A2021" s="75">
        <v>10</v>
      </c>
      <c r="B2021" s="75">
        <v>150</v>
      </c>
      <c r="C2021" s="75" t="s">
        <v>10</v>
      </c>
      <c r="D2021" s="75">
        <v>520</v>
      </c>
      <c r="F2021" s="75" t="s">
        <v>10</v>
      </c>
      <c r="H2021" s="75" t="s">
        <v>10</v>
      </c>
      <c r="I2021" s="75">
        <v>19489</v>
      </c>
      <c r="K2021" s="75" t="str">
        <f>IFERROR(VLOOKUP(J2021,'NQ10'!$B$9:$C$145,2,0),"")</f>
        <v/>
      </c>
    </row>
    <row r="2022" spans="1:11" ht="15" customHeight="1" x14ac:dyDescent="0.25">
      <c r="A2022" s="75">
        <v>10</v>
      </c>
      <c r="B2022" s="75">
        <v>151</v>
      </c>
      <c r="C2022" s="75" t="s">
        <v>10</v>
      </c>
      <c r="D2022" s="75">
        <v>2570</v>
      </c>
      <c r="F2022" s="75" t="s">
        <v>10</v>
      </c>
      <c r="H2022" s="75" t="s">
        <v>10</v>
      </c>
      <c r="I2022" s="75">
        <v>19489</v>
      </c>
      <c r="K2022" s="75" t="str">
        <f>IFERROR(VLOOKUP(J2022,'NQ10'!$B$9:$C$145,2,0),"")</f>
        <v/>
      </c>
    </row>
    <row r="2023" spans="1:11" ht="15" customHeight="1" x14ac:dyDescent="0.25">
      <c r="A2023" s="75">
        <v>10</v>
      </c>
      <c r="B2023" s="75">
        <v>152</v>
      </c>
      <c r="C2023" s="75" t="s">
        <v>10</v>
      </c>
      <c r="D2023" s="75">
        <v>163</v>
      </c>
      <c r="F2023" s="75" t="s">
        <v>10</v>
      </c>
      <c r="H2023" s="75" t="s">
        <v>10</v>
      </c>
      <c r="I2023" s="75">
        <v>19489</v>
      </c>
      <c r="K2023" s="75" t="str">
        <f>IFERROR(VLOOKUP(J2023,'NQ10'!$B$9:$C$145,2,0),"")</f>
        <v/>
      </c>
    </row>
    <row r="2024" spans="1:11" ht="15" customHeight="1" x14ac:dyDescent="0.25">
      <c r="A2024" s="75">
        <v>10</v>
      </c>
      <c r="B2024" s="75">
        <v>153</v>
      </c>
      <c r="C2024" s="75" t="s">
        <v>10</v>
      </c>
      <c r="D2024" s="75">
        <v>113</v>
      </c>
      <c r="F2024" s="75" t="s">
        <v>10</v>
      </c>
      <c r="H2024" s="75" t="s">
        <v>10</v>
      </c>
      <c r="I2024" s="75">
        <v>19489</v>
      </c>
      <c r="K2024" s="75" t="str">
        <f>IFERROR(VLOOKUP(J2024,'NQ10'!$B$9:$C$145,2,0),"")</f>
        <v/>
      </c>
    </row>
    <row r="2025" spans="1:11" ht="15" customHeight="1" x14ac:dyDescent="0.25">
      <c r="A2025" s="75">
        <v>10</v>
      </c>
      <c r="B2025" s="75">
        <v>154</v>
      </c>
      <c r="C2025" s="75" t="s">
        <v>10</v>
      </c>
      <c r="D2025" s="75">
        <v>486</v>
      </c>
      <c r="F2025" s="75" t="s">
        <v>10</v>
      </c>
      <c r="H2025" s="75" t="s">
        <v>10</v>
      </c>
      <c r="I2025" s="75">
        <v>19489</v>
      </c>
      <c r="K2025" s="75" t="str">
        <f>IFERROR(VLOOKUP(J2025,'NQ10'!$B$9:$C$145,2,0),"")</f>
        <v/>
      </c>
    </row>
    <row r="2026" spans="1:11" ht="15" customHeight="1" x14ac:dyDescent="0.25">
      <c r="A2026" s="75">
        <v>10</v>
      </c>
      <c r="B2026" s="75">
        <v>155</v>
      </c>
      <c r="C2026" s="75" t="s">
        <v>10</v>
      </c>
      <c r="D2026" s="75">
        <v>161</v>
      </c>
      <c r="F2026" s="75" t="s">
        <v>10</v>
      </c>
      <c r="H2026" s="75" t="s">
        <v>10</v>
      </c>
      <c r="I2026" s="75">
        <v>19489</v>
      </c>
      <c r="K2026" s="75" t="str">
        <f>IFERROR(VLOOKUP(J2026,'NQ10'!$B$9:$C$145,2,0),"")</f>
        <v/>
      </c>
    </row>
    <row r="2027" spans="1:11" ht="15" customHeight="1" x14ac:dyDescent="0.25">
      <c r="A2027" s="75">
        <v>10</v>
      </c>
      <c r="B2027" s="75">
        <v>156</v>
      </c>
      <c r="C2027" s="75" t="s">
        <v>10</v>
      </c>
      <c r="D2027" s="75">
        <v>193</v>
      </c>
      <c r="F2027" s="75" t="s">
        <v>10</v>
      </c>
      <c r="H2027" s="75" t="s">
        <v>10</v>
      </c>
      <c r="I2027" s="75">
        <v>19489</v>
      </c>
      <c r="K2027" s="75" t="str">
        <f>IFERROR(VLOOKUP(J2027,'NQ10'!$B$9:$C$145,2,0),"")</f>
        <v/>
      </c>
    </row>
    <row r="2028" spans="1:11" ht="15" customHeight="1" x14ac:dyDescent="0.25">
      <c r="A2028" s="75">
        <v>10</v>
      </c>
      <c r="B2028" s="75">
        <v>157</v>
      </c>
      <c r="C2028" s="75" t="s">
        <v>10</v>
      </c>
      <c r="D2028" s="75">
        <v>246</v>
      </c>
      <c r="F2028" s="75" t="s">
        <v>10</v>
      </c>
      <c r="H2028" s="75" t="s">
        <v>10</v>
      </c>
      <c r="I2028" s="75">
        <v>19489</v>
      </c>
      <c r="K2028" s="75" t="str">
        <f>IFERROR(VLOOKUP(J2028,'NQ10'!$B$9:$C$145,2,0),"")</f>
        <v/>
      </c>
    </row>
    <row r="2029" spans="1:11" ht="15" customHeight="1" x14ac:dyDescent="0.25">
      <c r="A2029" s="75">
        <v>10</v>
      </c>
      <c r="B2029" s="75">
        <v>158</v>
      </c>
      <c r="C2029" s="75" t="s">
        <v>10</v>
      </c>
      <c r="D2029" s="75">
        <v>409</v>
      </c>
      <c r="F2029" s="75" t="s">
        <v>10</v>
      </c>
      <c r="H2029" s="75" t="s">
        <v>10</v>
      </c>
      <c r="I2029" s="75">
        <v>19489</v>
      </c>
      <c r="K2029" s="75" t="str">
        <f>IFERROR(VLOOKUP(J2029,'NQ10'!$B$9:$C$145,2,0),"")</f>
        <v/>
      </c>
    </row>
    <row r="2030" spans="1:11" ht="15" customHeight="1" x14ac:dyDescent="0.25">
      <c r="A2030" s="75">
        <v>10</v>
      </c>
      <c r="B2030" s="75">
        <v>159</v>
      </c>
      <c r="C2030" s="75" t="s">
        <v>10</v>
      </c>
      <c r="D2030" s="75">
        <v>537</v>
      </c>
      <c r="F2030" s="75" t="s">
        <v>10</v>
      </c>
      <c r="H2030" s="75" t="s">
        <v>10</v>
      </c>
      <c r="I2030" s="75">
        <v>19489</v>
      </c>
      <c r="K2030" s="75" t="str">
        <f>IFERROR(VLOOKUP(J2030,'NQ10'!$B$9:$C$145,2,0),"")</f>
        <v/>
      </c>
    </row>
    <row r="2031" spans="1:11" ht="15" customHeight="1" x14ac:dyDescent="0.25">
      <c r="A2031" s="75">
        <v>10</v>
      </c>
      <c r="B2031" s="75">
        <v>160</v>
      </c>
      <c r="C2031" s="75" t="s">
        <v>10</v>
      </c>
      <c r="D2031" s="75">
        <v>330</v>
      </c>
      <c r="F2031" s="75" t="s">
        <v>10</v>
      </c>
      <c r="H2031" s="75" t="s">
        <v>10</v>
      </c>
      <c r="I2031" s="75">
        <v>19489</v>
      </c>
      <c r="K2031" s="75" t="str">
        <f>IFERROR(VLOOKUP(J2031,'NQ10'!$B$9:$C$145,2,0),"")</f>
        <v/>
      </c>
    </row>
    <row r="2032" spans="1:11" ht="15" customHeight="1" x14ac:dyDescent="0.25">
      <c r="A2032" s="75">
        <v>10</v>
      </c>
      <c r="B2032" s="75">
        <v>161</v>
      </c>
      <c r="C2032" s="75" t="s">
        <v>10</v>
      </c>
      <c r="D2032" s="75">
        <v>135</v>
      </c>
      <c r="F2032" s="75" t="s">
        <v>10</v>
      </c>
      <c r="H2032" s="75" t="s">
        <v>10</v>
      </c>
      <c r="I2032" s="75">
        <v>19489</v>
      </c>
      <c r="K2032" s="75" t="str">
        <f>IFERROR(VLOOKUP(J2032,'NQ10'!$B$9:$C$145,2,0),"")</f>
        <v/>
      </c>
    </row>
    <row r="2033" spans="1:11" ht="15" customHeight="1" x14ac:dyDescent="0.25">
      <c r="A2033" s="75">
        <v>10</v>
      </c>
      <c r="B2033" s="75">
        <v>162</v>
      </c>
      <c r="C2033" s="75" t="s">
        <v>10</v>
      </c>
      <c r="D2033" s="75">
        <v>243</v>
      </c>
      <c r="F2033" s="75" t="s">
        <v>10</v>
      </c>
      <c r="H2033" s="75" t="s">
        <v>10</v>
      </c>
      <c r="I2033" s="75">
        <v>19489</v>
      </c>
      <c r="K2033" s="75" t="str">
        <f>IFERROR(VLOOKUP(J2033,'NQ10'!$B$9:$C$145,2,0),"")</f>
        <v/>
      </c>
    </row>
    <row r="2034" spans="1:11" ht="15" customHeight="1" x14ac:dyDescent="0.25">
      <c r="A2034" s="75">
        <v>10</v>
      </c>
      <c r="B2034" s="75">
        <v>163</v>
      </c>
      <c r="C2034" s="75" t="s">
        <v>10</v>
      </c>
      <c r="D2034" s="75">
        <v>271</v>
      </c>
      <c r="F2034" s="75" t="s">
        <v>10</v>
      </c>
      <c r="H2034" s="75" t="s">
        <v>10</v>
      </c>
      <c r="I2034" s="75">
        <v>19489</v>
      </c>
      <c r="K2034" s="75" t="str">
        <f>IFERROR(VLOOKUP(J2034,'NQ10'!$B$9:$C$145,2,0),"")</f>
        <v/>
      </c>
    </row>
    <row r="2035" spans="1:11" ht="15" customHeight="1" x14ac:dyDescent="0.25">
      <c r="A2035" s="75">
        <v>10</v>
      </c>
      <c r="B2035" s="75">
        <v>164</v>
      </c>
      <c r="C2035" s="75" t="s">
        <v>10</v>
      </c>
      <c r="D2035" s="75">
        <v>290</v>
      </c>
      <c r="F2035" s="75" t="s">
        <v>10</v>
      </c>
      <c r="H2035" s="75" t="s">
        <v>10</v>
      </c>
      <c r="I2035" s="75">
        <v>19489</v>
      </c>
      <c r="K2035" s="75" t="str">
        <f>IFERROR(VLOOKUP(J2035,'NQ10'!$B$9:$C$145,2,0),"")</f>
        <v/>
      </c>
    </row>
    <row r="2036" spans="1:11" ht="15" customHeight="1" x14ac:dyDescent="0.25">
      <c r="A2036" s="75">
        <v>10</v>
      </c>
      <c r="B2036" s="75">
        <v>165</v>
      </c>
      <c r="C2036" s="75" t="s">
        <v>10</v>
      </c>
      <c r="D2036" s="75">
        <v>285</v>
      </c>
      <c r="F2036" s="75" t="s">
        <v>10</v>
      </c>
      <c r="H2036" s="75" t="s">
        <v>10</v>
      </c>
      <c r="I2036" s="75">
        <v>19489</v>
      </c>
      <c r="K2036" s="75" t="str">
        <f>IFERROR(VLOOKUP(J2036,'NQ10'!$B$9:$C$145,2,0),"")</f>
        <v/>
      </c>
    </row>
    <row r="2037" spans="1:11" ht="15" customHeight="1" x14ac:dyDescent="0.25">
      <c r="A2037" s="75">
        <v>10</v>
      </c>
      <c r="B2037" s="75">
        <v>166</v>
      </c>
      <c r="C2037" s="75" t="s">
        <v>10</v>
      </c>
      <c r="D2037" s="75">
        <v>268</v>
      </c>
      <c r="F2037" s="75" t="s">
        <v>10</v>
      </c>
      <c r="H2037" s="75" t="s">
        <v>10</v>
      </c>
      <c r="I2037" s="75">
        <v>19489</v>
      </c>
      <c r="K2037" s="75" t="str">
        <f>IFERROR(VLOOKUP(J2037,'NQ10'!$B$9:$C$145,2,0),"")</f>
        <v/>
      </c>
    </row>
    <row r="2038" spans="1:11" ht="15" customHeight="1" x14ac:dyDescent="0.25">
      <c r="A2038" s="75">
        <v>10</v>
      </c>
      <c r="B2038" s="75">
        <v>167</v>
      </c>
      <c r="C2038" s="75" t="s">
        <v>10</v>
      </c>
      <c r="D2038" s="75">
        <v>289</v>
      </c>
      <c r="F2038" s="75" t="s">
        <v>10</v>
      </c>
      <c r="H2038" s="75" t="s">
        <v>10</v>
      </c>
      <c r="I2038" s="75">
        <v>19489</v>
      </c>
      <c r="K2038" s="75" t="str">
        <f>IFERROR(VLOOKUP(J2038,'NQ10'!$B$9:$C$145,2,0),"")</f>
        <v/>
      </c>
    </row>
    <row r="2039" spans="1:11" ht="15" customHeight="1" x14ac:dyDescent="0.25">
      <c r="A2039" s="75">
        <v>10</v>
      </c>
      <c r="B2039" s="75">
        <v>168</v>
      </c>
      <c r="C2039" s="75" t="s">
        <v>10</v>
      </c>
      <c r="D2039" s="75">
        <v>279</v>
      </c>
      <c r="F2039" s="75" t="s">
        <v>10</v>
      </c>
      <c r="H2039" s="75" t="s">
        <v>10</v>
      </c>
      <c r="I2039" s="75">
        <v>19489</v>
      </c>
      <c r="K2039" s="75" t="str">
        <f>IFERROR(VLOOKUP(J2039,'NQ10'!$B$9:$C$145,2,0),"")</f>
        <v/>
      </c>
    </row>
    <row r="2040" spans="1:11" ht="15" customHeight="1" x14ac:dyDescent="0.25">
      <c r="A2040" s="75">
        <v>10</v>
      </c>
      <c r="B2040" s="75">
        <v>169</v>
      </c>
      <c r="C2040" s="75" t="s">
        <v>10</v>
      </c>
      <c r="D2040" s="75">
        <v>279</v>
      </c>
      <c r="F2040" s="75" t="s">
        <v>10</v>
      </c>
      <c r="H2040" s="75" t="s">
        <v>10</v>
      </c>
      <c r="I2040" s="75">
        <v>19489</v>
      </c>
      <c r="K2040" s="75" t="str">
        <f>IFERROR(VLOOKUP(J2040,'NQ10'!$B$9:$C$145,2,0),"")</f>
        <v/>
      </c>
    </row>
    <row r="2041" spans="1:11" ht="15" customHeight="1" x14ac:dyDescent="0.25">
      <c r="A2041" s="75">
        <v>10</v>
      </c>
      <c r="B2041" s="75">
        <v>170</v>
      </c>
      <c r="C2041" s="75" t="s">
        <v>10</v>
      </c>
      <c r="D2041" s="75">
        <v>324</v>
      </c>
      <c r="F2041" s="75" t="s">
        <v>10</v>
      </c>
      <c r="H2041" s="75" t="s">
        <v>10</v>
      </c>
      <c r="I2041" s="75">
        <v>19489</v>
      </c>
      <c r="K2041" s="75" t="str">
        <f>IFERROR(VLOOKUP(J2041,'NQ10'!$B$9:$C$145,2,0),"")</f>
        <v/>
      </c>
    </row>
    <row r="2042" spans="1:11" ht="15" customHeight="1" x14ac:dyDescent="0.25">
      <c r="A2042" s="75">
        <v>10</v>
      </c>
      <c r="B2042" s="75">
        <v>171</v>
      </c>
      <c r="C2042" s="75" t="s">
        <v>10</v>
      </c>
      <c r="D2042" s="75">
        <v>473</v>
      </c>
      <c r="F2042" s="75" t="s">
        <v>10</v>
      </c>
      <c r="H2042" s="75" t="s">
        <v>10</v>
      </c>
      <c r="I2042" s="75">
        <v>19489</v>
      </c>
      <c r="K2042" s="75" t="str">
        <f>IFERROR(VLOOKUP(J2042,'NQ10'!$B$9:$C$145,2,0),"")</f>
        <v/>
      </c>
    </row>
    <row r="2043" spans="1:11" ht="15" customHeight="1" x14ac:dyDescent="0.25">
      <c r="A2043" s="75">
        <v>10</v>
      </c>
      <c r="B2043" s="75">
        <v>172</v>
      </c>
      <c r="C2043" s="75" t="s">
        <v>10</v>
      </c>
      <c r="D2043" s="75">
        <v>255</v>
      </c>
      <c r="F2043" s="75" t="s">
        <v>10</v>
      </c>
      <c r="H2043" s="75" t="s">
        <v>10</v>
      </c>
      <c r="I2043" s="75">
        <v>19489</v>
      </c>
      <c r="K2043" s="75" t="str">
        <f>IFERROR(VLOOKUP(J2043,'NQ10'!$B$9:$C$145,2,0),"")</f>
        <v/>
      </c>
    </row>
    <row r="2044" spans="1:11" ht="15" customHeight="1" x14ac:dyDescent="0.25">
      <c r="A2044" s="75">
        <v>10</v>
      </c>
      <c r="B2044" s="75">
        <v>173</v>
      </c>
      <c r="C2044" s="75" t="s">
        <v>10</v>
      </c>
      <c r="D2044" s="75">
        <v>247</v>
      </c>
      <c r="F2044" s="75" t="s">
        <v>10</v>
      </c>
      <c r="H2044" s="75" t="s">
        <v>10</v>
      </c>
      <c r="I2044" s="75">
        <v>19489</v>
      </c>
      <c r="K2044" s="75" t="str">
        <f>IFERROR(VLOOKUP(J2044,'NQ10'!$B$9:$C$145,2,0),"")</f>
        <v/>
      </c>
    </row>
    <row r="2045" spans="1:11" ht="15" customHeight="1" x14ac:dyDescent="0.25">
      <c r="A2045" s="75">
        <v>10</v>
      </c>
      <c r="B2045" s="75">
        <v>174</v>
      </c>
      <c r="C2045" s="75" t="s">
        <v>10</v>
      </c>
      <c r="D2045" s="75">
        <v>570</v>
      </c>
      <c r="F2045" s="75" t="s">
        <v>10</v>
      </c>
      <c r="H2045" s="75" t="s">
        <v>10</v>
      </c>
      <c r="I2045" s="75">
        <v>19489</v>
      </c>
      <c r="K2045" s="75" t="str">
        <f>IFERROR(VLOOKUP(J2045,'NQ10'!$B$9:$C$145,2,0),"")</f>
        <v/>
      </c>
    </row>
    <row r="2046" spans="1:11" ht="15" customHeight="1" x14ac:dyDescent="0.25">
      <c r="A2046" s="75">
        <v>10</v>
      </c>
      <c r="B2046" s="75">
        <v>175</v>
      </c>
      <c r="C2046" s="75" t="s">
        <v>10</v>
      </c>
      <c r="D2046" s="75">
        <v>845</v>
      </c>
      <c r="F2046" s="75" t="s">
        <v>10</v>
      </c>
      <c r="H2046" s="75" t="s">
        <v>10</v>
      </c>
      <c r="I2046" s="75">
        <v>19489</v>
      </c>
      <c r="K2046" s="75" t="str">
        <f>IFERROR(VLOOKUP(J2046,'NQ10'!$B$9:$C$145,2,0),"")</f>
        <v/>
      </c>
    </row>
    <row r="2047" spans="1:11" ht="15" customHeight="1" x14ac:dyDescent="0.25">
      <c r="A2047" s="75">
        <v>10</v>
      </c>
      <c r="B2047" s="75">
        <v>176</v>
      </c>
      <c r="C2047" s="75" t="s">
        <v>10</v>
      </c>
      <c r="D2047" s="75">
        <v>568</v>
      </c>
      <c r="F2047" s="75" t="s">
        <v>10</v>
      </c>
      <c r="H2047" s="75" t="s">
        <v>10</v>
      </c>
      <c r="I2047" s="75">
        <v>19489</v>
      </c>
      <c r="K2047" s="75" t="str">
        <f>IFERROR(VLOOKUP(J2047,'NQ10'!$B$9:$C$145,2,0),"")</f>
        <v/>
      </c>
    </row>
    <row r="2048" spans="1:11" ht="15" customHeight="1" x14ac:dyDescent="0.25">
      <c r="A2048" s="75">
        <v>10</v>
      </c>
      <c r="B2048" s="75">
        <v>177</v>
      </c>
      <c r="C2048" s="75" t="s">
        <v>10</v>
      </c>
      <c r="D2048" s="75">
        <v>315</v>
      </c>
      <c r="F2048" s="75" t="s">
        <v>10</v>
      </c>
      <c r="H2048" s="75" t="s">
        <v>10</v>
      </c>
      <c r="I2048" s="75">
        <v>19489</v>
      </c>
      <c r="K2048" s="75" t="str">
        <f>IFERROR(VLOOKUP(J2048,'NQ10'!$B$9:$C$145,2,0),"")</f>
        <v/>
      </c>
    </row>
    <row r="2049" spans="1:11" ht="15" customHeight="1" x14ac:dyDescent="0.25">
      <c r="A2049" s="75">
        <v>10</v>
      </c>
      <c r="B2049" s="75">
        <v>178</v>
      </c>
      <c r="C2049" s="75" t="s">
        <v>10</v>
      </c>
      <c r="D2049" s="75">
        <v>328</v>
      </c>
      <c r="F2049" s="75" t="s">
        <v>10</v>
      </c>
      <c r="H2049" s="75" t="s">
        <v>10</v>
      </c>
      <c r="I2049" s="75">
        <v>19489</v>
      </c>
      <c r="K2049" s="75" t="str">
        <f>IFERROR(VLOOKUP(J2049,'NQ10'!$B$9:$C$145,2,0),"")</f>
        <v/>
      </c>
    </row>
    <row r="2050" spans="1:11" ht="15" customHeight="1" x14ac:dyDescent="0.25">
      <c r="A2050" s="75">
        <v>10</v>
      </c>
      <c r="B2050" s="75">
        <v>179</v>
      </c>
      <c r="C2050" s="75" t="s">
        <v>10</v>
      </c>
      <c r="D2050" s="75">
        <v>324</v>
      </c>
      <c r="F2050" s="75" t="s">
        <v>10</v>
      </c>
      <c r="H2050" s="75" t="s">
        <v>10</v>
      </c>
      <c r="I2050" s="75">
        <v>19489</v>
      </c>
      <c r="K2050" s="75" t="str">
        <f>IFERROR(VLOOKUP(J2050,'NQ10'!$B$9:$C$145,2,0),"")</f>
        <v/>
      </c>
    </row>
    <row r="2051" spans="1:11" ht="15" customHeight="1" x14ac:dyDescent="0.25">
      <c r="A2051" s="75">
        <v>10</v>
      </c>
      <c r="B2051" s="75">
        <v>180</v>
      </c>
      <c r="C2051" s="75" t="s">
        <v>10</v>
      </c>
      <c r="D2051" s="75">
        <v>184</v>
      </c>
      <c r="F2051" s="75" t="s">
        <v>10</v>
      </c>
      <c r="H2051" s="75" t="s">
        <v>10</v>
      </c>
      <c r="I2051" s="75">
        <v>19489</v>
      </c>
      <c r="K2051" s="75" t="str">
        <f>IFERROR(VLOOKUP(J2051,'NQ10'!$B$9:$C$145,2,0),"")</f>
        <v/>
      </c>
    </row>
    <row r="2052" spans="1:11" ht="15" customHeight="1" x14ac:dyDescent="0.25">
      <c r="A2052" s="75">
        <v>10</v>
      </c>
      <c r="B2052" s="75">
        <v>181</v>
      </c>
      <c r="C2052" s="75" t="s">
        <v>10</v>
      </c>
      <c r="D2052" s="75">
        <v>313</v>
      </c>
      <c r="F2052" s="75" t="s">
        <v>10</v>
      </c>
      <c r="H2052" s="75" t="s">
        <v>10</v>
      </c>
      <c r="I2052" s="75">
        <v>19489</v>
      </c>
      <c r="K2052" s="75" t="str">
        <f>IFERROR(VLOOKUP(J2052,'NQ10'!$B$9:$C$145,2,0),"")</f>
        <v/>
      </c>
    </row>
    <row r="2053" spans="1:11" ht="15" customHeight="1" x14ac:dyDescent="0.25">
      <c r="A2053" s="75">
        <v>10</v>
      </c>
      <c r="B2053" s="75">
        <v>182</v>
      </c>
      <c r="C2053" s="75" t="s">
        <v>10</v>
      </c>
      <c r="D2053" s="75">
        <v>198</v>
      </c>
      <c r="F2053" s="75" t="s">
        <v>10</v>
      </c>
      <c r="H2053" s="75" t="s">
        <v>10</v>
      </c>
      <c r="I2053" s="75">
        <v>19489</v>
      </c>
      <c r="K2053" s="75" t="str">
        <f>IFERROR(VLOOKUP(J2053,'NQ10'!$B$9:$C$145,2,0),"")</f>
        <v/>
      </c>
    </row>
    <row r="2054" spans="1:11" ht="15" customHeight="1" x14ac:dyDescent="0.25">
      <c r="A2054" s="75">
        <v>10</v>
      </c>
      <c r="B2054" s="75">
        <v>183</v>
      </c>
      <c r="C2054" s="75" t="s">
        <v>10</v>
      </c>
      <c r="D2054" s="75">
        <v>177</v>
      </c>
      <c r="F2054" s="75" t="s">
        <v>10</v>
      </c>
      <c r="H2054" s="75" t="s">
        <v>10</v>
      </c>
      <c r="I2054" s="75">
        <v>19489</v>
      </c>
      <c r="K2054" s="75" t="str">
        <f>IFERROR(VLOOKUP(J2054,'NQ10'!$B$9:$C$145,2,0),"")</f>
        <v/>
      </c>
    </row>
    <row r="2055" spans="1:11" ht="15" customHeight="1" x14ac:dyDescent="0.25">
      <c r="A2055" s="75">
        <v>10</v>
      </c>
      <c r="B2055" s="75">
        <v>184</v>
      </c>
      <c r="C2055" s="75" t="s">
        <v>10</v>
      </c>
      <c r="D2055" s="75">
        <v>213</v>
      </c>
      <c r="F2055" s="75" t="s">
        <v>10</v>
      </c>
      <c r="H2055" s="75" t="s">
        <v>10</v>
      </c>
      <c r="I2055" s="75">
        <v>19489</v>
      </c>
      <c r="K2055" s="75" t="str">
        <f>IFERROR(VLOOKUP(J2055,'NQ10'!$B$9:$C$145,2,0),"")</f>
        <v/>
      </c>
    </row>
    <row r="2056" spans="1:11" ht="15" customHeight="1" x14ac:dyDescent="0.25">
      <c r="A2056" s="75">
        <v>10</v>
      </c>
      <c r="B2056" s="75">
        <v>185</v>
      </c>
      <c r="C2056" s="75" t="s">
        <v>10</v>
      </c>
      <c r="D2056" s="75">
        <v>600</v>
      </c>
      <c r="F2056" s="75" t="s">
        <v>10</v>
      </c>
      <c r="H2056" s="75" t="s">
        <v>10</v>
      </c>
      <c r="I2056" s="75">
        <v>19489</v>
      </c>
      <c r="K2056" s="75" t="str">
        <f>IFERROR(VLOOKUP(J2056,'NQ10'!$B$9:$C$145,2,0),"")</f>
        <v/>
      </c>
    </row>
    <row r="2057" spans="1:11" ht="15" customHeight="1" x14ac:dyDescent="0.25">
      <c r="A2057" s="75">
        <v>10</v>
      </c>
      <c r="B2057" s="75">
        <v>186</v>
      </c>
      <c r="C2057" s="75" t="s">
        <v>10</v>
      </c>
      <c r="D2057" s="75">
        <v>1140</v>
      </c>
      <c r="F2057" s="75" t="s">
        <v>10</v>
      </c>
      <c r="H2057" s="75" t="s">
        <v>10</v>
      </c>
      <c r="I2057" s="75">
        <v>19489</v>
      </c>
      <c r="K2057" s="75" t="str">
        <f>IFERROR(VLOOKUP(J2057,'NQ10'!$B$9:$C$145,2,0),"")</f>
        <v/>
      </c>
    </row>
    <row r="2058" spans="1:11" ht="15" customHeight="1" x14ac:dyDescent="0.25">
      <c r="A2058" s="75">
        <v>10</v>
      </c>
      <c r="B2058" s="75">
        <v>187</v>
      </c>
      <c r="C2058" s="75" t="s">
        <v>10</v>
      </c>
      <c r="D2058" s="75">
        <v>518</v>
      </c>
      <c r="F2058" s="75" t="s">
        <v>10</v>
      </c>
      <c r="H2058" s="75" t="s">
        <v>10</v>
      </c>
      <c r="I2058" s="75">
        <v>19489</v>
      </c>
      <c r="K2058" s="75" t="str">
        <f>IFERROR(VLOOKUP(J2058,'NQ10'!$B$9:$C$145,2,0),"")</f>
        <v/>
      </c>
    </row>
    <row r="2059" spans="1:11" ht="15" customHeight="1" x14ac:dyDescent="0.25">
      <c r="A2059" s="75">
        <v>10</v>
      </c>
      <c r="B2059" s="75">
        <v>189</v>
      </c>
      <c r="C2059" s="75" t="s">
        <v>10</v>
      </c>
      <c r="D2059" s="75">
        <v>953</v>
      </c>
      <c r="F2059" s="75" t="s">
        <v>10</v>
      </c>
      <c r="H2059" s="75" t="s">
        <v>10</v>
      </c>
      <c r="I2059" s="75">
        <v>19489</v>
      </c>
      <c r="K2059" s="75" t="str">
        <f>IFERROR(VLOOKUP(J2059,'NQ10'!$B$9:$C$145,2,0),"")</f>
        <v/>
      </c>
    </row>
    <row r="2060" spans="1:11" ht="15" customHeight="1" x14ac:dyDescent="0.25">
      <c r="A2060" s="75">
        <v>10</v>
      </c>
      <c r="B2060" s="75">
        <v>190</v>
      </c>
      <c r="C2060" s="75" t="s">
        <v>10</v>
      </c>
      <c r="D2060" s="75">
        <v>289</v>
      </c>
      <c r="F2060" s="75" t="s">
        <v>10</v>
      </c>
      <c r="H2060" s="75" t="s">
        <v>10</v>
      </c>
      <c r="I2060" s="75">
        <v>19489</v>
      </c>
      <c r="K2060" s="75" t="str">
        <f>IFERROR(VLOOKUP(J2060,'NQ10'!$B$9:$C$145,2,0),"")</f>
        <v/>
      </c>
    </row>
    <row r="2061" spans="1:11" ht="15" customHeight="1" x14ac:dyDescent="0.25">
      <c r="A2061" s="75">
        <v>10</v>
      </c>
      <c r="B2061" s="75">
        <v>191</v>
      </c>
      <c r="C2061" s="75" t="s">
        <v>10</v>
      </c>
      <c r="D2061" s="75">
        <v>595</v>
      </c>
      <c r="F2061" s="75" t="s">
        <v>10</v>
      </c>
      <c r="H2061" s="75" t="s">
        <v>10</v>
      </c>
      <c r="I2061" s="75">
        <v>19489</v>
      </c>
      <c r="K2061" s="75" t="str">
        <f>IFERROR(VLOOKUP(J2061,'NQ10'!$B$9:$C$145,2,0),"")</f>
        <v/>
      </c>
    </row>
    <row r="2062" spans="1:11" ht="15" customHeight="1" x14ac:dyDescent="0.25">
      <c r="A2062" s="75">
        <v>10</v>
      </c>
      <c r="B2062" s="75">
        <v>192</v>
      </c>
      <c r="C2062" s="75" t="s">
        <v>10</v>
      </c>
      <c r="D2062" s="75">
        <v>357</v>
      </c>
      <c r="F2062" s="75" t="s">
        <v>10</v>
      </c>
      <c r="H2062" s="75" t="s">
        <v>10</v>
      </c>
      <c r="I2062" s="75">
        <v>19489</v>
      </c>
      <c r="K2062" s="75" t="str">
        <f>IFERROR(VLOOKUP(J2062,'NQ10'!$B$9:$C$145,2,0),"")</f>
        <v/>
      </c>
    </row>
    <row r="2063" spans="1:11" ht="15" customHeight="1" x14ac:dyDescent="0.25">
      <c r="A2063" s="75">
        <v>10</v>
      </c>
      <c r="B2063" s="75">
        <v>193</v>
      </c>
      <c r="C2063" s="75" t="s">
        <v>10</v>
      </c>
      <c r="D2063" s="75">
        <v>86</v>
      </c>
      <c r="F2063" s="75" t="s">
        <v>10</v>
      </c>
      <c r="H2063" s="75" t="s">
        <v>10</v>
      </c>
      <c r="I2063" s="75">
        <v>19489</v>
      </c>
      <c r="K2063" s="75" t="str">
        <f>IFERROR(VLOOKUP(J2063,'NQ10'!$B$9:$C$145,2,0),"")</f>
        <v/>
      </c>
    </row>
    <row r="2064" spans="1:11" ht="15" customHeight="1" x14ac:dyDescent="0.25">
      <c r="A2064" s="75">
        <v>10</v>
      </c>
      <c r="B2064" s="75">
        <v>194</v>
      </c>
      <c r="C2064" s="75" t="s">
        <v>10</v>
      </c>
      <c r="D2064" s="75">
        <v>600</v>
      </c>
      <c r="F2064" s="75" t="s">
        <v>10</v>
      </c>
      <c r="H2064" s="75" t="s">
        <v>10</v>
      </c>
      <c r="I2064" s="75">
        <v>19489</v>
      </c>
      <c r="K2064" s="75" t="str">
        <f>IFERROR(VLOOKUP(J2064,'NQ10'!$B$9:$C$145,2,0),"")</f>
        <v/>
      </c>
    </row>
    <row r="2065" spans="1:11" ht="15" customHeight="1" x14ac:dyDescent="0.25">
      <c r="A2065" s="75">
        <v>10</v>
      </c>
      <c r="B2065" s="75">
        <v>195</v>
      </c>
      <c r="C2065" s="75" t="s">
        <v>10</v>
      </c>
      <c r="D2065" s="75">
        <v>200</v>
      </c>
      <c r="F2065" s="75" t="s">
        <v>10</v>
      </c>
      <c r="H2065" s="75" t="s">
        <v>10</v>
      </c>
      <c r="I2065" s="75">
        <v>19489</v>
      </c>
      <c r="K2065" s="75" t="str">
        <f>IFERROR(VLOOKUP(J2065,'NQ10'!$B$9:$C$145,2,0),"")</f>
        <v/>
      </c>
    </row>
    <row r="2066" spans="1:11" ht="15" customHeight="1" x14ac:dyDescent="0.25">
      <c r="A2066" s="75">
        <v>10</v>
      </c>
      <c r="B2066" s="75">
        <v>197</v>
      </c>
      <c r="C2066" s="75" t="s">
        <v>10</v>
      </c>
      <c r="D2066" s="75">
        <v>864</v>
      </c>
      <c r="F2066" s="75" t="s">
        <v>10</v>
      </c>
      <c r="H2066" s="75" t="s">
        <v>10</v>
      </c>
      <c r="I2066" s="75">
        <v>19489</v>
      </c>
      <c r="K2066" s="75" t="str">
        <f>IFERROR(VLOOKUP(J2066,'NQ10'!$B$9:$C$145,2,0),"")</f>
        <v/>
      </c>
    </row>
    <row r="2067" spans="1:11" ht="15" customHeight="1" x14ac:dyDescent="0.25">
      <c r="A2067" s="75">
        <v>10</v>
      </c>
      <c r="B2067" s="75">
        <v>198</v>
      </c>
      <c r="C2067" s="75" t="s">
        <v>10</v>
      </c>
      <c r="D2067" s="75">
        <v>665</v>
      </c>
      <c r="F2067" s="75" t="s">
        <v>10</v>
      </c>
      <c r="H2067" s="75" t="s">
        <v>10</v>
      </c>
      <c r="I2067" s="75">
        <v>19489</v>
      </c>
      <c r="K2067" s="75" t="str">
        <f>IFERROR(VLOOKUP(J2067,'NQ10'!$B$9:$C$145,2,0),"")</f>
        <v/>
      </c>
    </row>
    <row r="2068" spans="1:11" ht="15" customHeight="1" x14ac:dyDescent="0.25">
      <c r="A2068" s="75">
        <v>10</v>
      </c>
      <c r="B2068" s="75">
        <v>199</v>
      </c>
      <c r="C2068" s="75" t="s">
        <v>10</v>
      </c>
      <c r="D2068" s="75">
        <v>697</v>
      </c>
      <c r="F2068" s="75" t="s">
        <v>10</v>
      </c>
      <c r="H2068" s="75" t="s">
        <v>10</v>
      </c>
      <c r="I2068" s="75">
        <v>19489</v>
      </c>
      <c r="K2068" s="75" t="str">
        <f>IFERROR(VLOOKUP(J2068,'NQ10'!$B$9:$C$145,2,0),"")</f>
        <v/>
      </c>
    </row>
    <row r="2069" spans="1:11" ht="15" customHeight="1" x14ac:dyDescent="0.25">
      <c r="A2069" s="75">
        <v>10</v>
      </c>
      <c r="B2069" s="75">
        <v>200</v>
      </c>
      <c r="C2069" s="75" t="s">
        <v>10</v>
      </c>
      <c r="D2069" s="75">
        <v>232</v>
      </c>
      <c r="F2069" s="75" t="s">
        <v>10</v>
      </c>
      <c r="H2069" s="75" t="s">
        <v>10</v>
      </c>
      <c r="I2069" s="75">
        <v>19489</v>
      </c>
      <c r="K2069" s="75" t="str">
        <f>IFERROR(VLOOKUP(J2069,'NQ10'!$B$9:$C$145,2,0),"")</f>
        <v/>
      </c>
    </row>
    <row r="2070" spans="1:11" ht="15" customHeight="1" x14ac:dyDescent="0.25">
      <c r="A2070" s="75">
        <v>10</v>
      </c>
      <c r="B2070" s="75">
        <v>201</v>
      </c>
      <c r="C2070" s="75" t="s">
        <v>10</v>
      </c>
      <c r="D2070" s="75">
        <v>745</v>
      </c>
      <c r="F2070" s="75" t="s">
        <v>10</v>
      </c>
      <c r="H2070" s="75" t="s">
        <v>10</v>
      </c>
      <c r="I2070" s="75">
        <v>19489</v>
      </c>
      <c r="K2070" s="75" t="str">
        <f>IFERROR(VLOOKUP(J2070,'NQ10'!$B$9:$C$145,2,0),"")</f>
        <v/>
      </c>
    </row>
    <row r="2071" spans="1:11" ht="15" customHeight="1" x14ac:dyDescent="0.25">
      <c r="A2071" s="75">
        <v>10</v>
      </c>
      <c r="B2071" s="75">
        <v>202</v>
      </c>
      <c r="C2071" s="75" t="s">
        <v>10</v>
      </c>
      <c r="D2071" s="75">
        <v>189</v>
      </c>
      <c r="F2071" s="75" t="s">
        <v>10</v>
      </c>
      <c r="H2071" s="75" t="s">
        <v>10</v>
      </c>
      <c r="I2071" s="75">
        <v>19489</v>
      </c>
      <c r="K2071" s="75" t="str">
        <f>IFERROR(VLOOKUP(J2071,'NQ10'!$B$9:$C$145,2,0),"")</f>
        <v/>
      </c>
    </row>
    <row r="2072" spans="1:11" ht="15" customHeight="1" x14ac:dyDescent="0.25">
      <c r="A2072" s="75">
        <v>10</v>
      </c>
      <c r="B2072" s="75">
        <v>203</v>
      </c>
      <c r="C2072" s="75" t="s">
        <v>10</v>
      </c>
      <c r="D2072" s="75">
        <v>478</v>
      </c>
      <c r="F2072" s="75" t="s">
        <v>10</v>
      </c>
      <c r="H2072" s="75" t="s">
        <v>10</v>
      </c>
      <c r="I2072" s="75">
        <v>19489</v>
      </c>
      <c r="K2072" s="75" t="str">
        <f>IFERROR(VLOOKUP(J2072,'NQ10'!$B$9:$C$145,2,0),"")</f>
        <v/>
      </c>
    </row>
    <row r="2073" spans="1:11" ht="15" customHeight="1" x14ac:dyDescent="0.25">
      <c r="A2073" s="75">
        <v>10</v>
      </c>
      <c r="B2073" s="75">
        <v>204</v>
      </c>
      <c r="C2073" s="75" t="s">
        <v>10</v>
      </c>
      <c r="D2073" s="75">
        <v>153</v>
      </c>
      <c r="F2073" s="75" t="s">
        <v>10</v>
      </c>
      <c r="H2073" s="75" t="s">
        <v>10</v>
      </c>
      <c r="I2073" s="75">
        <v>19489</v>
      </c>
      <c r="K2073" s="75" t="str">
        <f>IFERROR(VLOOKUP(J2073,'NQ10'!$B$9:$C$145,2,0),"")</f>
        <v/>
      </c>
    </row>
    <row r="2074" spans="1:11" ht="15" customHeight="1" x14ac:dyDescent="0.25">
      <c r="A2074" s="75">
        <v>10</v>
      </c>
      <c r="B2074" s="75">
        <v>205</v>
      </c>
      <c r="C2074" s="75" t="s">
        <v>10</v>
      </c>
      <c r="D2074" s="75">
        <v>148</v>
      </c>
      <c r="F2074" s="75" t="s">
        <v>10</v>
      </c>
      <c r="H2074" s="75" t="s">
        <v>10</v>
      </c>
      <c r="I2074" s="75">
        <v>19489</v>
      </c>
      <c r="K2074" s="75" t="str">
        <f>IFERROR(VLOOKUP(J2074,'NQ10'!$B$9:$C$145,2,0),"")</f>
        <v/>
      </c>
    </row>
    <row r="2075" spans="1:11" ht="15" customHeight="1" x14ac:dyDescent="0.25">
      <c r="A2075" s="75">
        <v>10</v>
      </c>
      <c r="B2075" s="75">
        <v>206</v>
      </c>
      <c r="C2075" s="75" t="s">
        <v>10</v>
      </c>
      <c r="D2075" s="75">
        <v>347</v>
      </c>
      <c r="F2075" s="75" t="s">
        <v>10</v>
      </c>
      <c r="H2075" s="75" t="s">
        <v>10</v>
      </c>
      <c r="I2075" s="75">
        <v>19489</v>
      </c>
      <c r="K2075" s="75" t="str">
        <f>IFERROR(VLOOKUP(J2075,'NQ10'!$B$9:$C$145,2,0),"")</f>
        <v/>
      </c>
    </row>
    <row r="2076" spans="1:11" ht="15" customHeight="1" x14ac:dyDescent="0.25">
      <c r="A2076" s="75">
        <v>10</v>
      </c>
      <c r="B2076" s="75">
        <v>207</v>
      </c>
      <c r="C2076" s="75" t="s">
        <v>10</v>
      </c>
      <c r="D2076" s="75">
        <v>461</v>
      </c>
      <c r="F2076" s="75" t="s">
        <v>10</v>
      </c>
      <c r="H2076" s="75" t="s">
        <v>10</v>
      </c>
      <c r="I2076" s="75">
        <v>19489</v>
      </c>
      <c r="K2076" s="75" t="str">
        <f>IFERROR(VLOOKUP(J2076,'NQ10'!$B$9:$C$145,2,0),"")</f>
        <v/>
      </c>
    </row>
    <row r="2077" spans="1:11" ht="15" customHeight="1" x14ac:dyDescent="0.25">
      <c r="A2077" s="75">
        <v>10</v>
      </c>
      <c r="B2077" s="75">
        <v>208</v>
      </c>
      <c r="C2077" s="75" t="s">
        <v>10</v>
      </c>
      <c r="D2077" s="75">
        <v>525</v>
      </c>
      <c r="F2077" s="75" t="s">
        <v>10</v>
      </c>
      <c r="H2077" s="75" t="s">
        <v>10</v>
      </c>
      <c r="I2077" s="75">
        <v>19489</v>
      </c>
      <c r="K2077" s="75" t="str">
        <f>IFERROR(VLOOKUP(J2077,'NQ10'!$B$9:$C$145,2,0),"")</f>
        <v/>
      </c>
    </row>
    <row r="2078" spans="1:11" ht="15" customHeight="1" x14ac:dyDescent="0.25">
      <c r="A2078" s="75">
        <v>10</v>
      </c>
      <c r="B2078" s="75">
        <v>209</v>
      </c>
      <c r="C2078" s="75" t="s">
        <v>10</v>
      </c>
      <c r="D2078" s="75">
        <v>116</v>
      </c>
      <c r="F2078" s="75" t="s">
        <v>10</v>
      </c>
      <c r="H2078" s="75" t="s">
        <v>10</v>
      </c>
      <c r="I2078" s="75">
        <v>19489</v>
      </c>
      <c r="K2078" s="75" t="str">
        <f>IFERROR(VLOOKUP(J2078,'NQ10'!$B$9:$C$145,2,0),"")</f>
        <v/>
      </c>
    </row>
    <row r="2079" spans="1:11" ht="15" customHeight="1" x14ac:dyDescent="0.25">
      <c r="A2079" s="75">
        <v>10</v>
      </c>
      <c r="B2079" s="75">
        <v>211</v>
      </c>
      <c r="C2079" s="75" t="s">
        <v>10</v>
      </c>
      <c r="D2079" s="75">
        <v>1329</v>
      </c>
      <c r="F2079" s="75" t="s">
        <v>10</v>
      </c>
      <c r="H2079" s="75" t="s">
        <v>10</v>
      </c>
      <c r="I2079" s="75">
        <v>19489</v>
      </c>
      <c r="K2079" s="75" t="str">
        <f>IFERROR(VLOOKUP(J2079,'NQ10'!$B$9:$C$145,2,0),"")</f>
        <v/>
      </c>
    </row>
    <row r="2080" spans="1:11" ht="15" customHeight="1" x14ac:dyDescent="0.25">
      <c r="A2080" s="75">
        <v>10</v>
      </c>
      <c r="B2080" s="75">
        <v>212</v>
      </c>
      <c r="C2080" s="75" t="s">
        <v>10</v>
      </c>
      <c r="D2080" s="75">
        <v>1250</v>
      </c>
      <c r="F2080" s="75" t="s">
        <v>10</v>
      </c>
      <c r="H2080" s="75" t="s">
        <v>10</v>
      </c>
      <c r="I2080" s="75">
        <v>19489</v>
      </c>
      <c r="K2080" s="75" t="str">
        <f>IFERROR(VLOOKUP(J2080,'NQ10'!$B$9:$C$145,2,0),"")</f>
        <v/>
      </c>
    </row>
    <row r="2081" spans="1:11" ht="15" customHeight="1" x14ac:dyDescent="0.25">
      <c r="A2081" s="75">
        <v>10</v>
      </c>
      <c r="B2081" s="75">
        <v>213</v>
      </c>
      <c r="C2081" s="75" t="s">
        <v>10</v>
      </c>
      <c r="D2081" s="75">
        <v>1322</v>
      </c>
      <c r="F2081" s="75" t="s">
        <v>10</v>
      </c>
      <c r="H2081" s="75" t="s">
        <v>10</v>
      </c>
      <c r="I2081" s="75">
        <v>19489</v>
      </c>
      <c r="K2081" s="75" t="str">
        <f>IFERROR(VLOOKUP(J2081,'NQ10'!$B$9:$C$145,2,0),"")</f>
        <v/>
      </c>
    </row>
    <row r="2082" spans="1:11" ht="15" customHeight="1" x14ac:dyDescent="0.25">
      <c r="A2082" s="75">
        <v>10</v>
      </c>
      <c r="B2082" s="75">
        <v>215</v>
      </c>
      <c r="C2082" s="75" t="s">
        <v>10</v>
      </c>
      <c r="D2082" s="75">
        <v>271</v>
      </c>
      <c r="F2082" s="75" t="s">
        <v>10</v>
      </c>
      <c r="H2082" s="75" t="s">
        <v>10</v>
      </c>
      <c r="I2082" s="75">
        <v>19489</v>
      </c>
      <c r="K2082" s="75" t="str">
        <f>IFERROR(VLOOKUP(J2082,'NQ10'!$B$9:$C$145,2,0),"")</f>
        <v/>
      </c>
    </row>
    <row r="2083" spans="1:11" ht="15" customHeight="1" x14ac:dyDescent="0.25">
      <c r="A2083" s="75">
        <v>10</v>
      </c>
      <c r="B2083" s="75">
        <v>216</v>
      </c>
      <c r="C2083" s="75" t="s">
        <v>10</v>
      </c>
      <c r="D2083" s="75">
        <v>216</v>
      </c>
      <c r="F2083" s="75" t="s">
        <v>10</v>
      </c>
      <c r="H2083" s="75" t="s">
        <v>10</v>
      </c>
      <c r="I2083" s="75">
        <v>19489</v>
      </c>
      <c r="K2083" s="75" t="str">
        <f>IFERROR(VLOOKUP(J2083,'NQ10'!$B$9:$C$145,2,0),"")</f>
        <v/>
      </c>
    </row>
    <row r="2084" spans="1:11" ht="15" customHeight="1" x14ac:dyDescent="0.25">
      <c r="A2084" s="75">
        <v>10</v>
      </c>
      <c r="B2084" s="75">
        <v>217</v>
      </c>
      <c r="C2084" s="75" t="s">
        <v>10</v>
      </c>
      <c r="D2084" s="75">
        <v>153</v>
      </c>
      <c r="F2084" s="75" t="s">
        <v>10</v>
      </c>
      <c r="H2084" s="75" t="s">
        <v>10</v>
      </c>
      <c r="I2084" s="75">
        <v>19489</v>
      </c>
      <c r="K2084" s="75" t="str">
        <f>IFERROR(VLOOKUP(J2084,'NQ10'!$B$9:$C$145,2,0),"")</f>
        <v/>
      </c>
    </row>
    <row r="2085" spans="1:11" ht="15" customHeight="1" x14ac:dyDescent="0.25">
      <c r="A2085" s="75">
        <v>10</v>
      </c>
      <c r="B2085" s="75">
        <v>218</v>
      </c>
      <c r="C2085" s="75" t="s">
        <v>10</v>
      </c>
      <c r="D2085" s="75">
        <v>350</v>
      </c>
      <c r="F2085" s="75" t="s">
        <v>10</v>
      </c>
      <c r="H2085" s="75" t="s">
        <v>10</v>
      </c>
      <c r="I2085" s="75">
        <v>19489</v>
      </c>
      <c r="K2085" s="75" t="str">
        <f>IFERROR(VLOOKUP(J2085,'NQ10'!$B$9:$C$145,2,0),"")</f>
        <v/>
      </c>
    </row>
    <row r="2086" spans="1:11" ht="15" customHeight="1" x14ac:dyDescent="0.25">
      <c r="A2086" s="75">
        <v>10</v>
      </c>
      <c r="B2086" s="75">
        <v>219</v>
      </c>
      <c r="C2086" s="75" t="s">
        <v>10</v>
      </c>
      <c r="D2086" s="75">
        <v>341</v>
      </c>
      <c r="F2086" s="75" t="s">
        <v>10</v>
      </c>
      <c r="H2086" s="75" t="s">
        <v>10</v>
      </c>
      <c r="I2086" s="75">
        <v>19489</v>
      </c>
      <c r="K2086" s="75" t="str">
        <f>IFERROR(VLOOKUP(J2086,'NQ10'!$B$9:$C$145,2,0),"")</f>
        <v/>
      </c>
    </row>
    <row r="2087" spans="1:11" ht="15" customHeight="1" x14ac:dyDescent="0.25">
      <c r="A2087" s="75">
        <v>10</v>
      </c>
      <c r="B2087" s="75">
        <v>220</v>
      </c>
      <c r="C2087" s="75" t="s">
        <v>10</v>
      </c>
      <c r="D2087" s="75">
        <v>184</v>
      </c>
      <c r="F2087" s="75" t="s">
        <v>10</v>
      </c>
      <c r="H2087" s="75" t="s">
        <v>10</v>
      </c>
      <c r="I2087" s="75">
        <v>19489</v>
      </c>
      <c r="K2087" s="75" t="str">
        <f>IFERROR(VLOOKUP(J2087,'NQ10'!$B$9:$C$145,2,0),"")</f>
        <v/>
      </c>
    </row>
    <row r="2088" spans="1:11" ht="15" customHeight="1" x14ac:dyDescent="0.25">
      <c r="A2088" s="75">
        <v>10</v>
      </c>
      <c r="B2088" s="75">
        <v>221</v>
      </c>
      <c r="C2088" s="75" t="s">
        <v>10</v>
      </c>
      <c r="D2088" s="75">
        <v>215</v>
      </c>
      <c r="F2088" s="75" t="s">
        <v>10</v>
      </c>
      <c r="H2088" s="75" t="s">
        <v>10</v>
      </c>
      <c r="I2088" s="75">
        <v>19489</v>
      </c>
      <c r="K2088" s="75" t="str">
        <f>IFERROR(VLOOKUP(J2088,'NQ10'!$B$9:$C$145,2,0),"")</f>
        <v/>
      </c>
    </row>
    <row r="2089" spans="1:11" ht="15" customHeight="1" x14ac:dyDescent="0.25">
      <c r="A2089" s="75">
        <v>10</v>
      </c>
      <c r="B2089" s="75">
        <v>222</v>
      </c>
      <c r="C2089" s="75" t="s">
        <v>10</v>
      </c>
      <c r="D2089" s="75">
        <v>105</v>
      </c>
      <c r="F2089" s="75" t="s">
        <v>10</v>
      </c>
      <c r="H2089" s="75" t="s">
        <v>10</v>
      </c>
      <c r="I2089" s="75">
        <v>19489</v>
      </c>
      <c r="K2089" s="75" t="str">
        <f>IFERROR(VLOOKUP(J2089,'NQ10'!$B$9:$C$145,2,0),"")</f>
        <v/>
      </c>
    </row>
    <row r="2090" spans="1:11" ht="15" customHeight="1" x14ac:dyDescent="0.25">
      <c r="A2090" s="75">
        <v>10</v>
      </c>
      <c r="B2090" s="75">
        <v>223</v>
      </c>
      <c r="C2090" s="75" t="s">
        <v>10</v>
      </c>
      <c r="D2090" s="75">
        <v>548</v>
      </c>
      <c r="F2090" s="75" t="s">
        <v>10</v>
      </c>
      <c r="H2090" s="75" t="s">
        <v>10</v>
      </c>
      <c r="I2090" s="75">
        <v>19489</v>
      </c>
      <c r="K2090" s="75" t="str">
        <f>IFERROR(VLOOKUP(J2090,'NQ10'!$B$9:$C$145,2,0),"")</f>
        <v/>
      </c>
    </row>
    <row r="2091" spans="1:11" ht="15" customHeight="1" x14ac:dyDescent="0.25">
      <c r="A2091" s="75">
        <v>10</v>
      </c>
      <c r="B2091" s="75">
        <v>224</v>
      </c>
      <c r="C2091" s="75" t="s">
        <v>10</v>
      </c>
      <c r="D2091" s="75">
        <v>679</v>
      </c>
      <c r="F2091" s="75" t="s">
        <v>10</v>
      </c>
      <c r="H2091" s="75" t="s">
        <v>10</v>
      </c>
      <c r="I2091" s="75">
        <v>19489</v>
      </c>
      <c r="K2091" s="75" t="str">
        <f>IFERROR(VLOOKUP(J2091,'NQ10'!$B$9:$C$145,2,0),"")</f>
        <v/>
      </c>
    </row>
    <row r="2092" spans="1:11" ht="15" customHeight="1" x14ac:dyDescent="0.25">
      <c r="A2092" s="75">
        <v>10</v>
      </c>
      <c r="B2092" s="75">
        <v>225</v>
      </c>
      <c r="C2092" s="75" t="s">
        <v>10</v>
      </c>
      <c r="D2092" s="75">
        <v>445</v>
      </c>
      <c r="F2092" s="75" t="s">
        <v>10</v>
      </c>
      <c r="H2092" s="75" t="s">
        <v>10</v>
      </c>
      <c r="I2092" s="75">
        <v>19489</v>
      </c>
      <c r="K2092" s="75" t="str">
        <f>IFERROR(VLOOKUP(J2092,'NQ10'!$B$9:$C$145,2,0),"")</f>
        <v/>
      </c>
    </row>
    <row r="2093" spans="1:11" ht="15" customHeight="1" x14ac:dyDescent="0.25">
      <c r="A2093" s="75">
        <v>10</v>
      </c>
      <c r="B2093" s="75">
        <v>226</v>
      </c>
      <c r="C2093" s="75" t="s">
        <v>10</v>
      </c>
      <c r="D2093" s="75">
        <v>196</v>
      </c>
      <c r="F2093" s="75" t="s">
        <v>10</v>
      </c>
      <c r="H2093" s="75" t="s">
        <v>10</v>
      </c>
      <c r="I2093" s="75">
        <v>19489</v>
      </c>
      <c r="K2093" s="75" t="str">
        <f>IFERROR(VLOOKUP(J2093,'NQ10'!$B$9:$C$145,2,0),"")</f>
        <v/>
      </c>
    </row>
    <row r="2094" spans="1:11" ht="15" customHeight="1" x14ac:dyDescent="0.25">
      <c r="A2094" s="75">
        <v>10</v>
      </c>
      <c r="B2094" s="75">
        <v>227</v>
      </c>
      <c r="C2094" s="75" t="s">
        <v>10</v>
      </c>
      <c r="D2094" s="75">
        <v>417</v>
      </c>
      <c r="F2094" s="75" t="s">
        <v>10</v>
      </c>
      <c r="H2094" s="75" t="s">
        <v>10</v>
      </c>
      <c r="I2094" s="75">
        <v>19489</v>
      </c>
      <c r="K2094" s="75" t="str">
        <f>IFERROR(VLOOKUP(J2094,'NQ10'!$B$9:$C$145,2,0),"")</f>
        <v/>
      </c>
    </row>
    <row r="2095" spans="1:11" ht="15" customHeight="1" x14ac:dyDescent="0.25">
      <c r="A2095" s="75">
        <v>10</v>
      </c>
      <c r="B2095" s="75">
        <v>228</v>
      </c>
      <c r="C2095" s="75" t="s">
        <v>10</v>
      </c>
      <c r="D2095" s="75">
        <v>499</v>
      </c>
      <c r="F2095" s="75" t="s">
        <v>10</v>
      </c>
      <c r="H2095" s="75" t="s">
        <v>10</v>
      </c>
      <c r="I2095" s="75">
        <v>19489</v>
      </c>
      <c r="K2095" s="75" t="str">
        <f>IFERROR(VLOOKUP(J2095,'NQ10'!$B$9:$C$145,2,0),"")</f>
        <v/>
      </c>
    </row>
    <row r="2096" spans="1:11" ht="15" customHeight="1" x14ac:dyDescent="0.25">
      <c r="A2096" s="75">
        <v>10</v>
      </c>
      <c r="B2096" s="75">
        <v>229</v>
      </c>
      <c r="C2096" s="75" t="s">
        <v>10</v>
      </c>
      <c r="D2096" s="75">
        <v>597</v>
      </c>
      <c r="F2096" s="75" t="s">
        <v>10</v>
      </c>
      <c r="H2096" s="75" t="s">
        <v>10</v>
      </c>
      <c r="I2096" s="75">
        <v>19489</v>
      </c>
      <c r="K2096" s="75" t="str">
        <f>IFERROR(VLOOKUP(J2096,'NQ10'!$B$9:$C$145,2,0),"")</f>
        <v/>
      </c>
    </row>
    <row r="2097" spans="1:11" ht="15" customHeight="1" x14ac:dyDescent="0.25">
      <c r="A2097" s="75">
        <v>10</v>
      </c>
      <c r="B2097" s="75">
        <v>230</v>
      </c>
      <c r="C2097" s="75" t="s">
        <v>10</v>
      </c>
      <c r="D2097" s="75">
        <v>734</v>
      </c>
      <c r="F2097" s="75" t="s">
        <v>10</v>
      </c>
      <c r="H2097" s="75" t="s">
        <v>10</v>
      </c>
      <c r="I2097" s="75">
        <v>19489</v>
      </c>
      <c r="K2097" s="75" t="str">
        <f>IFERROR(VLOOKUP(J2097,'NQ10'!$B$9:$C$145,2,0),"")</f>
        <v/>
      </c>
    </row>
    <row r="2098" spans="1:11" ht="15" customHeight="1" x14ac:dyDescent="0.25">
      <c r="A2098" s="75">
        <v>10</v>
      </c>
      <c r="B2098" s="75">
        <v>231</v>
      </c>
      <c r="C2098" s="75" t="s">
        <v>10</v>
      </c>
      <c r="D2098" s="75">
        <v>722</v>
      </c>
      <c r="F2098" s="75" t="s">
        <v>10</v>
      </c>
      <c r="H2098" s="75" t="s">
        <v>10</v>
      </c>
      <c r="I2098" s="75">
        <v>19489</v>
      </c>
      <c r="K2098" s="75" t="str">
        <f>IFERROR(VLOOKUP(J2098,'NQ10'!$B$9:$C$145,2,0),"")</f>
        <v/>
      </c>
    </row>
    <row r="2099" spans="1:11" ht="15" customHeight="1" x14ac:dyDescent="0.25">
      <c r="A2099" s="75">
        <v>10</v>
      </c>
      <c r="B2099" s="75">
        <v>232</v>
      </c>
      <c r="C2099" s="75" t="s">
        <v>10</v>
      </c>
      <c r="D2099" s="75">
        <v>955</v>
      </c>
      <c r="F2099" s="75" t="s">
        <v>10</v>
      </c>
      <c r="H2099" s="75" t="s">
        <v>10</v>
      </c>
      <c r="I2099" s="75">
        <v>19489</v>
      </c>
      <c r="K2099" s="75" t="str">
        <f>IFERROR(VLOOKUP(J2099,'NQ10'!$B$9:$C$145,2,0),"")</f>
        <v/>
      </c>
    </row>
    <row r="2100" spans="1:11" ht="15" customHeight="1" x14ac:dyDescent="0.25">
      <c r="A2100" s="75">
        <v>11</v>
      </c>
      <c r="C2100" s="75" t="s">
        <v>10</v>
      </c>
      <c r="D2100" s="75">
        <v>441</v>
      </c>
      <c r="F2100" s="75" t="s">
        <v>10</v>
      </c>
      <c r="H2100" s="75" t="s">
        <v>10</v>
      </c>
      <c r="I2100" s="75">
        <v>19489</v>
      </c>
      <c r="K2100" s="75" t="str">
        <f>IFERROR(VLOOKUP(J2100,'NQ10'!$B$9:$C$145,2,0),"")</f>
        <v/>
      </c>
    </row>
    <row r="2101" spans="1:11" ht="15" customHeight="1" x14ac:dyDescent="0.25">
      <c r="A2101" s="75">
        <v>11</v>
      </c>
      <c r="C2101" s="75" t="s">
        <v>10</v>
      </c>
      <c r="D2101" s="75">
        <v>222</v>
      </c>
      <c r="F2101" s="75" t="s">
        <v>10</v>
      </c>
      <c r="H2101" s="75" t="s">
        <v>10</v>
      </c>
      <c r="I2101" s="75">
        <v>19489</v>
      </c>
      <c r="K2101" s="75" t="str">
        <f>IFERROR(VLOOKUP(J2101,'NQ10'!$B$9:$C$145,2,0),"")</f>
        <v/>
      </c>
    </row>
    <row r="2102" spans="1:11" ht="15" customHeight="1" x14ac:dyDescent="0.25">
      <c r="A2102" s="75">
        <v>11</v>
      </c>
      <c r="C2102" s="75" t="s">
        <v>10</v>
      </c>
      <c r="D2102" s="75">
        <v>474</v>
      </c>
      <c r="F2102" s="75" t="s">
        <v>10</v>
      </c>
      <c r="H2102" s="75" t="s">
        <v>10</v>
      </c>
      <c r="I2102" s="75">
        <v>19489</v>
      </c>
      <c r="K2102" s="75" t="str">
        <f>IFERROR(VLOOKUP(J2102,'NQ10'!$B$9:$C$145,2,0),"")</f>
        <v/>
      </c>
    </row>
    <row r="2103" spans="1:11" ht="15" customHeight="1" x14ac:dyDescent="0.25">
      <c r="A2103" s="75">
        <v>11</v>
      </c>
      <c r="C2103" s="75" t="s">
        <v>10</v>
      </c>
      <c r="D2103" s="75">
        <v>395</v>
      </c>
      <c r="F2103" s="75" t="s">
        <v>10</v>
      </c>
      <c r="H2103" s="75" t="s">
        <v>10</v>
      </c>
      <c r="I2103" s="75">
        <v>19489</v>
      </c>
      <c r="K2103" s="75" t="str">
        <f>IFERROR(VLOOKUP(J2103,'NQ10'!$B$9:$C$145,2,0),"")</f>
        <v/>
      </c>
    </row>
    <row r="2104" spans="1:11" ht="15" customHeight="1" x14ac:dyDescent="0.25">
      <c r="A2104" s="75">
        <v>11</v>
      </c>
      <c r="B2104" s="75">
        <v>1</v>
      </c>
      <c r="C2104" s="75" t="s">
        <v>10</v>
      </c>
      <c r="D2104" s="75">
        <v>552</v>
      </c>
      <c r="F2104" s="75" t="s">
        <v>10</v>
      </c>
      <c r="H2104" s="75" t="s">
        <v>10</v>
      </c>
      <c r="I2104" s="75">
        <v>19489</v>
      </c>
      <c r="K2104" s="75" t="str">
        <f>IFERROR(VLOOKUP(J2104,'NQ10'!$B$9:$C$145,2,0),"")</f>
        <v/>
      </c>
    </row>
    <row r="2105" spans="1:11" ht="15" customHeight="1" x14ac:dyDescent="0.25">
      <c r="A2105" s="75">
        <v>11</v>
      </c>
      <c r="B2105" s="75">
        <v>2</v>
      </c>
      <c r="C2105" s="75" t="s">
        <v>10</v>
      </c>
      <c r="D2105" s="75">
        <v>2341</v>
      </c>
      <c r="F2105" s="75" t="s">
        <v>10</v>
      </c>
      <c r="H2105" s="75" t="s">
        <v>10</v>
      </c>
      <c r="I2105" s="75">
        <v>19489</v>
      </c>
      <c r="K2105" s="75" t="str">
        <f>IFERROR(VLOOKUP(J2105,'NQ10'!$B$9:$C$145,2,0),"")</f>
        <v/>
      </c>
    </row>
    <row r="2106" spans="1:11" ht="15" customHeight="1" x14ac:dyDescent="0.25">
      <c r="A2106" s="75">
        <v>11</v>
      </c>
      <c r="B2106" s="75">
        <v>3</v>
      </c>
      <c r="C2106" s="75" t="s">
        <v>10</v>
      </c>
      <c r="D2106" s="75">
        <v>1744</v>
      </c>
      <c r="F2106" s="75" t="s">
        <v>10</v>
      </c>
      <c r="H2106" s="75" t="s">
        <v>10</v>
      </c>
      <c r="I2106" s="75">
        <v>19489</v>
      </c>
      <c r="K2106" s="75" t="str">
        <f>IFERROR(VLOOKUP(J2106,'NQ10'!$B$9:$C$145,2,0),"")</f>
        <v/>
      </c>
    </row>
    <row r="2107" spans="1:11" ht="15" customHeight="1" x14ac:dyDescent="0.25">
      <c r="A2107" s="75">
        <v>11</v>
      </c>
      <c r="B2107" s="75">
        <v>5</v>
      </c>
      <c r="C2107" s="75" t="s">
        <v>10</v>
      </c>
      <c r="D2107" s="75">
        <v>3448</v>
      </c>
      <c r="F2107" s="75" t="s">
        <v>10</v>
      </c>
      <c r="H2107" s="75" t="s">
        <v>10</v>
      </c>
      <c r="I2107" s="75">
        <v>19489</v>
      </c>
      <c r="K2107" s="75" t="str">
        <f>IFERROR(VLOOKUP(J2107,'NQ10'!$B$9:$C$145,2,0),"")</f>
        <v/>
      </c>
    </row>
    <row r="2108" spans="1:11" ht="15" customHeight="1" x14ac:dyDescent="0.25">
      <c r="A2108" s="75">
        <v>11</v>
      </c>
      <c r="B2108" s="75">
        <v>6</v>
      </c>
      <c r="C2108" s="75" t="s">
        <v>10</v>
      </c>
      <c r="D2108" s="75">
        <v>3209</v>
      </c>
      <c r="F2108" s="75" t="s">
        <v>10</v>
      </c>
      <c r="H2108" s="75" t="s">
        <v>10</v>
      </c>
      <c r="I2108" s="75">
        <v>19489</v>
      </c>
      <c r="K2108" s="75" t="str">
        <f>IFERROR(VLOOKUP(J2108,'NQ10'!$B$9:$C$145,2,0),"")</f>
        <v/>
      </c>
    </row>
    <row r="2109" spans="1:11" ht="15" customHeight="1" x14ac:dyDescent="0.25">
      <c r="A2109" s="75">
        <v>11</v>
      </c>
      <c r="B2109" s="75">
        <v>7</v>
      </c>
      <c r="C2109" s="75" t="s">
        <v>10</v>
      </c>
      <c r="D2109" s="75">
        <v>829</v>
      </c>
      <c r="F2109" s="75" t="s">
        <v>10</v>
      </c>
      <c r="H2109" s="75" t="s">
        <v>10</v>
      </c>
      <c r="I2109" s="75">
        <v>19489</v>
      </c>
      <c r="K2109" s="75" t="str">
        <f>IFERROR(VLOOKUP(J2109,'NQ10'!$B$9:$C$145,2,0),"")</f>
        <v/>
      </c>
    </row>
    <row r="2110" spans="1:11" ht="15" customHeight="1" x14ac:dyDescent="0.25">
      <c r="A2110" s="75">
        <v>11</v>
      </c>
      <c r="B2110" s="75">
        <v>8</v>
      </c>
      <c r="C2110" s="75" t="s">
        <v>10</v>
      </c>
      <c r="D2110" s="75">
        <v>926</v>
      </c>
      <c r="F2110" s="75" t="s">
        <v>10</v>
      </c>
      <c r="H2110" s="75" t="s">
        <v>10</v>
      </c>
      <c r="I2110" s="75">
        <v>19489</v>
      </c>
      <c r="K2110" s="75" t="str">
        <f>IFERROR(VLOOKUP(J2110,'NQ10'!$B$9:$C$145,2,0),"")</f>
        <v/>
      </c>
    </row>
    <row r="2111" spans="1:11" ht="15" customHeight="1" x14ac:dyDescent="0.25">
      <c r="A2111" s="75">
        <v>11</v>
      </c>
      <c r="B2111" s="75">
        <v>9</v>
      </c>
      <c r="C2111" s="75" t="s">
        <v>10</v>
      </c>
      <c r="D2111" s="75">
        <v>4874</v>
      </c>
      <c r="F2111" s="75" t="s">
        <v>10</v>
      </c>
      <c r="H2111" s="75" t="s">
        <v>10</v>
      </c>
      <c r="I2111" s="75">
        <v>19489</v>
      </c>
      <c r="K2111" s="75" t="str">
        <f>IFERROR(VLOOKUP(J2111,'NQ10'!$B$9:$C$145,2,0),"")</f>
        <v/>
      </c>
    </row>
    <row r="2112" spans="1:11" ht="15" customHeight="1" x14ac:dyDescent="0.25">
      <c r="A2112" s="75">
        <v>11</v>
      </c>
      <c r="B2112" s="75">
        <v>10</v>
      </c>
      <c r="C2112" s="75" t="s">
        <v>10</v>
      </c>
      <c r="D2112" s="75">
        <v>4330</v>
      </c>
      <c r="F2112" s="75" t="s">
        <v>10</v>
      </c>
      <c r="H2112" s="75" t="s">
        <v>10</v>
      </c>
      <c r="I2112" s="75">
        <v>19489</v>
      </c>
      <c r="K2112" s="75" t="str">
        <f>IFERROR(VLOOKUP(J2112,'NQ10'!$B$9:$C$145,2,0),"")</f>
        <v/>
      </c>
    </row>
    <row r="2113" spans="1:11" ht="15" customHeight="1" x14ac:dyDescent="0.25">
      <c r="A2113" s="75">
        <v>11</v>
      </c>
      <c r="B2113" s="75">
        <v>11</v>
      </c>
      <c r="C2113" s="75" t="s">
        <v>10</v>
      </c>
      <c r="D2113" s="75">
        <v>1713</v>
      </c>
      <c r="F2113" s="75" t="s">
        <v>10</v>
      </c>
      <c r="H2113" s="75" t="s">
        <v>10</v>
      </c>
      <c r="I2113" s="75">
        <v>19489</v>
      </c>
      <c r="K2113" s="75" t="str">
        <f>IFERROR(VLOOKUP(J2113,'NQ10'!$B$9:$C$145,2,0),"")</f>
        <v/>
      </c>
    </row>
    <row r="2114" spans="1:11" ht="15" customHeight="1" x14ac:dyDescent="0.25">
      <c r="A2114" s="75">
        <v>11</v>
      </c>
      <c r="B2114" s="75">
        <v>14</v>
      </c>
      <c r="C2114" s="75" t="s">
        <v>10</v>
      </c>
      <c r="D2114" s="75">
        <v>2643</v>
      </c>
      <c r="F2114" s="75" t="s">
        <v>10</v>
      </c>
      <c r="H2114" s="75" t="s">
        <v>10</v>
      </c>
      <c r="I2114" s="75">
        <v>19489</v>
      </c>
      <c r="K2114" s="75" t="str">
        <f>IFERROR(VLOOKUP(J2114,'NQ10'!$B$9:$C$145,2,0),"")</f>
        <v/>
      </c>
    </row>
    <row r="2115" spans="1:11" ht="15" customHeight="1" x14ac:dyDescent="0.25">
      <c r="A2115" s="75">
        <v>11</v>
      </c>
      <c r="B2115" s="75">
        <v>16</v>
      </c>
      <c r="C2115" s="75" t="s">
        <v>10</v>
      </c>
      <c r="D2115" s="75">
        <v>10131</v>
      </c>
      <c r="F2115" s="75" t="s">
        <v>10</v>
      </c>
      <c r="H2115" s="75" t="s">
        <v>10</v>
      </c>
      <c r="I2115" s="75">
        <v>19489</v>
      </c>
      <c r="K2115" s="75" t="str">
        <f>IFERROR(VLOOKUP(J2115,'NQ10'!$B$9:$C$145,2,0),"")</f>
        <v/>
      </c>
    </row>
    <row r="2116" spans="1:11" ht="15" customHeight="1" x14ac:dyDescent="0.25">
      <c r="A2116" s="75">
        <v>11</v>
      </c>
      <c r="B2116" s="75">
        <v>17</v>
      </c>
      <c r="C2116" s="75" t="s">
        <v>10</v>
      </c>
      <c r="D2116" s="75">
        <v>1888</v>
      </c>
      <c r="F2116" s="75" t="s">
        <v>10</v>
      </c>
      <c r="H2116" s="75" t="s">
        <v>10</v>
      </c>
      <c r="I2116" s="75">
        <v>19489</v>
      </c>
      <c r="K2116" s="75" t="str">
        <f>IFERROR(VLOOKUP(J2116,'NQ10'!$B$9:$C$145,2,0),"")</f>
        <v/>
      </c>
    </row>
    <row r="2117" spans="1:11" ht="15" customHeight="1" x14ac:dyDescent="0.25">
      <c r="A2117" s="75">
        <v>11</v>
      </c>
      <c r="B2117" s="75">
        <v>18</v>
      </c>
      <c r="C2117" s="75" t="s">
        <v>10</v>
      </c>
      <c r="D2117" s="75">
        <v>1441</v>
      </c>
      <c r="F2117" s="75" t="s">
        <v>10</v>
      </c>
      <c r="H2117" s="75" t="s">
        <v>10</v>
      </c>
      <c r="I2117" s="75">
        <v>19489</v>
      </c>
      <c r="K2117" s="75" t="str">
        <f>IFERROR(VLOOKUP(J2117,'NQ10'!$B$9:$C$145,2,0),"")</f>
        <v/>
      </c>
    </row>
    <row r="2118" spans="1:11" ht="15" customHeight="1" x14ac:dyDescent="0.25">
      <c r="A2118" s="75">
        <v>11</v>
      </c>
      <c r="B2118" s="75">
        <v>19</v>
      </c>
      <c r="C2118" s="75" t="s">
        <v>10</v>
      </c>
      <c r="D2118" s="75">
        <v>5666</v>
      </c>
      <c r="F2118" s="75" t="s">
        <v>10</v>
      </c>
      <c r="H2118" s="75" t="s">
        <v>10</v>
      </c>
      <c r="I2118" s="75">
        <v>19489</v>
      </c>
      <c r="K2118" s="75" t="str">
        <f>IFERROR(VLOOKUP(J2118,'NQ10'!$B$9:$C$145,2,0),"")</f>
        <v/>
      </c>
    </row>
    <row r="2119" spans="1:11" ht="15" customHeight="1" x14ac:dyDescent="0.25">
      <c r="A2119" s="75">
        <v>11</v>
      </c>
      <c r="B2119" s="75">
        <v>20</v>
      </c>
      <c r="C2119" s="75" t="s">
        <v>10</v>
      </c>
      <c r="D2119" s="75">
        <v>807</v>
      </c>
      <c r="F2119" s="75" t="s">
        <v>10</v>
      </c>
      <c r="H2119" s="75" t="s">
        <v>10</v>
      </c>
      <c r="I2119" s="75">
        <v>19489</v>
      </c>
      <c r="K2119" s="75" t="str">
        <f>IFERROR(VLOOKUP(J2119,'NQ10'!$B$9:$C$145,2,0),"")</f>
        <v/>
      </c>
    </row>
    <row r="2120" spans="1:11" ht="15" customHeight="1" x14ac:dyDescent="0.25">
      <c r="A2120" s="75">
        <v>11</v>
      </c>
      <c r="B2120" s="75">
        <v>21</v>
      </c>
      <c r="C2120" s="75" t="s">
        <v>10</v>
      </c>
      <c r="D2120" s="75">
        <v>915</v>
      </c>
      <c r="F2120" s="75" t="s">
        <v>10</v>
      </c>
      <c r="H2120" s="75" t="s">
        <v>10</v>
      </c>
      <c r="I2120" s="75">
        <v>19489</v>
      </c>
      <c r="K2120" s="75" t="str">
        <f>IFERROR(VLOOKUP(J2120,'NQ10'!$B$9:$C$145,2,0),"")</f>
        <v/>
      </c>
    </row>
    <row r="2121" spans="1:11" ht="15" customHeight="1" x14ac:dyDescent="0.25">
      <c r="A2121" s="75">
        <v>11</v>
      </c>
      <c r="B2121" s="75">
        <v>22</v>
      </c>
      <c r="C2121" s="75" t="s">
        <v>10</v>
      </c>
      <c r="D2121" s="75">
        <v>802</v>
      </c>
      <c r="F2121" s="75" t="s">
        <v>10</v>
      </c>
      <c r="H2121" s="75" t="s">
        <v>10</v>
      </c>
      <c r="I2121" s="75">
        <v>19489</v>
      </c>
      <c r="K2121" s="75" t="str">
        <f>IFERROR(VLOOKUP(J2121,'NQ10'!$B$9:$C$145,2,0),"")</f>
        <v/>
      </c>
    </row>
    <row r="2122" spans="1:11" ht="15" customHeight="1" x14ac:dyDescent="0.25">
      <c r="A2122" s="75">
        <v>11</v>
      </c>
      <c r="B2122" s="75">
        <v>23</v>
      </c>
      <c r="C2122" s="75" t="s">
        <v>10</v>
      </c>
      <c r="D2122" s="75">
        <v>4203</v>
      </c>
      <c r="F2122" s="75" t="s">
        <v>10</v>
      </c>
      <c r="H2122" s="75" t="s">
        <v>10</v>
      </c>
      <c r="I2122" s="75">
        <v>19489</v>
      </c>
      <c r="K2122" s="75" t="str">
        <f>IFERROR(VLOOKUP(J2122,'NQ10'!$B$9:$C$145,2,0),"")</f>
        <v/>
      </c>
    </row>
    <row r="2123" spans="1:11" ht="15" customHeight="1" x14ac:dyDescent="0.25">
      <c r="A2123" s="75">
        <v>11</v>
      </c>
      <c r="B2123" s="75">
        <v>25</v>
      </c>
      <c r="C2123" s="75" t="s">
        <v>10</v>
      </c>
      <c r="D2123" s="75">
        <v>373</v>
      </c>
      <c r="F2123" s="75" t="s">
        <v>10</v>
      </c>
      <c r="H2123" s="75" t="s">
        <v>10</v>
      </c>
      <c r="I2123" s="75">
        <v>19489</v>
      </c>
      <c r="K2123" s="75" t="str">
        <f>IFERROR(VLOOKUP(J2123,'NQ10'!$B$9:$C$145,2,0),"")</f>
        <v/>
      </c>
    </row>
    <row r="2124" spans="1:11" ht="15" customHeight="1" x14ac:dyDescent="0.25">
      <c r="A2124" s="75">
        <v>11</v>
      </c>
      <c r="B2124" s="75">
        <v>26</v>
      </c>
      <c r="C2124" s="75" t="s">
        <v>10</v>
      </c>
      <c r="D2124" s="75">
        <v>9860</v>
      </c>
      <c r="F2124" s="75" t="s">
        <v>10</v>
      </c>
      <c r="H2124" s="75" t="s">
        <v>10</v>
      </c>
      <c r="I2124" s="75">
        <v>19489</v>
      </c>
      <c r="K2124" s="75" t="str">
        <f>IFERROR(VLOOKUP(J2124,'NQ10'!$B$9:$C$145,2,0),"")</f>
        <v/>
      </c>
    </row>
    <row r="2125" spans="1:11" ht="15" customHeight="1" x14ac:dyDescent="0.25">
      <c r="A2125" s="75">
        <v>11</v>
      </c>
      <c r="B2125" s="75">
        <v>28</v>
      </c>
      <c r="C2125" s="75" t="s">
        <v>10</v>
      </c>
      <c r="D2125" s="75">
        <v>3845</v>
      </c>
      <c r="F2125" s="75" t="s">
        <v>10</v>
      </c>
      <c r="H2125" s="75" t="s">
        <v>10</v>
      </c>
      <c r="I2125" s="75">
        <v>19489</v>
      </c>
      <c r="K2125" s="75" t="str">
        <f>IFERROR(VLOOKUP(J2125,'NQ10'!$B$9:$C$145,2,0),"")</f>
        <v/>
      </c>
    </row>
    <row r="2126" spans="1:11" ht="15" customHeight="1" x14ac:dyDescent="0.25">
      <c r="A2126" s="75">
        <v>11</v>
      </c>
      <c r="B2126" s="75">
        <v>29</v>
      </c>
      <c r="C2126" s="75" t="s">
        <v>10</v>
      </c>
      <c r="D2126" s="75">
        <v>751</v>
      </c>
      <c r="F2126" s="75" t="s">
        <v>10</v>
      </c>
      <c r="H2126" s="75" t="s">
        <v>10</v>
      </c>
      <c r="I2126" s="75">
        <v>19489</v>
      </c>
      <c r="K2126" s="75" t="str">
        <f>IFERROR(VLOOKUP(J2126,'NQ10'!$B$9:$C$145,2,0),"")</f>
        <v/>
      </c>
    </row>
    <row r="2127" spans="1:11" ht="15" customHeight="1" x14ac:dyDescent="0.25">
      <c r="A2127" s="75">
        <v>11</v>
      </c>
      <c r="B2127" s="75">
        <v>30</v>
      </c>
      <c r="C2127" s="75" t="s">
        <v>10</v>
      </c>
      <c r="D2127" s="75">
        <v>789</v>
      </c>
      <c r="F2127" s="75" t="s">
        <v>10</v>
      </c>
      <c r="H2127" s="75" t="s">
        <v>10</v>
      </c>
      <c r="I2127" s="75">
        <v>19489</v>
      </c>
      <c r="K2127" s="75" t="str">
        <f>IFERROR(VLOOKUP(J2127,'NQ10'!$B$9:$C$145,2,0),"")</f>
        <v/>
      </c>
    </row>
    <row r="2128" spans="1:11" ht="15" customHeight="1" x14ac:dyDescent="0.25">
      <c r="A2128" s="75">
        <v>11</v>
      </c>
      <c r="B2128" s="75">
        <v>31</v>
      </c>
      <c r="C2128" s="75" t="s">
        <v>10</v>
      </c>
      <c r="D2128" s="75">
        <v>219</v>
      </c>
      <c r="F2128" s="75" t="s">
        <v>10</v>
      </c>
      <c r="H2128" s="75" t="s">
        <v>10</v>
      </c>
      <c r="I2128" s="75">
        <v>19489</v>
      </c>
      <c r="K2128" s="75" t="str">
        <f>IFERROR(VLOOKUP(J2128,'NQ10'!$B$9:$C$145,2,0),"")</f>
        <v/>
      </c>
    </row>
    <row r="2129" spans="1:11" ht="15" customHeight="1" x14ac:dyDescent="0.25">
      <c r="A2129" s="75">
        <v>11</v>
      </c>
      <c r="B2129" s="75">
        <v>32</v>
      </c>
      <c r="C2129" s="75" t="s">
        <v>10</v>
      </c>
      <c r="D2129" s="75">
        <v>1564</v>
      </c>
      <c r="F2129" s="75" t="s">
        <v>10</v>
      </c>
      <c r="H2129" s="75" t="s">
        <v>10</v>
      </c>
      <c r="I2129" s="75">
        <v>19489</v>
      </c>
      <c r="K2129" s="75" t="str">
        <f>IFERROR(VLOOKUP(J2129,'NQ10'!$B$9:$C$145,2,0),"")</f>
        <v/>
      </c>
    </row>
    <row r="2130" spans="1:11" ht="15" customHeight="1" x14ac:dyDescent="0.25">
      <c r="A2130" s="75">
        <v>11</v>
      </c>
      <c r="B2130" s="75">
        <v>33</v>
      </c>
      <c r="C2130" s="75" t="s">
        <v>10</v>
      </c>
      <c r="D2130" s="75">
        <v>2392</v>
      </c>
      <c r="F2130" s="75" t="s">
        <v>10</v>
      </c>
      <c r="H2130" s="75" t="s">
        <v>10</v>
      </c>
      <c r="I2130" s="75">
        <v>19489</v>
      </c>
      <c r="K2130" s="75" t="str">
        <f>IFERROR(VLOOKUP(J2130,'NQ10'!$B$9:$C$145,2,0),"")</f>
        <v/>
      </c>
    </row>
    <row r="2131" spans="1:11" ht="15" customHeight="1" x14ac:dyDescent="0.25">
      <c r="A2131" s="75">
        <v>11</v>
      </c>
      <c r="B2131" s="75">
        <v>34</v>
      </c>
      <c r="C2131" s="75" t="s">
        <v>10</v>
      </c>
      <c r="D2131" s="75">
        <v>163</v>
      </c>
      <c r="F2131" s="75" t="s">
        <v>10</v>
      </c>
      <c r="H2131" s="75" t="s">
        <v>10</v>
      </c>
      <c r="I2131" s="75">
        <v>19489</v>
      </c>
      <c r="K2131" s="75" t="str">
        <f>IFERROR(VLOOKUP(J2131,'NQ10'!$B$9:$C$145,2,0),"")</f>
        <v/>
      </c>
    </row>
    <row r="2132" spans="1:11" ht="15" customHeight="1" x14ac:dyDescent="0.25">
      <c r="A2132" s="75">
        <v>11</v>
      </c>
      <c r="B2132" s="75">
        <v>35</v>
      </c>
      <c r="C2132" s="75" t="s">
        <v>10</v>
      </c>
      <c r="D2132" s="75">
        <v>2152</v>
      </c>
      <c r="F2132" s="75" t="s">
        <v>10</v>
      </c>
      <c r="H2132" s="75" t="s">
        <v>10</v>
      </c>
      <c r="I2132" s="75">
        <v>19489</v>
      </c>
      <c r="K2132" s="75" t="str">
        <f>IFERROR(VLOOKUP(J2132,'NQ10'!$B$9:$C$145,2,0),"")</f>
        <v/>
      </c>
    </row>
    <row r="2133" spans="1:11" ht="15" customHeight="1" x14ac:dyDescent="0.25">
      <c r="A2133" s="75">
        <v>11</v>
      </c>
      <c r="B2133" s="75">
        <v>36</v>
      </c>
      <c r="C2133" s="75" t="s">
        <v>10</v>
      </c>
      <c r="D2133" s="75">
        <v>2050</v>
      </c>
      <c r="F2133" s="75" t="s">
        <v>10</v>
      </c>
      <c r="H2133" s="75" t="s">
        <v>10</v>
      </c>
      <c r="I2133" s="75">
        <v>19489</v>
      </c>
      <c r="K2133" s="75" t="str">
        <f>IFERROR(VLOOKUP(J2133,'NQ10'!$B$9:$C$145,2,0),"")</f>
        <v/>
      </c>
    </row>
    <row r="2134" spans="1:11" ht="15" customHeight="1" x14ac:dyDescent="0.25">
      <c r="A2134" s="75">
        <v>11</v>
      </c>
      <c r="B2134" s="75">
        <v>37</v>
      </c>
      <c r="C2134" s="75" t="s">
        <v>10</v>
      </c>
      <c r="D2134" s="75">
        <v>1898</v>
      </c>
      <c r="F2134" s="75" t="s">
        <v>10</v>
      </c>
      <c r="H2134" s="75" t="s">
        <v>10</v>
      </c>
      <c r="I2134" s="75">
        <v>19489</v>
      </c>
      <c r="K2134" s="75" t="str">
        <f>IFERROR(VLOOKUP(J2134,'NQ10'!$B$9:$C$145,2,0),"")</f>
        <v/>
      </c>
    </row>
    <row r="2135" spans="1:11" ht="15" customHeight="1" x14ac:dyDescent="0.25">
      <c r="A2135" s="75">
        <v>11</v>
      </c>
      <c r="B2135" s="75">
        <v>38</v>
      </c>
      <c r="C2135" s="75" t="s">
        <v>10</v>
      </c>
      <c r="D2135" s="75">
        <v>3060</v>
      </c>
      <c r="F2135" s="75" t="s">
        <v>10</v>
      </c>
      <c r="H2135" s="75" t="s">
        <v>10</v>
      </c>
      <c r="I2135" s="75">
        <v>19489</v>
      </c>
      <c r="K2135" s="75" t="str">
        <f>IFERROR(VLOOKUP(J2135,'NQ10'!$B$9:$C$145,2,0),"")</f>
        <v/>
      </c>
    </row>
    <row r="2136" spans="1:11" ht="15" customHeight="1" x14ac:dyDescent="0.25">
      <c r="A2136" s="75">
        <v>11</v>
      </c>
      <c r="B2136" s="75">
        <v>39</v>
      </c>
      <c r="C2136" s="75" t="s">
        <v>10</v>
      </c>
      <c r="D2136" s="75">
        <v>2403</v>
      </c>
      <c r="F2136" s="75" t="s">
        <v>10</v>
      </c>
      <c r="H2136" s="75" t="s">
        <v>10</v>
      </c>
      <c r="I2136" s="75">
        <v>19489</v>
      </c>
      <c r="K2136" s="75" t="str">
        <f>IFERROR(VLOOKUP(J2136,'NQ10'!$B$9:$C$145,2,0),"")</f>
        <v/>
      </c>
    </row>
    <row r="2137" spans="1:11" ht="15" customHeight="1" x14ac:dyDescent="0.25">
      <c r="A2137" s="75">
        <v>11</v>
      </c>
      <c r="B2137" s="75">
        <v>40</v>
      </c>
      <c r="C2137" s="75" t="s">
        <v>10</v>
      </c>
      <c r="D2137" s="75">
        <v>234</v>
      </c>
      <c r="F2137" s="75" t="s">
        <v>10</v>
      </c>
      <c r="H2137" s="75" t="s">
        <v>10</v>
      </c>
      <c r="I2137" s="75">
        <v>19489</v>
      </c>
      <c r="K2137" s="75" t="str">
        <f>IFERROR(VLOOKUP(J2137,'NQ10'!$B$9:$C$145,2,0),"")</f>
        <v/>
      </c>
    </row>
    <row r="2138" spans="1:11" ht="15" customHeight="1" x14ac:dyDescent="0.25">
      <c r="A2138" s="75">
        <v>11</v>
      </c>
      <c r="B2138" s="75">
        <v>41</v>
      </c>
      <c r="C2138" s="75" t="s">
        <v>10</v>
      </c>
      <c r="D2138" s="75">
        <v>164</v>
      </c>
      <c r="F2138" s="75" t="s">
        <v>10</v>
      </c>
      <c r="H2138" s="75" t="s">
        <v>10</v>
      </c>
      <c r="I2138" s="75">
        <v>19489</v>
      </c>
      <c r="K2138" s="75" t="str">
        <f>IFERROR(VLOOKUP(J2138,'NQ10'!$B$9:$C$145,2,0),"")</f>
        <v/>
      </c>
    </row>
    <row r="2139" spans="1:11" ht="15" customHeight="1" x14ac:dyDescent="0.25">
      <c r="A2139" s="75">
        <v>11</v>
      </c>
      <c r="B2139" s="75">
        <v>43</v>
      </c>
      <c r="C2139" s="75" t="s">
        <v>10</v>
      </c>
      <c r="D2139" s="75">
        <v>2480</v>
      </c>
      <c r="F2139" s="75" t="s">
        <v>10</v>
      </c>
      <c r="H2139" s="75" t="s">
        <v>10</v>
      </c>
      <c r="I2139" s="75">
        <v>19489</v>
      </c>
      <c r="K2139" s="75" t="str">
        <f>IFERROR(VLOOKUP(J2139,'NQ10'!$B$9:$C$145,2,0),"")</f>
        <v/>
      </c>
    </row>
    <row r="2140" spans="1:11" ht="15" customHeight="1" x14ac:dyDescent="0.25">
      <c r="A2140" s="75">
        <v>11</v>
      </c>
      <c r="B2140" s="75">
        <v>44</v>
      </c>
      <c r="C2140" s="75" t="s">
        <v>10</v>
      </c>
      <c r="D2140" s="75">
        <v>4389</v>
      </c>
      <c r="F2140" s="75" t="s">
        <v>10</v>
      </c>
      <c r="H2140" s="75" t="s">
        <v>10</v>
      </c>
      <c r="I2140" s="75">
        <v>19489</v>
      </c>
      <c r="K2140" s="75" t="str">
        <f>IFERROR(VLOOKUP(J2140,'NQ10'!$B$9:$C$145,2,0),"")</f>
        <v/>
      </c>
    </row>
    <row r="2141" spans="1:11" ht="15" customHeight="1" x14ac:dyDescent="0.25">
      <c r="A2141" s="75">
        <v>11</v>
      </c>
      <c r="B2141" s="75">
        <v>45</v>
      </c>
      <c r="C2141" s="75" t="s">
        <v>10</v>
      </c>
      <c r="D2141" s="75">
        <v>4796</v>
      </c>
      <c r="F2141" s="75" t="s">
        <v>10</v>
      </c>
      <c r="H2141" s="75" t="s">
        <v>10</v>
      </c>
      <c r="I2141" s="75">
        <v>19489</v>
      </c>
      <c r="K2141" s="75" t="str">
        <f>IFERROR(VLOOKUP(J2141,'NQ10'!$B$9:$C$145,2,0),"")</f>
        <v/>
      </c>
    </row>
    <row r="2142" spans="1:11" ht="15" customHeight="1" x14ac:dyDescent="0.25">
      <c r="A2142" s="75">
        <v>11</v>
      </c>
      <c r="B2142" s="75">
        <v>50</v>
      </c>
      <c r="C2142" s="75" t="s">
        <v>10</v>
      </c>
      <c r="D2142" s="75">
        <v>121</v>
      </c>
      <c r="F2142" s="75" t="s">
        <v>10</v>
      </c>
      <c r="H2142" s="75" t="s">
        <v>10</v>
      </c>
      <c r="I2142" s="75">
        <v>19489</v>
      </c>
      <c r="K2142" s="75" t="str">
        <f>IFERROR(VLOOKUP(J2142,'NQ10'!$B$9:$C$145,2,0),"")</f>
        <v/>
      </c>
    </row>
    <row r="2143" spans="1:11" ht="15" customHeight="1" x14ac:dyDescent="0.25">
      <c r="A2143" s="75">
        <v>11</v>
      </c>
      <c r="B2143" s="75">
        <v>52</v>
      </c>
      <c r="C2143" s="75" t="s">
        <v>10</v>
      </c>
      <c r="D2143" s="75">
        <v>301</v>
      </c>
      <c r="F2143" s="75" t="s">
        <v>10</v>
      </c>
      <c r="H2143" s="75" t="s">
        <v>10</v>
      </c>
      <c r="I2143" s="75">
        <v>19489</v>
      </c>
      <c r="K2143" s="75" t="str">
        <f>IFERROR(VLOOKUP(J2143,'NQ10'!$B$9:$C$145,2,0),"")</f>
        <v/>
      </c>
    </row>
    <row r="2144" spans="1:11" ht="15" customHeight="1" x14ac:dyDescent="0.25">
      <c r="A2144" s="75">
        <v>11</v>
      </c>
      <c r="B2144" s="75">
        <v>53</v>
      </c>
      <c r="C2144" s="75" t="s">
        <v>10</v>
      </c>
      <c r="D2144" s="75">
        <v>9061</v>
      </c>
      <c r="F2144" s="75" t="s">
        <v>10</v>
      </c>
      <c r="H2144" s="75" t="s">
        <v>10</v>
      </c>
      <c r="I2144" s="75">
        <v>19489</v>
      </c>
      <c r="K2144" s="75" t="str">
        <f>IFERROR(VLOOKUP(J2144,'NQ10'!$B$9:$C$145,2,0),"")</f>
        <v/>
      </c>
    </row>
    <row r="2145" spans="1:11" ht="15" customHeight="1" x14ac:dyDescent="0.25">
      <c r="A2145" s="75">
        <v>11</v>
      </c>
      <c r="B2145" s="75">
        <v>54</v>
      </c>
      <c r="C2145" s="75" t="s">
        <v>10</v>
      </c>
      <c r="D2145" s="75">
        <v>4685</v>
      </c>
      <c r="F2145" s="75" t="s">
        <v>10</v>
      </c>
      <c r="H2145" s="75" t="s">
        <v>10</v>
      </c>
      <c r="I2145" s="75">
        <v>19489</v>
      </c>
      <c r="K2145" s="75" t="str">
        <f>IFERROR(VLOOKUP(J2145,'NQ10'!$B$9:$C$145,2,0),"")</f>
        <v/>
      </c>
    </row>
    <row r="2146" spans="1:11" ht="15" customHeight="1" x14ac:dyDescent="0.25">
      <c r="A2146" s="75">
        <v>11</v>
      </c>
      <c r="B2146" s="75">
        <v>59</v>
      </c>
      <c r="C2146" s="75" t="s">
        <v>10</v>
      </c>
      <c r="D2146" s="75">
        <v>8414</v>
      </c>
      <c r="F2146" s="75" t="s">
        <v>10</v>
      </c>
      <c r="H2146" s="75" t="s">
        <v>10</v>
      </c>
      <c r="I2146" s="75">
        <v>19489</v>
      </c>
      <c r="K2146" s="75" t="str">
        <f>IFERROR(VLOOKUP(J2146,'NQ10'!$B$9:$C$145,2,0),"")</f>
        <v/>
      </c>
    </row>
    <row r="2147" spans="1:11" ht="15" customHeight="1" x14ac:dyDescent="0.25">
      <c r="A2147" s="75">
        <v>11</v>
      </c>
      <c r="B2147" s="75">
        <v>60</v>
      </c>
      <c r="C2147" s="75" t="s">
        <v>10</v>
      </c>
      <c r="D2147" s="75">
        <v>4566</v>
      </c>
      <c r="F2147" s="75" t="s">
        <v>10</v>
      </c>
      <c r="H2147" s="75" t="s">
        <v>10</v>
      </c>
      <c r="I2147" s="75">
        <v>19489</v>
      </c>
      <c r="K2147" s="75" t="str">
        <f>IFERROR(VLOOKUP(J2147,'NQ10'!$B$9:$C$145,2,0),"")</f>
        <v/>
      </c>
    </row>
    <row r="2148" spans="1:11" ht="15" customHeight="1" x14ac:dyDescent="0.25">
      <c r="A2148" s="75">
        <v>11</v>
      </c>
      <c r="B2148" s="75">
        <v>61</v>
      </c>
      <c r="C2148" s="75" t="s">
        <v>10</v>
      </c>
      <c r="D2148" s="75">
        <v>5991</v>
      </c>
      <c r="F2148" s="75" t="s">
        <v>10</v>
      </c>
      <c r="H2148" s="75" t="s">
        <v>10</v>
      </c>
      <c r="I2148" s="75">
        <v>19489</v>
      </c>
      <c r="K2148" s="75" t="str">
        <f>IFERROR(VLOOKUP(J2148,'NQ10'!$B$9:$C$145,2,0),"")</f>
        <v/>
      </c>
    </row>
    <row r="2149" spans="1:11" ht="15" customHeight="1" x14ac:dyDescent="0.25">
      <c r="A2149" s="75">
        <v>11</v>
      </c>
      <c r="B2149" s="75">
        <v>62</v>
      </c>
      <c r="C2149" s="75" t="s">
        <v>10</v>
      </c>
      <c r="D2149" s="75">
        <v>2588</v>
      </c>
      <c r="F2149" s="75" t="s">
        <v>10</v>
      </c>
      <c r="H2149" s="75" t="s">
        <v>10</v>
      </c>
      <c r="I2149" s="75">
        <v>19489</v>
      </c>
      <c r="K2149" s="75" t="str">
        <f>IFERROR(VLOOKUP(J2149,'NQ10'!$B$9:$C$145,2,0),"")</f>
        <v/>
      </c>
    </row>
    <row r="2150" spans="1:11" ht="15" customHeight="1" x14ac:dyDescent="0.25">
      <c r="A2150" s="75">
        <v>11</v>
      </c>
      <c r="B2150" s="75">
        <v>66</v>
      </c>
      <c r="C2150" s="75" t="s">
        <v>10</v>
      </c>
      <c r="D2150" s="75">
        <v>2780</v>
      </c>
      <c r="F2150" s="75" t="s">
        <v>10</v>
      </c>
      <c r="H2150" s="75" t="s">
        <v>10</v>
      </c>
      <c r="I2150" s="75">
        <v>19489</v>
      </c>
      <c r="K2150" s="75" t="str">
        <f>IFERROR(VLOOKUP(J2150,'NQ10'!$B$9:$C$145,2,0),"")</f>
        <v/>
      </c>
    </row>
    <row r="2151" spans="1:11" ht="15" customHeight="1" x14ac:dyDescent="0.25">
      <c r="A2151" s="75">
        <v>11</v>
      </c>
      <c r="B2151" s="75">
        <v>67</v>
      </c>
      <c r="C2151" s="75" t="s">
        <v>10</v>
      </c>
      <c r="D2151" s="75">
        <v>3180</v>
      </c>
      <c r="F2151" s="75" t="s">
        <v>10</v>
      </c>
      <c r="H2151" s="75" t="s">
        <v>10</v>
      </c>
      <c r="I2151" s="75">
        <v>19489</v>
      </c>
      <c r="K2151" s="75" t="str">
        <f>IFERROR(VLOOKUP(J2151,'NQ10'!$B$9:$C$145,2,0),"")</f>
        <v/>
      </c>
    </row>
    <row r="2152" spans="1:11" ht="15" customHeight="1" x14ac:dyDescent="0.25">
      <c r="A2152" s="75">
        <v>11</v>
      </c>
      <c r="B2152" s="75">
        <v>68</v>
      </c>
      <c r="C2152" s="75" t="s">
        <v>10</v>
      </c>
      <c r="D2152" s="75">
        <v>2558</v>
      </c>
      <c r="F2152" s="75" t="s">
        <v>10</v>
      </c>
      <c r="H2152" s="75" t="s">
        <v>10</v>
      </c>
      <c r="I2152" s="75">
        <v>19489</v>
      </c>
      <c r="K2152" s="75" t="str">
        <f>IFERROR(VLOOKUP(J2152,'NQ10'!$B$9:$C$145,2,0),"")</f>
        <v/>
      </c>
    </row>
    <row r="2153" spans="1:11" ht="15" customHeight="1" x14ac:dyDescent="0.25">
      <c r="A2153" s="75">
        <v>11</v>
      </c>
      <c r="B2153" s="75">
        <v>71</v>
      </c>
      <c r="C2153" s="75" t="s">
        <v>10</v>
      </c>
      <c r="D2153" s="75">
        <v>4223</v>
      </c>
      <c r="F2153" s="75" t="s">
        <v>10</v>
      </c>
      <c r="H2153" s="75" t="s">
        <v>10</v>
      </c>
      <c r="I2153" s="75">
        <v>19489</v>
      </c>
      <c r="K2153" s="75" t="str">
        <f>IFERROR(VLOOKUP(J2153,'NQ10'!$B$9:$C$145,2,0),"")</f>
        <v/>
      </c>
    </row>
    <row r="2154" spans="1:11" ht="15" customHeight="1" x14ac:dyDescent="0.25">
      <c r="A2154" s="75">
        <v>11</v>
      </c>
      <c r="B2154" s="75">
        <v>72</v>
      </c>
      <c r="C2154" s="75" t="s">
        <v>10</v>
      </c>
      <c r="D2154" s="75">
        <v>4523</v>
      </c>
      <c r="F2154" s="75" t="s">
        <v>10</v>
      </c>
      <c r="H2154" s="75" t="s">
        <v>10</v>
      </c>
      <c r="I2154" s="75">
        <v>19489</v>
      </c>
      <c r="K2154" s="75" t="str">
        <f>IFERROR(VLOOKUP(J2154,'NQ10'!$B$9:$C$145,2,0),"")</f>
        <v/>
      </c>
    </row>
    <row r="2155" spans="1:11" ht="15" customHeight="1" x14ac:dyDescent="0.25">
      <c r="A2155" s="75">
        <v>11</v>
      </c>
      <c r="B2155" s="75">
        <v>73</v>
      </c>
      <c r="C2155" s="75" t="s">
        <v>10</v>
      </c>
      <c r="D2155" s="75">
        <v>3177</v>
      </c>
      <c r="F2155" s="75" t="s">
        <v>10</v>
      </c>
      <c r="H2155" s="75" t="s">
        <v>10</v>
      </c>
      <c r="I2155" s="75">
        <v>19489</v>
      </c>
      <c r="K2155" s="75" t="str">
        <f>IFERROR(VLOOKUP(J2155,'NQ10'!$B$9:$C$145,2,0),"")</f>
        <v/>
      </c>
    </row>
    <row r="2156" spans="1:11" ht="15" customHeight="1" x14ac:dyDescent="0.25">
      <c r="A2156" s="75">
        <v>11</v>
      </c>
      <c r="B2156" s="75">
        <v>74</v>
      </c>
      <c r="C2156" s="75" t="s">
        <v>10</v>
      </c>
      <c r="D2156" s="75">
        <v>1751</v>
      </c>
      <c r="F2156" s="75" t="s">
        <v>10</v>
      </c>
      <c r="H2156" s="75" t="s">
        <v>10</v>
      </c>
      <c r="I2156" s="75">
        <v>19489</v>
      </c>
      <c r="K2156" s="75" t="str">
        <f>IFERROR(VLOOKUP(J2156,'NQ10'!$B$9:$C$145,2,0),"")</f>
        <v/>
      </c>
    </row>
    <row r="2157" spans="1:11" ht="15" customHeight="1" x14ac:dyDescent="0.25">
      <c r="A2157" s="75">
        <v>11</v>
      </c>
      <c r="B2157" s="75">
        <v>76</v>
      </c>
      <c r="C2157" s="75" t="s">
        <v>10</v>
      </c>
      <c r="D2157" s="75">
        <v>303</v>
      </c>
      <c r="F2157" s="75" t="s">
        <v>10</v>
      </c>
      <c r="H2157" s="75" t="s">
        <v>10</v>
      </c>
      <c r="I2157" s="75">
        <v>19489</v>
      </c>
      <c r="K2157" s="75" t="str">
        <f>IFERROR(VLOOKUP(J2157,'NQ10'!$B$9:$C$145,2,0),"")</f>
        <v/>
      </c>
    </row>
    <row r="2158" spans="1:11" ht="15" customHeight="1" x14ac:dyDescent="0.25">
      <c r="A2158" s="75">
        <v>11</v>
      </c>
      <c r="B2158" s="75">
        <v>77</v>
      </c>
      <c r="C2158" s="75" t="s">
        <v>10</v>
      </c>
      <c r="D2158" s="75">
        <v>3817</v>
      </c>
      <c r="F2158" s="75" t="s">
        <v>10</v>
      </c>
      <c r="H2158" s="75" t="s">
        <v>10</v>
      </c>
      <c r="I2158" s="75">
        <v>19489</v>
      </c>
      <c r="K2158" s="75" t="str">
        <f>IFERROR(VLOOKUP(J2158,'NQ10'!$B$9:$C$145,2,0),"")</f>
        <v/>
      </c>
    </row>
    <row r="2159" spans="1:11" ht="15" customHeight="1" x14ac:dyDescent="0.25">
      <c r="A2159" s="75">
        <v>11</v>
      </c>
      <c r="B2159" s="75">
        <v>78</v>
      </c>
      <c r="C2159" s="75" t="s">
        <v>10</v>
      </c>
      <c r="D2159" s="75">
        <v>5133</v>
      </c>
      <c r="F2159" s="75" t="s">
        <v>10</v>
      </c>
      <c r="H2159" s="75" t="s">
        <v>10</v>
      </c>
      <c r="I2159" s="75">
        <v>19489</v>
      </c>
      <c r="K2159" s="75" t="str">
        <f>IFERROR(VLOOKUP(J2159,'NQ10'!$B$9:$C$145,2,0),"")</f>
        <v/>
      </c>
    </row>
    <row r="2160" spans="1:11" ht="15" customHeight="1" x14ac:dyDescent="0.25">
      <c r="A2160" s="75">
        <v>11</v>
      </c>
      <c r="B2160" s="75">
        <v>79</v>
      </c>
      <c r="C2160" s="75" t="s">
        <v>10</v>
      </c>
      <c r="D2160" s="75">
        <v>523</v>
      </c>
      <c r="F2160" s="75" t="s">
        <v>10</v>
      </c>
      <c r="H2160" s="75" t="s">
        <v>10</v>
      </c>
      <c r="I2160" s="75">
        <v>19489</v>
      </c>
      <c r="K2160" s="75" t="str">
        <f>IFERROR(VLOOKUP(J2160,'NQ10'!$B$9:$C$145,2,0),"")</f>
        <v/>
      </c>
    </row>
    <row r="2161" spans="1:11" ht="15" customHeight="1" x14ac:dyDescent="0.25">
      <c r="A2161" s="75">
        <v>11</v>
      </c>
      <c r="B2161" s="75">
        <v>82</v>
      </c>
      <c r="C2161" s="75" t="s">
        <v>10</v>
      </c>
      <c r="D2161" s="75">
        <v>5716</v>
      </c>
      <c r="F2161" s="75" t="s">
        <v>10</v>
      </c>
      <c r="H2161" s="75" t="s">
        <v>10</v>
      </c>
      <c r="I2161" s="75">
        <v>19489</v>
      </c>
      <c r="K2161" s="75" t="str">
        <f>IFERROR(VLOOKUP(J2161,'NQ10'!$B$9:$C$145,2,0),"")</f>
        <v/>
      </c>
    </row>
    <row r="2162" spans="1:11" ht="15" customHeight="1" x14ac:dyDescent="0.25">
      <c r="A2162" s="75">
        <v>11</v>
      </c>
      <c r="B2162" s="75">
        <v>83</v>
      </c>
      <c r="C2162" s="75" t="s">
        <v>10</v>
      </c>
      <c r="D2162" s="75">
        <v>4426</v>
      </c>
      <c r="F2162" s="75" t="s">
        <v>10</v>
      </c>
      <c r="H2162" s="75" t="s">
        <v>10</v>
      </c>
      <c r="I2162" s="75">
        <v>19489</v>
      </c>
      <c r="K2162" s="75" t="str">
        <f>IFERROR(VLOOKUP(J2162,'NQ10'!$B$9:$C$145,2,0),"")</f>
        <v/>
      </c>
    </row>
    <row r="2163" spans="1:11" ht="15" customHeight="1" x14ac:dyDescent="0.25">
      <c r="A2163" s="75">
        <v>11</v>
      </c>
      <c r="B2163" s="75">
        <v>84</v>
      </c>
      <c r="C2163" s="75" t="s">
        <v>10</v>
      </c>
      <c r="D2163" s="75">
        <v>2976</v>
      </c>
      <c r="F2163" s="75" t="s">
        <v>10</v>
      </c>
      <c r="H2163" s="75" t="s">
        <v>10</v>
      </c>
      <c r="I2163" s="75">
        <v>19489</v>
      </c>
      <c r="K2163" s="75" t="str">
        <f>IFERROR(VLOOKUP(J2163,'NQ10'!$B$9:$C$145,2,0),"")</f>
        <v/>
      </c>
    </row>
    <row r="2164" spans="1:11" ht="15" customHeight="1" x14ac:dyDescent="0.25">
      <c r="A2164" s="75">
        <v>11</v>
      </c>
      <c r="B2164" s="75">
        <v>85</v>
      </c>
      <c r="C2164" s="75" t="s">
        <v>10</v>
      </c>
      <c r="D2164" s="75">
        <v>431</v>
      </c>
      <c r="F2164" s="75" t="s">
        <v>10</v>
      </c>
      <c r="H2164" s="75" t="s">
        <v>10</v>
      </c>
      <c r="I2164" s="75">
        <v>19489</v>
      </c>
      <c r="K2164" s="75" t="str">
        <f>IFERROR(VLOOKUP(J2164,'NQ10'!$B$9:$C$145,2,0),"")</f>
        <v/>
      </c>
    </row>
    <row r="2165" spans="1:11" ht="15" customHeight="1" x14ac:dyDescent="0.25">
      <c r="A2165" s="75">
        <v>11</v>
      </c>
      <c r="B2165" s="75">
        <v>86</v>
      </c>
      <c r="C2165" s="75" t="s">
        <v>10</v>
      </c>
      <c r="D2165" s="75">
        <v>2306</v>
      </c>
      <c r="F2165" s="75" t="s">
        <v>10</v>
      </c>
      <c r="H2165" s="75" t="s">
        <v>10</v>
      </c>
      <c r="I2165" s="75">
        <v>19489</v>
      </c>
      <c r="K2165" s="75" t="str">
        <f>IFERROR(VLOOKUP(J2165,'NQ10'!$B$9:$C$145,2,0),"")</f>
        <v/>
      </c>
    </row>
    <row r="2166" spans="1:11" ht="15" customHeight="1" x14ac:dyDescent="0.25">
      <c r="A2166" s="75">
        <v>11</v>
      </c>
      <c r="B2166" s="75">
        <v>87</v>
      </c>
      <c r="C2166" s="75" t="s">
        <v>10</v>
      </c>
      <c r="D2166" s="75">
        <v>1469</v>
      </c>
      <c r="F2166" s="75" t="s">
        <v>10</v>
      </c>
      <c r="H2166" s="75" t="s">
        <v>10</v>
      </c>
      <c r="I2166" s="75">
        <v>19489</v>
      </c>
      <c r="K2166" s="75" t="str">
        <f>IFERROR(VLOOKUP(J2166,'NQ10'!$B$9:$C$145,2,0),"")</f>
        <v/>
      </c>
    </row>
    <row r="2167" spans="1:11" ht="15" customHeight="1" x14ac:dyDescent="0.25">
      <c r="A2167" s="75">
        <v>11</v>
      </c>
      <c r="B2167" s="75">
        <v>88</v>
      </c>
      <c r="C2167" s="75" t="s">
        <v>10</v>
      </c>
      <c r="D2167" s="75">
        <v>348</v>
      </c>
      <c r="F2167" s="75" t="s">
        <v>10</v>
      </c>
      <c r="H2167" s="75" t="s">
        <v>10</v>
      </c>
      <c r="I2167" s="75">
        <v>19489</v>
      </c>
      <c r="K2167" s="75" t="str">
        <f>IFERROR(VLOOKUP(J2167,'NQ10'!$B$9:$C$145,2,0),"")</f>
        <v/>
      </c>
    </row>
    <row r="2168" spans="1:11" ht="15" customHeight="1" x14ac:dyDescent="0.25">
      <c r="A2168" s="75">
        <v>11</v>
      </c>
      <c r="B2168" s="75">
        <v>89</v>
      </c>
      <c r="C2168" s="75" t="s">
        <v>10</v>
      </c>
      <c r="D2168" s="75">
        <v>2701</v>
      </c>
      <c r="F2168" s="75" t="s">
        <v>10</v>
      </c>
      <c r="H2168" s="75" t="s">
        <v>10</v>
      </c>
      <c r="I2168" s="75">
        <v>19489</v>
      </c>
      <c r="K2168" s="75" t="str">
        <f>IFERROR(VLOOKUP(J2168,'NQ10'!$B$9:$C$145,2,0),"")</f>
        <v/>
      </c>
    </row>
    <row r="2169" spans="1:11" ht="15" customHeight="1" x14ac:dyDescent="0.25">
      <c r="A2169" s="75">
        <v>11</v>
      </c>
      <c r="B2169" s="75">
        <v>91</v>
      </c>
      <c r="C2169" s="75" t="s">
        <v>10</v>
      </c>
      <c r="D2169" s="75">
        <v>4517</v>
      </c>
      <c r="F2169" s="75" t="s">
        <v>10</v>
      </c>
      <c r="H2169" s="75" t="s">
        <v>10</v>
      </c>
      <c r="I2169" s="75">
        <v>19489</v>
      </c>
      <c r="K2169" s="75" t="str">
        <f>IFERROR(VLOOKUP(J2169,'NQ10'!$B$9:$C$145,2,0),"")</f>
        <v/>
      </c>
    </row>
    <row r="2170" spans="1:11" ht="15" customHeight="1" x14ac:dyDescent="0.25">
      <c r="A2170" s="75">
        <v>11</v>
      </c>
      <c r="B2170" s="75">
        <v>92</v>
      </c>
      <c r="C2170" s="75" t="s">
        <v>10</v>
      </c>
      <c r="D2170" s="75">
        <v>708</v>
      </c>
      <c r="F2170" s="75" t="s">
        <v>10</v>
      </c>
      <c r="H2170" s="75" t="s">
        <v>10</v>
      </c>
      <c r="I2170" s="75">
        <v>19489</v>
      </c>
      <c r="K2170" s="75" t="str">
        <f>IFERROR(VLOOKUP(J2170,'NQ10'!$B$9:$C$145,2,0),"")</f>
        <v/>
      </c>
    </row>
    <row r="2171" spans="1:11" ht="15" customHeight="1" x14ac:dyDescent="0.25">
      <c r="A2171" s="75">
        <v>11</v>
      </c>
      <c r="B2171" s="75">
        <v>95</v>
      </c>
      <c r="C2171" s="75" t="s">
        <v>10</v>
      </c>
      <c r="D2171" s="75">
        <v>773</v>
      </c>
      <c r="F2171" s="75" t="s">
        <v>10</v>
      </c>
      <c r="H2171" s="75" t="s">
        <v>10</v>
      </c>
      <c r="I2171" s="75">
        <v>19489</v>
      </c>
      <c r="K2171" s="75" t="str">
        <f>IFERROR(VLOOKUP(J2171,'NQ10'!$B$9:$C$145,2,0),"")</f>
        <v/>
      </c>
    </row>
    <row r="2172" spans="1:11" ht="15" customHeight="1" x14ac:dyDescent="0.25">
      <c r="A2172" s="75">
        <v>11</v>
      </c>
      <c r="B2172" s="75">
        <v>96</v>
      </c>
      <c r="C2172" s="75" t="s">
        <v>10</v>
      </c>
      <c r="D2172" s="75">
        <v>656</v>
      </c>
      <c r="F2172" s="75" t="s">
        <v>10</v>
      </c>
      <c r="H2172" s="75" t="s">
        <v>10</v>
      </c>
      <c r="I2172" s="75">
        <v>19489</v>
      </c>
      <c r="K2172" s="75" t="str">
        <f>IFERROR(VLOOKUP(J2172,'NQ10'!$B$9:$C$145,2,0),"")</f>
        <v/>
      </c>
    </row>
    <row r="2173" spans="1:11" ht="15" customHeight="1" x14ac:dyDescent="0.25">
      <c r="A2173" s="75">
        <v>11</v>
      </c>
      <c r="B2173" s="75">
        <v>104</v>
      </c>
      <c r="C2173" s="75" t="s">
        <v>10</v>
      </c>
      <c r="D2173" s="75">
        <v>1785</v>
      </c>
      <c r="F2173" s="75" t="s">
        <v>10</v>
      </c>
      <c r="H2173" s="75" t="s">
        <v>10</v>
      </c>
      <c r="I2173" s="75">
        <v>19489</v>
      </c>
      <c r="K2173" s="75" t="str">
        <f>IFERROR(VLOOKUP(J2173,'NQ10'!$B$9:$C$145,2,0),"")</f>
        <v/>
      </c>
    </row>
    <row r="2174" spans="1:11" ht="15" customHeight="1" x14ac:dyDescent="0.25">
      <c r="A2174" s="75">
        <v>11</v>
      </c>
      <c r="B2174" s="75">
        <v>105</v>
      </c>
      <c r="C2174" s="75" t="s">
        <v>10</v>
      </c>
      <c r="D2174" s="75">
        <v>6008</v>
      </c>
      <c r="F2174" s="75" t="s">
        <v>10</v>
      </c>
      <c r="H2174" s="75" t="s">
        <v>10</v>
      </c>
      <c r="I2174" s="75">
        <v>19489</v>
      </c>
      <c r="K2174" s="75" t="str">
        <f>IFERROR(VLOOKUP(J2174,'NQ10'!$B$9:$C$145,2,0),"")</f>
        <v/>
      </c>
    </row>
    <row r="2175" spans="1:11" ht="15" customHeight="1" x14ac:dyDescent="0.25">
      <c r="A2175" s="75">
        <v>11</v>
      </c>
      <c r="B2175" s="75">
        <v>109</v>
      </c>
      <c r="C2175" s="75" t="s">
        <v>10</v>
      </c>
      <c r="D2175" s="75">
        <v>418</v>
      </c>
      <c r="F2175" s="75" t="s">
        <v>10</v>
      </c>
      <c r="H2175" s="75" t="s">
        <v>10</v>
      </c>
      <c r="I2175" s="75">
        <v>19489</v>
      </c>
      <c r="K2175" s="75" t="str">
        <f>IFERROR(VLOOKUP(J2175,'NQ10'!$B$9:$C$145,2,0),"")</f>
        <v/>
      </c>
    </row>
    <row r="2176" spans="1:11" ht="15" customHeight="1" x14ac:dyDescent="0.25">
      <c r="A2176" s="75">
        <v>11</v>
      </c>
      <c r="B2176" s="75">
        <v>111</v>
      </c>
      <c r="C2176" s="75" t="s">
        <v>10</v>
      </c>
      <c r="D2176" s="75">
        <v>541</v>
      </c>
      <c r="F2176" s="75" t="s">
        <v>10</v>
      </c>
      <c r="H2176" s="75" t="s">
        <v>10</v>
      </c>
      <c r="I2176" s="75">
        <v>19489</v>
      </c>
      <c r="K2176" s="75" t="str">
        <f>IFERROR(VLOOKUP(J2176,'NQ10'!$B$9:$C$145,2,0),"")</f>
        <v/>
      </c>
    </row>
    <row r="2177" spans="1:11" ht="15" customHeight="1" x14ac:dyDescent="0.25">
      <c r="A2177" s="75">
        <v>11</v>
      </c>
      <c r="B2177" s="75">
        <v>112</v>
      </c>
      <c r="C2177" s="75" t="s">
        <v>10</v>
      </c>
      <c r="D2177" s="75">
        <v>795</v>
      </c>
      <c r="F2177" s="75" t="s">
        <v>10</v>
      </c>
      <c r="H2177" s="75" t="s">
        <v>10</v>
      </c>
      <c r="I2177" s="75">
        <v>19489</v>
      </c>
      <c r="K2177" s="75" t="str">
        <f>IFERROR(VLOOKUP(J2177,'NQ10'!$B$9:$C$145,2,0),"")</f>
        <v/>
      </c>
    </row>
    <row r="2178" spans="1:11" ht="15" customHeight="1" x14ac:dyDescent="0.25">
      <c r="A2178" s="75">
        <v>11</v>
      </c>
      <c r="B2178" s="75">
        <v>113</v>
      </c>
      <c r="C2178" s="75" t="s">
        <v>10</v>
      </c>
      <c r="D2178" s="75">
        <v>845</v>
      </c>
      <c r="F2178" s="75" t="s">
        <v>10</v>
      </c>
      <c r="H2178" s="75" t="s">
        <v>10</v>
      </c>
      <c r="I2178" s="75">
        <v>19489</v>
      </c>
      <c r="K2178" s="75" t="str">
        <f>IFERROR(VLOOKUP(J2178,'NQ10'!$B$9:$C$145,2,0),"")</f>
        <v/>
      </c>
    </row>
    <row r="2179" spans="1:11" ht="15" customHeight="1" x14ac:dyDescent="0.25">
      <c r="A2179" s="75">
        <v>11</v>
      </c>
      <c r="B2179" s="75">
        <v>114</v>
      </c>
      <c r="C2179" s="75" t="s">
        <v>10</v>
      </c>
      <c r="D2179" s="75">
        <v>1519</v>
      </c>
      <c r="F2179" s="75" t="s">
        <v>10</v>
      </c>
      <c r="H2179" s="75" t="s">
        <v>10</v>
      </c>
      <c r="I2179" s="75">
        <v>19489</v>
      </c>
      <c r="K2179" s="75" t="str">
        <f>IFERROR(VLOOKUP(J2179,'NQ10'!$B$9:$C$145,2,0),"")</f>
        <v/>
      </c>
    </row>
    <row r="2180" spans="1:11" ht="15" customHeight="1" x14ac:dyDescent="0.25">
      <c r="A2180" s="75">
        <v>11</v>
      </c>
      <c r="B2180" s="75">
        <v>801</v>
      </c>
      <c r="C2180" s="75" t="s">
        <v>10</v>
      </c>
      <c r="D2180" s="75">
        <v>374</v>
      </c>
      <c r="F2180" s="75" t="s">
        <v>10</v>
      </c>
      <c r="H2180" s="75" t="s">
        <v>10</v>
      </c>
      <c r="I2180" s="75">
        <v>19489</v>
      </c>
      <c r="K2180" s="75" t="str">
        <f>IFERROR(VLOOKUP(J2180,'NQ10'!$B$9:$C$145,2,0),"")</f>
        <v/>
      </c>
    </row>
    <row r="2181" spans="1:11" ht="15" customHeight="1" x14ac:dyDescent="0.25">
      <c r="A2181" s="75">
        <v>11</v>
      </c>
      <c r="B2181" s="75">
        <v>802</v>
      </c>
      <c r="C2181" s="75" t="s">
        <v>10</v>
      </c>
      <c r="D2181" s="75">
        <v>1234</v>
      </c>
      <c r="F2181" s="75" t="s">
        <v>10</v>
      </c>
      <c r="H2181" s="75" t="s">
        <v>10</v>
      </c>
      <c r="I2181" s="75">
        <v>19489</v>
      </c>
      <c r="K2181" s="75" t="str">
        <f>IFERROR(VLOOKUP(J2181,'NQ10'!$B$9:$C$145,2,0),"")</f>
        <v/>
      </c>
    </row>
    <row r="2182" spans="1:11" ht="15" customHeight="1" x14ac:dyDescent="0.25">
      <c r="A2182" s="75">
        <v>11</v>
      </c>
      <c r="B2182" s="75">
        <v>804</v>
      </c>
      <c r="C2182" s="75" t="s">
        <v>10</v>
      </c>
      <c r="D2182" s="75">
        <v>5803</v>
      </c>
      <c r="F2182" s="75" t="s">
        <v>10</v>
      </c>
      <c r="H2182" s="75" t="s">
        <v>10</v>
      </c>
      <c r="I2182" s="75">
        <v>19489</v>
      </c>
      <c r="K2182" s="75" t="str">
        <f>IFERROR(VLOOKUP(J2182,'NQ10'!$B$9:$C$145,2,0),"")</f>
        <v/>
      </c>
    </row>
    <row r="2183" spans="1:11" ht="15" customHeight="1" x14ac:dyDescent="0.25">
      <c r="A2183" s="75">
        <v>11</v>
      </c>
      <c r="B2183" s="75">
        <v>805</v>
      </c>
      <c r="C2183" s="75" t="s">
        <v>10</v>
      </c>
      <c r="D2183" s="75">
        <v>9210</v>
      </c>
      <c r="F2183" s="75" t="s">
        <v>10</v>
      </c>
      <c r="H2183" s="75" t="s">
        <v>10</v>
      </c>
      <c r="I2183" s="75">
        <v>19489</v>
      </c>
      <c r="K2183" s="75" t="str">
        <f>IFERROR(VLOOKUP(J2183,'NQ10'!$B$9:$C$145,2,0),"")</f>
        <v/>
      </c>
    </row>
    <row r="2184" spans="1:11" ht="15" customHeight="1" x14ac:dyDescent="0.25">
      <c r="A2184" s="75">
        <v>12</v>
      </c>
      <c r="C2184" s="75" t="s">
        <v>10</v>
      </c>
      <c r="D2184" s="75">
        <v>187</v>
      </c>
      <c r="F2184" s="75" t="s">
        <v>10</v>
      </c>
      <c r="H2184" s="75" t="s">
        <v>10</v>
      </c>
      <c r="I2184" s="75">
        <v>19489</v>
      </c>
      <c r="K2184" s="75" t="str">
        <f>IFERROR(VLOOKUP(J2184,'NQ10'!$B$9:$C$145,2,0),"")</f>
        <v/>
      </c>
    </row>
    <row r="2185" spans="1:11" ht="15" customHeight="1" x14ac:dyDescent="0.25">
      <c r="A2185" s="75">
        <v>12</v>
      </c>
      <c r="C2185" s="75" t="s">
        <v>10</v>
      </c>
      <c r="D2185" s="75">
        <v>293</v>
      </c>
      <c r="F2185" s="75" t="s">
        <v>10</v>
      </c>
      <c r="H2185" s="75" t="s">
        <v>10</v>
      </c>
      <c r="I2185" s="75">
        <v>19489</v>
      </c>
      <c r="K2185" s="75" t="str">
        <f>IFERROR(VLOOKUP(J2185,'NQ10'!$B$9:$C$145,2,0),"")</f>
        <v/>
      </c>
    </row>
    <row r="2186" spans="1:11" ht="15" customHeight="1" x14ac:dyDescent="0.25">
      <c r="A2186" s="75">
        <v>12</v>
      </c>
      <c r="C2186" s="75" t="s">
        <v>10</v>
      </c>
      <c r="D2186" s="75">
        <v>293</v>
      </c>
      <c r="F2186" s="75" t="s">
        <v>10</v>
      </c>
      <c r="H2186" s="75" t="s">
        <v>10</v>
      </c>
      <c r="I2186" s="75">
        <v>19489</v>
      </c>
      <c r="K2186" s="75" t="str">
        <f>IFERROR(VLOOKUP(J2186,'NQ10'!$B$9:$C$145,2,0),"")</f>
        <v/>
      </c>
    </row>
    <row r="2187" spans="1:11" ht="15" customHeight="1" x14ac:dyDescent="0.25">
      <c r="A2187" s="75">
        <v>12</v>
      </c>
      <c r="C2187" s="75" t="s">
        <v>10</v>
      </c>
      <c r="D2187" s="75">
        <v>293</v>
      </c>
      <c r="F2187" s="75" t="s">
        <v>10</v>
      </c>
      <c r="H2187" s="75" t="s">
        <v>10</v>
      </c>
      <c r="I2187" s="75">
        <v>19489</v>
      </c>
      <c r="K2187" s="75" t="str">
        <f>IFERROR(VLOOKUP(J2187,'NQ10'!$B$9:$C$145,2,0),"")</f>
        <v/>
      </c>
    </row>
    <row r="2188" spans="1:11" ht="15" customHeight="1" x14ac:dyDescent="0.25">
      <c r="A2188" s="75">
        <v>12</v>
      </c>
      <c r="C2188" s="75" t="s">
        <v>10</v>
      </c>
      <c r="D2188" s="75">
        <v>220</v>
      </c>
      <c r="F2188" s="75" t="s">
        <v>10</v>
      </c>
      <c r="H2188" s="75" t="s">
        <v>10</v>
      </c>
      <c r="I2188" s="75">
        <v>19489</v>
      </c>
      <c r="K2188" s="75" t="str">
        <f>IFERROR(VLOOKUP(J2188,'NQ10'!$B$9:$C$145,2,0),"")</f>
        <v/>
      </c>
    </row>
    <row r="2189" spans="1:11" ht="15" customHeight="1" x14ac:dyDescent="0.25">
      <c r="A2189" s="75">
        <v>12</v>
      </c>
      <c r="C2189" s="75" t="s">
        <v>10</v>
      </c>
      <c r="D2189" s="75">
        <v>4450</v>
      </c>
      <c r="F2189" s="75" t="s">
        <v>10</v>
      </c>
      <c r="H2189" s="75" t="s">
        <v>10</v>
      </c>
      <c r="I2189" s="75">
        <v>19489</v>
      </c>
      <c r="K2189" s="75" t="str">
        <f>IFERROR(VLOOKUP(J2189,'NQ10'!$B$9:$C$145,2,0),"")</f>
        <v/>
      </c>
    </row>
    <row r="2190" spans="1:11" ht="15" customHeight="1" x14ac:dyDescent="0.25">
      <c r="A2190" s="75">
        <v>12</v>
      </c>
      <c r="B2190" s="75">
        <v>0</v>
      </c>
      <c r="C2190" s="75" t="s">
        <v>10</v>
      </c>
      <c r="D2190" s="75">
        <v>27093</v>
      </c>
      <c r="F2190" s="75" t="s">
        <v>10</v>
      </c>
      <c r="H2190" s="75" t="s">
        <v>10</v>
      </c>
      <c r="I2190" s="75">
        <v>19489</v>
      </c>
      <c r="K2190" s="75" t="str">
        <f>IFERROR(VLOOKUP(J2190,'NQ10'!$B$9:$C$145,2,0),"")</f>
        <v/>
      </c>
    </row>
    <row r="2191" spans="1:11" ht="15" customHeight="1" x14ac:dyDescent="0.25">
      <c r="A2191" s="75">
        <v>12</v>
      </c>
      <c r="B2191" s="75">
        <v>2</v>
      </c>
      <c r="C2191" s="75" t="s">
        <v>10</v>
      </c>
      <c r="D2191" s="75">
        <v>996</v>
      </c>
      <c r="F2191" s="75" t="s">
        <v>10</v>
      </c>
      <c r="H2191" s="75" t="s">
        <v>10</v>
      </c>
      <c r="I2191" s="75">
        <v>19489</v>
      </c>
      <c r="K2191" s="75" t="str">
        <f>IFERROR(VLOOKUP(J2191,'NQ10'!$B$9:$C$145,2,0),"")</f>
        <v/>
      </c>
    </row>
    <row r="2192" spans="1:11" ht="15" customHeight="1" x14ac:dyDescent="0.25">
      <c r="A2192" s="75">
        <v>12</v>
      </c>
      <c r="B2192" s="75">
        <v>3</v>
      </c>
      <c r="C2192" s="75" t="s">
        <v>10</v>
      </c>
      <c r="D2192" s="75">
        <v>124</v>
      </c>
      <c r="F2192" s="75" t="s">
        <v>10</v>
      </c>
      <c r="H2192" s="75" t="s">
        <v>10</v>
      </c>
      <c r="I2192" s="75">
        <v>19489</v>
      </c>
      <c r="K2192" s="75" t="str">
        <f>IFERROR(VLOOKUP(J2192,'NQ10'!$B$9:$C$145,2,0),"")</f>
        <v/>
      </c>
    </row>
    <row r="2193" spans="1:11" ht="15" customHeight="1" x14ac:dyDescent="0.25">
      <c r="A2193" s="75">
        <v>12</v>
      </c>
      <c r="B2193" s="75">
        <v>4</v>
      </c>
      <c r="C2193" s="75" t="s">
        <v>10</v>
      </c>
      <c r="D2193" s="75">
        <v>1176</v>
      </c>
      <c r="F2193" s="75" t="s">
        <v>10</v>
      </c>
      <c r="H2193" s="75" t="s">
        <v>10</v>
      </c>
      <c r="I2193" s="75">
        <v>19489</v>
      </c>
      <c r="K2193" s="75" t="str">
        <f>IFERROR(VLOOKUP(J2193,'NQ10'!$B$9:$C$145,2,0),"")</f>
        <v/>
      </c>
    </row>
    <row r="2194" spans="1:11" ht="15" customHeight="1" x14ac:dyDescent="0.25">
      <c r="A2194" s="75">
        <v>12</v>
      </c>
      <c r="B2194" s="75">
        <v>5</v>
      </c>
      <c r="C2194" s="75" t="s">
        <v>10</v>
      </c>
      <c r="D2194" s="75">
        <v>118</v>
      </c>
      <c r="F2194" s="75" t="s">
        <v>10</v>
      </c>
      <c r="H2194" s="75" t="s">
        <v>10</v>
      </c>
      <c r="I2194" s="75">
        <v>19489</v>
      </c>
      <c r="K2194" s="75" t="str">
        <f>IFERROR(VLOOKUP(J2194,'NQ10'!$B$9:$C$145,2,0),"")</f>
        <v/>
      </c>
    </row>
    <row r="2195" spans="1:11" ht="15" customHeight="1" x14ac:dyDescent="0.25">
      <c r="A2195" s="75">
        <v>12</v>
      </c>
      <c r="B2195" s="75">
        <v>6</v>
      </c>
      <c r="C2195" s="75" t="s">
        <v>10</v>
      </c>
      <c r="D2195" s="75">
        <v>550</v>
      </c>
      <c r="F2195" s="75" t="s">
        <v>10</v>
      </c>
      <c r="H2195" s="75" t="s">
        <v>10</v>
      </c>
      <c r="I2195" s="75">
        <v>19489</v>
      </c>
      <c r="K2195" s="75" t="str">
        <f>IFERROR(VLOOKUP(J2195,'NQ10'!$B$9:$C$145,2,0),"")</f>
        <v/>
      </c>
    </row>
    <row r="2196" spans="1:11" ht="15" customHeight="1" x14ac:dyDescent="0.25">
      <c r="A2196" s="75">
        <v>12</v>
      </c>
      <c r="B2196" s="75">
        <v>7</v>
      </c>
      <c r="C2196" s="75" t="s">
        <v>10</v>
      </c>
      <c r="D2196" s="75">
        <v>3043</v>
      </c>
      <c r="F2196" s="75" t="s">
        <v>10</v>
      </c>
      <c r="H2196" s="75" t="s">
        <v>10</v>
      </c>
      <c r="I2196" s="75">
        <v>19489</v>
      </c>
      <c r="K2196" s="75" t="str">
        <f>IFERROR(VLOOKUP(J2196,'NQ10'!$B$9:$C$145,2,0),"")</f>
        <v/>
      </c>
    </row>
    <row r="2197" spans="1:11" ht="15" customHeight="1" x14ac:dyDescent="0.25">
      <c r="A2197" s="75">
        <v>12</v>
      </c>
      <c r="B2197" s="75">
        <v>8</v>
      </c>
      <c r="C2197" s="75" t="s">
        <v>10</v>
      </c>
      <c r="D2197" s="75">
        <v>6567</v>
      </c>
      <c r="F2197" s="75" t="s">
        <v>10</v>
      </c>
      <c r="H2197" s="75" t="s">
        <v>10</v>
      </c>
      <c r="I2197" s="75">
        <v>19489</v>
      </c>
      <c r="K2197" s="75" t="str">
        <f>IFERROR(VLOOKUP(J2197,'NQ10'!$B$9:$C$145,2,0),"")</f>
        <v/>
      </c>
    </row>
    <row r="2198" spans="1:11" ht="15" customHeight="1" x14ac:dyDescent="0.25">
      <c r="A2198" s="75">
        <v>12</v>
      </c>
      <c r="B2198" s="75">
        <v>10</v>
      </c>
      <c r="C2198" s="75" t="s">
        <v>10</v>
      </c>
      <c r="D2198" s="75">
        <v>77</v>
      </c>
      <c r="F2198" s="75" t="s">
        <v>10</v>
      </c>
      <c r="H2198" s="75" t="s">
        <v>10</v>
      </c>
      <c r="I2198" s="75">
        <v>19489</v>
      </c>
      <c r="K2198" s="75" t="str">
        <f>IFERROR(VLOOKUP(J2198,'NQ10'!$B$9:$C$145,2,0),"")</f>
        <v/>
      </c>
    </row>
    <row r="2199" spans="1:11" ht="15" customHeight="1" x14ac:dyDescent="0.25">
      <c r="A2199" s="75">
        <v>12</v>
      </c>
      <c r="B2199" s="75">
        <v>11</v>
      </c>
      <c r="C2199" s="75" t="s">
        <v>10</v>
      </c>
      <c r="D2199" s="75">
        <v>206</v>
      </c>
      <c r="F2199" s="75" t="s">
        <v>10</v>
      </c>
      <c r="H2199" s="75" t="s">
        <v>10</v>
      </c>
      <c r="I2199" s="75">
        <v>19489</v>
      </c>
      <c r="K2199" s="75" t="str">
        <f>IFERROR(VLOOKUP(J2199,'NQ10'!$B$9:$C$145,2,0),"")</f>
        <v/>
      </c>
    </row>
    <row r="2200" spans="1:11" ht="15" customHeight="1" x14ac:dyDescent="0.25">
      <c r="A2200" s="75">
        <v>12</v>
      </c>
      <c r="B2200" s="75">
        <v>12</v>
      </c>
      <c r="C2200" s="75" t="s">
        <v>10</v>
      </c>
      <c r="D2200" s="75">
        <v>404</v>
      </c>
      <c r="F2200" s="75" t="s">
        <v>10</v>
      </c>
      <c r="H2200" s="75" t="s">
        <v>10</v>
      </c>
      <c r="I2200" s="75">
        <v>19489</v>
      </c>
      <c r="K2200" s="75" t="str">
        <f>IFERROR(VLOOKUP(J2200,'NQ10'!$B$9:$C$145,2,0),"")</f>
        <v/>
      </c>
    </row>
    <row r="2201" spans="1:11" ht="15" customHeight="1" x14ac:dyDescent="0.25">
      <c r="A2201" s="75">
        <v>12</v>
      </c>
      <c r="B2201" s="75">
        <v>13</v>
      </c>
      <c r="C2201" s="75" t="s">
        <v>10</v>
      </c>
      <c r="D2201" s="75">
        <v>1496</v>
      </c>
      <c r="F2201" s="75" t="s">
        <v>10</v>
      </c>
      <c r="H2201" s="75" t="s">
        <v>10</v>
      </c>
      <c r="I2201" s="75">
        <v>19489</v>
      </c>
      <c r="K2201" s="75" t="str">
        <f>IFERROR(VLOOKUP(J2201,'NQ10'!$B$9:$C$145,2,0),"")</f>
        <v/>
      </c>
    </row>
    <row r="2202" spans="1:11" ht="15" customHeight="1" x14ac:dyDescent="0.25">
      <c r="A2202" s="75">
        <v>12</v>
      </c>
      <c r="B2202" s="75">
        <v>14</v>
      </c>
      <c r="C2202" s="75" t="s">
        <v>10</v>
      </c>
      <c r="D2202" s="75">
        <v>7825</v>
      </c>
      <c r="F2202" s="75" t="s">
        <v>10</v>
      </c>
      <c r="H2202" s="75" t="s">
        <v>10</v>
      </c>
      <c r="I2202" s="75">
        <v>19489</v>
      </c>
      <c r="K2202" s="75" t="str">
        <f>IFERROR(VLOOKUP(J2202,'NQ10'!$B$9:$C$145,2,0),"")</f>
        <v/>
      </c>
    </row>
    <row r="2203" spans="1:11" ht="15" customHeight="1" x14ac:dyDescent="0.25">
      <c r="A2203" s="75">
        <v>12</v>
      </c>
      <c r="B2203" s="75">
        <v>15</v>
      </c>
      <c r="C2203" s="75" t="s">
        <v>10</v>
      </c>
      <c r="D2203" s="75">
        <v>200</v>
      </c>
      <c r="F2203" s="75" t="s">
        <v>10</v>
      </c>
      <c r="H2203" s="75" t="s">
        <v>10</v>
      </c>
      <c r="I2203" s="75">
        <v>19489</v>
      </c>
      <c r="K2203" s="75" t="str">
        <f>IFERROR(VLOOKUP(J2203,'NQ10'!$B$9:$C$145,2,0),"")</f>
        <v/>
      </c>
    </row>
    <row r="2204" spans="1:11" ht="15" customHeight="1" x14ac:dyDescent="0.25">
      <c r="A2204" s="75">
        <v>12</v>
      </c>
      <c r="B2204" s="75">
        <v>16</v>
      </c>
      <c r="C2204" s="75" t="s">
        <v>10</v>
      </c>
      <c r="D2204" s="75">
        <v>918</v>
      </c>
      <c r="F2204" s="75" t="s">
        <v>10</v>
      </c>
      <c r="H2204" s="75" t="s">
        <v>10</v>
      </c>
      <c r="I2204" s="75">
        <v>19489</v>
      </c>
      <c r="K2204" s="75" t="str">
        <f>IFERROR(VLOOKUP(J2204,'NQ10'!$B$9:$C$145,2,0),"")</f>
        <v/>
      </c>
    </row>
    <row r="2205" spans="1:11" ht="15" customHeight="1" x14ac:dyDescent="0.25">
      <c r="A2205" s="75">
        <v>12</v>
      </c>
      <c r="B2205" s="75">
        <v>17</v>
      </c>
      <c r="C2205" s="75" t="s">
        <v>10</v>
      </c>
      <c r="D2205" s="75">
        <v>563</v>
      </c>
      <c r="F2205" s="75" t="s">
        <v>10</v>
      </c>
      <c r="H2205" s="75" t="s">
        <v>10</v>
      </c>
      <c r="I2205" s="75">
        <v>19489</v>
      </c>
      <c r="K2205" s="75" t="str">
        <f>IFERROR(VLOOKUP(J2205,'NQ10'!$B$9:$C$145,2,0),"")</f>
        <v/>
      </c>
    </row>
    <row r="2206" spans="1:11" ht="15" customHeight="1" x14ac:dyDescent="0.25">
      <c r="A2206" s="75">
        <v>12</v>
      </c>
      <c r="B2206" s="75">
        <v>18</v>
      </c>
      <c r="C2206" s="75" t="s">
        <v>10</v>
      </c>
      <c r="D2206" s="75">
        <v>3622</v>
      </c>
      <c r="F2206" s="75" t="s">
        <v>10</v>
      </c>
      <c r="H2206" s="75" t="s">
        <v>10</v>
      </c>
      <c r="I2206" s="75">
        <v>19489</v>
      </c>
      <c r="K2206" s="75" t="str">
        <f>IFERROR(VLOOKUP(J2206,'NQ10'!$B$9:$C$145,2,0),"")</f>
        <v/>
      </c>
    </row>
    <row r="2207" spans="1:11" ht="15" customHeight="1" x14ac:dyDescent="0.25">
      <c r="A2207" s="75">
        <v>12</v>
      </c>
      <c r="B2207" s="75">
        <v>19</v>
      </c>
      <c r="C2207" s="75" t="s">
        <v>10</v>
      </c>
      <c r="D2207" s="75">
        <v>8306</v>
      </c>
      <c r="F2207" s="75" t="s">
        <v>10</v>
      </c>
      <c r="H2207" s="75" t="s">
        <v>10</v>
      </c>
      <c r="I2207" s="75">
        <v>19489</v>
      </c>
      <c r="K2207" s="75" t="str">
        <f>IFERROR(VLOOKUP(J2207,'NQ10'!$B$9:$C$145,2,0),"")</f>
        <v/>
      </c>
    </row>
    <row r="2208" spans="1:11" ht="15" customHeight="1" x14ac:dyDescent="0.25">
      <c r="A2208" s="75">
        <v>12</v>
      </c>
      <c r="B2208" s="75">
        <v>20</v>
      </c>
      <c r="C2208" s="75" t="s">
        <v>10</v>
      </c>
      <c r="D2208" s="75">
        <v>1711</v>
      </c>
      <c r="F2208" s="75" t="s">
        <v>10</v>
      </c>
      <c r="H2208" s="75" t="s">
        <v>10</v>
      </c>
      <c r="I2208" s="75">
        <v>19489</v>
      </c>
      <c r="K2208" s="75" t="str">
        <f>IFERROR(VLOOKUP(J2208,'NQ10'!$B$9:$C$145,2,0),"")</f>
        <v/>
      </c>
    </row>
    <row r="2209" spans="1:11" ht="15" customHeight="1" x14ac:dyDescent="0.25">
      <c r="A2209" s="75">
        <v>12</v>
      </c>
      <c r="B2209" s="75">
        <v>22</v>
      </c>
      <c r="C2209" s="75" t="s">
        <v>10</v>
      </c>
      <c r="D2209" s="75">
        <v>585</v>
      </c>
      <c r="F2209" s="75" t="s">
        <v>10</v>
      </c>
      <c r="H2209" s="75" t="s">
        <v>10</v>
      </c>
      <c r="I2209" s="75">
        <v>19489</v>
      </c>
      <c r="K2209" s="75" t="str">
        <f>IFERROR(VLOOKUP(J2209,'NQ10'!$B$9:$C$145,2,0),"")</f>
        <v/>
      </c>
    </row>
    <row r="2210" spans="1:11" ht="15" customHeight="1" x14ac:dyDescent="0.25">
      <c r="A2210" s="75">
        <v>12</v>
      </c>
      <c r="B2210" s="75">
        <v>23</v>
      </c>
      <c r="C2210" s="75" t="s">
        <v>10</v>
      </c>
      <c r="D2210" s="75">
        <v>140</v>
      </c>
      <c r="F2210" s="75" t="s">
        <v>10</v>
      </c>
      <c r="H2210" s="75" t="s">
        <v>10</v>
      </c>
      <c r="I2210" s="75">
        <v>19489</v>
      </c>
      <c r="K2210" s="75" t="str">
        <f>IFERROR(VLOOKUP(J2210,'NQ10'!$B$9:$C$145,2,0),"")</f>
        <v/>
      </c>
    </row>
    <row r="2211" spans="1:11" ht="15" customHeight="1" x14ac:dyDescent="0.25">
      <c r="A2211" s="75">
        <v>12</v>
      </c>
      <c r="B2211" s="75">
        <v>24</v>
      </c>
      <c r="C2211" s="75" t="s">
        <v>10</v>
      </c>
      <c r="D2211" s="75">
        <v>2767</v>
      </c>
      <c r="F2211" s="75" t="s">
        <v>10</v>
      </c>
      <c r="H2211" s="75" t="s">
        <v>10</v>
      </c>
      <c r="I2211" s="75">
        <v>19489</v>
      </c>
      <c r="K2211" s="75" t="str">
        <f>IFERROR(VLOOKUP(J2211,'NQ10'!$B$9:$C$145,2,0),"")</f>
        <v/>
      </c>
    </row>
    <row r="2212" spans="1:11" ht="15" customHeight="1" x14ac:dyDescent="0.25">
      <c r="A2212" s="75">
        <v>12</v>
      </c>
      <c r="B2212" s="75">
        <v>25</v>
      </c>
      <c r="C2212" s="75" t="s">
        <v>10</v>
      </c>
      <c r="D2212" s="75">
        <v>2353</v>
      </c>
      <c r="F2212" s="75" t="s">
        <v>10</v>
      </c>
      <c r="H2212" s="75" t="s">
        <v>10</v>
      </c>
      <c r="I2212" s="75">
        <v>19489</v>
      </c>
      <c r="K2212" s="75" t="str">
        <f>IFERROR(VLOOKUP(J2212,'NQ10'!$B$9:$C$145,2,0),"")</f>
        <v/>
      </c>
    </row>
    <row r="2213" spans="1:11" ht="15" customHeight="1" x14ac:dyDescent="0.25">
      <c r="A2213" s="75">
        <v>12</v>
      </c>
      <c r="B2213" s="75">
        <v>26</v>
      </c>
      <c r="C2213" s="75" t="s">
        <v>10</v>
      </c>
      <c r="D2213" s="75">
        <v>2097</v>
      </c>
      <c r="F2213" s="75" t="s">
        <v>10</v>
      </c>
      <c r="H2213" s="75" t="s">
        <v>10</v>
      </c>
      <c r="I2213" s="75">
        <v>19489</v>
      </c>
      <c r="K2213" s="75" t="str">
        <f>IFERROR(VLOOKUP(J2213,'NQ10'!$B$9:$C$145,2,0),"")</f>
        <v/>
      </c>
    </row>
    <row r="2214" spans="1:11" ht="15" customHeight="1" x14ac:dyDescent="0.25">
      <c r="A2214" s="75">
        <v>12</v>
      </c>
      <c r="B2214" s="75">
        <v>27</v>
      </c>
      <c r="C2214" s="75" t="s">
        <v>10</v>
      </c>
      <c r="D2214" s="75">
        <v>606</v>
      </c>
      <c r="F2214" s="75" t="s">
        <v>10</v>
      </c>
      <c r="H2214" s="75" t="s">
        <v>10</v>
      </c>
      <c r="I2214" s="75">
        <v>19489</v>
      </c>
      <c r="K2214" s="75" t="str">
        <f>IFERROR(VLOOKUP(J2214,'NQ10'!$B$9:$C$145,2,0),"")</f>
        <v/>
      </c>
    </row>
    <row r="2215" spans="1:11" ht="15" customHeight="1" x14ac:dyDescent="0.25">
      <c r="A2215" s="75">
        <v>12</v>
      </c>
      <c r="B2215" s="75">
        <v>28</v>
      </c>
      <c r="C2215" s="75" t="s">
        <v>10</v>
      </c>
      <c r="D2215" s="75">
        <v>394</v>
      </c>
      <c r="F2215" s="75" t="s">
        <v>10</v>
      </c>
      <c r="H2215" s="75" t="s">
        <v>10</v>
      </c>
      <c r="I2215" s="75">
        <v>19489</v>
      </c>
      <c r="K2215" s="75" t="str">
        <f>IFERROR(VLOOKUP(J2215,'NQ10'!$B$9:$C$145,2,0),"")</f>
        <v/>
      </c>
    </row>
    <row r="2216" spans="1:11" ht="15" customHeight="1" x14ac:dyDescent="0.25">
      <c r="A2216" s="75">
        <v>12</v>
      </c>
      <c r="B2216" s="75">
        <v>29</v>
      </c>
      <c r="C2216" s="75" t="s">
        <v>10</v>
      </c>
      <c r="D2216" s="75">
        <v>796</v>
      </c>
      <c r="F2216" s="75" t="s">
        <v>10</v>
      </c>
      <c r="H2216" s="75" t="s">
        <v>10</v>
      </c>
      <c r="I2216" s="75">
        <v>19489</v>
      </c>
      <c r="K2216" s="75" t="str">
        <f>IFERROR(VLOOKUP(J2216,'NQ10'!$B$9:$C$145,2,0),"")</f>
        <v/>
      </c>
    </row>
    <row r="2217" spans="1:11" ht="15" customHeight="1" x14ac:dyDescent="0.25">
      <c r="A2217" s="75">
        <v>12</v>
      </c>
      <c r="B2217" s="75">
        <v>30</v>
      </c>
      <c r="C2217" s="75" t="s">
        <v>10</v>
      </c>
      <c r="D2217" s="75">
        <v>291</v>
      </c>
      <c r="F2217" s="75" t="s">
        <v>10</v>
      </c>
      <c r="H2217" s="75" t="s">
        <v>10</v>
      </c>
      <c r="I2217" s="75">
        <v>19489</v>
      </c>
      <c r="K2217" s="75" t="str">
        <f>IFERROR(VLOOKUP(J2217,'NQ10'!$B$9:$C$145,2,0),"")</f>
        <v/>
      </c>
    </row>
    <row r="2218" spans="1:11" ht="15" customHeight="1" x14ac:dyDescent="0.25">
      <c r="A2218" s="75">
        <v>12</v>
      </c>
      <c r="B2218" s="75">
        <v>31</v>
      </c>
      <c r="C2218" s="75" t="s">
        <v>10</v>
      </c>
      <c r="D2218" s="75">
        <v>304</v>
      </c>
      <c r="F2218" s="75" t="s">
        <v>10</v>
      </c>
      <c r="H2218" s="75" t="s">
        <v>10</v>
      </c>
      <c r="I2218" s="75">
        <v>19489</v>
      </c>
      <c r="K2218" s="75" t="str">
        <f>IFERROR(VLOOKUP(J2218,'NQ10'!$B$9:$C$145,2,0),"")</f>
        <v/>
      </c>
    </row>
    <row r="2219" spans="1:11" ht="15" customHeight="1" x14ac:dyDescent="0.25">
      <c r="A2219" s="75">
        <v>12</v>
      </c>
      <c r="B2219" s="75">
        <v>32</v>
      </c>
      <c r="C2219" s="75" t="s">
        <v>10</v>
      </c>
      <c r="D2219" s="75">
        <v>1198</v>
      </c>
      <c r="F2219" s="75" t="s">
        <v>10</v>
      </c>
      <c r="H2219" s="75" t="s">
        <v>10</v>
      </c>
      <c r="I2219" s="75">
        <v>19489</v>
      </c>
      <c r="K2219" s="75" t="str">
        <f>IFERROR(VLOOKUP(J2219,'NQ10'!$B$9:$C$145,2,0),"")</f>
        <v/>
      </c>
    </row>
    <row r="2220" spans="1:11" ht="15" customHeight="1" x14ac:dyDescent="0.25">
      <c r="A2220" s="75">
        <v>12</v>
      </c>
      <c r="B2220" s="75">
        <v>33</v>
      </c>
      <c r="C2220" s="75" t="s">
        <v>10</v>
      </c>
      <c r="D2220" s="75">
        <v>412</v>
      </c>
      <c r="F2220" s="75" t="s">
        <v>10</v>
      </c>
      <c r="H2220" s="75" t="s">
        <v>10</v>
      </c>
      <c r="I2220" s="75">
        <v>19489</v>
      </c>
      <c r="K2220" s="75" t="str">
        <f>IFERROR(VLOOKUP(J2220,'NQ10'!$B$9:$C$145,2,0),"")</f>
        <v/>
      </c>
    </row>
    <row r="2221" spans="1:11" ht="15" customHeight="1" x14ac:dyDescent="0.25">
      <c r="A2221" s="75">
        <v>12</v>
      </c>
      <c r="B2221" s="75">
        <v>34</v>
      </c>
      <c r="C2221" s="75" t="s">
        <v>10</v>
      </c>
      <c r="D2221" s="75">
        <v>300</v>
      </c>
      <c r="F2221" s="75" t="s">
        <v>10</v>
      </c>
      <c r="H2221" s="75" t="s">
        <v>10</v>
      </c>
      <c r="I2221" s="75">
        <v>19489</v>
      </c>
      <c r="K2221" s="75" t="str">
        <f>IFERROR(VLOOKUP(J2221,'NQ10'!$B$9:$C$145,2,0),"")</f>
        <v/>
      </c>
    </row>
    <row r="2222" spans="1:11" ht="15" customHeight="1" x14ac:dyDescent="0.25">
      <c r="A2222" s="75">
        <v>12</v>
      </c>
      <c r="B2222" s="75">
        <v>36</v>
      </c>
      <c r="C2222" s="75" t="s">
        <v>10</v>
      </c>
      <c r="D2222" s="75">
        <v>250</v>
      </c>
      <c r="F2222" s="75" t="s">
        <v>10</v>
      </c>
      <c r="H2222" s="75" t="s">
        <v>10</v>
      </c>
      <c r="I2222" s="75">
        <v>19489</v>
      </c>
      <c r="K2222" s="75" t="str">
        <f>IFERROR(VLOOKUP(J2222,'NQ10'!$B$9:$C$145,2,0),"")</f>
        <v/>
      </c>
    </row>
    <row r="2223" spans="1:11" ht="15" customHeight="1" x14ac:dyDescent="0.25">
      <c r="A2223" s="75">
        <v>12</v>
      </c>
      <c r="B2223" s="75">
        <v>37</v>
      </c>
      <c r="C2223" s="75" t="s">
        <v>10</v>
      </c>
      <c r="D2223" s="75">
        <v>485</v>
      </c>
      <c r="F2223" s="75" t="s">
        <v>10</v>
      </c>
      <c r="H2223" s="75" t="s">
        <v>10</v>
      </c>
      <c r="I2223" s="75">
        <v>19489</v>
      </c>
      <c r="K2223" s="75" t="str">
        <f>IFERROR(VLOOKUP(J2223,'NQ10'!$B$9:$C$145,2,0),"")</f>
        <v/>
      </c>
    </row>
    <row r="2224" spans="1:11" ht="15" customHeight="1" x14ac:dyDescent="0.25">
      <c r="A2224" s="75">
        <v>12</v>
      </c>
      <c r="B2224" s="75">
        <v>38</v>
      </c>
      <c r="C2224" s="75" t="s">
        <v>10</v>
      </c>
      <c r="D2224" s="75">
        <v>4035</v>
      </c>
      <c r="F2224" s="75" t="s">
        <v>10</v>
      </c>
      <c r="H2224" s="75" t="s">
        <v>10</v>
      </c>
      <c r="I2224" s="75">
        <v>19489</v>
      </c>
      <c r="K2224" s="75" t="str">
        <f>IFERROR(VLOOKUP(J2224,'NQ10'!$B$9:$C$145,2,0),"")</f>
        <v/>
      </c>
    </row>
    <row r="2225" spans="1:11" ht="15" customHeight="1" x14ac:dyDescent="0.25">
      <c r="A2225" s="75">
        <v>12</v>
      </c>
      <c r="B2225" s="75">
        <v>39</v>
      </c>
      <c r="C2225" s="75" t="s">
        <v>10</v>
      </c>
      <c r="D2225" s="75">
        <v>730</v>
      </c>
      <c r="F2225" s="75" t="s">
        <v>10</v>
      </c>
      <c r="H2225" s="75" t="s">
        <v>10</v>
      </c>
      <c r="I2225" s="75">
        <v>19489</v>
      </c>
      <c r="K2225" s="75" t="str">
        <f>IFERROR(VLOOKUP(J2225,'NQ10'!$B$9:$C$145,2,0),"")</f>
        <v/>
      </c>
    </row>
    <row r="2226" spans="1:11" ht="15" customHeight="1" x14ac:dyDescent="0.25">
      <c r="A2226" s="75">
        <v>12</v>
      </c>
      <c r="B2226" s="75">
        <v>40</v>
      </c>
      <c r="C2226" s="75" t="s">
        <v>10</v>
      </c>
      <c r="D2226" s="75">
        <v>351</v>
      </c>
      <c r="F2226" s="75" t="s">
        <v>10</v>
      </c>
      <c r="H2226" s="75" t="s">
        <v>10</v>
      </c>
      <c r="I2226" s="75">
        <v>19489</v>
      </c>
      <c r="K2226" s="75" t="str">
        <f>IFERROR(VLOOKUP(J2226,'NQ10'!$B$9:$C$145,2,0),"")</f>
        <v/>
      </c>
    </row>
    <row r="2227" spans="1:11" ht="15" customHeight="1" x14ac:dyDescent="0.25">
      <c r="A2227" s="75">
        <v>12</v>
      </c>
      <c r="B2227" s="75">
        <v>41</v>
      </c>
      <c r="C2227" s="75" t="s">
        <v>10</v>
      </c>
      <c r="D2227" s="75">
        <v>417</v>
      </c>
      <c r="F2227" s="75" t="s">
        <v>10</v>
      </c>
      <c r="H2227" s="75" t="s">
        <v>10</v>
      </c>
      <c r="I2227" s="75">
        <v>19489</v>
      </c>
      <c r="K2227" s="75" t="str">
        <f>IFERROR(VLOOKUP(J2227,'NQ10'!$B$9:$C$145,2,0),"")</f>
        <v/>
      </c>
    </row>
    <row r="2228" spans="1:11" ht="15" customHeight="1" x14ac:dyDescent="0.25">
      <c r="A2228" s="75">
        <v>12</v>
      </c>
      <c r="B2228" s="75">
        <v>42</v>
      </c>
      <c r="C2228" s="75" t="s">
        <v>10</v>
      </c>
      <c r="D2228" s="75">
        <v>428</v>
      </c>
      <c r="F2228" s="75" t="s">
        <v>10</v>
      </c>
      <c r="H2228" s="75" t="s">
        <v>10</v>
      </c>
      <c r="I2228" s="75">
        <v>19489</v>
      </c>
      <c r="K2228" s="75" t="str">
        <f>IFERROR(VLOOKUP(J2228,'NQ10'!$B$9:$C$145,2,0),"")</f>
        <v/>
      </c>
    </row>
    <row r="2229" spans="1:11" ht="15" customHeight="1" x14ac:dyDescent="0.25">
      <c r="A2229" s="75">
        <v>12</v>
      </c>
      <c r="B2229" s="75">
        <v>43</v>
      </c>
      <c r="C2229" s="75" t="s">
        <v>10</v>
      </c>
      <c r="D2229" s="75">
        <v>520</v>
      </c>
      <c r="F2229" s="75" t="s">
        <v>10</v>
      </c>
      <c r="H2229" s="75" t="s">
        <v>10</v>
      </c>
      <c r="I2229" s="75">
        <v>19489</v>
      </c>
      <c r="K2229" s="75" t="str">
        <f>IFERROR(VLOOKUP(J2229,'NQ10'!$B$9:$C$145,2,0),"")</f>
        <v/>
      </c>
    </row>
    <row r="2230" spans="1:11" ht="15" customHeight="1" x14ac:dyDescent="0.25">
      <c r="A2230" s="75">
        <v>12</v>
      </c>
      <c r="B2230" s="75">
        <v>44</v>
      </c>
      <c r="C2230" s="75" t="s">
        <v>10</v>
      </c>
      <c r="D2230" s="75">
        <v>522</v>
      </c>
      <c r="F2230" s="75" t="s">
        <v>10</v>
      </c>
      <c r="H2230" s="75" t="s">
        <v>10</v>
      </c>
      <c r="I2230" s="75">
        <v>19489</v>
      </c>
      <c r="K2230" s="75" t="str">
        <f>IFERROR(VLOOKUP(J2230,'NQ10'!$B$9:$C$145,2,0),"")</f>
        <v/>
      </c>
    </row>
    <row r="2231" spans="1:11" ht="15" customHeight="1" x14ac:dyDescent="0.25">
      <c r="A2231" s="75">
        <v>12</v>
      </c>
      <c r="B2231" s="75">
        <v>45</v>
      </c>
      <c r="C2231" s="75" t="s">
        <v>10</v>
      </c>
      <c r="D2231" s="75">
        <v>216</v>
      </c>
      <c r="F2231" s="75" t="s">
        <v>10</v>
      </c>
      <c r="H2231" s="75" t="s">
        <v>10</v>
      </c>
      <c r="I2231" s="75">
        <v>19489</v>
      </c>
      <c r="K2231" s="75" t="str">
        <f>IFERROR(VLOOKUP(J2231,'NQ10'!$B$9:$C$145,2,0),"")</f>
        <v/>
      </c>
    </row>
    <row r="2232" spans="1:11" ht="15" customHeight="1" x14ac:dyDescent="0.25">
      <c r="A2232" s="75">
        <v>12</v>
      </c>
      <c r="B2232" s="75">
        <v>46</v>
      </c>
      <c r="C2232" s="75" t="s">
        <v>10</v>
      </c>
      <c r="D2232" s="75">
        <v>1791</v>
      </c>
      <c r="F2232" s="75" t="s">
        <v>10</v>
      </c>
      <c r="H2232" s="75" t="s">
        <v>10</v>
      </c>
      <c r="I2232" s="75">
        <v>19489</v>
      </c>
      <c r="K2232" s="75" t="str">
        <f>IFERROR(VLOOKUP(J2232,'NQ10'!$B$9:$C$145,2,0),"")</f>
        <v/>
      </c>
    </row>
    <row r="2233" spans="1:11" ht="15" customHeight="1" x14ac:dyDescent="0.25">
      <c r="A2233" s="75">
        <v>12</v>
      </c>
      <c r="B2233" s="75">
        <v>47</v>
      </c>
      <c r="C2233" s="75" t="s">
        <v>10</v>
      </c>
      <c r="D2233" s="75">
        <v>405</v>
      </c>
      <c r="F2233" s="75" t="s">
        <v>10</v>
      </c>
      <c r="H2233" s="75" t="s">
        <v>10</v>
      </c>
      <c r="I2233" s="75">
        <v>19489</v>
      </c>
      <c r="K2233" s="75" t="str">
        <f>IFERROR(VLOOKUP(J2233,'NQ10'!$B$9:$C$145,2,0),"")</f>
        <v/>
      </c>
    </row>
    <row r="2234" spans="1:11" ht="15" customHeight="1" x14ac:dyDescent="0.25">
      <c r="A2234" s="75">
        <v>12</v>
      </c>
      <c r="B2234" s="75">
        <v>48</v>
      </c>
      <c r="C2234" s="75" t="s">
        <v>10</v>
      </c>
      <c r="D2234" s="75">
        <v>223</v>
      </c>
      <c r="F2234" s="75" t="s">
        <v>10</v>
      </c>
      <c r="H2234" s="75" t="s">
        <v>10</v>
      </c>
      <c r="I2234" s="75">
        <v>19489</v>
      </c>
      <c r="K2234" s="75" t="str">
        <f>IFERROR(VLOOKUP(J2234,'NQ10'!$B$9:$C$145,2,0),"")</f>
        <v/>
      </c>
    </row>
    <row r="2235" spans="1:11" ht="15" customHeight="1" x14ac:dyDescent="0.25">
      <c r="A2235" s="75">
        <v>12</v>
      </c>
      <c r="B2235" s="75">
        <v>49</v>
      </c>
      <c r="C2235" s="75" t="s">
        <v>10</v>
      </c>
      <c r="D2235" s="75">
        <v>282</v>
      </c>
      <c r="F2235" s="75" t="s">
        <v>10</v>
      </c>
      <c r="H2235" s="75" t="s">
        <v>10</v>
      </c>
      <c r="I2235" s="75">
        <v>19489</v>
      </c>
      <c r="K2235" s="75" t="str">
        <f>IFERROR(VLOOKUP(J2235,'NQ10'!$B$9:$C$145,2,0),"")</f>
        <v/>
      </c>
    </row>
    <row r="2236" spans="1:11" ht="15" customHeight="1" x14ac:dyDescent="0.25">
      <c r="A2236" s="75">
        <v>12</v>
      </c>
      <c r="B2236" s="75">
        <v>50</v>
      </c>
      <c r="C2236" s="75" t="s">
        <v>10</v>
      </c>
      <c r="D2236" s="75">
        <v>344</v>
      </c>
      <c r="F2236" s="75" t="s">
        <v>10</v>
      </c>
      <c r="H2236" s="75" t="s">
        <v>10</v>
      </c>
      <c r="I2236" s="75">
        <v>19489</v>
      </c>
      <c r="K2236" s="75" t="str">
        <f>IFERROR(VLOOKUP(J2236,'NQ10'!$B$9:$C$145,2,0),"")</f>
        <v/>
      </c>
    </row>
    <row r="2237" spans="1:11" ht="15" customHeight="1" x14ac:dyDescent="0.25">
      <c r="A2237" s="75">
        <v>12</v>
      </c>
      <c r="B2237" s="75">
        <v>51</v>
      </c>
      <c r="C2237" s="75" t="s">
        <v>10</v>
      </c>
      <c r="D2237" s="75">
        <v>481</v>
      </c>
      <c r="F2237" s="75" t="s">
        <v>10</v>
      </c>
      <c r="H2237" s="75" t="s">
        <v>10</v>
      </c>
      <c r="I2237" s="75">
        <v>19489</v>
      </c>
      <c r="K2237" s="75" t="str">
        <f>IFERROR(VLOOKUP(J2237,'NQ10'!$B$9:$C$145,2,0),"")</f>
        <v/>
      </c>
    </row>
    <row r="2238" spans="1:11" ht="15" customHeight="1" x14ac:dyDescent="0.25">
      <c r="A2238" s="75">
        <v>12</v>
      </c>
      <c r="B2238" s="75">
        <v>52</v>
      </c>
      <c r="C2238" s="75" t="s">
        <v>10</v>
      </c>
      <c r="D2238" s="75">
        <v>1024</v>
      </c>
      <c r="F2238" s="75" t="s">
        <v>10</v>
      </c>
      <c r="H2238" s="75" t="s">
        <v>10</v>
      </c>
      <c r="I2238" s="75">
        <v>19489</v>
      </c>
      <c r="K2238" s="75" t="str">
        <f>IFERROR(VLOOKUP(J2238,'NQ10'!$B$9:$C$145,2,0),"")</f>
        <v/>
      </c>
    </row>
    <row r="2239" spans="1:11" ht="15" customHeight="1" x14ac:dyDescent="0.25">
      <c r="A2239" s="75">
        <v>12</v>
      </c>
      <c r="B2239" s="75">
        <v>53</v>
      </c>
      <c r="C2239" s="75" t="s">
        <v>10</v>
      </c>
      <c r="D2239" s="75">
        <v>909</v>
      </c>
      <c r="F2239" s="75" t="s">
        <v>10</v>
      </c>
      <c r="H2239" s="75" t="s">
        <v>10</v>
      </c>
      <c r="I2239" s="75">
        <v>19489</v>
      </c>
      <c r="K2239" s="75" t="str">
        <f>IFERROR(VLOOKUP(J2239,'NQ10'!$B$9:$C$145,2,0),"")</f>
        <v/>
      </c>
    </row>
    <row r="2240" spans="1:11" ht="15" customHeight="1" x14ac:dyDescent="0.25">
      <c r="A2240" s="75">
        <v>12</v>
      </c>
      <c r="B2240" s="75">
        <v>54</v>
      </c>
      <c r="C2240" s="75" t="s">
        <v>10</v>
      </c>
      <c r="D2240" s="75">
        <v>10728</v>
      </c>
      <c r="F2240" s="75" t="s">
        <v>10</v>
      </c>
      <c r="H2240" s="75" t="s">
        <v>10</v>
      </c>
      <c r="I2240" s="75">
        <v>19489</v>
      </c>
      <c r="K2240" s="75" t="str">
        <f>IFERROR(VLOOKUP(J2240,'NQ10'!$B$9:$C$145,2,0),"")</f>
        <v/>
      </c>
    </row>
    <row r="2241" spans="1:11" ht="15" customHeight="1" x14ac:dyDescent="0.25">
      <c r="A2241" s="75">
        <v>12</v>
      </c>
      <c r="B2241" s="75">
        <v>55</v>
      </c>
      <c r="C2241" s="75" t="s">
        <v>10</v>
      </c>
      <c r="D2241" s="75">
        <v>790</v>
      </c>
      <c r="F2241" s="75" t="s">
        <v>10</v>
      </c>
      <c r="H2241" s="75" t="s">
        <v>10</v>
      </c>
      <c r="I2241" s="75">
        <v>19489</v>
      </c>
      <c r="K2241" s="75" t="str">
        <f>IFERROR(VLOOKUP(J2241,'NQ10'!$B$9:$C$145,2,0),"")</f>
        <v/>
      </c>
    </row>
    <row r="2242" spans="1:11" ht="15" customHeight="1" x14ac:dyDescent="0.25">
      <c r="A2242" s="75">
        <v>12</v>
      </c>
      <c r="B2242" s="75">
        <v>56</v>
      </c>
      <c r="C2242" s="75" t="s">
        <v>10</v>
      </c>
      <c r="D2242" s="75">
        <v>252</v>
      </c>
      <c r="F2242" s="75" t="s">
        <v>10</v>
      </c>
      <c r="H2242" s="75" t="s">
        <v>10</v>
      </c>
      <c r="I2242" s="75">
        <v>19489</v>
      </c>
      <c r="K2242" s="75" t="str">
        <f>IFERROR(VLOOKUP(J2242,'NQ10'!$B$9:$C$145,2,0),"")</f>
        <v/>
      </c>
    </row>
    <row r="2243" spans="1:11" ht="15" customHeight="1" x14ac:dyDescent="0.25">
      <c r="A2243" s="75">
        <v>12</v>
      </c>
      <c r="B2243" s="75">
        <v>57</v>
      </c>
      <c r="C2243" s="75" t="s">
        <v>10</v>
      </c>
      <c r="D2243" s="75">
        <v>241</v>
      </c>
      <c r="F2243" s="75" t="s">
        <v>10</v>
      </c>
      <c r="H2243" s="75" t="s">
        <v>10</v>
      </c>
      <c r="I2243" s="75">
        <v>19489</v>
      </c>
      <c r="K2243" s="75" t="str">
        <f>IFERROR(VLOOKUP(J2243,'NQ10'!$B$9:$C$145,2,0),"")</f>
        <v/>
      </c>
    </row>
    <row r="2244" spans="1:11" ht="15" customHeight="1" x14ac:dyDescent="0.25">
      <c r="A2244" s="75">
        <v>12</v>
      </c>
      <c r="B2244" s="75">
        <v>58</v>
      </c>
      <c r="C2244" s="75" t="s">
        <v>10</v>
      </c>
      <c r="D2244" s="75">
        <v>590</v>
      </c>
      <c r="F2244" s="75" t="s">
        <v>10</v>
      </c>
      <c r="H2244" s="75" t="s">
        <v>10</v>
      </c>
      <c r="I2244" s="75">
        <v>19489</v>
      </c>
      <c r="K2244" s="75" t="str">
        <f>IFERROR(VLOOKUP(J2244,'NQ10'!$B$9:$C$145,2,0),"")</f>
        <v/>
      </c>
    </row>
    <row r="2245" spans="1:11" ht="15" customHeight="1" x14ac:dyDescent="0.25">
      <c r="A2245" s="75">
        <v>12</v>
      </c>
      <c r="B2245" s="75">
        <v>59</v>
      </c>
      <c r="C2245" s="75" t="s">
        <v>10</v>
      </c>
      <c r="D2245" s="75">
        <v>586</v>
      </c>
      <c r="F2245" s="75" t="s">
        <v>10</v>
      </c>
      <c r="H2245" s="75" t="s">
        <v>10</v>
      </c>
      <c r="I2245" s="75">
        <v>19489</v>
      </c>
      <c r="K2245" s="75" t="str">
        <f>IFERROR(VLOOKUP(J2245,'NQ10'!$B$9:$C$145,2,0),"")</f>
        <v/>
      </c>
    </row>
    <row r="2246" spans="1:11" ht="15" customHeight="1" x14ac:dyDescent="0.25">
      <c r="A2246" s="75">
        <v>12</v>
      </c>
      <c r="B2246" s="75">
        <v>60</v>
      </c>
      <c r="C2246" s="75" t="s">
        <v>10</v>
      </c>
      <c r="D2246" s="75">
        <v>465</v>
      </c>
      <c r="F2246" s="75" t="s">
        <v>10</v>
      </c>
      <c r="H2246" s="75" t="s">
        <v>10</v>
      </c>
      <c r="I2246" s="75">
        <v>19489</v>
      </c>
      <c r="K2246" s="75" t="str">
        <f>IFERROR(VLOOKUP(J2246,'NQ10'!$B$9:$C$145,2,0),"")</f>
        <v/>
      </c>
    </row>
    <row r="2247" spans="1:11" ht="15" customHeight="1" x14ac:dyDescent="0.25">
      <c r="A2247" s="75">
        <v>12</v>
      </c>
      <c r="B2247" s="75">
        <v>61</v>
      </c>
      <c r="C2247" s="75" t="s">
        <v>10</v>
      </c>
      <c r="D2247" s="75">
        <v>780</v>
      </c>
      <c r="F2247" s="75" t="s">
        <v>10</v>
      </c>
      <c r="H2247" s="75" t="s">
        <v>10</v>
      </c>
      <c r="I2247" s="75">
        <v>19489</v>
      </c>
      <c r="K2247" s="75" t="str">
        <f>IFERROR(VLOOKUP(J2247,'NQ10'!$B$9:$C$145,2,0),"")</f>
        <v/>
      </c>
    </row>
    <row r="2248" spans="1:11" ht="15" customHeight="1" x14ac:dyDescent="0.25">
      <c r="A2248" s="75">
        <v>12</v>
      </c>
      <c r="B2248" s="75">
        <v>62</v>
      </c>
      <c r="C2248" s="75" t="s">
        <v>10</v>
      </c>
      <c r="D2248" s="75">
        <v>268</v>
      </c>
      <c r="F2248" s="75" t="s">
        <v>10</v>
      </c>
      <c r="H2248" s="75" t="s">
        <v>10</v>
      </c>
      <c r="I2248" s="75">
        <v>19489</v>
      </c>
      <c r="K2248" s="75" t="str">
        <f>IFERROR(VLOOKUP(J2248,'NQ10'!$B$9:$C$145,2,0),"")</f>
        <v/>
      </c>
    </row>
    <row r="2249" spans="1:11" ht="15" customHeight="1" x14ac:dyDescent="0.25">
      <c r="A2249" s="75">
        <v>12</v>
      </c>
      <c r="B2249" s="75">
        <v>63</v>
      </c>
      <c r="C2249" s="75" t="s">
        <v>10</v>
      </c>
      <c r="D2249" s="75">
        <v>220</v>
      </c>
      <c r="F2249" s="75" t="s">
        <v>10</v>
      </c>
      <c r="H2249" s="75" t="s">
        <v>10</v>
      </c>
      <c r="I2249" s="75">
        <v>19489</v>
      </c>
      <c r="K2249" s="75" t="str">
        <f>IFERROR(VLOOKUP(J2249,'NQ10'!$B$9:$C$145,2,0),"")</f>
        <v/>
      </c>
    </row>
    <row r="2250" spans="1:11" ht="15" customHeight="1" x14ac:dyDescent="0.25">
      <c r="A2250" s="75">
        <v>12</v>
      </c>
      <c r="B2250" s="75">
        <v>64</v>
      </c>
      <c r="C2250" s="75" t="s">
        <v>10</v>
      </c>
      <c r="D2250" s="75">
        <v>218</v>
      </c>
      <c r="F2250" s="75" t="s">
        <v>10</v>
      </c>
      <c r="H2250" s="75" t="s">
        <v>10</v>
      </c>
      <c r="I2250" s="75">
        <v>19489</v>
      </c>
      <c r="K2250" s="75" t="str">
        <f>IFERROR(VLOOKUP(J2250,'NQ10'!$B$9:$C$145,2,0),"")</f>
        <v/>
      </c>
    </row>
    <row r="2251" spans="1:11" ht="15" customHeight="1" x14ac:dyDescent="0.25">
      <c r="A2251" s="75">
        <v>12</v>
      </c>
      <c r="B2251" s="75">
        <v>65</v>
      </c>
      <c r="C2251" s="75" t="s">
        <v>10</v>
      </c>
      <c r="D2251" s="75">
        <v>1936</v>
      </c>
      <c r="F2251" s="75" t="s">
        <v>10</v>
      </c>
      <c r="H2251" s="75" t="s">
        <v>10</v>
      </c>
      <c r="I2251" s="75">
        <v>19489</v>
      </c>
      <c r="K2251" s="75" t="str">
        <f>IFERROR(VLOOKUP(J2251,'NQ10'!$B$9:$C$145,2,0),"")</f>
        <v/>
      </c>
    </row>
    <row r="2252" spans="1:11" ht="15" customHeight="1" x14ac:dyDescent="0.25">
      <c r="A2252" s="75">
        <v>12</v>
      </c>
      <c r="B2252" s="75">
        <v>66</v>
      </c>
      <c r="C2252" s="75" t="s">
        <v>10</v>
      </c>
      <c r="D2252" s="75">
        <v>1329</v>
      </c>
      <c r="F2252" s="75" t="s">
        <v>10</v>
      </c>
      <c r="H2252" s="75" t="s">
        <v>10</v>
      </c>
      <c r="I2252" s="75">
        <v>19489</v>
      </c>
      <c r="K2252" s="75" t="str">
        <f>IFERROR(VLOOKUP(J2252,'NQ10'!$B$9:$C$145,2,0),"")</f>
        <v/>
      </c>
    </row>
    <row r="2253" spans="1:11" ht="15" customHeight="1" x14ac:dyDescent="0.25">
      <c r="A2253" s="75">
        <v>12</v>
      </c>
      <c r="B2253" s="75">
        <v>67</v>
      </c>
      <c r="C2253" s="75" t="s">
        <v>10</v>
      </c>
      <c r="D2253" s="75">
        <v>1239</v>
      </c>
      <c r="F2253" s="75" t="s">
        <v>10</v>
      </c>
      <c r="H2253" s="75" t="s">
        <v>10</v>
      </c>
      <c r="I2253" s="75">
        <v>19489</v>
      </c>
      <c r="K2253" s="75" t="str">
        <f>IFERROR(VLOOKUP(J2253,'NQ10'!$B$9:$C$145,2,0),"")</f>
        <v/>
      </c>
    </row>
    <row r="2254" spans="1:11" ht="15" customHeight="1" x14ac:dyDescent="0.25">
      <c r="A2254" s="75">
        <v>12</v>
      </c>
      <c r="B2254" s="75">
        <v>69</v>
      </c>
      <c r="C2254" s="75" t="s">
        <v>10</v>
      </c>
      <c r="D2254" s="75">
        <v>286</v>
      </c>
      <c r="F2254" s="75" t="s">
        <v>10</v>
      </c>
      <c r="H2254" s="75" t="s">
        <v>10</v>
      </c>
      <c r="I2254" s="75">
        <v>19489</v>
      </c>
      <c r="K2254" s="75" t="str">
        <f>IFERROR(VLOOKUP(J2254,'NQ10'!$B$9:$C$145,2,0),"")</f>
        <v/>
      </c>
    </row>
    <row r="2255" spans="1:11" ht="15" customHeight="1" x14ac:dyDescent="0.25">
      <c r="A2255" s="75">
        <v>12</v>
      </c>
      <c r="B2255" s="75">
        <v>70</v>
      </c>
      <c r="C2255" s="75" t="s">
        <v>10</v>
      </c>
      <c r="D2255" s="75">
        <v>338</v>
      </c>
      <c r="F2255" s="75" t="s">
        <v>10</v>
      </c>
      <c r="H2255" s="75" t="s">
        <v>10</v>
      </c>
      <c r="I2255" s="75">
        <v>19489</v>
      </c>
      <c r="K2255" s="75" t="str">
        <f>IFERROR(VLOOKUP(J2255,'NQ10'!$B$9:$C$145,2,0),"")</f>
        <v/>
      </c>
    </row>
    <row r="2256" spans="1:11" ht="15" customHeight="1" x14ac:dyDescent="0.25">
      <c r="A2256" s="75">
        <v>12</v>
      </c>
      <c r="B2256" s="75">
        <v>71</v>
      </c>
      <c r="C2256" s="75" t="s">
        <v>10</v>
      </c>
      <c r="D2256" s="75">
        <v>509</v>
      </c>
      <c r="F2256" s="75" t="s">
        <v>10</v>
      </c>
      <c r="H2256" s="75" t="s">
        <v>10</v>
      </c>
      <c r="I2256" s="75">
        <v>19489</v>
      </c>
      <c r="K2256" s="75" t="str">
        <f>IFERROR(VLOOKUP(J2256,'NQ10'!$B$9:$C$145,2,0),"")</f>
        <v/>
      </c>
    </row>
    <row r="2257" spans="1:11" ht="15" customHeight="1" x14ac:dyDescent="0.25">
      <c r="A2257" s="75">
        <v>12</v>
      </c>
      <c r="B2257" s="75">
        <v>72</v>
      </c>
      <c r="C2257" s="75" t="s">
        <v>10</v>
      </c>
      <c r="D2257" s="75">
        <v>435</v>
      </c>
      <c r="F2257" s="75" t="s">
        <v>10</v>
      </c>
      <c r="H2257" s="75" t="s">
        <v>10</v>
      </c>
      <c r="I2257" s="75">
        <v>19489</v>
      </c>
      <c r="K2257" s="75" t="str">
        <f>IFERROR(VLOOKUP(J2257,'NQ10'!$B$9:$C$145,2,0),"")</f>
        <v/>
      </c>
    </row>
    <row r="2258" spans="1:11" ht="15" customHeight="1" x14ac:dyDescent="0.25">
      <c r="A2258" s="75">
        <v>12</v>
      </c>
      <c r="B2258" s="75">
        <v>73</v>
      </c>
      <c r="C2258" s="75" t="s">
        <v>10</v>
      </c>
      <c r="D2258" s="75">
        <v>1003</v>
      </c>
      <c r="F2258" s="75" t="s">
        <v>10</v>
      </c>
      <c r="H2258" s="75" t="s">
        <v>10</v>
      </c>
      <c r="I2258" s="75">
        <v>19489</v>
      </c>
      <c r="K2258" s="75" t="str">
        <f>IFERROR(VLOOKUP(J2258,'NQ10'!$B$9:$C$145,2,0),"")</f>
        <v/>
      </c>
    </row>
    <row r="2259" spans="1:11" ht="15" customHeight="1" x14ac:dyDescent="0.25">
      <c r="A2259" s="75">
        <v>12</v>
      </c>
      <c r="B2259" s="75">
        <v>74</v>
      </c>
      <c r="C2259" s="75" t="s">
        <v>10</v>
      </c>
      <c r="D2259" s="75">
        <v>389</v>
      </c>
      <c r="F2259" s="75" t="s">
        <v>10</v>
      </c>
      <c r="H2259" s="75" t="s">
        <v>10</v>
      </c>
      <c r="I2259" s="75">
        <v>19489</v>
      </c>
      <c r="K2259" s="75" t="str">
        <f>IFERROR(VLOOKUP(J2259,'NQ10'!$B$9:$C$145,2,0),"")</f>
        <v/>
      </c>
    </row>
    <row r="2260" spans="1:11" ht="15" customHeight="1" x14ac:dyDescent="0.25">
      <c r="A2260" s="75">
        <v>12</v>
      </c>
      <c r="B2260" s="75">
        <v>75</v>
      </c>
      <c r="C2260" s="75" t="s">
        <v>10</v>
      </c>
      <c r="D2260" s="75">
        <v>571</v>
      </c>
      <c r="F2260" s="75" t="s">
        <v>10</v>
      </c>
      <c r="H2260" s="75" t="s">
        <v>10</v>
      </c>
      <c r="I2260" s="75">
        <v>19489</v>
      </c>
      <c r="K2260" s="75" t="str">
        <f>IFERROR(VLOOKUP(J2260,'NQ10'!$B$9:$C$145,2,0),"")</f>
        <v/>
      </c>
    </row>
    <row r="2261" spans="1:11" ht="15" customHeight="1" x14ac:dyDescent="0.25">
      <c r="A2261" s="75">
        <v>12</v>
      </c>
      <c r="B2261" s="75">
        <v>76</v>
      </c>
      <c r="C2261" s="75" t="s">
        <v>10</v>
      </c>
      <c r="D2261" s="75">
        <v>426</v>
      </c>
      <c r="F2261" s="75" t="s">
        <v>10</v>
      </c>
      <c r="H2261" s="75" t="s">
        <v>10</v>
      </c>
      <c r="I2261" s="75">
        <v>19489</v>
      </c>
      <c r="K2261" s="75" t="str">
        <f>IFERROR(VLOOKUP(J2261,'NQ10'!$B$9:$C$145,2,0),"")</f>
        <v/>
      </c>
    </row>
    <row r="2262" spans="1:11" ht="15" customHeight="1" x14ac:dyDescent="0.25">
      <c r="A2262" s="75">
        <v>12</v>
      </c>
      <c r="B2262" s="75">
        <v>77</v>
      </c>
      <c r="C2262" s="75" t="s">
        <v>10</v>
      </c>
      <c r="D2262" s="75">
        <v>454</v>
      </c>
      <c r="F2262" s="75" t="s">
        <v>10</v>
      </c>
      <c r="H2262" s="75" t="s">
        <v>10</v>
      </c>
      <c r="I2262" s="75">
        <v>19489</v>
      </c>
      <c r="K2262" s="75" t="str">
        <f>IFERROR(VLOOKUP(J2262,'NQ10'!$B$9:$C$145,2,0),"")</f>
        <v/>
      </c>
    </row>
    <row r="2263" spans="1:11" ht="15" customHeight="1" x14ac:dyDescent="0.25">
      <c r="A2263" s="75">
        <v>12</v>
      </c>
      <c r="B2263" s="75">
        <v>78</v>
      </c>
      <c r="C2263" s="75" t="s">
        <v>10</v>
      </c>
      <c r="D2263" s="75">
        <v>311</v>
      </c>
      <c r="F2263" s="75" t="s">
        <v>10</v>
      </c>
      <c r="H2263" s="75" t="s">
        <v>10</v>
      </c>
      <c r="I2263" s="75">
        <v>19489</v>
      </c>
      <c r="K2263" s="75" t="str">
        <f>IFERROR(VLOOKUP(J2263,'NQ10'!$B$9:$C$145,2,0),"")</f>
        <v/>
      </c>
    </row>
    <row r="2264" spans="1:11" ht="15" customHeight="1" x14ac:dyDescent="0.25">
      <c r="A2264" s="75">
        <v>12</v>
      </c>
      <c r="B2264" s="75">
        <v>79</v>
      </c>
      <c r="C2264" s="75" t="s">
        <v>10</v>
      </c>
      <c r="D2264" s="75">
        <v>826</v>
      </c>
      <c r="F2264" s="75" t="s">
        <v>10</v>
      </c>
      <c r="H2264" s="75" t="s">
        <v>10</v>
      </c>
      <c r="I2264" s="75">
        <v>19489</v>
      </c>
      <c r="K2264" s="75" t="str">
        <f>IFERROR(VLOOKUP(J2264,'NQ10'!$B$9:$C$145,2,0),"")</f>
        <v/>
      </c>
    </row>
    <row r="2265" spans="1:11" ht="15" customHeight="1" x14ac:dyDescent="0.25">
      <c r="A2265" s="75">
        <v>12</v>
      </c>
      <c r="B2265" s="75">
        <v>80</v>
      </c>
      <c r="C2265" s="75" t="s">
        <v>10</v>
      </c>
      <c r="D2265" s="75">
        <v>2574</v>
      </c>
      <c r="F2265" s="75" t="s">
        <v>10</v>
      </c>
      <c r="H2265" s="75" t="s">
        <v>10</v>
      </c>
      <c r="I2265" s="75">
        <v>19489</v>
      </c>
      <c r="K2265" s="75" t="str">
        <f>IFERROR(VLOOKUP(J2265,'NQ10'!$B$9:$C$145,2,0),"")</f>
        <v/>
      </c>
    </row>
    <row r="2266" spans="1:11" ht="15" customHeight="1" x14ac:dyDescent="0.25">
      <c r="A2266" s="75">
        <v>12</v>
      </c>
      <c r="B2266" s="75">
        <v>81</v>
      </c>
      <c r="C2266" s="75" t="s">
        <v>10</v>
      </c>
      <c r="D2266" s="75">
        <v>3873</v>
      </c>
      <c r="F2266" s="75" t="s">
        <v>10</v>
      </c>
      <c r="H2266" s="75" t="s">
        <v>10</v>
      </c>
      <c r="I2266" s="75">
        <v>19489</v>
      </c>
      <c r="K2266" s="75" t="str">
        <f>IFERROR(VLOOKUP(J2266,'NQ10'!$B$9:$C$145,2,0),"")</f>
        <v/>
      </c>
    </row>
    <row r="2267" spans="1:11" ht="15" customHeight="1" x14ac:dyDescent="0.25">
      <c r="A2267" s="75">
        <v>12</v>
      </c>
      <c r="B2267" s="75">
        <v>82</v>
      </c>
      <c r="C2267" s="75" t="s">
        <v>10</v>
      </c>
      <c r="D2267" s="75">
        <v>5470</v>
      </c>
      <c r="F2267" s="75" t="s">
        <v>10</v>
      </c>
      <c r="H2267" s="75" t="s">
        <v>10</v>
      </c>
      <c r="I2267" s="75">
        <v>19489</v>
      </c>
      <c r="K2267" s="75" t="str">
        <f>IFERROR(VLOOKUP(J2267,'NQ10'!$B$9:$C$145,2,0),"")</f>
        <v/>
      </c>
    </row>
    <row r="2268" spans="1:11" ht="15" customHeight="1" x14ac:dyDescent="0.25">
      <c r="A2268" s="75">
        <v>12</v>
      </c>
      <c r="B2268" s="75">
        <v>83</v>
      </c>
      <c r="C2268" s="75" t="s">
        <v>10</v>
      </c>
      <c r="D2268" s="75">
        <v>849</v>
      </c>
      <c r="F2268" s="75" t="s">
        <v>10</v>
      </c>
      <c r="H2268" s="75" t="s">
        <v>10</v>
      </c>
      <c r="I2268" s="75">
        <v>19489</v>
      </c>
      <c r="K2268" s="75" t="str">
        <f>IFERROR(VLOOKUP(J2268,'NQ10'!$B$9:$C$145,2,0),"")</f>
        <v/>
      </c>
    </row>
    <row r="2269" spans="1:11" ht="15" customHeight="1" x14ac:dyDescent="0.25">
      <c r="A2269" s="75">
        <v>12</v>
      </c>
      <c r="B2269" s="75">
        <v>84</v>
      </c>
      <c r="C2269" s="75" t="s">
        <v>10</v>
      </c>
      <c r="D2269" s="75">
        <v>1706</v>
      </c>
      <c r="F2269" s="75" t="s">
        <v>10</v>
      </c>
      <c r="H2269" s="75" t="s">
        <v>10</v>
      </c>
      <c r="I2269" s="75">
        <v>19489</v>
      </c>
      <c r="K2269" s="75" t="str">
        <f>IFERROR(VLOOKUP(J2269,'NQ10'!$B$9:$C$145,2,0),"")</f>
        <v/>
      </c>
    </row>
    <row r="2270" spans="1:11" ht="15" customHeight="1" x14ac:dyDescent="0.25">
      <c r="A2270" s="75">
        <v>12</v>
      </c>
      <c r="B2270" s="75">
        <v>85</v>
      </c>
      <c r="C2270" s="75" t="s">
        <v>10</v>
      </c>
      <c r="D2270" s="75">
        <v>933</v>
      </c>
      <c r="F2270" s="75" t="s">
        <v>10</v>
      </c>
      <c r="H2270" s="75" t="s">
        <v>10</v>
      </c>
      <c r="I2270" s="75">
        <v>19489</v>
      </c>
      <c r="K2270" s="75" t="str">
        <f>IFERROR(VLOOKUP(J2270,'NQ10'!$B$9:$C$145,2,0),"")</f>
        <v/>
      </c>
    </row>
    <row r="2271" spans="1:11" ht="15" customHeight="1" x14ac:dyDescent="0.25">
      <c r="A2271" s="75">
        <v>12</v>
      </c>
      <c r="B2271" s="75">
        <v>86</v>
      </c>
      <c r="C2271" s="75" t="s">
        <v>10</v>
      </c>
      <c r="D2271" s="75">
        <v>781</v>
      </c>
      <c r="F2271" s="75" t="s">
        <v>10</v>
      </c>
      <c r="H2271" s="75" t="s">
        <v>10</v>
      </c>
      <c r="I2271" s="75">
        <v>19489</v>
      </c>
      <c r="K2271" s="75" t="str">
        <f>IFERROR(VLOOKUP(J2271,'NQ10'!$B$9:$C$145,2,0),"")</f>
        <v/>
      </c>
    </row>
    <row r="2272" spans="1:11" ht="15" customHeight="1" x14ac:dyDescent="0.25">
      <c r="A2272" s="75">
        <v>12</v>
      </c>
      <c r="B2272" s="75">
        <v>87</v>
      </c>
      <c r="C2272" s="75" t="s">
        <v>10</v>
      </c>
      <c r="D2272" s="75">
        <v>767</v>
      </c>
      <c r="F2272" s="75" t="s">
        <v>10</v>
      </c>
      <c r="H2272" s="75" t="s">
        <v>10</v>
      </c>
      <c r="I2272" s="75">
        <v>19489</v>
      </c>
      <c r="K2272" s="75" t="str">
        <f>IFERROR(VLOOKUP(J2272,'NQ10'!$B$9:$C$145,2,0),"")</f>
        <v/>
      </c>
    </row>
    <row r="2273" spans="1:11" ht="15" customHeight="1" x14ac:dyDescent="0.25">
      <c r="A2273" s="75">
        <v>12</v>
      </c>
      <c r="B2273" s="75">
        <v>88</v>
      </c>
      <c r="C2273" s="75" t="s">
        <v>10</v>
      </c>
      <c r="D2273" s="75">
        <v>606</v>
      </c>
      <c r="F2273" s="75" t="s">
        <v>10</v>
      </c>
      <c r="H2273" s="75" t="s">
        <v>10</v>
      </c>
      <c r="I2273" s="75">
        <v>19489</v>
      </c>
      <c r="K2273" s="75" t="str">
        <f>IFERROR(VLOOKUP(J2273,'NQ10'!$B$9:$C$145,2,0),"")</f>
        <v/>
      </c>
    </row>
    <row r="2274" spans="1:11" ht="15" customHeight="1" x14ac:dyDescent="0.25">
      <c r="A2274" s="75">
        <v>12</v>
      </c>
      <c r="B2274" s="75">
        <v>89</v>
      </c>
      <c r="C2274" s="75" t="s">
        <v>10</v>
      </c>
      <c r="D2274" s="75">
        <v>721</v>
      </c>
      <c r="F2274" s="75" t="s">
        <v>10</v>
      </c>
      <c r="H2274" s="75" t="s">
        <v>10</v>
      </c>
      <c r="I2274" s="75">
        <v>19489</v>
      </c>
      <c r="K2274" s="75" t="str">
        <f>IFERROR(VLOOKUP(J2274,'NQ10'!$B$9:$C$145,2,0),"")</f>
        <v/>
      </c>
    </row>
    <row r="2275" spans="1:11" ht="15" customHeight="1" x14ac:dyDescent="0.25">
      <c r="A2275" s="75">
        <v>12</v>
      </c>
      <c r="B2275" s="75">
        <v>91</v>
      </c>
      <c r="C2275" s="75" t="s">
        <v>10</v>
      </c>
      <c r="D2275" s="75">
        <v>1124</v>
      </c>
      <c r="F2275" s="75" t="s">
        <v>10</v>
      </c>
      <c r="H2275" s="75" t="s">
        <v>10</v>
      </c>
      <c r="I2275" s="75">
        <v>19489</v>
      </c>
      <c r="K2275" s="75" t="str">
        <f>IFERROR(VLOOKUP(J2275,'NQ10'!$B$9:$C$145,2,0),"")</f>
        <v/>
      </c>
    </row>
    <row r="2276" spans="1:11" ht="15" customHeight="1" x14ac:dyDescent="0.25">
      <c r="A2276" s="75">
        <v>12</v>
      </c>
      <c r="B2276" s="75">
        <v>92</v>
      </c>
      <c r="C2276" s="75" t="s">
        <v>10</v>
      </c>
      <c r="D2276" s="75">
        <v>3020</v>
      </c>
      <c r="F2276" s="75" t="s">
        <v>10</v>
      </c>
      <c r="H2276" s="75" t="s">
        <v>10</v>
      </c>
      <c r="I2276" s="75">
        <v>19489</v>
      </c>
      <c r="K2276" s="75" t="str">
        <f>IFERROR(VLOOKUP(J2276,'NQ10'!$B$9:$C$145,2,0),"")</f>
        <v/>
      </c>
    </row>
    <row r="2277" spans="1:11" ht="15" customHeight="1" x14ac:dyDescent="0.25">
      <c r="A2277" s="75">
        <v>12</v>
      </c>
      <c r="B2277" s="75">
        <v>93</v>
      </c>
      <c r="C2277" s="75" t="s">
        <v>10</v>
      </c>
      <c r="D2277" s="75">
        <v>195</v>
      </c>
      <c r="F2277" s="75" t="s">
        <v>10</v>
      </c>
      <c r="H2277" s="75" t="s">
        <v>10</v>
      </c>
      <c r="I2277" s="75">
        <v>19489</v>
      </c>
      <c r="K2277" s="75" t="str">
        <f>IFERROR(VLOOKUP(J2277,'NQ10'!$B$9:$C$145,2,0),"")</f>
        <v/>
      </c>
    </row>
    <row r="2278" spans="1:11" ht="15" customHeight="1" x14ac:dyDescent="0.25">
      <c r="A2278" s="75">
        <v>12</v>
      </c>
      <c r="B2278" s="75">
        <v>94</v>
      </c>
      <c r="C2278" s="75" t="s">
        <v>10</v>
      </c>
      <c r="D2278" s="75">
        <v>521</v>
      </c>
      <c r="F2278" s="75" t="s">
        <v>10</v>
      </c>
      <c r="H2278" s="75" t="s">
        <v>10</v>
      </c>
      <c r="I2278" s="75">
        <v>19489</v>
      </c>
      <c r="K2278" s="75" t="str">
        <f>IFERROR(VLOOKUP(J2278,'NQ10'!$B$9:$C$145,2,0),"")</f>
        <v/>
      </c>
    </row>
    <row r="2279" spans="1:11" ht="15" customHeight="1" x14ac:dyDescent="0.25">
      <c r="A2279" s="75">
        <v>12</v>
      </c>
      <c r="B2279" s="75">
        <v>95</v>
      </c>
      <c r="C2279" s="75" t="s">
        <v>10</v>
      </c>
      <c r="D2279" s="75">
        <v>870</v>
      </c>
      <c r="F2279" s="75" t="s">
        <v>10</v>
      </c>
      <c r="H2279" s="75" t="s">
        <v>10</v>
      </c>
      <c r="I2279" s="75">
        <v>19489</v>
      </c>
      <c r="K2279" s="75" t="str">
        <f>IFERROR(VLOOKUP(J2279,'NQ10'!$B$9:$C$145,2,0),"")</f>
        <v/>
      </c>
    </row>
    <row r="2280" spans="1:11" ht="15" customHeight="1" x14ac:dyDescent="0.25">
      <c r="A2280" s="75">
        <v>12</v>
      </c>
      <c r="B2280" s="75">
        <v>96</v>
      </c>
      <c r="C2280" s="75" t="s">
        <v>10</v>
      </c>
      <c r="D2280" s="75">
        <v>636</v>
      </c>
      <c r="F2280" s="75" t="s">
        <v>10</v>
      </c>
      <c r="H2280" s="75" t="s">
        <v>10</v>
      </c>
      <c r="I2280" s="75">
        <v>19489</v>
      </c>
      <c r="K2280" s="75" t="str">
        <f>IFERROR(VLOOKUP(J2280,'NQ10'!$B$9:$C$145,2,0),"")</f>
        <v/>
      </c>
    </row>
    <row r="2281" spans="1:11" ht="15" customHeight="1" x14ac:dyDescent="0.25">
      <c r="A2281" s="75">
        <v>12</v>
      </c>
      <c r="B2281" s="75">
        <v>97</v>
      </c>
      <c r="C2281" s="75" t="s">
        <v>10</v>
      </c>
      <c r="D2281" s="75">
        <v>350</v>
      </c>
      <c r="F2281" s="75" t="s">
        <v>10</v>
      </c>
      <c r="H2281" s="75" t="s">
        <v>10</v>
      </c>
      <c r="I2281" s="75">
        <v>19489</v>
      </c>
      <c r="K2281" s="75" t="str">
        <f>IFERROR(VLOOKUP(J2281,'NQ10'!$B$9:$C$145,2,0),"")</f>
        <v/>
      </c>
    </row>
    <row r="2282" spans="1:11" ht="15" customHeight="1" x14ac:dyDescent="0.25">
      <c r="A2282" s="75">
        <v>12</v>
      </c>
      <c r="B2282" s="75">
        <v>98</v>
      </c>
      <c r="C2282" s="75" t="s">
        <v>10</v>
      </c>
      <c r="D2282" s="75">
        <v>1635</v>
      </c>
      <c r="F2282" s="75" t="s">
        <v>10</v>
      </c>
      <c r="H2282" s="75" t="s">
        <v>10</v>
      </c>
      <c r="I2282" s="75">
        <v>19489</v>
      </c>
      <c r="K2282" s="75" t="str">
        <f>IFERROR(VLOOKUP(J2282,'NQ10'!$B$9:$C$145,2,0),"")</f>
        <v/>
      </c>
    </row>
    <row r="2283" spans="1:11" ht="15" customHeight="1" x14ac:dyDescent="0.25">
      <c r="A2283" s="75">
        <v>12</v>
      </c>
      <c r="B2283" s="75">
        <v>99</v>
      </c>
      <c r="C2283" s="75" t="s">
        <v>10</v>
      </c>
      <c r="D2283" s="75">
        <v>596</v>
      </c>
      <c r="F2283" s="75" t="s">
        <v>10</v>
      </c>
      <c r="H2283" s="75" t="s">
        <v>10</v>
      </c>
      <c r="I2283" s="75">
        <v>19489</v>
      </c>
      <c r="K2283" s="75" t="str">
        <f>IFERROR(VLOOKUP(J2283,'NQ10'!$B$9:$C$145,2,0),"")</f>
        <v/>
      </c>
    </row>
    <row r="2284" spans="1:11" ht="15" customHeight="1" x14ac:dyDescent="0.25">
      <c r="A2284" s="75">
        <v>12</v>
      </c>
      <c r="B2284" s="75">
        <v>100</v>
      </c>
      <c r="C2284" s="75" t="s">
        <v>10</v>
      </c>
      <c r="D2284" s="75">
        <v>883</v>
      </c>
      <c r="F2284" s="75" t="s">
        <v>10</v>
      </c>
      <c r="H2284" s="75" t="s">
        <v>10</v>
      </c>
      <c r="I2284" s="75">
        <v>19489</v>
      </c>
      <c r="K2284" s="75" t="str">
        <f>IFERROR(VLOOKUP(J2284,'NQ10'!$B$9:$C$145,2,0),"")</f>
        <v/>
      </c>
    </row>
    <row r="2285" spans="1:11" ht="15" customHeight="1" x14ac:dyDescent="0.25">
      <c r="A2285" s="75">
        <v>12</v>
      </c>
      <c r="B2285" s="75">
        <v>101</v>
      </c>
      <c r="C2285" s="75" t="s">
        <v>10</v>
      </c>
      <c r="D2285" s="75">
        <v>216</v>
      </c>
      <c r="F2285" s="75" t="s">
        <v>10</v>
      </c>
      <c r="H2285" s="75" t="s">
        <v>10</v>
      </c>
      <c r="I2285" s="75">
        <v>19489</v>
      </c>
      <c r="K2285" s="75" t="str">
        <f>IFERROR(VLOOKUP(J2285,'NQ10'!$B$9:$C$145,2,0),"")</f>
        <v/>
      </c>
    </row>
    <row r="2286" spans="1:11" ht="15" customHeight="1" x14ac:dyDescent="0.25">
      <c r="A2286" s="75">
        <v>12</v>
      </c>
      <c r="B2286" s="75">
        <v>102</v>
      </c>
      <c r="C2286" s="75" t="s">
        <v>10</v>
      </c>
      <c r="D2286" s="75">
        <v>457</v>
      </c>
      <c r="F2286" s="75" t="s">
        <v>10</v>
      </c>
      <c r="H2286" s="75" t="s">
        <v>10</v>
      </c>
      <c r="I2286" s="75">
        <v>19489</v>
      </c>
      <c r="K2286" s="75" t="str">
        <f>IFERROR(VLOOKUP(J2286,'NQ10'!$B$9:$C$145,2,0),"")</f>
        <v/>
      </c>
    </row>
    <row r="2287" spans="1:11" ht="15" customHeight="1" x14ac:dyDescent="0.25">
      <c r="A2287" s="75">
        <v>12</v>
      </c>
      <c r="B2287" s="75">
        <v>103</v>
      </c>
      <c r="C2287" s="75" t="s">
        <v>10</v>
      </c>
      <c r="D2287" s="75">
        <v>644</v>
      </c>
      <c r="F2287" s="75" t="s">
        <v>10</v>
      </c>
      <c r="H2287" s="75" t="s">
        <v>10</v>
      </c>
      <c r="I2287" s="75">
        <v>19489</v>
      </c>
      <c r="K2287" s="75" t="str">
        <f>IFERROR(VLOOKUP(J2287,'NQ10'!$B$9:$C$145,2,0),"")</f>
        <v/>
      </c>
    </row>
    <row r="2288" spans="1:11" ht="15" customHeight="1" x14ac:dyDescent="0.25">
      <c r="A2288" s="75">
        <v>12</v>
      </c>
      <c r="B2288" s="75">
        <v>104</v>
      </c>
      <c r="C2288" s="75" t="s">
        <v>10</v>
      </c>
      <c r="D2288" s="75">
        <v>157</v>
      </c>
      <c r="F2288" s="75" t="s">
        <v>10</v>
      </c>
      <c r="H2288" s="75" t="s">
        <v>10</v>
      </c>
      <c r="I2288" s="75">
        <v>19489</v>
      </c>
      <c r="K2288" s="75" t="str">
        <f>IFERROR(VLOOKUP(J2288,'NQ10'!$B$9:$C$145,2,0),"")</f>
        <v/>
      </c>
    </row>
    <row r="2289" spans="1:11" ht="15" customHeight="1" x14ac:dyDescent="0.25">
      <c r="A2289" s="75">
        <v>12</v>
      </c>
      <c r="B2289" s="75">
        <v>105</v>
      </c>
      <c r="C2289" s="75" t="s">
        <v>10</v>
      </c>
      <c r="D2289" s="75">
        <v>637</v>
      </c>
      <c r="F2289" s="75" t="s">
        <v>10</v>
      </c>
      <c r="H2289" s="75" t="s">
        <v>10</v>
      </c>
      <c r="I2289" s="75">
        <v>19489</v>
      </c>
      <c r="K2289" s="75" t="str">
        <f>IFERROR(VLOOKUP(J2289,'NQ10'!$B$9:$C$145,2,0),"")</f>
        <v/>
      </c>
    </row>
    <row r="2290" spans="1:11" ht="15" customHeight="1" x14ac:dyDescent="0.25">
      <c r="A2290" s="75">
        <v>12</v>
      </c>
      <c r="B2290" s="75">
        <v>106</v>
      </c>
      <c r="C2290" s="75" t="s">
        <v>10</v>
      </c>
      <c r="D2290" s="75">
        <v>947</v>
      </c>
      <c r="F2290" s="75" t="s">
        <v>10</v>
      </c>
      <c r="H2290" s="75" t="s">
        <v>10</v>
      </c>
      <c r="I2290" s="75">
        <v>19489</v>
      </c>
      <c r="K2290" s="75" t="str">
        <f>IFERROR(VLOOKUP(J2290,'NQ10'!$B$9:$C$145,2,0),"")</f>
        <v/>
      </c>
    </row>
    <row r="2291" spans="1:11" ht="15" customHeight="1" x14ac:dyDescent="0.25">
      <c r="A2291" s="75">
        <v>12</v>
      </c>
      <c r="B2291" s="75">
        <v>107</v>
      </c>
      <c r="C2291" s="75" t="s">
        <v>10</v>
      </c>
      <c r="D2291" s="75">
        <v>695</v>
      </c>
      <c r="F2291" s="75" t="s">
        <v>10</v>
      </c>
      <c r="H2291" s="75" t="s">
        <v>10</v>
      </c>
      <c r="I2291" s="75">
        <v>19489</v>
      </c>
      <c r="K2291" s="75" t="str">
        <f>IFERROR(VLOOKUP(J2291,'NQ10'!$B$9:$C$145,2,0),"")</f>
        <v/>
      </c>
    </row>
    <row r="2292" spans="1:11" ht="15" customHeight="1" x14ac:dyDescent="0.25">
      <c r="A2292" s="75">
        <v>12</v>
      </c>
      <c r="B2292" s="75">
        <v>108</v>
      </c>
      <c r="C2292" s="75" t="s">
        <v>10</v>
      </c>
      <c r="D2292" s="75">
        <v>116</v>
      </c>
      <c r="F2292" s="75" t="s">
        <v>10</v>
      </c>
      <c r="H2292" s="75" t="s">
        <v>10</v>
      </c>
      <c r="I2292" s="75">
        <v>19489</v>
      </c>
      <c r="K2292" s="75" t="str">
        <f>IFERROR(VLOOKUP(J2292,'NQ10'!$B$9:$C$145,2,0),"")</f>
        <v/>
      </c>
    </row>
    <row r="2293" spans="1:11" ht="15" customHeight="1" x14ac:dyDescent="0.25">
      <c r="A2293" s="75">
        <v>12</v>
      </c>
      <c r="B2293" s="75">
        <v>109</v>
      </c>
      <c r="C2293" s="75" t="s">
        <v>10</v>
      </c>
      <c r="D2293" s="75">
        <v>4294</v>
      </c>
      <c r="F2293" s="75" t="s">
        <v>10</v>
      </c>
      <c r="H2293" s="75" t="s">
        <v>10</v>
      </c>
      <c r="I2293" s="75">
        <v>19489</v>
      </c>
      <c r="K2293" s="75" t="str">
        <f>IFERROR(VLOOKUP(J2293,'NQ10'!$B$9:$C$145,2,0),"")</f>
        <v/>
      </c>
    </row>
    <row r="2294" spans="1:11" ht="15" customHeight="1" x14ac:dyDescent="0.25">
      <c r="A2294" s="75">
        <v>12</v>
      </c>
      <c r="B2294" s="75">
        <v>110</v>
      </c>
      <c r="C2294" s="75" t="s">
        <v>10</v>
      </c>
      <c r="D2294" s="75">
        <v>730</v>
      </c>
      <c r="F2294" s="75" t="s">
        <v>10</v>
      </c>
      <c r="H2294" s="75" t="s">
        <v>10</v>
      </c>
      <c r="I2294" s="75">
        <v>19489</v>
      </c>
      <c r="K2294" s="75" t="str">
        <f>IFERROR(VLOOKUP(J2294,'NQ10'!$B$9:$C$145,2,0),"")</f>
        <v/>
      </c>
    </row>
    <row r="2295" spans="1:11" ht="15" customHeight="1" x14ac:dyDescent="0.25">
      <c r="A2295" s="75">
        <v>12</v>
      </c>
      <c r="B2295" s="75">
        <v>111</v>
      </c>
      <c r="C2295" s="75" t="s">
        <v>10</v>
      </c>
      <c r="D2295" s="75">
        <v>1128</v>
      </c>
      <c r="F2295" s="75" t="s">
        <v>10</v>
      </c>
      <c r="H2295" s="75" t="s">
        <v>10</v>
      </c>
      <c r="I2295" s="75">
        <v>19489</v>
      </c>
      <c r="K2295" s="75" t="str">
        <f>IFERROR(VLOOKUP(J2295,'NQ10'!$B$9:$C$145,2,0),"")</f>
        <v/>
      </c>
    </row>
    <row r="2296" spans="1:11" ht="15" customHeight="1" x14ac:dyDescent="0.25">
      <c r="A2296" s="75">
        <v>12</v>
      </c>
      <c r="B2296" s="75">
        <v>112</v>
      </c>
      <c r="C2296" s="75" t="s">
        <v>10</v>
      </c>
      <c r="D2296" s="75">
        <v>500</v>
      </c>
      <c r="F2296" s="75" t="s">
        <v>10</v>
      </c>
      <c r="H2296" s="75" t="s">
        <v>10</v>
      </c>
      <c r="I2296" s="75">
        <v>19489</v>
      </c>
      <c r="K2296" s="75" t="str">
        <f>IFERROR(VLOOKUP(J2296,'NQ10'!$B$9:$C$145,2,0),"")</f>
        <v/>
      </c>
    </row>
    <row r="2297" spans="1:11" ht="15" customHeight="1" x14ac:dyDescent="0.25">
      <c r="A2297" s="75">
        <v>12</v>
      </c>
      <c r="B2297" s="75">
        <v>113</v>
      </c>
      <c r="C2297" s="75" t="s">
        <v>10</v>
      </c>
      <c r="D2297" s="75">
        <v>444</v>
      </c>
      <c r="F2297" s="75" t="s">
        <v>10</v>
      </c>
      <c r="H2297" s="75" t="s">
        <v>10</v>
      </c>
      <c r="I2297" s="75">
        <v>19489</v>
      </c>
      <c r="K2297" s="75" t="str">
        <f>IFERROR(VLOOKUP(J2297,'NQ10'!$B$9:$C$145,2,0),"")</f>
        <v/>
      </c>
    </row>
    <row r="2298" spans="1:11" ht="15" customHeight="1" x14ac:dyDescent="0.25">
      <c r="A2298" s="75">
        <v>12</v>
      </c>
      <c r="B2298" s="75">
        <v>114</v>
      </c>
      <c r="C2298" s="75" t="s">
        <v>10</v>
      </c>
      <c r="D2298" s="75">
        <v>3226</v>
      </c>
      <c r="F2298" s="75" t="s">
        <v>10</v>
      </c>
      <c r="H2298" s="75" t="s">
        <v>10</v>
      </c>
      <c r="I2298" s="75">
        <v>19489</v>
      </c>
      <c r="K2298" s="75" t="str">
        <f>IFERROR(VLOOKUP(J2298,'NQ10'!$B$9:$C$145,2,0),"")</f>
        <v/>
      </c>
    </row>
    <row r="2299" spans="1:11" ht="15" customHeight="1" x14ac:dyDescent="0.25">
      <c r="A2299" s="75">
        <v>12</v>
      </c>
      <c r="B2299" s="75">
        <v>115</v>
      </c>
      <c r="C2299" s="75" t="s">
        <v>10</v>
      </c>
      <c r="D2299" s="75">
        <v>3940</v>
      </c>
      <c r="F2299" s="75" t="s">
        <v>10</v>
      </c>
      <c r="H2299" s="75" t="s">
        <v>10</v>
      </c>
      <c r="I2299" s="75">
        <v>19489</v>
      </c>
      <c r="K2299" s="75" t="str">
        <f>IFERROR(VLOOKUP(J2299,'NQ10'!$B$9:$C$145,2,0),"")</f>
        <v/>
      </c>
    </row>
    <row r="2300" spans="1:11" ht="15" customHeight="1" x14ac:dyDescent="0.25">
      <c r="A2300" s="75">
        <v>12</v>
      </c>
      <c r="B2300" s="75">
        <v>116</v>
      </c>
      <c r="C2300" s="75" t="s">
        <v>10</v>
      </c>
      <c r="D2300" s="75">
        <v>878</v>
      </c>
      <c r="F2300" s="75" t="s">
        <v>10</v>
      </c>
      <c r="H2300" s="75" t="s">
        <v>10</v>
      </c>
      <c r="I2300" s="75">
        <v>19489</v>
      </c>
      <c r="K2300" s="75" t="str">
        <f>IFERROR(VLOOKUP(J2300,'NQ10'!$B$9:$C$145,2,0),"")</f>
        <v/>
      </c>
    </row>
    <row r="2301" spans="1:11" ht="15" customHeight="1" x14ac:dyDescent="0.25">
      <c r="A2301" s="75">
        <v>12</v>
      </c>
      <c r="B2301" s="75">
        <v>117</v>
      </c>
      <c r="C2301" s="75" t="s">
        <v>10</v>
      </c>
      <c r="D2301" s="75">
        <v>7252</v>
      </c>
      <c r="F2301" s="75" t="s">
        <v>10</v>
      </c>
      <c r="H2301" s="75" t="s">
        <v>10</v>
      </c>
      <c r="I2301" s="75">
        <v>19489</v>
      </c>
      <c r="K2301" s="75" t="str">
        <f>IFERROR(VLOOKUP(J2301,'NQ10'!$B$9:$C$145,2,0),"")</f>
        <v/>
      </c>
    </row>
    <row r="2302" spans="1:11" ht="15" customHeight="1" x14ac:dyDescent="0.25">
      <c r="A2302" s="75">
        <v>12</v>
      </c>
      <c r="B2302" s="75">
        <v>118</v>
      </c>
      <c r="C2302" s="75" t="s">
        <v>10</v>
      </c>
      <c r="D2302" s="75">
        <v>558</v>
      </c>
      <c r="F2302" s="75" t="s">
        <v>10</v>
      </c>
      <c r="H2302" s="75" t="s">
        <v>10</v>
      </c>
      <c r="I2302" s="75">
        <v>19489</v>
      </c>
      <c r="K2302" s="75" t="str">
        <f>IFERROR(VLOOKUP(J2302,'NQ10'!$B$9:$C$145,2,0),"")</f>
        <v/>
      </c>
    </row>
    <row r="2303" spans="1:11" ht="15" customHeight="1" x14ac:dyDescent="0.25">
      <c r="A2303" s="75">
        <v>12</v>
      </c>
      <c r="B2303" s="75">
        <v>119</v>
      </c>
      <c r="C2303" s="75" t="s">
        <v>10</v>
      </c>
      <c r="D2303" s="75">
        <v>5845</v>
      </c>
      <c r="F2303" s="75" t="s">
        <v>10</v>
      </c>
      <c r="H2303" s="75" t="s">
        <v>10</v>
      </c>
      <c r="I2303" s="75">
        <v>19489</v>
      </c>
      <c r="K2303" s="75" t="str">
        <f>IFERROR(VLOOKUP(J2303,'NQ10'!$B$9:$C$145,2,0),"")</f>
        <v/>
      </c>
    </row>
    <row r="2304" spans="1:11" ht="15" customHeight="1" x14ac:dyDescent="0.25">
      <c r="A2304" s="75">
        <v>12</v>
      </c>
      <c r="B2304" s="75">
        <v>120</v>
      </c>
      <c r="C2304" s="75" t="s">
        <v>10</v>
      </c>
      <c r="D2304" s="75">
        <v>12440</v>
      </c>
      <c r="F2304" s="75" t="s">
        <v>10</v>
      </c>
      <c r="H2304" s="75" t="s">
        <v>10</v>
      </c>
      <c r="I2304" s="75">
        <v>19489</v>
      </c>
      <c r="K2304" s="75" t="str">
        <f>IFERROR(VLOOKUP(J2304,'NQ10'!$B$9:$C$145,2,0),"")</f>
        <v/>
      </c>
    </row>
    <row r="2305" spans="1:11" ht="15" customHeight="1" x14ac:dyDescent="0.25">
      <c r="A2305" s="75">
        <v>12</v>
      </c>
      <c r="B2305" s="75">
        <v>121</v>
      </c>
      <c r="C2305" s="75" t="s">
        <v>10</v>
      </c>
      <c r="D2305" s="75">
        <v>6064</v>
      </c>
      <c r="F2305" s="75" t="s">
        <v>10</v>
      </c>
      <c r="H2305" s="75" t="s">
        <v>10</v>
      </c>
      <c r="I2305" s="75">
        <v>19489</v>
      </c>
      <c r="K2305" s="75" t="str">
        <f>IFERROR(VLOOKUP(J2305,'NQ10'!$B$9:$C$145,2,0),"")</f>
        <v/>
      </c>
    </row>
    <row r="2306" spans="1:11" ht="15" customHeight="1" x14ac:dyDescent="0.25">
      <c r="A2306" s="75">
        <v>12</v>
      </c>
      <c r="B2306" s="75">
        <v>122</v>
      </c>
      <c r="C2306" s="75" t="s">
        <v>10</v>
      </c>
      <c r="D2306" s="75">
        <v>4944</v>
      </c>
      <c r="F2306" s="75" t="s">
        <v>10</v>
      </c>
      <c r="H2306" s="75" t="s">
        <v>10</v>
      </c>
      <c r="I2306" s="75">
        <v>19489</v>
      </c>
      <c r="K2306" s="75" t="str">
        <f>IFERROR(VLOOKUP(J2306,'NQ10'!$B$9:$C$145,2,0),"")</f>
        <v/>
      </c>
    </row>
    <row r="2307" spans="1:11" ht="15" customHeight="1" x14ac:dyDescent="0.25">
      <c r="A2307" s="75">
        <v>12</v>
      </c>
      <c r="B2307" s="75">
        <v>123</v>
      </c>
      <c r="C2307" s="75" t="s">
        <v>10</v>
      </c>
      <c r="D2307" s="75">
        <v>2877</v>
      </c>
      <c r="F2307" s="75" t="s">
        <v>10</v>
      </c>
      <c r="H2307" s="75" t="s">
        <v>10</v>
      </c>
      <c r="I2307" s="75">
        <v>19489</v>
      </c>
      <c r="K2307" s="75" t="str">
        <f>IFERROR(VLOOKUP(J2307,'NQ10'!$B$9:$C$145,2,0),"")</f>
        <v/>
      </c>
    </row>
    <row r="2308" spans="1:11" ht="15" customHeight="1" x14ac:dyDescent="0.25">
      <c r="A2308" s="75">
        <v>12</v>
      </c>
      <c r="B2308" s="75">
        <v>124</v>
      </c>
      <c r="C2308" s="75" t="s">
        <v>10</v>
      </c>
      <c r="D2308" s="75">
        <v>861</v>
      </c>
      <c r="F2308" s="75" t="s">
        <v>10</v>
      </c>
      <c r="H2308" s="75" t="s">
        <v>10</v>
      </c>
      <c r="I2308" s="75">
        <v>19489</v>
      </c>
      <c r="K2308" s="75" t="str">
        <f>IFERROR(VLOOKUP(J2308,'NQ10'!$B$9:$C$145,2,0),"")</f>
        <v/>
      </c>
    </row>
    <row r="2309" spans="1:11" ht="15" customHeight="1" x14ac:dyDescent="0.25">
      <c r="A2309" s="75">
        <v>12</v>
      </c>
      <c r="B2309" s="75">
        <v>125</v>
      </c>
      <c r="C2309" s="75" t="s">
        <v>10</v>
      </c>
      <c r="D2309" s="75">
        <v>3963</v>
      </c>
      <c r="F2309" s="75" t="s">
        <v>10</v>
      </c>
      <c r="H2309" s="75" t="s">
        <v>10</v>
      </c>
      <c r="I2309" s="75">
        <v>19489</v>
      </c>
      <c r="K2309" s="75" t="str">
        <f>IFERROR(VLOOKUP(J2309,'NQ10'!$B$9:$C$145,2,0),"")</f>
        <v/>
      </c>
    </row>
    <row r="2310" spans="1:11" ht="15" customHeight="1" x14ac:dyDescent="0.25">
      <c r="A2310" s="75">
        <v>12</v>
      </c>
      <c r="B2310" s="75">
        <v>126</v>
      </c>
      <c r="C2310" s="75" t="s">
        <v>10</v>
      </c>
      <c r="D2310" s="75">
        <v>3090</v>
      </c>
      <c r="F2310" s="75" t="s">
        <v>10</v>
      </c>
      <c r="H2310" s="75" t="s">
        <v>10</v>
      </c>
      <c r="I2310" s="75">
        <v>19489</v>
      </c>
      <c r="K2310" s="75" t="str">
        <f>IFERROR(VLOOKUP(J2310,'NQ10'!$B$9:$C$145,2,0),"")</f>
        <v/>
      </c>
    </row>
    <row r="2311" spans="1:11" ht="15" customHeight="1" x14ac:dyDescent="0.25">
      <c r="A2311" s="75">
        <v>12</v>
      </c>
      <c r="B2311" s="75">
        <v>127</v>
      </c>
      <c r="C2311" s="75" t="s">
        <v>10</v>
      </c>
      <c r="D2311" s="75">
        <v>1209</v>
      </c>
      <c r="F2311" s="75" t="s">
        <v>10</v>
      </c>
      <c r="H2311" s="75" t="s">
        <v>10</v>
      </c>
      <c r="I2311" s="75">
        <v>19489</v>
      </c>
      <c r="K2311" s="75" t="str">
        <f>IFERROR(VLOOKUP(J2311,'NQ10'!$B$9:$C$145,2,0),"")</f>
        <v/>
      </c>
    </row>
    <row r="2312" spans="1:11" ht="15" customHeight="1" x14ac:dyDescent="0.25">
      <c r="A2312" s="75">
        <v>12</v>
      </c>
      <c r="B2312" s="75">
        <v>128</v>
      </c>
      <c r="C2312" s="75" t="s">
        <v>10</v>
      </c>
      <c r="D2312" s="75">
        <v>8949</v>
      </c>
      <c r="F2312" s="75" t="s">
        <v>10</v>
      </c>
      <c r="H2312" s="75" t="s">
        <v>10</v>
      </c>
      <c r="I2312" s="75">
        <v>19489</v>
      </c>
      <c r="K2312" s="75" t="str">
        <f>IFERROR(VLOOKUP(J2312,'NQ10'!$B$9:$C$145,2,0),"")</f>
        <v/>
      </c>
    </row>
    <row r="2313" spans="1:11" ht="15" customHeight="1" x14ac:dyDescent="0.25">
      <c r="A2313" s="75">
        <v>12</v>
      </c>
      <c r="B2313" s="75">
        <v>129</v>
      </c>
      <c r="C2313" s="75" t="s">
        <v>10</v>
      </c>
      <c r="D2313" s="75">
        <v>2412</v>
      </c>
      <c r="F2313" s="75" t="s">
        <v>10</v>
      </c>
      <c r="H2313" s="75" t="s">
        <v>10</v>
      </c>
      <c r="I2313" s="75">
        <v>19489</v>
      </c>
      <c r="K2313" s="75" t="str">
        <f>IFERROR(VLOOKUP(J2313,'NQ10'!$B$9:$C$145,2,0),"")</f>
        <v/>
      </c>
    </row>
    <row r="2314" spans="1:11" ht="15" customHeight="1" x14ac:dyDescent="0.25">
      <c r="A2314" s="75">
        <v>12</v>
      </c>
      <c r="B2314" s="75">
        <v>130</v>
      </c>
      <c r="C2314" s="75" t="s">
        <v>10</v>
      </c>
      <c r="D2314" s="75">
        <v>7175</v>
      </c>
      <c r="F2314" s="75" t="s">
        <v>10</v>
      </c>
      <c r="H2314" s="75" t="s">
        <v>10</v>
      </c>
      <c r="I2314" s="75">
        <v>19489</v>
      </c>
      <c r="K2314" s="75" t="str">
        <f>IFERROR(VLOOKUP(J2314,'NQ10'!$B$9:$C$145,2,0),"")</f>
        <v/>
      </c>
    </row>
    <row r="2315" spans="1:11" ht="15" customHeight="1" x14ac:dyDescent="0.25">
      <c r="A2315" s="75">
        <v>12</v>
      </c>
      <c r="B2315" s="75">
        <v>131</v>
      </c>
      <c r="C2315" s="75" t="s">
        <v>10</v>
      </c>
      <c r="D2315" s="75">
        <v>3150</v>
      </c>
      <c r="F2315" s="75" t="s">
        <v>10</v>
      </c>
      <c r="H2315" s="75" t="s">
        <v>10</v>
      </c>
      <c r="I2315" s="75">
        <v>19489</v>
      </c>
      <c r="K2315" s="75" t="str">
        <f>IFERROR(VLOOKUP(J2315,'NQ10'!$B$9:$C$145,2,0),"")</f>
        <v/>
      </c>
    </row>
    <row r="2316" spans="1:11" ht="15" customHeight="1" x14ac:dyDescent="0.25">
      <c r="A2316" s="75">
        <v>12</v>
      </c>
      <c r="B2316" s="75">
        <v>132</v>
      </c>
      <c r="C2316" s="75" t="s">
        <v>10</v>
      </c>
      <c r="D2316" s="75">
        <v>478</v>
      </c>
      <c r="F2316" s="75" t="s">
        <v>10</v>
      </c>
      <c r="H2316" s="75" t="s">
        <v>10</v>
      </c>
      <c r="I2316" s="75">
        <v>19489</v>
      </c>
      <c r="K2316" s="75" t="str">
        <f>IFERROR(VLOOKUP(J2316,'NQ10'!$B$9:$C$145,2,0),"")</f>
        <v/>
      </c>
    </row>
    <row r="2317" spans="1:11" ht="15" customHeight="1" x14ac:dyDescent="0.25">
      <c r="A2317" s="75">
        <v>12</v>
      </c>
      <c r="B2317" s="75">
        <v>133</v>
      </c>
      <c r="C2317" s="75" t="s">
        <v>10</v>
      </c>
      <c r="D2317" s="75">
        <v>256</v>
      </c>
      <c r="F2317" s="75" t="s">
        <v>10</v>
      </c>
      <c r="H2317" s="75" t="s">
        <v>10</v>
      </c>
      <c r="I2317" s="75">
        <v>19489</v>
      </c>
      <c r="K2317" s="75" t="str">
        <f>IFERROR(VLOOKUP(J2317,'NQ10'!$B$9:$C$145,2,0),"")</f>
        <v/>
      </c>
    </row>
    <row r="2318" spans="1:11" ht="15" customHeight="1" x14ac:dyDescent="0.25">
      <c r="A2318" s="75">
        <v>12</v>
      </c>
      <c r="B2318" s="75">
        <v>134</v>
      </c>
      <c r="C2318" s="75" t="s">
        <v>10</v>
      </c>
      <c r="D2318" s="75">
        <v>1256</v>
      </c>
      <c r="F2318" s="75" t="s">
        <v>10</v>
      </c>
      <c r="H2318" s="75" t="s">
        <v>10</v>
      </c>
      <c r="I2318" s="75">
        <v>19489</v>
      </c>
      <c r="K2318" s="75" t="str">
        <f>IFERROR(VLOOKUP(J2318,'NQ10'!$B$9:$C$145,2,0),"")</f>
        <v/>
      </c>
    </row>
    <row r="2319" spans="1:11" ht="15" customHeight="1" x14ac:dyDescent="0.25">
      <c r="A2319" s="75">
        <v>12</v>
      </c>
      <c r="B2319" s="75">
        <v>135</v>
      </c>
      <c r="C2319" s="75" t="s">
        <v>10</v>
      </c>
      <c r="D2319" s="75">
        <v>905</v>
      </c>
      <c r="F2319" s="75" t="s">
        <v>10</v>
      </c>
      <c r="H2319" s="75" t="s">
        <v>10</v>
      </c>
      <c r="I2319" s="75">
        <v>19489</v>
      </c>
      <c r="K2319" s="75" t="str">
        <f>IFERROR(VLOOKUP(J2319,'NQ10'!$B$9:$C$145,2,0),"")</f>
        <v/>
      </c>
    </row>
    <row r="2320" spans="1:11" ht="15" customHeight="1" x14ac:dyDescent="0.25">
      <c r="A2320" s="75">
        <v>12</v>
      </c>
      <c r="B2320" s="75">
        <v>136</v>
      </c>
      <c r="C2320" s="75" t="s">
        <v>10</v>
      </c>
      <c r="D2320" s="75">
        <v>2004</v>
      </c>
      <c r="F2320" s="75" t="s">
        <v>10</v>
      </c>
      <c r="H2320" s="75" t="s">
        <v>10</v>
      </c>
      <c r="I2320" s="75">
        <v>19489</v>
      </c>
      <c r="K2320" s="75" t="str">
        <f>IFERROR(VLOOKUP(J2320,'NQ10'!$B$9:$C$145,2,0),"")</f>
        <v/>
      </c>
    </row>
    <row r="2321" spans="1:11" ht="15" customHeight="1" x14ac:dyDescent="0.25">
      <c r="A2321" s="75">
        <v>12</v>
      </c>
      <c r="B2321" s="75">
        <v>138</v>
      </c>
      <c r="C2321" s="75" t="s">
        <v>10</v>
      </c>
      <c r="D2321" s="75">
        <v>2470</v>
      </c>
      <c r="F2321" s="75" t="s">
        <v>10</v>
      </c>
      <c r="H2321" s="75" t="s">
        <v>10</v>
      </c>
      <c r="I2321" s="75">
        <v>19489</v>
      </c>
      <c r="K2321" s="75" t="str">
        <f>IFERROR(VLOOKUP(J2321,'NQ10'!$B$9:$C$145,2,0),"")</f>
        <v/>
      </c>
    </row>
    <row r="2322" spans="1:11" ht="15" customHeight="1" x14ac:dyDescent="0.25">
      <c r="A2322" s="75">
        <v>12</v>
      </c>
      <c r="B2322" s="75">
        <v>139</v>
      </c>
      <c r="C2322" s="75" t="s">
        <v>10</v>
      </c>
      <c r="D2322" s="75">
        <v>2290</v>
      </c>
      <c r="F2322" s="75" t="s">
        <v>10</v>
      </c>
      <c r="H2322" s="75" t="s">
        <v>10</v>
      </c>
      <c r="I2322" s="75">
        <v>19489</v>
      </c>
      <c r="K2322" s="75" t="str">
        <f>IFERROR(VLOOKUP(J2322,'NQ10'!$B$9:$C$145,2,0),"")</f>
        <v/>
      </c>
    </row>
    <row r="2323" spans="1:11" ht="15" customHeight="1" x14ac:dyDescent="0.25">
      <c r="A2323" s="75">
        <v>12</v>
      </c>
      <c r="B2323" s="75">
        <v>140</v>
      </c>
      <c r="C2323" s="75" t="s">
        <v>10</v>
      </c>
      <c r="D2323" s="75">
        <v>1155</v>
      </c>
      <c r="F2323" s="75" t="s">
        <v>10</v>
      </c>
      <c r="H2323" s="75" t="s">
        <v>10</v>
      </c>
      <c r="I2323" s="75">
        <v>19489</v>
      </c>
      <c r="K2323" s="75" t="str">
        <f>IFERROR(VLOOKUP(J2323,'NQ10'!$B$9:$C$145,2,0),"")</f>
        <v/>
      </c>
    </row>
    <row r="2324" spans="1:11" ht="15" customHeight="1" x14ac:dyDescent="0.25">
      <c r="A2324" s="75">
        <v>12</v>
      </c>
      <c r="B2324" s="75">
        <v>141</v>
      </c>
      <c r="C2324" s="75" t="s">
        <v>10</v>
      </c>
      <c r="D2324" s="75">
        <v>1464</v>
      </c>
      <c r="F2324" s="75" t="s">
        <v>10</v>
      </c>
      <c r="H2324" s="75" t="s">
        <v>10</v>
      </c>
      <c r="I2324" s="75">
        <v>19489</v>
      </c>
      <c r="K2324" s="75" t="str">
        <f>IFERROR(VLOOKUP(J2324,'NQ10'!$B$9:$C$145,2,0),"")</f>
        <v/>
      </c>
    </row>
    <row r="2325" spans="1:11" ht="15" customHeight="1" x14ac:dyDescent="0.25">
      <c r="A2325" s="75">
        <v>12</v>
      </c>
      <c r="B2325" s="75">
        <v>142</v>
      </c>
      <c r="C2325" s="75" t="s">
        <v>10</v>
      </c>
      <c r="D2325" s="75">
        <v>4381</v>
      </c>
      <c r="F2325" s="75" t="s">
        <v>10</v>
      </c>
      <c r="H2325" s="75" t="s">
        <v>10</v>
      </c>
      <c r="I2325" s="75">
        <v>19489</v>
      </c>
      <c r="K2325" s="75" t="str">
        <f>IFERROR(VLOOKUP(J2325,'NQ10'!$B$9:$C$145,2,0),"")</f>
        <v/>
      </c>
    </row>
    <row r="2326" spans="1:11" ht="15" customHeight="1" x14ac:dyDescent="0.25">
      <c r="A2326" s="75">
        <v>12</v>
      </c>
      <c r="B2326" s="75">
        <v>143</v>
      </c>
      <c r="C2326" s="75" t="s">
        <v>10</v>
      </c>
      <c r="D2326" s="75">
        <v>5232</v>
      </c>
      <c r="F2326" s="75" t="s">
        <v>10</v>
      </c>
      <c r="H2326" s="75" t="s">
        <v>10</v>
      </c>
      <c r="I2326" s="75">
        <v>19489</v>
      </c>
      <c r="K2326" s="75" t="str">
        <f>IFERROR(VLOOKUP(J2326,'NQ10'!$B$9:$C$145,2,0),"")</f>
        <v/>
      </c>
    </row>
    <row r="2327" spans="1:11" ht="15" customHeight="1" x14ac:dyDescent="0.25">
      <c r="A2327" s="75">
        <v>12</v>
      </c>
      <c r="B2327" s="75">
        <v>145</v>
      </c>
      <c r="C2327" s="75" t="s">
        <v>10</v>
      </c>
      <c r="D2327" s="75">
        <v>2196</v>
      </c>
      <c r="F2327" s="75" t="s">
        <v>10</v>
      </c>
      <c r="H2327" s="75" t="s">
        <v>10</v>
      </c>
      <c r="I2327" s="75">
        <v>19489</v>
      </c>
      <c r="K2327" s="75" t="str">
        <f>IFERROR(VLOOKUP(J2327,'NQ10'!$B$9:$C$145,2,0),"")</f>
        <v/>
      </c>
    </row>
    <row r="2328" spans="1:11" ht="15" customHeight="1" x14ac:dyDescent="0.25">
      <c r="A2328" s="75">
        <v>12</v>
      </c>
      <c r="B2328" s="75">
        <v>146</v>
      </c>
      <c r="C2328" s="75" t="s">
        <v>10</v>
      </c>
      <c r="D2328" s="75">
        <v>658</v>
      </c>
      <c r="F2328" s="75" t="s">
        <v>10</v>
      </c>
      <c r="H2328" s="75" t="s">
        <v>10</v>
      </c>
      <c r="I2328" s="75">
        <v>19489</v>
      </c>
      <c r="K2328" s="75" t="str">
        <f>IFERROR(VLOOKUP(J2328,'NQ10'!$B$9:$C$145,2,0),"")</f>
        <v/>
      </c>
    </row>
    <row r="2329" spans="1:11" ht="15" customHeight="1" x14ac:dyDescent="0.25">
      <c r="A2329" s="75">
        <v>12</v>
      </c>
      <c r="B2329" s="75">
        <v>147</v>
      </c>
      <c r="C2329" s="75" t="s">
        <v>10</v>
      </c>
      <c r="D2329" s="75">
        <v>2620</v>
      </c>
      <c r="F2329" s="75" t="s">
        <v>10</v>
      </c>
      <c r="H2329" s="75" t="s">
        <v>10</v>
      </c>
      <c r="I2329" s="75">
        <v>19489</v>
      </c>
      <c r="K2329" s="75" t="str">
        <f>IFERROR(VLOOKUP(J2329,'NQ10'!$B$9:$C$145,2,0),"")</f>
        <v/>
      </c>
    </row>
    <row r="2330" spans="1:11" ht="15" customHeight="1" x14ac:dyDescent="0.25">
      <c r="A2330" s="75">
        <v>12</v>
      </c>
      <c r="B2330" s="75">
        <v>148</v>
      </c>
      <c r="C2330" s="75" t="s">
        <v>10</v>
      </c>
      <c r="D2330" s="75">
        <v>867</v>
      </c>
      <c r="F2330" s="75" t="s">
        <v>10</v>
      </c>
      <c r="H2330" s="75" t="s">
        <v>10</v>
      </c>
      <c r="I2330" s="75">
        <v>19489</v>
      </c>
      <c r="K2330" s="75" t="str">
        <f>IFERROR(VLOOKUP(J2330,'NQ10'!$B$9:$C$145,2,0),"")</f>
        <v/>
      </c>
    </row>
    <row r="2331" spans="1:11" ht="15" customHeight="1" x14ac:dyDescent="0.25">
      <c r="A2331" s="75">
        <v>12</v>
      </c>
      <c r="B2331" s="75">
        <v>149</v>
      </c>
      <c r="C2331" s="75" t="s">
        <v>10</v>
      </c>
      <c r="D2331" s="75">
        <v>2060</v>
      </c>
      <c r="F2331" s="75" t="s">
        <v>10</v>
      </c>
      <c r="H2331" s="75" t="s">
        <v>10</v>
      </c>
      <c r="I2331" s="75">
        <v>19489</v>
      </c>
      <c r="K2331" s="75" t="str">
        <f>IFERROR(VLOOKUP(J2331,'NQ10'!$B$9:$C$145,2,0),"")</f>
        <v/>
      </c>
    </row>
    <row r="2332" spans="1:11" ht="15" customHeight="1" x14ac:dyDescent="0.25">
      <c r="A2332" s="75">
        <v>12</v>
      </c>
      <c r="B2332" s="75">
        <v>150</v>
      </c>
      <c r="C2332" s="75" t="s">
        <v>10</v>
      </c>
      <c r="D2332" s="75">
        <v>858</v>
      </c>
      <c r="F2332" s="75" t="s">
        <v>10</v>
      </c>
      <c r="H2332" s="75" t="s">
        <v>10</v>
      </c>
      <c r="I2332" s="75">
        <v>19489</v>
      </c>
      <c r="K2332" s="75" t="str">
        <f>IFERROR(VLOOKUP(J2332,'NQ10'!$B$9:$C$145,2,0),"")</f>
        <v/>
      </c>
    </row>
    <row r="2333" spans="1:11" ht="15" customHeight="1" x14ac:dyDescent="0.25">
      <c r="A2333" s="75">
        <v>12</v>
      </c>
      <c r="B2333" s="75">
        <v>151</v>
      </c>
      <c r="C2333" s="75" t="s">
        <v>10</v>
      </c>
      <c r="D2333" s="75">
        <v>3385</v>
      </c>
      <c r="F2333" s="75" t="s">
        <v>10</v>
      </c>
      <c r="H2333" s="75" t="s">
        <v>10</v>
      </c>
      <c r="I2333" s="75">
        <v>19489</v>
      </c>
      <c r="K2333" s="75" t="str">
        <f>IFERROR(VLOOKUP(J2333,'NQ10'!$B$9:$C$145,2,0),"")</f>
        <v/>
      </c>
    </row>
    <row r="2334" spans="1:11" ht="15" customHeight="1" x14ac:dyDescent="0.25">
      <c r="A2334" s="75">
        <v>12</v>
      </c>
      <c r="B2334" s="75">
        <v>152</v>
      </c>
      <c r="C2334" s="75" t="s">
        <v>10</v>
      </c>
      <c r="D2334" s="75">
        <v>5275</v>
      </c>
      <c r="F2334" s="75" t="s">
        <v>10</v>
      </c>
      <c r="H2334" s="75" t="s">
        <v>10</v>
      </c>
      <c r="I2334" s="75">
        <v>19489</v>
      </c>
      <c r="K2334" s="75" t="str">
        <f>IFERROR(VLOOKUP(J2334,'NQ10'!$B$9:$C$145,2,0),"")</f>
        <v/>
      </c>
    </row>
    <row r="2335" spans="1:11" ht="15" customHeight="1" x14ac:dyDescent="0.25">
      <c r="A2335" s="75">
        <v>12</v>
      </c>
      <c r="B2335" s="75">
        <v>153</v>
      </c>
      <c r="C2335" s="75" t="s">
        <v>10</v>
      </c>
      <c r="D2335" s="75">
        <v>425</v>
      </c>
      <c r="F2335" s="75" t="s">
        <v>10</v>
      </c>
      <c r="H2335" s="75" t="s">
        <v>10</v>
      </c>
      <c r="I2335" s="75">
        <v>19489</v>
      </c>
      <c r="K2335" s="75" t="str">
        <f>IFERROR(VLOOKUP(J2335,'NQ10'!$B$9:$C$145,2,0),"")</f>
        <v/>
      </c>
    </row>
    <row r="2336" spans="1:11" ht="15" customHeight="1" x14ac:dyDescent="0.25">
      <c r="A2336" s="75">
        <v>12</v>
      </c>
      <c r="B2336" s="75">
        <v>154</v>
      </c>
      <c r="C2336" s="75" t="s">
        <v>10</v>
      </c>
      <c r="D2336" s="75">
        <v>5902</v>
      </c>
      <c r="F2336" s="75" t="s">
        <v>10</v>
      </c>
      <c r="H2336" s="75" t="s">
        <v>10</v>
      </c>
      <c r="I2336" s="75">
        <v>19489</v>
      </c>
      <c r="K2336" s="75" t="str">
        <f>IFERROR(VLOOKUP(J2336,'NQ10'!$B$9:$C$145,2,0),"")</f>
        <v/>
      </c>
    </row>
    <row r="2337" spans="1:11" ht="15" customHeight="1" x14ac:dyDescent="0.25">
      <c r="A2337" s="75">
        <v>12</v>
      </c>
      <c r="B2337" s="75">
        <v>155</v>
      </c>
      <c r="C2337" s="75" t="s">
        <v>10</v>
      </c>
      <c r="D2337" s="75">
        <v>6768</v>
      </c>
      <c r="F2337" s="75" t="s">
        <v>10</v>
      </c>
      <c r="H2337" s="75" t="s">
        <v>10</v>
      </c>
      <c r="I2337" s="75">
        <v>19489</v>
      </c>
      <c r="K2337" s="75" t="str">
        <f>IFERROR(VLOOKUP(J2337,'NQ10'!$B$9:$C$145,2,0),"")</f>
        <v/>
      </c>
    </row>
    <row r="2338" spans="1:11" ht="15" customHeight="1" x14ac:dyDescent="0.25">
      <c r="A2338" s="75">
        <v>12</v>
      </c>
      <c r="B2338" s="75">
        <v>156</v>
      </c>
      <c r="C2338" s="75" t="s">
        <v>10</v>
      </c>
      <c r="D2338" s="75">
        <v>1866</v>
      </c>
      <c r="F2338" s="75" t="s">
        <v>10</v>
      </c>
      <c r="H2338" s="75" t="s">
        <v>10</v>
      </c>
      <c r="I2338" s="75">
        <v>19489</v>
      </c>
      <c r="K2338" s="75" t="str">
        <f>IFERROR(VLOOKUP(J2338,'NQ10'!$B$9:$C$145,2,0),"")</f>
        <v/>
      </c>
    </row>
    <row r="2339" spans="1:11" ht="15" customHeight="1" x14ac:dyDescent="0.25">
      <c r="A2339" s="75">
        <v>12</v>
      </c>
      <c r="B2339" s="75">
        <v>157</v>
      </c>
      <c r="C2339" s="75" t="s">
        <v>10</v>
      </c>
      <c r="D2339" s="75">
        <v>3243</v>
      </c>
      <c r="F2339" s="75" t="s">
        <v>10</v>
      </c>
      <c r="H2339" s="75" t="s">
        <v>10</v>
      </c>
      <c r="I2339" s="75">
        <v>19489</v>
      </c>
      <c r="K2339" s="75" t="str">
        <f>IFERROR(VLOOKUP(J2339,'NQ10'!$B$9:$C$145,2,0),"")</f>
        <v/>
      </c>
    </row>
    <row r="2340" spans="1:11" ht="15" customHeight="1" x14ac:dyDescent="0.25">
      <c r="A2340" s="75">
        <v>12</v>
      </c>
      <c r="B2340" s="75">
        <v>158</v>
      </c>
      <c r="C2340" s="75" t="s">
        <v>10</v>
      </c>
      <c r="D2340" s="75">
        <v>6040</v>
      </c>
      <c r="F2340" s="75" t="s">
        <v>10</v>
      </c>
      <c r="H2340" s="75" t="s">
        <v>10</v>
      </c>
      <c r="I2340" s="75">
        <v>19489</v>
      </c>
      <c r="K2340" s="75" t="str">
        <f>IFERROR(VLOOKUP(J2340,'NQ10'!$B$9:$C$145,2,0),"")</f>
        <v/>
      </c>
    </row>
    <row r="2341" spans="1:11" ht="15" customHeight="1" x14ac:dyDescent="0.25">
      <c r="A2341" s="75">
        <v>12</v>
      </c>
      <c r="B2341" s="75">
        <v>159</v>
      </c>
      <c r="C2341" s="75" t="s">
        <v>10</v>
      </c>
      <c r="D2341" s="75">
        <v>2593</v>
      </c>
      <c r="F2341" s="75" t="s">
        <v>10</v>
      </c>
      <c r="H2341" s="75" t="s">
        <v>10</v>
      </c>
      <c r="I2341" s="75">
        <v>19489</v>
      </c>
      <c r="K2341" s="75" t="str">
        <f>IFERROR(VLOOKUP(J2341,'NQ10'!$B$9:$C$145,2,0),"")</f>
        <v/>
      </c>
    </row>
    <row r="2342" spans="1:11" ht="15" customHeight="1" x14ac:dyDescent="0.25">
      <c r="A2342" s="75">
        <v>12</v>
      </c>
      <c r="B2342" s="75">
        <v>160</v>
      </c>
      <c r="C2342" s="75" t="s">
        <v>10</v>
      </c>
      <c r="D2342" s="75">
        <v>348</v>
      </c>
      <c r="F2342" s="75" t="s">
        <v>10</v>
      </c>
      <c r="H2342" s="75" t="s">
        <v>10</v>
      </c>
      <c r="I2342" s="75">
        <v>19489</v>
      </c>
      <c r="K2342" s="75" t="str">
        <f>IFERROR(VLOOKUP(J2342,'NQ10'!$B$9:$C$145,2,0),"")</f>
        <v/>
      </c>
    </row>
    <row r="2343" spans="1:11" ht="15" customHeight="1" x14ac:dyDescent="0.25">
      <c r="A2343" s="75">
        <v>12</v>
      </c>
      <c r="B2343" s="75">
        <v>161</v>
      </c>
      <c r="C2343" s="75" t="s">
        <v>10</v>
      </c>
      <c r="D2343" s="75">
        <v>4045</v>
      </c>
      <c r="F2343" s="75" t="s">
        <v>10</v>
      </c>
      <c r="H2343" s="75" t="s">
        <v>10</v>
      </c>
      <c r="I2343" s="75">
        <v>19489</v>
      </c>
      <c r="K2343" s="75" t="str">
        <f>IFERROR(VLOOKUP(J2343,'NQ10'!$B$9:$C$145,2,0),"")</f>
        <v/>
      </c>
    </row>
    <row r="2344" spans="1:11" ht="15" customHeight="1" x14ac:dyDescent="0.25">
      <c r="A2344" s="75">
        <v>12</v>
      </c>
      <c r="B2344" s="75">
        <v>162</v>
      </c>
      <c r="C2344" s="75" t="s">
        <v>10</v>
      </c>
      <c r="D2344" s="75">
        <v>427</v>
      </c>
      <c r="F2344" s="75" t="s">
        <v>10</v>
      </c>
      <c r="H2344" s="75" t="s">
        <v>10</v>
      </c>
      <c r="I2344" s="75">
        <v>19489</v>
      </c>
      <c r="K2344" s="75" t="str">
        <f>IFERROR(VLOOKUP(J2344,'NQ10'!$B$9:$C$145,2,0),"")</f>
        <v/>
      </c>
    </row>
    <row r="2345" spans="1:11" ht="15" customHeight="1" x14ac:dyDescent="0.25">
      <c r="A2345" s="75">
        <v>12</v>
      </c>
      <c r="B2345" s="75">
        <v>163</v>
      </c>
      <c r="C2345" s="75" t="s">
        <v>10</v>
      </c>
      <c r="D2345" s="75">
        <v>2106</v>
      </c>
      <c r="F2345" s="75" t="s">
        <v>10</v>
      </c>
      <c r="H2345" s="75" t="s">
        <v>10</v>
      </c>
      <c r="I2345" s="75">
        <v>19489</v>
      </c>
      <c r="K2345" s="75" t="str">
        <f>IFERROR(VLOOKUP(J2345,'NQ10'!$B$9:$C$145,2,0),"")</f>
        <v/>
      </c>
    </row>
    <row r="2346" spans="1:11" ht="15" customHeight="1" x14ac:dyDescent="0.25">
      <c r="A2346" s="75">
        <v>12</v>
      </c>
      <c r="B2346" s="75">
        <v>164</v>
      </c>
      <c r="C2346" s="75" t="s">
        <v>10</v>
      </c>
      <c r="D2346" s="75">
        <v>9469</v>
      </c>
      <c r="F2346" s="75" t="s">
        <v>10</v>
      </c>
      <c r="H2346" s="75" t="s">
        <v>10</v>
      </c>
      <c r="I2346" s="75">
        <v>19489</v>
      </c>
      <c r="K2346" s="75" t="str">
        <f>IFERROR(VLOOKUP(J2346,'NQ10'!$B$9:$C$145,2,0),"")</f>
        <v/>
      </c>
    </row>
    <row r="2347" spans="1:11" ht="15" customHeight="1" x14ac:dyDescent="0.25">
      <c r="A2347" s="75">
        <v>12</v>
      </c>
      <c r="B2347" s="75">
        <v>165</v>
      </c>
      <c r="C2347" s="75" t="s">
        <v>10</v>
      </c>
      <c r="D2347" s="75">
        <v>2186</v>
      </c>
      <c r="F2347" s="75" t="s">
        <v>10</v>
      </c>
      <c r="H2347" s="75" t="s">
        <v>10</v>
      </c>
      <c r="I2347" s="75">
        <v>19489</v>
      </c>
      <c r="K2347" s="75" t="str">
        <f>IFERROR(VLOOKUP(J2347,'NQ10'!$B$9:$C$145,2,0),"")</f>
        <v/>
      </c>
    </row>
    <row r="2348" spans="1:11" ht="15" customHeight="1" x14ac:dyDescent="0.25">
      <c r="A2348" s="75">
        <v>12</v>
      </c>
      <c r="B2348" s="75">
        <v>166</v>
      </c>
      <c r="C2348" s="75" t="s">
        <v>10</v>
      </c>
      <c r="D2348" s="75">
        <v>469</v>
      </c>
      <c r="F2348" s="75" t="s">
        <v>10</v>
      </c>
      <c r="H2348" s="75" t="s">
        <v>10</v>
      </c>
      <c r="I2348" s="75">
        <v>19489</v>
      </c>
      <c r="K2348" s="75" t="str">
        <f>IFERROR(VLOOKUP(J2348,'NQ10'!$B$9:$C$145,2,0),"")</f>
        <v/>
      </c>
    </row>
    <row r="2349" spans="1:11" ht="15" customHeight="1" x14ac:dyDescent="0.25">
      <c r="A2349" s="75">
        <v>12</v>
      </c>
      <c r="B2349" s="75">
        <v>167</v>
      </c>
      <c r="C2349" s="75" t="s">
        <v>10</v>
      </c>
      <c r="D2349" s="75">
        <v>4058</v>
      </c>
      <c r="F2349" s="75" t="s">
        <v>10</v>
      </c>
      <c r="H2349" s="75" t="s">
        <v>10</v>
      </c>
      <c r="I2349" s="75">
        <v>19489</v>
      </c>
      <c r="K2349" s="75" t="str">
        <f>IFERROR(VLOOKUP(J2349,'NQ10'!$B$9:$C$145,2,0),"")</f>
        <v/>
      </c>
    </row>
    <row r="2350" spans="1:11" ht="15" customHeight="1" x14ac:dyDescent="0.25">
      <c r="A2350" s="75">
        <v>12</v>
      </c>
      <c r="B2350" s="75">
        <v>168</v>
      </c>
      <c r="C2350" s="75" t="s">
        <v>10</v>
      </c>
      <c r="D2350" s="75">
        <v>3853</v>
      </c>
      <c r="F2350" s="75" t="s">
        <v>10</v>
      </c>
      <c r="H2350" s="75" t="s">
        <v>10</v>
      </c>
      <c r="I2350" s="75">
        <v>19489</v>
      </c>
      <c r="K2350" s="75" t="str">
        <f>IFERROR(VLOOKUP(J2350,'NQ10'!$B$9:$C$145,2,0),"")</f>
        <v/>
      </c>
    </row>
    <row r="2351" spans="1:11" ht="15" customHeight="1" x14ac:dyDescent="0.25">
      <c r="A2351" s="75">
        <v>12</v>
      </c>
      <c r="B2351" s="75">
        <v>169</v>
      </c>
      <c r="C2351" s="75" t="s">
        <v>10</v>
      </c>
      <c r="D2351" s="75">
        <v>2444</v>
      </c>
      <c r="F2351" s="75" t="s">
        <v>10</v>
      </c>
      <c r="H2351" s="75" t="s">
        <v>10</v>
      </c>
      <c r="I2351" s="75">
        <v>19489</v>
      </c>
      <c r="K2351" s="75" t="str">
        <f>IFERROR(VLOOKUP(J2351,'NQ10'!$B$9:$C$145,2,0),"")</f>
        <v/>
      </c>
    </row>
    <row r="2352" spans="1:11" ht="15" customHeight="1" x14ac:dyDescent="0.25">
      <c r="A2352" s="75">
        <v>12</v>
      </c>
      <c r="B2352" s="75">
        <v>170</v>
      </c>
      <c r="C2352" s="75" t="s">
        <v>10</v>
      </c>
      <c r="D2352" s="75">
        <v>3848</v>
      </c>
      <c r="F2352" s="75" t="s">
        <v>10</v>
      </c>
      <c r="H2352" s="75" t="s">
        <v>10</v>
      </c>
      <c r="I2352" s="75">
        <v>19489</v>
      </c>
      <c r="K2352" s="75" t="str">
        <f>IFERROR(VLOOKUP(J2352,'NQ10'!$B$9:$C$145,2,0),"")</f>
        <v/>
      </c>
    </row>
    <row r="2353" spans="1:11" ht="15" customHeight="1" x14ac:dyDescent="0.25">
      <c r="A2353" s="75">
        <v>12</v>
      </c>
      <c r="B2353" s="75">
        <v>171</v>
      </c>
      <c r="C2353" s="75" t="s">
        <v>10</v>
      </c>
      <c r="D2353" s="75">
        <v>3979</v>
      </c>
      <c r="F2353" s="75" t="s">
        <v>10</v>
      </c>
      <c r="H2353" s="75" t="s">
        <v>10</v>
      </c>
      <c r="I2353" s="75">
        <v>19489</v>
      </c>
      <c r="K2353" s="75" t="str">
        <f>IFERROR(VLOOKUP(J2353,'NQ10'!$B$9:$C$145,2,0),"")</f>
        <v/>
      </c>
    </row>
    <row r="2354" spans="1:11" ht="15" customHeight="1" x14ac:dyDescent="0.25">
      <c r="A2354" s="75">
        <v>12</v>
      </c>
      <c r="B2354" s="75">
        <v>172</v>
      </c>
      <c r="C2354" s="75" t="s">
        <v>10</v>
      </c>
      <c r="D2354" s="75">
        <v>4158</v>
      </c>
      <c r="F2354" s="75" t="s">
        <v>10</v>
      </c>
      <c r="H2354" s="75" t="s">
        <v>10</v>
      </c>
      <c r="I2354" s="75">
        <v>19489</v>
      </c>
      <c r="K2354" s="75" t="str">
        <f>IFERROR(VLOOKUP(J2354,'NQ10'!$B$9:$C$145,2,0),"")</f>
        <v/>
      </c>
    </row>
    <row r="2355" spans="1:11" ht="15" customHeight="1" x14ac:dyDescent="0.25">
      <c r="A2355" s="75">
        <v>12</v>
      </c>
      <c r="B2355" s="75">
        <v>173</v>
      </c>
      <c r="C2355" s="75" t="s">
        <v>10</v>
      </c>
      <c r="D2355" s="75">
        <v>1411</v>
      </c>
      <c r="F2355" s="75" t="s">
        <v>10</v>
      </c>
      <c r="H2355" s="75" t="s">
        <v>10</v>
      </c>
      <c r="I2355" s="75">
        <v>19489</v>
      </c>
      <c r="K2355" s="75" t="str">
        <f>IFERROR(VLOOKUP(J2355,'NQ10'!$B$9:$C$145,2,0),"")</f>
        <v/>
      </c>
    </row>
    <row r="2356" spans="1:11" ht="15" customHeight="1" x14ac:dyDescent="0.25">
      <c r="A2356" s="75">
        <v>12</v>
      </c>
      <c r="B2356" s="75">
        <v>174</v>
      </c>
      <c r="C2356" s="75" t="s">
        <v>10</v>
      </c>
      <c r="D2356" s="75">
        <v>925</v>
      </c>
      <c r="F2356" s="75" t="s">
        <v>10</v>
      </c>
      <c r="H2356" s="75" t="s">
        <v>10</v>
      </c>
      <c r="I2356" s="75">
        <v>19489</v>
      </c>
      <c r="K2356" s="75" t="str">
        <f>IFERROR(VLOOKUP(J2356,'NQ10'!$B$9:$C$145,2,0),"")</f>
        <v/>
      </c>
    </row>
    <row r="2357" spans="1:11" ht="15" customHeight="1" x14ac:dyDescent="0.25">
      <c r="A2357" s="75">
        <v>12</v>
      </c>
      <c r="B2357" s="75">
        <v>175</v>
      </c>
      <c r="C2357" s="75" t="s">
        <v>10</v>
      </c>
      <c r="D2357" s="75">
        <v>5721</v>
      </c>
      <c r="F2357" s="75" t="s">
        <v>10</v>
      </c>
      <c r="H2357" s="75" t="s">
        <v>10</v>
      </c>
      <c r="I2357" s="75">
        <v>19489</v>
      </c>
      <c r="K2357" s="75" t="str">
        <f>IFERROR(VLOOKUP(J2357,'NQ10'!$B$9:$C$145,2,0),"")</f>
        <v/>
      </c>
    </row>
    <row r="2358" spans="1:11" ht="15" customHeight="1" x14ac:dyDescent="0.25">
      <c r="A2358" s="75">
        <v>12</v>
      </c>
      <c r="B2358" s="75">
        <v>176</v>
      </c>
      <c r="C2358" s="75" t="s">
        <v>10</v>
      </c>
      <c r="D2358" s="75">
        <v>5462</v>
      </c>
      <c r="F2358" s="75" t="s">
        <v>10</v>
      </c>
      <c r="H2358" s="75" t="s">
        <v>10</v>
      </c>
      <c r="I2358" s="75">
        <v>19489</v>
      </c>
      <c r="K2358" s="75" t="str">
        <f>IFERROR(VLOOKUP(J2358,'NQ10'!$B$9:$C$145,2,0),"")</f>
        <v/>
      </c>
    </row>
    <row r="2359" spans="1:11" ht="15" customHeight="1" x14ac:dyDescent="0.25">
      <c r="A2359" s="75">
        <v>12</v>
      </c>
      <c r="B2359" s="75">
        <v>177</v>
      </c>
      <c r="C2359" s="75" t="s">
        <v>10</v>
      </c>
      <c r="D2359" s="75">
        <v>11578</v>
      </c>
      <c r="F2359" s="75" t="s">
        <v>10</v>
      </c>
      <c r="H2359" s="75" t="s">
        <v>10</v>
      </c>
      <c r="I2359" s="75">
        <v>19489</v>
      </c>
      <c r="K2359" s="75" t="str">
        <f>IFERROR(VLOOKUP(J2359,'NQ10'!$B$9:$C$145,2,0),"")</f>
        <v/>
      </c>
    </row>
    <row r="2360" spans="1:11" ht="15" customHeight="1" x14ac:dyDescent="0.25">
      <c r="A2360" s="75">
        <v>12</v>
      </c>
      <c r="B2360" s="75">
        <v>178</v>
      </c>
      <c r="C2360" s="75" t="s">
        <v>10</v>
      </c>
      <c r="D2360" s="75">
        <v>2121</v>
      </c>
      <c r="F2360" s="75" t="s">
        <v>10</v>
      </c>
      <c r="H2360" s="75" t="s">
        <v>10</v>
      </c>
      <c r="I2360" s="75">
        <v>19489</v>
      </c>
      <c r="K2360" s="75" t="str">
        <f>IFERROR(VLOOKUP(J2360,'NQ10'!$B$9:$C$145,2,0),"")</f>
        <v/>
      </c>
    </row>
    <row r="2361" spans="1:11" ht="15" customHeight="1" x14ac:dyDescent="0.25">
      <c r="A2361" s="75">
        <v>12</v>
      </c>
      <c r="B2361" s="75">
        <v>179</v>
      </c>
      <c r="C2361" s="75" t="s">
        <v>10</v>
      </c>
      <c r="D2361" s="75">
        <v>2391</v>
      </c>
      <c r="F2361" s="75" t="s">
        <v>10</v>
      </c>
      <c r="H2361" s="75" t="s">
        <v>10</v>
      </c>
      <c r="I2361" s="75">
        <v>19489</v>
      </c>
      <c r="K2361" s="75" t="str">
        <f>IFERROR(VLOOKUP(J2361,'NQ10'!$B$9:$C$145,2,0),"")</f>
        <v/>
      </c>
    </row>
    <row r="2362" spans="1:11" ht="15" customHeight="1" x14ac:dyDescent="0.25">
      <c r="A2362" s="75">
        <v>12</v>
      </c>
      <c r="B2362" s="75">
        <v>180</v>
      </c>
      <c r="C2362" s="75" t="s">
        <v>10</v>
      </c>
      <c r="D2362" s="75">
        <v>4256</v>
      </c>
      <c r="F2362" s="75" t="s">
        <v>10</v>
      </c>
      <c r="H2362" s="75" t="s">
        <v>10</v>
      </c>
      <c r="I2362" s="75">
        <v>19489</v>
      </c>
      <c r="K2362" s="75" t="str">
        <f>IFERROR(VLOOKUP(J2362,'NQ10'!$B$9:$C$145,2,0),"")</f>
        <v/>
      </c>
    </row>
    <row r="2363" spans="1:11" ht="15" customHeight="1" x14ac:dyDescent="0.25">
      <c r="A2363" s="75">
        <v>12</v>
      </c>
      <c r="B2363" s="75">
        <v>181</v>
      </c>
      <c r="C2363" s="75" t="s">
        <v>10</v>
      </c>
      <c r="D2363" s="75">
        <v>3385</v>
      </c>
      <c r="F2363" s="75" t="s">
        <v>10</v>
      </c>
      <c r="H2363" s="75" t="s">
        <v>10</v>
      </c>
      <c r="I2363" s="75">
        <v>19489</v>
      </c>
      <c r="K2363" s="75" t="str">
        <f>IFERROR(VLOOKUP(J2363,'NQ10'!$B$9:$C$145,2,0),"")</f>
        <v/>
      </c>
    </row>
    <row r="2364" spans="1:11" ht="15" customHeight="1" x14ac:dyDescent="0.25">
      <c r="A2364" s="75">
        <v>12</v>
      </c>
      <c r="B2364" s="75">
        <v>182</v>
      </c>
      <c r="C2364" s="75" t="s">
        <v>10</v>
      </c>
      <c r="D2364" s="75">
        <v>5257</v>
      </c>
      <c r="F2364" s="75" t="s">
        <v>10</v>
      </c>
      <c r="H2364" s="75" t="s">
        <v>10</v>
      </c>
      <c r="I2364" s="75">
        <v>19489</v>
      </c>
      <c r="K2364" s="75" t="str">
        <f>IFERROR(VLOOKUP(J2364,'NQ10'!$B$9:$C$145,2,0),"")</f>
        <v/>
      </c>
    </row>
    <row r="2365" spans="1:11" ht="15" customHeight="1" x14ac:dyDescent="0.25">
      <c r="A2365" s="75">
        <v>12</v>
      </c>
      <c r="B2365" s="75">
        <v>183</v>
      </c>
      <c r="C2365" s="75" t="s">
        <v>10</v>
      </c>
      <c r="D2365" s="75">
        <v>8698</v>
      </c>
      <c r="F2365" s="75" t="s">
        <v>10</v>
      </c>
      <c r="H2365" s="75" t="s">
        <v>10</v>
      </c>
      <c r="I2365" s="75">
        <v>19489</v>
      </c>
      <c r="K2365" s="75" t="str">
        <f>IFERROR(VLOOKUP(J2365,'NQ10'!$B$9:$C$145,2,0),"")</f>
        <v/>
      </c>
    </row>
    <row r="2366" spans="1:11" ht="15" customHeight="1" x14ac:dyDescent="0.25">
      <c r="A2366" s="75">
        <v>12</v>
      </c>
      <c r="B2366" s="75">
        <v>184</v>
      </c>
      <c r="C2366" s="75" t="s">
        <v>10</v>
      </c>
      <c r="D2366" s="75">
        <v>1713</v>
      </c>
      <c r="F2366" s="75" t="s">
        <v>10</v>
      </c>
      <c r="H2366" s="75" t="s">
        <v>10</v>
      </c>
      <c r="I2366" s="75">
        <v>19489</v>
      </c>
      <c r="K2366" s="75" t="str">
        <f>IFERROR(VLOOKUP(J2366,'NQ10'!$B$9:$C$145,2,0),"")</f>
        <v/>
      </c>
    </row>
    <row r="2367" spans="1:11" ht="15" customHeight="1" x14ac:dyDescent="0.25">
      <c r="A2367" s="75">
        <v>12</v>
      </c>
      <c r="B2367" s="75">
        <v>185</v>
      </c>
      <c r="C2367" s="75" t="s">
        <v>10</v>
      </c>
      <c r="D2367" s="75">
        <v>2352</v>
      </c>
      <c r="F2367" s="75" t="s">
        <v>10</v>
      </c>
      <c r="H2367" s="75" t="s">
        <v>10</v>
      </c>
      <c r="I2367" s="75">
        <v>19489</v>
      </c>
      <c r="K2367" s="75" t="str">
        <f>IFERROR(VLOOKUP(J2367,'NQ10'!$B$9:$C$145,2,0),"")</f>
        <v/>
      </c>
    </row>
    <row r="2368" spans="1:11" ht="15" customHeight="1" x14ac:dyDescent="0.25">
      <c r="A2368" s="75">
        <v>12</v>
      </c>
      <c r="B2368" s="75">
        <v>186</v>
      </c>
      <c r="C2368" s="75" t="s">
        <v>10</v>
      </c>
      <c r="D2368" s="75">
        <v>4484</v>
      </c>
      <c r="F2368" s="75" t="s">
        <v>10</v>
      </c>
      <c r="H2368" s="75" t="s">
        <v>10</v>
      </c>
      <c r="I2368" s="75">
        <v>19489</v>
      </c>
      <c r="K2368" s="75" t="str">
        <f>IFERROR(VLOOKUP(J2368,'NQ10'!$B$9:$C$145,2,0),"")</f>
        <v/>
      </c>
    </row>
    <row r="2369" spans="1:11" ht="15" customHeight="1" x14ac:dyDescent="0.25">
      <c r="A2369" s="75">
        <v>12</v>
      </c>
      <c r="B2369" s="75">
        <v>187</v>
      </c>
      <c r="C2369" s="75" t="s">
        <v>10</v>
      </c>
      <c r="D2369" s="75">
        <v>6561</v>
      </c>
      <c r="F2369" s="75" t="s">
        <v>10</v>
      </c>
      <c r="H2369" s="75" t="s">
        <v>10</v>
      </c>
      <c r="I2369" s="75">
        <v>19489</v>
      </c>
      <c r="K2369" s="75" t="str">
        <f>IFERROR(VLOOKUP(J2369,'NQ10'!$B$9:$C$145,2,0),"")</f>
        <v/>
      </c>
    </row>
    <row r="2370" spans="1:11" ht="15" customHeight="1" x14ac:dyDescent="0.25">
      <c r="A2370" s="75">
        <v>12</v>
      </c>
      <c r="B2370" s="75">
        <v>188</v>
      </c>
      <c r="C2370" s="75" t="s">
        <v>10</v>
      </c>
      <c r="D2370" s="75">
        <v>2393</v>
      </c>
      <c r="F2370" s="75" t="s">
        <v>10</v>
      </c>
      <c r="H2370" s="75" t="s">
        <v>10</v>
      </c>
      <c r="I2370" s="75">
        <v>19489</v>
      </c>
      <c r="K2370" s="75" t="str">
        <f>IFERROR(VLOOKUP(J2370,'NQ10'!$B$9:$C$145,2,0),"")</f>
        <v/>
      </c>
    </row>
    <row r="2371" spans="1:11" ht="15" customHeight="1" x14ac:dyDescent="0.25">
      <c r="A2371" s="75">
        <v>12</v>
      </c>
      <c r="B2371" s="75">
        <v>189</v>
      </c>
      <c r="C2371" s="75" t="s">
        <v>10</v>
      </c>
      <c r="D2371" s="75">
        <v>4338</v>
      </c>
      <c r="F2371" s="75" t="s">
        <v>10</v>
      </c>
      <c r="H2371" s="75" t="s">
        <v>10</v>
      </c>
      <c r="I2371" s="75">
        <v>19489</v>
      </c>
      <c r="K2371" s="75" t="str">
        <f>IFERROR(VLOOKUP(J2371,'NQ10'!$B$9:$C$145,2,0),"")</f>
        <v/>
      </c>
    </row>
    <row r="2372" spans="1:11" ht="15" customHeight="1" x14ac:dyDescent="0.25">
      <c r="A2372" s="75">
        <v>12</v>
      </c>
      <c r="B2372" s="75">
        <v>190</v>
      </c>
      <c r="C2372" s="75" t="s">
        <v>10</v>
      </c>
      <c r="D2372" s="75">
        <v>660</v>
      </c>
      <c r="F2372" s="75" t="s">
        <v>10</v>
      </c>
      <c r="H2372" s="75" t="s">
        <v>10</v>
      </c>
      <c r="I2372" s="75">
        <v>19489</v>
      </c>
      <c r="K2372" s="75" t="str">
        <f>IFERROR(VLOOKUP(J2372,'NQ10'!$B$9:$C$145,2,0),"")</f>
        <v/>
      </c>
    </row>
    <row r="2373" spans="1:11" ht="15" customHeight="1" x14ac:dyDescent="0.25">
      <c r="A2373" s="75">
        <v>12</v>
      </c>
      <c r="B2373" s="75">
        <v>191</v>
      </c>
      <c r="C2373" s="75" t="s">
        <v>10</v>
      </c>
      <c r="D2373" s="75">
        <v>1160</v>
      </c>
      <c r="F2373" s="75" t="s">
        <v>10</v>
      </c>
      <c r="H2373" s="75" t="s">
        <v>10</v>
      </c>
      <c r="I2373" s="75">
        <v>19489</v>
      </c>
      <c r="K2373" s="75" t="str">
        <f>IFERROR(VLOOKUP(J2373,'NQ10'!$B$9:$C$145,2,0),"")</f>
        <v/>
      </c>
    </row>
    <row r="2374" spans="1:11" ht="15" customHeight="1" x14ac:dyDescent="0.25">
      <c r="A2374" s="75">
        <v>12</v>
      </c>
      <c r="B2374" s="75">
        <v>192</v>
      </c>
      <c r="C2374" s="75" t="s">
        <v>10</v>
      </c>
      <c r="D2374" s="75">
        <v>598</v>
      </c>
      <c r="F2374" s="75" t="s">
        <v>10</v>
      </c>
      <c r="H2374" s="75" t="s">
        <v>10</v>
      </c>
      <c r="I2374" s="75">
        <v>19489</v>
      </c>
      <c r="K2374" s="75" t="str">
        <f>IFERROR(VLOOKUP(J2374,'NQ10'!$B$9:$C$145,2,0),"")</f>
        <v/>
      </c>
    </row>
    <row r="2375" spans="1:11" ht="15" customHeight="1" x14ac:dyDescent="0.25">
      <c r="A2375" s="75">
        <v>12</v>
      </c>
      <c r="B2375" s="75">
        <v>193</v>
      </c>
      <c r="C2375" s="75" t="s">
        <v>10</v>
      </c>
      <c r="D2375" s="75">
        <v>4428</v>
      </c>
      <c r="F2375" s="75" t="s">
        <v>10</v>
      </c>
      <c r="H2375" s="75" t="s">
        <v>10</v>
      </c>
      <c r="I2375" s="75">
        <v>19489</v>
      </c>
      <c r="K2375" s="75" t="str">
        <f>IFERROR(VLOOKUP(J2375,'NQ10'!$B$9:$C$145,2,0),"")</f>
        <v/>
      </c>
    </row>
    <row r="2376" spans="1:11" ht="15" customHeight="1" x14ac:dyDescent="0.25">
      <c r="A2376" s="75">
        <v>12</v>
      </c>
      <c r="B2376" s="75">
        <v>194</v>
      </c>
      <c r="C2376" s="75" t="s">
        <v>10</v>
      </c>
      <c r="D2376" s="75">
        <v>3377</v>
      </c>
      <c r="F2376" s="75" t="s">
        <v>10</v>
      </c>
      <c r="H2376" s="75" t="s">
        <v>10</v>
      </c>
      <c r="I2376" s="75">
        <v>19489</v>
      </c>
      <c r="K2376" s="75" t="str">
        <f>IFERROR(VLOOKUP(J2376,'NQ10'!$B$9:$C$145,2,0),"")</f>
        <v/>
      </c>
    </row>
    <row r="2377" spans="1:11" ht="15" customHeight="1" x14ac:dyDescent="0.25">
      <c r="A2377" s="75">
        <v>12</v>
      </c>
      <c r="B2377" s="75">
        <v>195</v>
      </c>
      <c r="C2377" s="75" t="s">
        <v>10</v>
      </c>
      <c r="D2377" s="75">
        <v>3632</v>
      </c>
      <c r="F2377" s="75" t="s">
        <v>10</v>
      </c>
      <c r="H2377" s="75" t="s">
        <v>10</v>
      </c>
      <c r="I2377" s="75">
        <v>19489</v>
      </c>
      <c r="K2377" s="75" t="str">
        <f>IFERROR(VLOOKUP(J2377,'NQ10'!$B$9:$C$145,2,0),"")</f>
        <v/>
      </c>
    </row>
    <row r="2378" spans="1:11" ht="15" customHeight="1" x14ac:dyDescent="0.25">
      <c r="A2378" s="75">
        <v>12</v>
      </c>
      <c r="B2378" s="75">
        <v>196</v>
      </c>
      <c r="C2378" s="75" t="s">
        <v>10</v>
      </c>
      <c r="D2378" s="75">
        <v>2774</v>
      </c>
      <c r="F2378" s="75" t="s">
        <v>10</v>
      </c>
      <c r="H2378" s="75" t="s">
        <v>10</v>
      </c>
      <c r="I2378" s="75">
        <v>19489</v>
      </c>
      <c r="K2378" s="75" t="str">
        <f>IFERROR(VLOOKUP(J2378,'NQ10'!$B$9:$C$145,2,0),"")</f>
        <v/>
      </c>
    </row>
    <row r="2379" spans="1:11" ht="15" customHeight="1" x14ac:dyDescent="0.25">
      <c r="A2379" s="75">
        <v>12</v>
      </c>
      <c r="B2379" s="75">
        <v>197</v>
      </c>
      <c r="C2379" s="75" t="s">
        <v>10</v>
      </c>
      <c r="D2379" s="75">
        <v>1604</v>
      </c>
      <c r="F2379" s="75" t="s">
        <v>10</v>
      </c>
      <c r="H2379" s="75" t="s">
        <v>10</v>
      </c>
      <c r="I2379" s="75">
        <v>19489</v>
      </c>
      <c r="K2379" s="75" t="str">
        <f>IFERROR(VLOOKUP(J2379,'NQ10'!$B$9:$C$145,2,0),"")</f>
        <v/>
      </c>
    </row>
    <row r="2380" spans="1:11" ht="15" customHeight="1" x14ac:dyDescent="0.25">
      <c r="A2380" s="75">
        <v>12</v>
      </c>
      <c r="B2380" s="75">
        <v>198</v>
      </c>
      <c r="C2380" s="75" t="s">
        <v>10</v>
      </c>
      <c r="D2380" s="75">
        <v>5704</v>
      </c>
      <c r="F2380" s="75" t="s">
        <v>10</v>
      </c>
      <c r="H2380" s="75" t="s">
        <v>10</v>
      </c>
      <c r="I2380" s="75">
        <v>19489</v>
      </c>
      <c r="K2380" s="75" t="str">
        <f>IFERROR(VLOOKUP(J2380,'NQ10'!$B$9:$C$145,2,0),"")</f>
        <v/>
      </c>
    </row>
    <row r="2381" spans="1:11" ht="15" customHeight="1" x14ac:dyDescent="0.25">
      <c r="A2381" s="75">
        <v>12</v>
      </c>
      <c r="B2381" s="75">
        <v>199</v>
      </c>
      <c r="C2381" s="75" t="s">
        <v>10</v>
      </c>
      <c r="D2381" s="75">
        <v>2192</v>
      </c>
      <c r="F2381" s="75" t="s">
        <v>10</v>
      </c>
      <c r="H2381" s="75" t="s">
        <v>10</v>
      </c>
      <c r="I2381" s="75">
        <v>19489</v>
      </c>
      <c r="K2381" s="75" t="str">
        <f>IFERROR(VLOOKUP(J2381,'NQ10'!$B$9:$C$145,2,0),"")</f>
        <v/>
      </c>
    </row>
    <row r="2382" spans="1:11" ht="15" customHeight="1" x14ac:dyDescent="0.25">
      <c r="A2382" s="75">
        <v>12</v>
      </c>
      <c r="B2382" s="75">
        <v>200</v>
      </c>
      <c r="C2382" s="75" t="s">
        <v>10</v>
      </c>
      <c r="D2382" s="75">
        <v>9071</v>
      </c>
      <c r="F2382" s="75" t="s">
        <v>10</v>
      </c>
      <c r="H2382" s="75" t="s">
        <v>10</v>
      </c>
      <c r="I2382" s="75">
        <v>19489</v>
      </c>
      <c r="K2382" s="75" t="str">
        <f>IFERROR(VLOOKUP(J2382,'NQ10'!$B$9:$C$145,2,0),"")</f>
        <v/>
      </c>
    </row>
    <row r="2383" spans="1:11" ht="15" customHeight="1" x14ac:dyDescent="0.25">
      <c r="A2383" s="75">
        <v>12</v>
      </c>
      <c r="B2383" s="75">
        <v>201</v>
      </c>
      <c r="C2383" s="75" t="s">
        <v>10</v>
      </c>
      <c r="D2383" s="75">
        <v>15826</v>
      </c>
      <c r="F2383" s="75" t="s">
        <v>10</v>
      </c>
      <c r="H2383" s="75" t="s">
        <v>10</v>
      </c>
      <c r="I2383" s="75">
        <v>19489</v>
      </c>
      <c r="K2383" s="75" t="str">
        <f>IFERROR(VLOOKUP(J2383,'NQ10'!$B$9:$C$145,2,0),"")</f>
        <v/>
      </c>
    </row>
    <row r="2384" spans="1:11" ht="15" customHeight="1" x14ac:dyDescent="0.25">
      <c r="A2384" s="75">
        <v>12</v>
      </c>
      <c r="B2384" s="75">
        <v>202</v>
      </c>
      <c r="C2384" s="75" t="s">
        <v>10</v>
      </c>
      <c r="D2384" s="75">
        <v>2867</v>
      </c>
      <c r="F2384" s="75" t="s">
        <v>10</v>
      </c>
      <c r="H2384" s="75" t="s">
        <v>10</v>
      </c>
      <c r="I2384" s="75">
        <v>19489</v>
      </c>
      <c r="K2384" s="75" t="str">
        <f>IFERROR(VLOOKUP(J2384,'NQ10'!$B$9:$C$145,2,0),"")</f>
        <v/>
      </c>
    </row>
    <row r="2385" spans="1:11" ht="15" customHeight="1" x14ac:dyDescent="0.25">
      <c r="A2385" s="75">
        <v>12</v>
      </c>
      <c r="B2385" s="75">
        <v>203</v>
      </c>
      <c r="C2385" s="75" t="s">
        <v>10</v>
      </c>
      <c r="D2385" s="75">
        <v>2916</v>
      </c>
      <c r="F2385" s="75" t="s">
        <v>10</v>
      </c>
      <c r="H2385" s="75" t="s">
        <v>10</v>
      </c>
      <c r="I2385" s="75">
        <v>19489</v>
      </c>
      <c r="K2385" s="75" t="str">
        <f>IFERROR(VLOOKUP(J2385,'NQ10'!$B$9:$C$145,2,0),"")</f>
        <v/>
      </c>
    </row>
    <row r="2386" spans="1:11" ht="15" customHeight="1" x14ac:dyDescent="0.25">
      <c r="A2386" s="75">
        <v>12</v>
      </c>
      <c r="B2386" s="75">
        <v>204</v>
      </c>
      <c r="C2386" s="75" t="s">
        <v>10</v>
      </c>
      <c r="D2386" s="75">
        <v>852</v>
      </c>
      <c r="F2386" s="75" t="s">
        <v>10</v>
      </c>
      <c r="H2386" s="75" t="s">
        <v>10</v>
      </c>
      <c r="I2386" s="75">
        <v>19489</v>
      </c>
      <c r="K2386" s="75" t="str">
        <f>IFERROR(VLOOKUP(J2386,'NQ10'!$B$9:$C$145,2,0),"")</f>
        <v/>
      </c>
    </row>
    <row r="2387" spans="1:11" ht="15" customHeight="1" x14ac:dyDescent="0.25">
      <c r="A2387" s="75">
        <v>12</v>
      </c>
      <c r="B2387" s="75">
        <v>206</v>
      </c>
      <c r="C2387" s="75" t="s">
        <v>10</v>
      </c>
      <c r="D2387" s="75">
        <v>3929</v>
      </c>
      <c r="F2387" s="75" t="s">
        <v>10</v>
      </c>
      <c r="H2387" s="75" t="s">
        <v>10</v>
      </c>
      <c r="I2387" s="75">
        <v>19489</v>
      </c>
      <c r="K2387" s="75" t="str">
        <f>IFERROR(VLOOKUP(J2387,'NQ10'!$B$9:$C$145,2,0),"")</f>
        <v/>
      </c>
    </row>
    <row r="2388" spans="1:11" ht="15" customHeight="1" x14ac:dyDescent="0.25">
      <c r="A2388" s="75">
        <v>12</v>
      </c>
      <c r="B2388" s="75">
        <v>207</v>
      </c>
      <c r="C2388" s="75" t="s">
        <v>10</v>
      </c>
      <c r="D2388" s="75">
        <v>5181</v>
      </c>
      <c r="F2388" s="75" t="s">
        <v>10</v>
      </c>
      <c r="H2388" s="75" t="s">
        <v>10</v>
      </c>
      <c r="I2388" s="75">
        <v>19489</v>
      </c>
      <c r="K2388" s="75" t="str">
        <f>IFERROR(VLOOKUP(J2388,'NQ10'!$B$9:$C$145,2,0),"")</f>
        <v/>
      </c>
    </row>
    <row r="2389" spans="1:11" ht="15" customHeight="1" x14ac:dyDescent="0.25">
      <c r="A2389" s="75">
        <v>12</v>
      </c>
      <c r="B2389" s="75">
        <v>208</v>
      </c>
      <c r="C2389" s="75" t="s">
        <v>10</v>
      </c>
      <c r="D2389" s="75">
        <v>438</v>
      </c>
      <c r="F2389" s="75" t="s">
        <v>10</v>
      </c>
      <c r="H2389" s="75" t="s">
        <v>10</v>
      </c>
      <c r="I2389" s="75">
        <v>19489</v>
      </c>
      <c r="K2389" s="75" t="str">
        <f>IFERROR(VLOOKUP(J2389,'NQ10'!$B$9:$C$145,2,0),"")</f>
        <v/>
      </c>
    </row>
    <row r="2390" spans="1:11" ht="15" customHeight="1" x14ac:dyDescent="0.25">
      <c r="A2390" s="75">
        <v>12</v>
      </c>
      <c r="B2390" s="75">
        <v>209</v>
      </c>
      <c r="C2390" s="75" t="s">
        <v>10</v>
      </c>
      <c r="D2390" s="75">
        <v>7041</v>
      </c>
      <c r="F2390" s="75" t="s">
        <v>10</v>
      </c>
      <c r="H2390" s="75" t="s">
        <v>10</v>
      </c>
      <c r="I2390" s="75">
        <v>19489</v>
      </c>
      <c r="K2390" s="75" t="str">
        <f>IFERROR(VLOOKUP(J2390,'NQ10'!$B$9:$C$145,2,0),"")</f>
        <v/>
      </c>
    </row>
    <row r="2391" spans="1:11" ht="15" customHeight="1" x14ac:dyDescent="0.25">
      <c r="A2391" s="75">
        <v>12</v>
      </c>
      <c r="B2391" s="75">
        <v>210</v>
      </c>
      <c r="C2391" s="75" t="s">
        <v>10</v>
      </c>
      <c r="D2391" s="75">
        <v>2245</v>
      </c>
      <c r="F2391" s="75" t="s">
        <v>10</v>
      </c>
      <c r="H2391" s="75" t="s">
        <v>10</v>
      </c>
      <c r="I2391" s="75">
        <v>19489</v>
      </c>
      <c r="K2391" s="75" t="str">
        <f>IFERROR(VLOOKUP(J2391,'NQ10'!$B$9:$C$145,2,0),"")</f>
        <v/>
      </c>
    </row>
    <row r="2392" spans="1:11" ht="15" customHeight="1" x14ac:dyDescent="0.25">
      <c r="A2392" s="75">
        <v>12</v>
      </c>
      <c r="B2392" s="75">
        <v>211</v>
      </c>
      <c r="C2392" s="75" t="s">
        <v>10</v>
      </c>
      <c r="D2392" s="75">
        <v>5052</v>
      </c>
      <c r="F2392" s="75" t="s">
        <v>10</v>
      </c>
      <c r="H2392" s="75" t="s">
        <v>10</v>
      </c>
      <c r="I2392" s="75">
        <v>19489</v>
      </c>
      <c r="K2392" s="75" t="str">
        <f>IFERROR(VLOOKUP(J2392,'NQ10'!$B$9:$C$145,2,0),"")</f>
        <v/>
      </c>
    </row>
    <row r="2393" spans="1:11" ht="15" customHeight="1" x14ac:dyDescent="0.25">
      <c r="A2393" s="75">
        <v>12</v>
      </c>
      <c r="B2393" s="75">
        <v>212</v>
      </c>
      <c r="C2393" s="75" t="s">
        <v>10</v>
      </c>
      <c r="D2393" s="75">
        <v>8106</v>
      </c>
      <c r="F2393" s="75" t="s">
        <v>10</v>
      </c>
      <c r="H2393" s="75" t="s">
        <v>10</v>
      </c>
      <c r="I2393" s="75">
        <v>19489</v>
      </c>
      <c r="K2393" s="75" t="str">
        <f>IFERROR(VLOOKUP(J2393,'NQ10'!$B$9:$C$145,2,0),"")</f>
        <v/>
      </c>
    </row>
    <row r="2394" spans="1:11" ht="15" customHeight="1" x14ac:dyDescent="0.25">
      <c r="A2394" s="75">
        <v>12</v>
      </c>
      <c r="B2394" s="75">
        <v>213</v>
      </c>
      <c r="C2394" s="75" t="s">
        <v>10</v>
      </c>
      <c r="D2394" s="75">
        <v>76659</v>
      </c>
      <c r="F2394" s="75" t="s">
        <v>10</v>
      </c>
      <c r="H2394" s="75" t="s">
        <v>10</v>
      </c>
      <c r="I2394" s="75">
        <v>19489</v>
      </c>
      <c r="K2394" s="75" t="str">
        <f>IFERROR(VLOOKUP(J2394,'NQ10'!$B$9:$C$145,2,0),"")</f>
        <v/>
      </c>
    </row>
    <row r="2395" spans="1:11" ht="15" customHeight="1" x14ac:dyDescent="0.25">
      <c r="A2395" s="75">
        <v>12</v>
      </c>
      <c r="B2395" s="75">
        <v>214</v>
      </c>
      <c r="C2395" s="75" t="s">
        <v>10</v>
      </c>
      <c r="D2395" s="75">
        <v>5635</v>
      </c>
      <c r="F2395" s="75" t="s">
        <v>10</v>
      </c>
      <c r="H2395" s="75" t="s">
        <v>10</v>
      </c>
      <c r="I2395" s="75">
        <v>19489</v>
      </c>
      <c r="K2395" s="75" t="str">
        <f>IFERROR(VLOOKUP(J2395,'NQ10'!$B$9:$C$145,2,0),"")</f>
        <v/>
      </c>
    </row>
    <row r="2396" spans="1:11" ht="15" customHeight="1" x14ac:dyDescent="0.25">
      <c r="A2396" s="75">
        <v>12</v>
      </c>
      <c r="B2396" s="75">
        <v>215</v>
      </c>
      <c r="C2396" s="75" t="s">
        <v>10</v>
      </c>
      <c r="D2396" s="75">
        <v>8642</v>
      </c>
      <c r="F2396" s="75" t="s">
        <v>10</v>
      </c>
      <c r="H2396" s="75" t="s">
        <v>10</v>
      </c>
      <c r="I2396" s="75">
        <v>19489</v>
      </c>
      <c r="K2396" s="75" t="str">
        <f>IFERROR(VLOOKUP(J2396,'NQ10'!$B$9:$C$145,2,0),"")</f>
        <v/>
      </c>
    </row>
    <row r="2397" spans="1:11" ht="15" customHeight="1" x14ac:dyDescent="0.25">
      <c r="A2397" s="75">
        <v>12</v>
      </c>
      <c r="B2397" s="75">
        <v>216</v>
      </c>
      <c r="C2397" s="75" t="s">
        <v>10</v>
      </c>
      <c r="D2397" s="75">
        <v>10425</v>
      </c>
      <c r="F2397" s="75" t="s">
        <v>10</v>
      </c>
      <c r="H2397" s="75" t="s">
        <v>10</v>
      </c>
      <c r="I2397" s="75">
        <v>19489</v>
      </c>
      <c r="K2397" s="75" t="str">
        <f>IFERROR(VLOOKUP(J2397,'NQ10'!$B$9:$C$145,2,0),"")</f>
        <v/>
      </c>
    </row>
    <row r="2398" spans="1:11" ht="15" customHeight="1" x14ac:dyDescent="0.25">
      <c r="A2398" s="75">
        <v>12</v>
      </c>
      <c r="B2398" s="75">
        <v>217</v>
      </c>
      <c r="C2398" s="75" t="s">
        <v>10</v>
      </c>
      <c r="D2398" s="75">
        <v>4337</v>
      </c>
      <c r="F2398" s="75" t="s">
        <v>10</v>
      </c>
      <c r="H2398" s="75" t="s">
        <v>10</v>
      </c>
      <c r="I2398" s="75">
        <v>19489</v>
      </c>
      <c r="K2398" s="75" t="str">
        <f>IFERROR(VLOOKUP(J2398,'NQ10'!$B$9:$C$145,2,0),"")</f>
        <v/>
      </c>
    </row>
    <row r="2399" spans="1:11" ht="15" customHeight="1" x14ac:dyDescent="0.25">
      <c r="A2399" s="75">
        <v>12</v>
      </c>
      <c r="B2399" s="75">
        <v>218</v>
      </c>
      <c r="C2399" s="75" t="s">
        <v>10</v>
      </c>
      <c r="D2399" s="75">
        <v>1730</v>
      </c>
      <c r="F2399" s="75" t="s">
        <v>10</v>
      </c>
      <c r="H2399" s="75" t="s">
        <v>10</v>
      </c>
      <c r="I2399" s="75">
        <v>19489</v>
      </c>
      <c r="K2399" s="75" t="str">
        <f>IFERROR(VLOOKUP(J2399,'NQ10'!$B$9:$C$145,2,0),"")</f>
        <v/>
      </c>
    </row>
    <row r="2400" spans="1:11" ht="15" customHeight="1" x14ac:dyDescent="0.25">
      <c r="A2400" s="75">
        <v>12</v>
      </c>
      <c r="B2400" s="75">
        <v>219</v>
      </c>
      <c r="C2400" s="75" t="s">
        <v>10</v>
      </c>
      <c r="D2400" s="75">
        <v>3667</v>
      </c>
      <c r="F2400" s="75" t="s">
        <v>10</v>
      </c>
      <c r="H2400" s="75" t="s">
        <v>10</v>
      </c>
      <c r="I2400" s="75">
        <v>19489</v>
      </c>
      <c r="K2400" s="75" t="str">
        <f>IFERROR(VLOOKUP(J2400,'NQ10'!$B$9:$C$145,2,0),"")</f>
        <v/>
      </c>
    </row>
    <row r="2401" spans="1:11" ht="15" customHeight="1" x14ac:dyDescent="0.25">
      <c r="A2401" s="75">
        <v>12</v>
      </c>
      <c r="B2401" s="75">
        <v>220</v>
      </c>
      <c r="C2401" s="75" t="s">
        <v>10</v>
      </c>
      <c r="D2401" s="75">
        <v>8326</v>
      </c>
      <c r="F2401" s="75" t="s">
        <v>10</v>
      </c>
      <c r="H2401" s="75" t="s">
        <v>10</v>
      </c>
      <c r="I2401" s="75">
        <v>19489</v>
      </c>
      <c r="K2401" s="75" t="str">
        <f>IFERROR(VLOOKUP(J2401,'NQ10'!$B$9:$C$145,2,0),"")</f>
        <v/>
      </c>
    </row>
    <row r="2402" spans="1:11" ht="15" customHeight="1" x14ac:dyDescent="0.25">
      <c r="A2402" s="75">
        <v>12</v>
      </c>
      <c r="B2402" s="75">
        <v>221</v>
      </c>
      <c r="C2402" s="75" t="s">
        <v>10</v>
      </c>
      <c r="D2402" s="75">
        <v>4693</v>
      </c>
      <c r="F2402" s="75" t="s">
        <v>10</v>
      </c>
      <c r="H2402" s="75" t="s">
        <v>10</v>
      </c>
      <c r="I2402" s="75">
        <v>19489</v>
      </c>
      <c r="K2402" s="75" t="str">
        <f>IFERROR(VLOOKUP(J2402,'NQ10'!$B$9:$C$145,2,0),"")</f>
        <v/>
      </c>
    </row>
    <row r="2403" spans="1:11" ht="15" customHeight="1" x14ac:dyDescent="0.25">
      <c r="A2403" s="75">
        <v>12</v>
      </c>
      <c r="B2403" s="75">
        <v>222</v>
      </c>
      <c r="C2403" s="75" t="s">
        <v>10</v>
      </c>
      <c r="D2403" s="75">
        <v>4560</v>
      </c>
      <c r="F2403" s="75" t="s">
        <v>10</v>
      </c>
      <c r="H2403" s="75" t="s">
        <v>10</v>
      </c>
      <c r="I2403" s="75">
        <v>19489</v>
      </c>
      <c r="K2403" s="75" t="str">
        <f>IFERROR(VLOOKUP(J2403,'NQ10'!$B$9:$C$145,2,0),"")</f>
        <v/>
      </c>
    </row>
    <row r="2404" spans="1:11" ht="15" customHeight="1" x14ac:dyDescent="0.25">
      <c r="A2404" s="75">
        <v>12</v>
      </c>
      <c r="B2404" s="75">
        <v>223</v>
      </c>
      <c r="C2404" s="75" t="s">
        <v>10</v>
      </c>
      <c r="D2404" s="75">
        <v>966</v>
      </c>
      <c r="F2404" s="75" t="s">
        <v>10</v>
      </c>
      <c r="H2404" s="75" t="s">
        <v>10</v>
      </c>
      <c r="I2404" s="75">
        <v>19489</v>
      </c>
      <c r="K2404" s="75" t="str">
        <f>IFERROR(VLOOKUP(J2404,'NQ10'!$B$9:$C$145,2,0),"")</f>
        <v/>
      </c>
    </row>
    <row r="2405" spans="1:11" ht="15" customHeight="1" x14ac:dyDescent="0.25">
      <c r="A2405" s="75">
        <v>12</v>
      </c>
      <c r="B2405" s="75">
        <v>224</v>
      </c>
      <c r="C2405" s="75" t="s">
        <v>10</v>
      </c>
      <c r="D2405" s="75">
        <v>5613</v>
      </c>
      <c r="F2405" s="75" t="s">
        <v>10</v>
      </c>
      <c r="H2405" s="75" t="s">
        <v>10</v>
      </c>
      <c r="I2405" s="75">
        <v>19489</v>
      </c>
      <c r="K2405" s="75" t="str">
        <f>IFERROR(VLOOKUP(J2405,'NQ10'!$B$9:$C$145,2,0),"")</f>
        <v/>
      </c>
    </row>
    <row r="2406" spans="1:11" ht="15" customHeight="1" x14ac:dyDescent="0.25">
      <c r="A2406" s="75">
        <v>12</v>
      </c>
      <c r="B2406" s="75">
        <v>225</v>
      </c>
      <c r="C2406" s="75" t="s">
        <v>10</v>
      </c>
      <c r="D2406" s="75">
        <v>2092</v>
      </c>
      <c r="F2406" s="75" t="s">
        <v>10</v>
      </c>
      <c r="H2406" s="75" t="s">
        <v>10</v>
      </c>
      <c r="I2406" s="75">
        <v>19489</v>
      </c>
      <c r="K2406" s="75" t="str">
        <f>IFERROR(VLOOKUP(J2406,'NQ10'!$B$9:$C$145,2,0),"")</f>
        <v/>
      </c>
    </row>
    <row r="2407" spans="1:11" ht="15" customHeight="1" x14ac:dyDescent="0.25">
      <c r="A2407" s="75">
        <v>12</v>
      </c>
      <c r="B2407" s="75">
        <v>226</v>
      </c>
      <c r="C2407" s="75" t="s">
        <v>10</v>
      </c>
      <c r="D2407" s="75">
        <v>2994</v>
      </c>
      <c r="F2407" s="75" t="s">
        <v>10</v>
      </c>
      <c r="H2407" s="75" t="s">
        <v>10</v>
      </c>
      <c r="I2407" s="75">
        <v>19489</v>
      </c>
      <c r="K2407" s="75" t="str">
        <f>IFERROR(VLOOKUP(J2407,'NQ10'!$B$9:$C$145,2,0),"")</f>
        <v/>
      </c>
    </row>
    <row r="2408" spans="1:11" ht="15" customHeight="1" x14ac:dyDescent="0.25">
      <c r="A2408" s="75">
        <v>12</v>
      </c>
      <c r="B2408" s="75">
        <v>227</v>
      </c>
      <c r="C2408" s="75" t="s">
        <v>10</v>
      </c>
      <c r="D2408" s="75">
        <v>5673</v>
      </c>
      <c r="F2408" s="75" t="s">
        <v>10</v>
      </c>
      <c r="H2408" s="75" t="s">
        <v>10</v>
      </c>
      <c r="I2408" s="75">
        <v>19489</v>
      </c>
      <c r="K2408" s="75" t="str">
        <f>IFERROR(VLOOKUP(J2408,'NQ10'!$B$9:$C$145,2,0),"")</f>
        <v/>
      </c>
    </row>
    <row r="2409" spans="1:11" ht="15" customHeight="1" x14ac:dyDescent="0.25">
      <c r="A2409" s="75">
        <v>12</v>
      </c>
      <c r="B2409" s="75">
        <v>228</v>
      </c>
      <c r="C2409" s="75" t="s">
        <v>10</v>
      </c>
      <c r="D2409" s="75">
        <v>1639</v>
      </c>
      <c r="F2409" s="75" t="s">
        <v>10</v>
      </c>
      <c r="H2409" s="75" t="s">
        <v>10</v>
      </c>
      <c r="I2409" s="75">
        <v>19489</v>
      </c>
      <c r="K2409" s="75" t="str">
        <f>IFERROR(VLOOKUP(J2409,'NQ10'!$B$9:$C$145,2,0),"")</f>
        <v/>
      </c>
    </row>
    <row r="2410" spans="1:11" ht="15" customHeight="1" x14ac:dyDescent="0.25">
      <c r="A2410" s="75">
        <v>12</v>
      </c>
      <c r="B2410" s="75">
        <v>229</v>
      </c>
      <c r="C2410" s="75" t="s">
        <v>10</v>
      </c>
      <c r="D2410" s="75">
        <v>5788</v>
      </c>
      <c r="F2410" s="75" t="s">
        <v>10</v>
      </c>
      <c r="H2410" s="75" t="s">
        <v>10</v>
      </c>
      <c r="I2410" s="75">
        <v>19489</v>
      </c>
      <c r="K2410" s="75" t="str">
        <f>IFERROR(VLOOKUP(J2410,'NQ10'!$B$9:$C$145,2,0),"")</f>
        <v/>
      </c>
    </row>
    <row r="2411" spans="1:11" ht="15" customHeight="1" x14ac:dyDescent="0.25">
      <c r="A2411" s="75">
        <v>12</v>
      </c>
      <c r="B2411" s="75">
        <v>230</v>
      </c>
      <c r="C2411" s="75" t="s">
        <v>10</v>
      </c>
      <c r="D2411" s="75">
        <v>7326</v>
      </c>
      <c r="F2411" s="75" t="s">
        <v>10</v>
      </c>
      <c r="H2411" s="75" t="s">
        <v>10</v>
      </c>
      <c r="I2411" s="75">
        <v>19489</v>
      </c>
      <c r="K2411" s="75" t="str">
        <f>IFERROR(VLOOKUP(J2411,'NQ10'!$B$9:$C$145,2,0),"")</f>
        <v/>
      </c>
    </row>
    <row r="2412" spans="1:11" ht="15" customHeight="1" x14ac:dyDescent="0.25">
      <c r="A2412" s="75">
        <v>12</v>
      </c>
      <c r="B2412" s="75">
        <v>231</v>
      </c>
      <c r="C2412" s="75" t="s">
        <v>10</v>
      </c>
      <c r="D2412" s="75">
        <v>8261</v>
      </c>
      <c r="F2412" s="75" t="s">
        <v>10</v>
      </c>
      <c r="H2412" s="75" t="s">
        <v>10</v>
      </c>
      <c r="I2412" s="75">
        <v>19489</v>
      </c>
      <c r="K2412" s="75" t="str">
        <f>IFERROR(VLOOKUP(J2412,'NQ10'!$B$9:$C$145,2,0),"")</f>
        <v/>
      </c>
    </row>
    <row r="2413" spans="1:11" ht="15" customHeight="1" x14ac:dyDescent="0.25">
      <c r="A2413" s="75">
        <v>12</v>
      </c>
      <c r="B2413" s="75">
        <v>232</v>
      </c>
      <c r="C2413" s="75" t="s">
        <v>10</v>
      </c>
      <c r="D2413" s="75">
        <v>3776</v>
      </c>
      <c r="F2413" s="75" t="s">
        <v>10</v>
      </c>
      <c r="H2413" s="75" t="s">
        <v>10</v>
      </c>
      <c r="I2413" s="75">
        <v>19489</v>
      </c>
      <c r="K2413" s="75" t="str">
        <f>IFERROR(VLOOKUP(J2413,'NQ10'!$B$9:$C$145,2,0),"")</f>
        <v/>
      </c>
    </row>
    <row r="2414" spans="1:11" ht="15" customHeight="1" x14ac:dyDescent="0.25">
      <c r="A2414" s="75">
        <v>12</v>
      </c>
      <c r="B2414" s="75">
        <v>233</v>
      </c>
      <c r="C2414" s="75" t="s">
        <v>10</v>
      </c>
      <c r="D2414" s="75">
        <v>3159</v>
      </c>
      <c r="F2414" s="75" t="s">
        <v>10</v>
      </c>
      <c r="H2414" s="75" t="s">
        <v>10</v>
      </c>
      <c r="I2414" s="75">
        <v>19489</v>
      </c>
      <c r="K2414" s="75" t="str">
        <f>IFERROR(VLOOKUP(J2414,'NQ10'!$B$9:$C$145,2,0),"")</f>
        <v/>
      </c>
    </row>
    <row r="2415" spans="1:11" ht="15" customHeight="1" x14ac:dyDescent="0.25">
      <c r="A2415" s="75">
        <v>12</v>
      </c>
      <c r="B2415" s="75">
        <v>234</v>
      </c>
      <c r="C2415" s="75" t="s">
        <v>10</v>
      </c>
      <c r="D2415" s="75">
        <v>4592</v>
      </c>
      <c r="F2415" s="75" t="s">
        <v>10</v>
      </c>
      <c r="H2415" s="75" t="s">
        <v>10</v>
      </c>
      <c r="I2415" s="75">
        <v>19489</v>
      </c>
      <c r="K2415" s="75" t="str">
        <f>IFERROR(VLOOKUP(J2415,'NQ10'!$B$9:$C$145,2,0),"")</f>
        <v/>
      </c>
    </row>
    <row r="2416" spans="1:11" ht="15" customHeight="1" x14ac:dyDescent="0.25">
      <c r="A2416" s="75">
        <v>12</v>
      </c>
      <c r="B2416" s="75">
        <v>235</v>
      </c>
      <c r="C2416" s="75" t="s">
        <v>10</v>
      </c>
      <c r="D2416" s="75">
        <v>5655</v>
      </c>
      <c r="F2416" s="75" t="s">
        <v>10</v>
      </c>
      <c r="H2416" s="75" t="s">
        <v>10</v>
      </c>
      <c r="I2416" s="75">
        <v>19489</v>
      </c>
      <c r="K2416" s="75" t="str">
        <f>IFERROR(VLOOKUP(J2416,'NQ10'!$B$9:$C$145,2,0),"")</f>
        <v/>
      </c>
    </row>
    <row r="2417" spans="1:11" ht="15" customHeight="1" x14ac:dyDescent="0.25">
      <c r="A2417" s="75">
        <v>12</v>
      </c>
      <c r="B2417" s="75">
        <v>236</v>
      </c>
      <c r="C2417" s="75" t="s">
        <v>10</v>
      </c>
      <c r="D2417" s="75">
        <v>1288</v>
      </c>
      <c r="F2417" s="75" t="s">
        <v>10</v>
      </c>
      <c r="H2417" s="75" t="s">
        <v>10</v>
      </c>
      <c r="I2417" s="75">
        <v>19489</v>
      </c>
      <c r="K2417" s="75" t="str">
        <f>IFERROR(VLOOKUP(J2417,'NQ10'!$B$9:$C$145,2,0),"")</f>
        <v/>
      </c>
    </row>
    <row r="2418" spans="1:11" ht="15" customHeight="1" x14ac:dyDescent="0.25">
      <c r="A2418" s="75">
        <v>12</v>
      </c>
      <c r="B2418" s="75">
        <v>238</v>
      </c>
      <c r="C2418" s="75" t="s">
        <v>10</v>
      </c>
      <c r="D2418" s="75">
        <v>7430</v>
      </c>
      <c r="F2418" s="75" t="s">
        <v>10</v>
      </c>
      <c r="H2418" s="75" t="s">
        <v>10</v>
      </c>
      <c r="I2418" s="75">
        <v>19489</v>
      </c>
      <c r="K2418" s="75" t="str">
        <f>IFERROR(VLOOKUP(J2418,'NQ10'!$B$9:$C$145,2,0),"")</f>
        <v/>
      </c>
    </row>
    <row r="2419" spans="1:11" ht="15" customHeight="1" x14ac:dyDescent="0.25">
      <c r="A2419" s="75">
        <v>12</v>
      </c>
      <c r="B2419" s="75">
        <v>239</v>
      </c>
      <c r="C2419" s="75" t="s">
        <v>10</v>
      </c>
      <c r="D2419" s="75">
        <v>7399</v>
      </c>
      <c r="F2419" s="75" t="s">
        <v>10</v>
      </c>
      <c r="H2419" s="75" t="s">
        <v>10</v>
      </c>
      <c r="I2419" s="75">
        <v>19489</v>
      </c>
      <c r="K2419" s="75" t="str">
        <f>IFERROR(VLOOKUP(J2419,'NQ10'!$B$9:$C$145,2,0),"")</f>
        <v/>
      </c>
    </row>
    <row r="2420" spans="1:11" ht="15" customHeight="1" x14ac:dyDescent="0.25">
      <c r="A2420" s="75">
        <v>12</v>
      </c>
      <c r="B2420" s="75">
        <v>240</v>
      </c>
      <c r="C2420" s="75" t="s">
        <v>10</v>
      </c>
      <c r="D2420" s="75">
        <v>5252</v>
      </c>
      <c r="F2420" s="75" t="s">
        <v>10</v>
      </c>
      <c r="H2420" s="75" t="s">
        <v>10</v>
      </c>
      <c r="I2420" s="75">
        <v>19489</v>
      </c>
      <c r="K2420" s="75" t="str">
        <f>IFERROR(VLOOKUP(J2420,'NQ10'!$B$9:$C$145,2,0),"")</f>
        <v/>
      </c>
    </row>
    <row r="2421" spans="1:11" ht="15" customHeight="1" x14ac:dyDescent="0.25">
      <c r="A2421" s="75">
        <v>12</v>
      </c>
      <c r="B2421" s="75">
        <v>241</v>
      </c>
      <c r="C2421" s="75" t="s">
        <v>10</v>
      </c>
      <c r="D2421" s="75">
        <v>15699</v>
      </c>
      <c r="F2421" s="75" t="s">
        <v>10</v>
      </c>
      <c r="H2421" s="75" t="s">
        <v>10</v>
      </c>
      <c r="I2421" s="75">
        <v>19489</v>
      </c>
      <c r="K2421" s="75" t="str">
        <f>IFERROR(VLOOKUP(J2421,'NQ10'!$B$9:$C$145,2,0),"")</f>
        <v/>
      </c>
    </row>
    <row r="2422" spans="1:11" ht="15" customHeight="1" x14ac:dyDescent="0.25">
      <c r="A2422" s="75">
        <v>12</v>
      </c>
      <c r="B2422" s="75">
        <v>242</v>
      </c>
      <c r="C2422" s="75" t="s">
        <v>10</v>
      </c>
      <c r="D2422" s="75">
        <v>692</v>
      </c>
      <c r="F2422" s="75" t="s">
        <v>10</v>
      </c>
      <c r="H2422" s="75" t="s">
        <v>10</v>
      </c>
      <c r="I2422" s="75">
        <v>19489</v>
      </c>
      <c r="K2422" s="75" t="str">
        <f>IFERROR(VLOOKUP(J2422,'NQ10'!$B$9:$C$145,2,0),"")</f>
        <v/>
      </c>
    </row>
    <row r="2423" spans="1:11" ht="15" customHeight="1" x14ac:dyDescent="0.25">
      <c r="A2423" s="75">
        <v>12</v>
      </c>
      <c r="B2423" s="75">
        <v>243</v>
      </c>
      <c r="C2423" s="75" t="s">
        <v>10</v>
      </c>
      <c r="D2423" s="75">
        <v>4178</v>
      </c>
      <c r="F2423" s="75" t="s">
        <v>10</v>
      </c>
      <c r="H2423" s="75" t="s">
        <v>10</v>
      </c>
      <c r="I2423" s="75">
        <v>19489</v>
      </c>
      <c r="K2423" s="75" t="str">
        <f>IFERROR(VLOOKUP(J2423,'NQ10'!$B$9:$C$145,2,0),"")</f>
        <v/>
      </c>
    </row>
    <row r="2424" spans="1:11" ht="15" customHeight="1" x14ac:dyDescent="0.25">
      <c r="A2424" s="75">
        <v>12</v>
      </c>
      <c r="B2424" s="75">
        <v>244</v>
      </c>
      <c r="C2424" s="75" t="s">
        <v>10</v>
      </c>
      <c r="D2424" s="75">
        <v>7274</v>
      </c>
      <c r="F2424" s="75" t="s">
        <v>10</v>
      </c>
      <c r="H2424" s="75" t="s">
        <v>10</v>
      </c>
      <c r="I2424" s="75">
        <v>19489</v>
      </c>
      <c r="K2424" s="75" t="str">
        <f>IFERROR(VLOOKUP(J2424,'NQ10'!$B$9:$C$145,2,0),"")</f>
        <v/>
      </c>
    </row>
    <row r="2425" spans="1:11" ht="15" customHeight="1" x14ac:dyDescent="0.25">
      <c r="A2425" s="75">
        <v>12</v>
      </c>
      <c r="B2425" s="75">
        <v>245</v>
      </c>
      <c r="C2425" s="75" t="s">
        <v>10</v>
      </c>
      <c r="D2425" s="75">
        <v>8675</v>
      </c>
      <c r="F2425" s="75" t="s">
        <v>10</v>
      </c>
      <c r="H2425" s="75" t="s">
        <v>10</v>
      </c>
      <c r="I2425" s="75">
        <v>19489</v>
      </c>
      <c r="K2425" s="75" t="str">
        <f>IFERROR(VLOOKUP(J2425,'NQ10'!$B$9:$C$145,2,0),"")</f>
        <v/>
      </c>
    </row>
    <row r="2426" spans="1:11" ht="15" customHeight="1" x14ac:dyDescent="0.25">
      <c r="A2426" s="75">
        <v>12</v>
      </c>
      <c r="B2426" s="75">
        <v>246</v>
      </c>
      <c r="C2426" s="75" t="s">
        <v>10</v>
      </c>
      <c r="D2426" s="75">
        <v>4480</v>
      </c>
      <c r="F2426" s="75" t="s">
        <v>10</v>
      </c>
      <c r="H2426" s="75" t="s">
        <v>10</v>
      </c>
      <c r="I2426" s="75">
        <v>19489</v>
      </c>
      <c r="K2426" s="75" t="str">
        <f>IFERROR(VLOOKUP(J2426,'NQ10'!$B$9:$C$145,2,0),"")</f>
        <v/>
      </c>
    </row>
    <row r="2427" spans="1:11" ht="15" customHeight="1" x14ac:dyDescent="0.25">
      <c r="A2427" s="75">
        <v>12</v>
      </c>
      <c r="B2427" s="75">
        <v>247</v>
      </c>
      <c r="C2427" s="75" t="s">
        <v>10</v>
      </c>
      <c r="D2427" s="75">
        <v>2424</v>
      </c>
      <c r="F2427" s="75" t="s">
        <v>10</v>
      </c>
      <c r="H2427" s="75" t="s">
        <v>10</v>
      </c>
      <c r="I2427" s="75">
        <v>19489</v>
      </c>
      <c r="K2427" s="75" t="str">
        <f>IFERROR(VLOOKUP(J2427,'NQ10'!$B$9:$C$145,2,0),"")</f>
        <v/>
      </c>
    </row>
    <row r="2428" spans="1:11" ht="15" customHeight="1" x14ac:dyDescent="0.25">
      <c r="A2428" s="75">
        <v>12</v>
      </c>
      <c r="B2428" s="75">
        <v>248</v>
      </c>
      <c r="C2428" s="75" t="s">
        <v>10</v>
      </c>
      <c r="D2428" s="75">
        <v>7482</v>
      </c>
      <c r="F2428" s="75" t="s">
        <v>10</v>
      </c>
      <c r="H2428" s="75" t="s">
        <v>10</v>
      </c>
      <c r="I2428" s="75">
        <v>19489</v>
      </c>
      <c r="K2428" s="75" t="str">
        <f>IFERROR(VLOOKUP(J2428,'NQ10'!$B$9:$C$145,2,0),"")</f>
        <v/>
      </c>
    </row>
    <row r="2429" spans="1:11" ht="15" customHeight="1" x14ac:dyDescent="0.25">
      <c r="A2429" s="75">
        <v>12</v>
      </c>
      <c r="B2429" s="75">
        <v>249</v>
      </c>
      <c r="C2429" s="75" t="s">
        <v>10</v>
      </c>
      <c r="D2429" s="75">
        <v>890</v>
      </c>
      <c r="F2429" s="75" t="s">
        <v>10</v>
      </c>
      <c r="H2429" s="75" t="s">
        <v>10</v>
      </c>
      <c r="I2429" s="75">
        <v>19489</v>
      </c>
      <c r="K2429" s="75" t="str">
        <f>IFERROR(VLOOKUP(J2429,'NQ10'!$B$9:$C$145,2,0),"")</f>
        <v/>
      </c>
    </row>
    <row r="2430" spans="1:11" ht="15" customHeight="1" x14ac:dyDescent="0.25">
      <c r="A2430" s="75">
        <v>12</v>
      </c>
      <c r="B2430" s="75">
        <v>250</v>
      </c>
      <c r="C2430" s="75" t="s">
        <v>10</v>
      </c>
      <c r="D2430" s="75">
        <v>2934</v>
      </c>
      <c r="F2430" s="75" t="s">
        <v>10</v>
      </c>
      <c r="H2430" s="75" t="s">
        <v>10</v>
      </c>
      <c r="I2430" s="75">
        <v>19489</v>
      </c>
      <c r="K2430" s="75" t="str">
        <f>IFERROR(VLOOKUP(J2430,'NQ10'!$B$9:$C$145,2,0),"")</f>
        <v/>
      </c>
    </row>
    <row r="2431" spans="1:11" ht="15" customHeight="1" x14ac:dyDescent="0.25">
      <c r="A2431" s="75">
        <v>12</v>
      </c>
      <c r="B2431" s="75">
        <v>251</v>
      </c>
      <c r="C2431" s="75" t="s">
        <v>10</v>
      </c>
      <c r="D2431" s="75">
        <v>240</v>
      </c>
      <c r="F2431" s="75" t="s">
        <v>10</v>
      </c>
      <c r="H2431" s="75" t="s">
        <v>10</v>
      </c>
      <c r="I2431" s="75">
        <v>19489</v>
      </c>
      <c r="K2431" s="75" t="str">
        <f>IFERROR(VLOOKUP(J2431,'NQ10'!$B$9:$C$145,2,0),"")</f>
        <v/>
      </c>
    </row>
    <row r="2432" spans="1:11" ht="15" customHeight="1" x14ac:dyDescent="0.25">
      <c r="A2432" s="75">
        <v>12</v>
      </c>
      <c r="B2432" s="75">
        <v>252</v>
      </c>
      <c r="C2432" s="75" t="s">
        <v>10</v>
      </c>
      <c r="D2432" s="75">
        <v>5163</v>
      </c>
      <c r="F2432" s="75" t="s">
        <v>10</v>
      </c>
      <c r="H2432" s="75" t="s">
        <v>10</v>
      </c>
      <c r="I2432" s="75">
        <v>19489</v>
      </c>
      <c r="K2432" s="75" t="str">
        <f>IFERROR(VLOOKUP(J2432,'NQ10'!$B$9:$C$145,2,0),"")</f>
        <v/>
      </c>
    </row>
    <row r="2433" spans="1:11" ht="15" customHeight="1" x14ac:dyDescent="0.25">
      <c r="A2433" s="75">
        <v>12</v>
      </c>
      <c r="B2433" s="75">
        <v>253</v>
      </c>
      <c r="C2433" s="75" t="s">
        <v>10</v>
      </c>
      <c r="D2433" s="75">
        <v>9775</v>
      </c>
      <c r="F2433" s="75" t="s">
        <v>10</v>
      </c>
      <c r="H2433" s="75" t="s">
        <v>10</v>
      </c>
      <c r="I2433" s="75">
        <v>19489</v>
      </c>
      <c r="K2433" s="75" t="str">
        <f>IFERROR(VLOOKUP(J2433,'NQ10'!$B$9:$C$145,2,0),"")</f>
        <v/>
      </c>
    </row>
    <row r="2434" spans="1:11" ht="15" customHeight="1" x14ac:dyDescent="0.25">
      <c r="A2434" s="75">
        <v>12</v>
      </c>
      <c r="B2434" s="75">
        <v>254</v>
      </c>
      <c r="C2434" s="75" t="s">
        <v>10</v>
      </c>
      <c r="D2434" s="75">
        <v>809</v>
      </c>
      <c r="F2434" s="75" t="s">
        <v>10</v>
      </c>
      <c r="H2434" s="75" t="s">
        <v>10</v>
      </c>
      <c r="I2434" s="75">
        <v>19489</v>
      </c>
      <c r="K2434" s="75" t="str">
        <f>IFERROR(VLOOKUP(J2434,'NQ10'!$B$9:$C$145,2,0),"")</f>
        <v/>
      </c>
    </row>
    <row r="2435" spans="1:11" ht="15" customHeight="1" x14ac:dyDescent="0.25">
      <c r="A2435" s="75">
        <v>12</v>
      </c>
      <c r="B2435" s="75">
        <v>255</v>
      </c>
      <c r="C2435" s="75" t="s">
        <v>10</v>
      </c>
      <c r="D2435" s="75">
        <v>2452</v>
      </c>
      <c r="F2435" s="75" t="s">
        <v>10</v>
      </c>
      <c r="H2435" s="75" t="s">
        <v>10</v>
      </c>
      <c r="I2435" s="75">
        <v>19489</v>
      </c>
      <c r="K2435" s="75" t="str">
        <f>IFERROR(VLOOKUP(J2435,'NQ10'!$B$9:$C$145,2,0),"")</f>
        <v/>
      </c>
    </row>
    <row r="2436" spans="1:11" ht="15" customHeight="1" x14ac:dyDescent="0.25">
      <c r="A2436" s="75">
        <v>12</v>
      </c>
      <c r="B2436" s="75">
        <v>256</v>
      </c>
      <c r="C2436" s="75" t="s">
        <v>10</v>
      </c>
      <c r="D2436" s="75">
        <v>1606</v>
      </c>
      <c r="F2436" s="75" t="s">
        <v>10</v>
      </c>
      <c r="H2436" s="75" t="s">
        <v>10</v>
      </c>
      <c r="I2436" s="75">
        <v>19489</v>
      </c>
      <c r="K2436" s="75" t="str">
        <f>IFERROR(VLOOKUP(J2436,'NQ10'!$B$9:$C$145,2,0),"")</f>
        <v/>
      </c>
    </row>
    <row r="2437" spans="1:11" ht="15" customHeight="1" x14ac:dyDescent="0.25">
      <c r="A2437" s="75">
        <v>12</v>
      </c>
      <c r="B2437" s="75">
        <v>257</v>
      </c>
      <c r="C2437" s="75" t="s">
        <v>10</v>
      </c>
      <c r="D2437" s="75">
        <v>389</v>
      </c>
      <c r="F2437" s="75" t="s">
        <v>10</v>
      </c>
      <c r="H2437" s="75" t="s">
        <v>10</v>
      </c>
      <c r="I2437" s="75">
        <v>19489</v>
      </c>
      <c r="K2437" s="75" t="str">
        <f>IFERROR(VLOOKUP(J2437,'NQ10'!$B$9:$C$145,2,0),"")</f>
        <v/>
      </c>
    </row>
    <row r="2438" spans="1:11" ht="15" customHeight="1" x14ac:dyDescent="0.25">
      <c r="A2438" s="75">
        <v>12</v>
      </c>
      <c r="B2438" s="75">
        <v>258</v>
      </c>
      <c r="C2438" s="75" t="s">
        <v>10</v>
      </c>
      <c r="D2438" s="75">
        <v>5051</v>
      </c>
      <c r="F2438" s="75" t="s">
        <v>10</v>
      </c>
      <c r="H2438" s="75" t="s">
        <v>10</v>
      </c>
      <c r="I2438" s="75">
        <v>19489</v>
      </c>
      <c r="K2438" s="75" t="str">
        <f>IFERROR(VLOOKUP(J2438,'NQ10'!$B$9:$C$145,2,0),"")</f>
        <v/>
      </c>
    </row>
    <row r="2439" spans="1:11" ht="15" customHeight="1" x14ac:dyDescent="0.25">
      <c r="A2439" s="75">
        <v>12</v>
      </c>
      <c r="B2439" s="75">
        <v>259</v>
      </c>
      <c r="C2439" s="75" t="s">
        <v>10</v>
      </c>
      <c r="D2439" s="75">
        <v>2607</v>
      </c>
      <c r="F2439" s="75" t="s">
        <v>10</v>
      </c>
      <c r="H2439" s="75" t="s">
        <v>10</v>
      </c>
      <c r="I2439" s="75">
        <v>19489</v>
      </c>
      <c r="K2439" s="75" t="str">
        <f>IFERROR(VLOOKUP(J2439,'NQ10'!$B$9:$C$145,2,0),"")</f>
        <v/>
      </c>
    </row>
    <row r="2440" spans="1:11" ht="15" customHeight="1" x14ac:dyDescent="0.25">
      <c r="A2440" s="75">
        <v>12</v>
      </c>
      <c r="B2440" s="75">
        <v>260</v>
      </c>
      <c r="C2440" s="75" t="s">
        <v>10</v>
      </c>
      <c r="D2440" s="75">
        <v>3841</v>
      </c>
      <c r="F2440" s="75" t="s">
        <v>10</v>
      </c>
      <c r="H2440" s="75" t="s">
        <v>10</v>
      </c>
      <c r="I2440" s="75">
        <v>19489</v>
      </c>
      <c r="K2440" s="75" t="str">
        <f>IFERROR(VLOOKUP(J2440,'NQ10'!$B$9:$C$145,2,0),"")</f>
        <v/>
      </c>
    </row>
    <row r="2441" spans="1:11" ht="15" customHeight="1" x14ac:dyDescent="0.25">
      <c r="A2441" s="75">
        <v>12</v>
      </c>
      <c r="B2441" s="75">
        <v>262</v>
      </c>
      <c r="C2441" s="75" t="s">
        <v>10</v>
      </c>
      <c r="D2441" s="75">
        <v>11695</v>
      </c>
      <c r="F2441" s="75" t="s">
        <v>10</v>
      </c>
      <c r="H2441" s="75" t="s">
        <v>10</v>
      </c>
      <c r="I2441" s="75">
        <v>19489</v>
      </c>
      <c r="K2441" s="75" t="str">
        <f>IFERROR(VLOOKUP(J2441,'NQ10'!$B$9:$C$145,2,0),"")</f>
        <v/>
      </c>
    </row>
    <row r="2442" spans="1:11" ht="15" customHeight="1" x14ac:dyDescent="0.25">
      <c r="A2442" s="75">
        <v>12</v>
      </c>
      <c r="B2442" s="75">
        <v>263</v>
      </c>
      <c r="C2442" s="75" t="s">
        <v>10</v>
      </c>
      <c r="D2442" s="75">
        <v>17388</v>
      </c>
      <c r="F2442" s="75" t="s">
        <v>10</v>
      </c>
      <c r="H2442" s="75" t="s">
        <v>10</v>
      </c>
      <c r="I2442" s="75">
        <v>19489</v>
      </c>
      <c r="K2442" s="75" t="str">
        <f>IFERROR(VLOOKUP(J2442,'NQ10'!$B$9:$C$145,2,0),"")</f>
        <v/>
      </c>
    </row>
    <row r="2443" spans="1:11" ht="15" customHeight="1" x14ac:dyDescent="0.25">
      <c r="A2443" s="75">
        <v>12</v>
      </c>
      <c r="B2443" s="75">
        <v>264</v>
      </c>
      <c r="C2443" s="75" t="s">
        <v>10</v>
      </c>
      <c r="D2443" s="75">
        <v>5764</v>
      </c>
      <c r="F2443" s="75" t="s">
        <v>10</v>
      </c>
      <c r="H2443" s="75" t="s">
        <v>10</v>
      </c>
      <c r="I2443" s="75">
        <v>19489</v>
      </c>
      <c r="K2443" s="75" t="str">
        <f>IFERROR(VLOOKUP(J2443,'NQ10'!$B$9:$C$145,2,0),"")</f>
        <v/>
      </c>
    </row>
    <row r="2444" spans="1:11" ht="15" customHeight="1" x14ac:dyDescent="0.25">
      <c r="A2444" s="75">
        <v>12</v>
      </c>
      <c r="B2444" s="75">
        <v>265</v>
      </c>
      <c r="C2444" s="75" t="s">
        <v>10</v>
      </c>
      <c r="D2444" s="75">
        <v>854</v>
      </c>
      <c r="F2444" s="75" t="s">
        <v>10</v>
      </c>
      <c r="H2444" s="75" t="s">
        <v>10</v>
      </c>
      <c r="I2444" s="75">
        <v>19489</v>
      </c>
      <c r="K2444" s="75" t="str">
        <f>IFERROR(VLOOKUP(J2444,'NQ10'!$B$9:$C$145,2,0),"")</f>
        <v/>
      </c>
    </row>
    <row r="2445" spans="1:11" ht="15" customHeight="1" x14ac:dyDescent="0.25">
      <c r="A2445" s="75">
        <v>12</v>
      </c>
      <c r="B2445" s="75">
        <v>266</v>
      </c>
      <c r="C2445" s="75" t="s">
        <v>10</v>
      </c>
      <c r="D2445" s="75">
        <v>111</v>
      </c>
      <c r="F2445" s="75" t="s">
        <v>10</v>
      </c>
      <c r="H2445" s="75" t="s">
        <v>10</v>
      </c>
      <c r="I2445" s="75">
        <v>19489</v>
      </c>
      <c r="K2445" s="75" t="str">
        <f>IFERROR(VLOOKUP(J2445,'NQ10'!$B$9:$C$145,2,0),"")</f>
        <v/>
      </c>
    </row>
    <row r="2446" spans="1:11" ht="15" customHeight="1" x14ac:dyDescent="0.25">
      <c r="A2446" s="75">
        <v>12</v>
      </c>
      <c r="B2446" s="75">
        <v>267</v>
      </c>
      <c r="C2446" s="75" t="s">
        <v>10</v>
      </c>
      <c r="D2446" s="75">
        <v>948</v>
      </c>
      <c r="F2446" s="75" t="s">
        <v>10</v>
      </c>
      <c r="H2446" s="75" t="s">
        <v>10</v>
      </c>
      <c r="I2446" s="75">
        <v>19489</v>
      </c>
      <c r="K2446" s="75" t="str">
        <f>IFERROR(VLOOKUP(J2446,'NQ10'!$B$9:$C$145,2,0),"")</f>
        <v/>
      </c>
    </row>
    <row r="2447" spans="1:11" ht="15" customHeight="1" x14ac:dyDescent="0.25">
      <c r="A2447" s="75">
        <v>12</v>
      </c>
      <c r="B2447" s="75">
        <v>268</v>
      </c>
      <c r="C2447" s="75" t="s">
        <v>10</v>
      </c>
      <c r="D2447" s="75">
        <v>1319</v>
      </c>
      <c r="F2447" s="75" t="s">
        <v>10</v>
      </c>
      <c r="H2447" s="75" t="s">
        <v>10</v>
      </c>
      <c r="I2447" s="75">
        <v>19489</v>
      </c>
      <c r="K2447" s="75" t="str">
        <f>IFERROR(VLOOKUP(J2447,'NQ10'!$B$9:$C$145,2,0),"")</f>
        <v/>
      </c>
    </row>
    <row r="2448" spans="1:11" ht="15" customHeight="1" x14ac:dyDescent="0.25">
      <c r="A2448" s="75">
        <v>12</v>
      </c>
      <c r="B2448" s="75">
        <v>269</v>
      </c>
      <c r="C2448" s="75" t="s">
        <v>10</v>
      </c>
      <c r="D2448" s="75">
        <v>4553</v>
      </c>
      <c r="F2448" s="75" t="s">
        <v>10</v>
      </c>
      <c r="H2448" s="75" t="s">
        <v>10</v>
      </c>
      <c r="I2448" s="75">
        <v>19489</v>
      </c>
      <c r="K2448" s="75" t="str">
        <f>IFERROR(VLOOKUP(J2448,'NQ10'!$B$9:$C$145,2,0),"")</f>
        <v/>
      </c>
    </row>
    <row r="2449" spans="1:11" ht="15" customHeight="1" x14ac:dyDescent="0.25">
      <c r="A2449" s="75">
        <v>12</v>
      </c>
      <c r="B2449" s="75">
        <v>270</v>
      </c>
      <c r="C2449" s="75" t="s">
        <v>10</v>
      </c>
      <c r="D2449" s="75">
        <v>9526</v>
      </c>
      <c r="F2449" s="75" t="s">
        <v>10</v>
      </c>
      <c r="H2449" s="75" t="s">
        <v>10</v>
      </c>
      <c r="I2449" s="75">
        <v>19489</v>
      </c>
      <c r="K2449" s="75" t="str">
        <f>IFERROR(VLOOKUP(J2449,'NQ10'!$B$9:$C$145,2,0),"")</f>
        <v/>
      </c>
    </row>
    <row r="2450" spans="1:11" ht="15" customHeight="1" x14ac:dyDescent="0.25">
      <c r="A2450" s="75">
        <v>12</v>
      </c>
      <c r="B2450" s="75">
        <v>271</v>
      </c>
      <c r="C2450" s="75" t="s">
        <v>10</v>
      </c>
      <c r="D2450" s="75">
        <v>19630</v>
      </c>
      <c r="F2450" s="75" t="s">
        <v>10</v>
      </c>
      <c r="H2450" s="75" t="s">
        <v>10</v>
      </c>
      <c r="I2450" s="75">
        <v>19489</v>
      </c>
      <c r="K2450" s="75" t="str">
        <f>IFERROR(VLOOKUP(J2450,'NQ10'!$B$9:$C$145,2,0),"")</f>
        <v/>
      </c>
    </row>
    <row r="2451" spans="1:11" ht="15" customHeight="1" x14ac:dyDescent="0.25">
      <c r="A2451" s="75">
        <v>12</v>
      </c>
      <c r="B2451" s="75">
        <v>273</v>
      </c>
      <c r="C2451" s="75" t="s">
        <v>10</v>
      </c>
      <c r="D2451" s="75">
        <v>1343</v>
      </c>
      <c r="F2451" s="75" t="s">
        <v>10</v>
      </c>
      <c r="H2451" s="75" t="s">
        <v>10</v>
      </c>
      <c r="I2451" s="75">
        <v>19489</v>
      </c>
      <c r="K2451" s="75" t="str">
        <f>IFERROR(VLOOKUP(J2451,'NQ10'!$B$9:$C$145,2,0),"")</f>
        <v/>
      </c>
    </row>
    <row r="2452" spans="1:11" ht="15" customHeight="1" x14ac:dyDescent="0.25">
      <c r="A2452" s="75">
        <v>12</v>
      </c>
      <c r="B2452" s="75">
        <v>274</v>
      </c>
      <c r="C2452" s="75" t="s">
        <v>10</v>
      </c>
      <c r="D2452" s="75">
        <v>715</v>
      </c>
      <c r="F2452" s="75" t="s">
        <v>10</v>
      </c>
      <c r="H2452" s="75" t="s">
        <v>10</v>
      </c>
      <c r="I2452" s="75">
        <v>19489</v>
      </c>
      <c r="K2452" s="75" t="str">
        <f>IFERROR(VLOOKUP(J2452,'NQ10'!$B$9:$C$145,2,0),"")</f>
        <v/>
      </c>
    </row>
    <row r="2453" spans="1:11" ht="15" customHeight="1" x14ac:dyDescent="0.25">
      <c r="A2453" s="75">
        <v>12</v>
      </c>
      <c r="B2453" s="75">
        <v>275</v>
      </c>
      <c r="C2453" s="75" t="s">
        <v>10</v>
      </c>
      <c r="D2453" s="75">
        <v>820</v>
      </c>
      <c r="F2453" s="75" t="s">
        <v>10</v>
      </c>
      <c r="H2453" s="75" t="s">
        <v>10</v>
      </c>
      <c r="I2453" s="75">
        <v>19489</v>
      </c>
      <c r="K2453" s="75" t="str">
        <f>IFERROR(VLOOKUP(J2453,'NQ10'!$B$9:$C$145,2,0),"")</f>
        <v/>
      </c>
    </row>
    <row r="2454" spans="1:11" ht="15" customHeight="1" x14ac:dyDescent="0.25">
      <c r="A2454" s="75">
        <v>12</v>
      </c>
      <c r="B2454" s="75">
        <v>276</v>
      </c>
      <c r="C2454" s="75" t="s">
        <v>10</v>
      </c>
      <c r="D2454" s="75">
        <v>954</v>
      </c>
      <c r="F2454" s="75" t="s">
        <v>10</v>
      </c>
      <c r="H2454" s="75" t="s">
        <v>10</v>
      </c>
      <c r="I2454" s="75">
        <v>19489</v>
      </c>
      <c r="K2454" s="75" t="str">
        <f>IFERROR(VLOOKUP(J2454,'NQ10'!$B$9:$C$145,2,0),"")</f>
        <v/>
      </c>
    </row>
    <row r="2455" spans="1:11" ht="15" customHeight="1" x14ac:dyDescent="0.25">
      <c r="A2455" s="75">
        <v>12</v>
      </c>
      <c r="B2455" s="75">
        <v>277</v>
      </c>
      <c r="C2455" s="75" t="s">
        <v>10</v>
      </c>
      <c r="D2455" s="75">
        <v>1248</v>
      </c>
      <c r="F2455" s="75" t="s">
        <v>10</v>
      </c>
      <c r="H2455" s="75" t="s">
        <v>10</v>
      </c>
      <c r="I2455" s="75">
        <v>19489</v>
      </c>
      <c r="K2455" s="75" t="str">
        <f>IFERROR(VLOOKUP(J2455,'NQ10'!$B$9:$C$145,2,0),"")</f>
        <v/>
      </c>
    </row>
    <row r="2456" spans="1:11" ht="15" customHeight="1" x14ac:dyDescent="0.25">
      <c r="A2456" s="75">
        <v>12</v>
      </c>
      <c r="B2456" s="75">
        <v>278</v>
      </c>
      <c r="C2456" s="75" t="s">
        <v>10</v>
      </c>
      <c r="D2456" s="75">
        <v>512</v>
      </c>
      <c r="F2456" s="75" t="s">
        <v>10</v>
      </c>
      <c r="H2456" s="75" t="s">
        <v>10</v>
      </c>
      <c r="I2456" s="75">
        <v>19489</v>
      </c>
      <c r="K2456" s="75" t="str">
        <f>IFERROR(VLOOKUP(J2456,'NQ10'!$B$9:$C$145,2,0),"")</f>
        <v/>
      </c>
    </row>
    <row r="2457" spans="1:11" ht="15" customHeight="1" x14ac:dyDescent="0.25">
      <c r="A2457" s="75">
        <v>12</v>
      </c>
      <c r="B2457" s="75">
        <v>279</v>
      </c>
      <c r="C2457" s="75" t="s">
        <v>10</v>
      </c>
      <c r="D2457" s="75">
        <v>1547</v>
      </c>
      <c r="F2457" s="75" t="s">
        <v>10</v>
      </c>
      <c r="H2457" s="75" t="s">
        <v>10</v>
      </c>
      <c r="I2457" s="75">
        <v>19489</v>
      </c>
      <c r="K2457" s="75" t="str">
        <f>IFERROR(VLOOKUP(J2457,'NQ10'!$B$9:$C$145,2,0),"")</f>
        <v/>
      </c>
    </row>
    <row r="2458" spans="1:11" ht="15" customHeight="1" x14ac:dyDescent="0.25">
      <c r="A2458" s="75">
        <v>12</v>
      </c>
      <c r="B2458" s="75">
        <v>280</v>
      </c>
      <c r="C2458" s="75" t="s">
        <v>10</v>
      </c>
      <c r="D2458" s="75">
        <v>1076</v>
      </c>
      <c r="F2458" s="75" t="s">
        <v>10</v>
      </c>
      <c r="H2458" s="75" t="s">
        <v>10</v>
      </c>
      <c r="I2458" s="75">
        <v>19489</v>
      </c>
      <c r="K2458" s="75" t="str">
        <f>IFERROR(VLOOKUP(J2458,'NQ10'!$B$9:$C$145,2,0),"")</f>
        <v/>
      </c>
    </row>
    <row r="2459" spans="1:11" ht="15" customHeight="1" x14ac:dyDescent="0.25">
      <c r="A2459" s="75">
        <v>12</v>
      </c>
      <c r="B2459" s="75">
        <v>281</v>
      </c>
      <c r="C2459" s="75" t="s">
        <v>10</v>
      </c>
      <c r="D2459" s="75">
        <v>1946</v>
      </c>
      <c r="F2459" s="75" t="s">
        <v>10</v>
      </c>
      <c r="H2459" s="75" t="s">
        <v>10</v>
      </c>
      <c r="I2459" s="75">
        <v>19489</v>
      </c>
      <c r="K2459" s="75" t="str">
        <f>IFERROR(VLOOKUP(J2459,'NQ10'!$B$9:$C$145,2,0),"")</f>
        <v/>
      </c>
    </row>
    <row r="2460" spans="1:11" ht="15" customHeight="1" x14ac:dyDescent="0.25">
      <c r="A2460" s="75">
        <v>12</v>
      </c>
      <c r="B2460" s="75">
        <v>282</v>
      </c>
      <c r="C2460" s="75" t="s">
        <v>10</v>
      </c>
      <c r="D2460" s="75">
        <v>2923</v>
      </c>
      <c r="F2460" s="75" t="s">
        <v>10</v>
      </c>
      <c r="H2460" s="75" t="s">
        <v>10</v>
      </c>
      <c r="I2460" s="75">
        <v>19489</v>
      </c>
      <c r="K2460" s="75" t="str">
        <f>IFERROR(VLOOKUP(J2460,'NQ10'!$B$9:$C$145,2,0),"")</f>
        <v/>
      </c>
    </row>
    <row r="2461" spans="1:11" ht="15" customHeight="1" x14ac:dyDescent="0.25">
      <c r="A2461" s="75">
        <v>12</v>
      </c>
      <c r="B2461" s="75">
        <v>283</v>
      </c>
      <c r="C2461" s="75" t="s">
        <v>10</v>
      </c>
      <c r="D2461" s="75">
        <v>709</v>
      </c>
      <c r="F2461" s="75" t="s">
        <v>10</v>
      </c>
      <c r="H2461" s="75" t="s">
        <v>10</v>
      </c>
      <c r="I2461" s="75">
        <v>19489</v>
      </c>
      <c r="K2461" s="75" t="str">
        <f>IFERROR(VLOOKUP(J2461,'NQ10'!$B$9:$C$145,2,0),"")</f>
        <v/>
      </c>
    </row>
    <row r="2462" spans="1:11" ht="15" customHeight="1" x14ac:dyDescent="0.25">
      <c r="A2462" s="75">
        <v>12</v>
      </c>
      <c r="B2462" s="75">
        <v>284</v>
      </c>
      <c r="C2462" s="75" t="s">
        <v>10</v>
      </c>
      <c r="D2462" s="75">
        <v>1393</v>
      </c>
      <c r="F2462" s="75" t="s">
        <v>10</v>
      </c>
      <c r="H2462" s="75" t="s">
        <v>10</v>
      </c>
      <c r="I2462" s="75">
        <v>19489</v>
      </c>
      <c r="K2462" s="75" t="str">
        <f>IFERROR(VLOOKUP(J2462,'NQ10'!$B$9:$C$145,2,0),"")</f>
        <v/>
      </c>
    </row>
    <row r="2463" spans="1:11" ht="15" customHeight="1" x14ac:dyDescent="0.25">
      <c r="A2463" s="75">
        <v>12</v>
      </c>
      <c r="B2463" s="75">
        <v>285</v>
      </c>
      <c r="C2463" s="75" t="s">
        <v>10</v>
      </c>
      <c r="D2463" s="75">
        <v>10440</v>
      </c>
      <c r="F2463" s="75" t="s">
        <v>10</v>
      </c>
      <c r="H2463" s="75" t="s">
        <v>10</v>
      </c>
      <c r="I2463" s="75">
        <v>19489</v>
      </c>
      <c r="K2463" s="75" t="str">
        <f>IFERROR(VLOOKUP(J2463,'NQ10'!$B$9:$C$145,2,0),"")</f>
        <v/>
      </c>
    </row>
    <row r="2464" spans="1:11" ht="15" customHeight="1" x14ac:dyDescent="0.25">
      <c r="A2464" s="75">
        <v>12</v>
      </c>
      <c r="B2464" s="75">
        <v>286</v>
      </c>
      <c r="C2464" s="75" t="s">
        <v>10</v>
      </c>
      <c r="D2464" s="75">
        <v>582</v>
      </c>
      <c r="F2464" s="75" t="s">
        <v>10</v>
      </c>
      <c r="H2464" s="75" t="s">
        <v>10</v>
      </c>
      <c r="I2464" s="75">
        <v>19489</v>
      </c>
      <c r="K2464" s="75" t="str">
        <f>IFERROR(VLOOKUP(J2464,'NQ10'!$B$9:$C$145,2,0),"")</f>
        <v/>
      </c>
    </row>
    <row r="2465" spans="1:11" ht="15" customHeight="1" x14ac:dyDescent="0.25">
      <c r="A2465" s="75">
        <v>12</v>
      </c>
      <c r="B2465" s="75">
        <v>287</v>
      </c>
      <c r="C2465" s="75" t="s">
        <v>10</v>
      </c>
      <c r="D2465" s="75">
        <v>471</v>
      </c>
      <c r="F2465" s="75" t="s">
        <v>10</v>
      </c>
      <c r="H2465" s="75" t="s">
        <v>10</v>
      </c>
      <c r="I2465" s="75">
        <v>19489</v>
      </c>
      <c r="K2465" s="75" t="str">
        <f>IFERROR(VLOOKUP(J2465,'NQ10'!$B$9:$C$145,2,0),"")</f>
        <v/>
      </c>
    </row>
    <row r="2466" spans="1:11" ht="15" customHeight="1" x14ac:dyDescent="0.25">
      <c r="A2466" s="75">
        <v>12</v>
      </c>
      <c r="B2466" s="75">
        <v>288</v>
      </c>
      <c r="C2466" s="75" t="s">
        <v>10</v>
      </c>
      <c r="D2466" s="75">
        <v>1024</v>
      </c>
      <c r="F2466" s="75" t="s">
        <v>10</v>
      </c>
      <c r="H2466" s="75" t="s">
        <v>10</v>
      </c>
      <c r="I2466" s="75">
        <v>19489</v>
      </c>
      <c r="K2466" s="75" t="str">
        <f>IFERROR(VLOOKUP(J2466,'NQ10'!$B$9:$C$145,2,0),"")</f>
        <v/>
      </c>
    </row>
    <row r="2467" spans="1:11" ht="15" customHeight="1" x14ac:dyDescent="0.25">
      <c r="A2467" s="75">
        <v>12</v>
      </c>
      <c r="B2467" s="75">
        <v>289</v>
      </c>
      <c r="C2467" s="75" t="s">
        <v>10</v>
      </c>
      <c r="D2467" s="75">
        <v>1591</v>
      </c>
      <c r="F2467" s="75" t="s">
        <v>10</v>
      </c>
      <c r="H2467" s="75" t="s">
        <v>10</v>
      </c>
      <c r="I2467" s="75">
        <v>19489</v>
      </c>
      <c r="K2467" s="75" t="str">
        <f>IFERROR(VLOOKUP(J2467,'NQ10'!$B$9:$C$145,2,0),"")</f>
        <v/>
      </c>
    </row>
    <row r="2468" spans="1:11" ht="15" customHeight="1" x14ac:dyDescent="0.25">
      <c r="A2468" s="75">
        <v>12</v>
      </c>
      <c r="B2468" s="75">
        <v>290</v>
      </c>
      <c r="C2468" s="75" t="s">
        <v>10</v>
      </c>
      <c r="D2468" s="75">
        <v>1625</v>
      </c>
      <c r="F2468" s="75" t="s">
        <v>10</v>
      </c>
      <c r="H2468" s="75" t="s">
        <v>10</v>
      </c>
      <c r="I2468" s="75">
        <v>19489</v>
      </c>
      <c r="K2468" s="75" t="str">
        <f>IFERROR(VLOOKUP(J2468,'NQ10'!$B$9:$C$145,2,0),"")</f>
        <v/>
      </c>
    </row>
    <row r="2469" spans="1:11" ht="15" customHeight="1" x14ac:dyDescent="0.25">
      <c r="A2469" s="75">
        <v>12</v>
      </c>
      <c r="B2469" s="75">
        <v>305</v>
      </c>
      <c r="C2469" s="75" t="s">
        <v>10</v>
      </c>
      <c r="D2469" s="75">
        <v>307</v>
      </c>
      <c r="F2469" s="75" t="s">
        <v>10</v>
      </c>
      <c r="H2469" s="75" t="s">
        <v>10</v>
      </c>
      <c r="I2469" s="75">
        <v>19489</v>
      </c>
      <c r="K2469" s="75" t="str">
        <f>IFERROR(VLOOKUP(J2469,'NQ10'!$B$9:$C$145,2,0),"")</f>
        <v/>
      </c>
    </row>
    <row r="2470" spans="1:11" ht="15" customHeight="1" x14ac:dyDescent="0.25">
      <c r="A2470" s="75">
        <v>12</v>
      </c>
      <c r="B2470" s="75">
        <v>801</v>
      </c>
      <c r="C2470" s="75" t="s">
        <v>10</v>
      </c>
      <c r="D2470" s="75">
        <v>185</v>
      </c>
      <c r="F2470" s="75" t="s">
        <v>10</v>
      </c>
      <c r="H2470" s="75" t="s">
        <v>10</v>
      </c>
      <c r="I2470" s="75">
        <v>19489</v>
      </c>
      <c r="K2470" s="75" t="str">
        <f>IFERROR(VLOOKUP(J2470,'NQ10'!$B$9:$C$145,2,0),"")</f>
        <v/>
      </c>
    </row>
    <row r="2471" spans="1:11" ht="15" customHeight="1" x14ac:dyDescent="0.25">
      <c r="A2471" s="75">
        <v>12</v>
      </c>
      <c r="B2471" s="75">
        <v>802</v>
      </c>
      <c r="C2471" s="75" t="s">
        <v>10</v>
      </c>
      <c r="D2471" s="75">
        <v>1387</v>
      </c>
      <c r="F2471" s="75" t="s">
        <v>10</v>
      </c>
      <c r="H2471" s="75" t="s">
        <v>10</v>
      </c>
      <c r="I2471" s="75">
        <v>19489</v>
      </c>
      <c r="K2471" s="75" t="str">
        <f>IFERROR(VLOOKUP(J2471,'NQ10'!$B$9:$C$145,2,0),"")</f>
        <v/>
      </c>
    </row>
    <row r="2472" spans="1:11" ht="15" customHeight="1" x14ac:dyDescent="0.25">
      <c r="A2472" s="75">
        <v>12</v>
      </c>
      <c r="B2472" s="75">
        <v>803</v>
      </c>
      <c r="C2472" s="75" t="s">
        <v>10</v>
      </c>
      <c r="D2472" s="75">
        <v>832</v>
      </c>
      <c r="F2472" s="75" t="s">
        <v>10</v>
      </c>
      <c r="H2472" s="75" t="s">
        <v>10</v>
      </c>
      <c r="I2472" s="75">
        <v>19489</v>
      </c>
      <c r="K2472" s="75" t="str">
        <f>IFERROR(VLOOKUP(J2472,'NQ10'!$B$9:$C$145,2,0),"")</f>
        <v/>
      </c>
    </row>
    <row r="2473" spans="1:11" ht="15" customHeight="1" x14ac:dyDescent="0.25">
      <c r="A2473" s="75">
        <v>12</v>
      </c>
      <c r="B2473" s="75">
        <v>804</v>
      </c>
      <c r="C2473" s="75" t="s">
        <v>10</v>
      </c>
      <c r="D2473" s="75">
        <v>938</v>
      </c>
      <c r="F2473" s="75" t="s">
        <v>10</v>
      </c>
      <c r="H2473" s="75" t="s">
        <v>10</v>
      </c>
      <c r="I2473" s="75">
        <v>19489</v>
      </c>
      <c r="K2473" s="75" t="str">
        <f>IFERROR(VLOOKUP(J2473,'NQ10'!$B$9:$C$145,2,0),"")</f>
        <v/>
      </c>
    </row>
    <row r="2474" spans="1:11" ht="15" customHeight="1" x14ac:dyDescent="0.25">
      <c r="A2474" s="75">
        <v>12</v>
      </c>
      <c r="B2474" s="75">
        <v>805</v>
      </c>
      <c r="C2474" s="75" t="s">
        <v>10</v>
      </c>
      <c r="D2474" s="75">
        <v>2200</v>
      </c>
      <c r="F2474" s="75" t="s">
        <v>10</v>
      </c>
      <c r="H2474" s="75" t="s">
        <v>10</v>
      </c>
      <c r="I2474" s="75">
        <v>19489</v>
      </c>
      <c r="K2474" s="75" t="str">
        <f>IFERROR(VLOOKUP(J2474,'NQ10'!$B$9:$C$145,2,0),"")</f>
        <v/>
      </c>
    </row>
    <row r="2475" spans="1:11" ht="15" customHeight="1" x14ac:dyDescent="0.25">
      <c r="A2475" s="75">
        <v>12</v>
      </c>
      <c r="B2475" s="75">
        <v>806</v>
      </c>
      <c r="C2475" s="75" t="s">
        <v>10</v>
      </c>
      <c r="D2475" s="75">
        <v>8735</v>
      </c>
      <c r="F2475" s="75" t="s">
        <v>10</v>
      </c>
      <c r="H2475" s="75" t="s">
        <v>10</v>
      </c>
      <c r="I2475" s="75">
        <v>19489</v>
      </c>
      <c r="K2475" s="75" t="str">
        <f>IFERROR(VLOOKUP(J2475,'NQ10'!$B$9:$C$145,2,0),"")</f>
        <v/>
      </c>
    </row>
    <row r="2476" spans="1:11" ht="15" customHeight="1" x14ac:dyDescent="0.25">
      <c r="A2476" s="75">
        <v>12</v>
      </c>
      <c r="B2476" s="75">
        <v>807</v>
      </c>
      <c r="C2476" s="75" t="s">
        <v>10</v>
      </c>
      <c r="D2476" s="75">
        <v>2566</v>
      </c>
      <c r="F2476" s="75" t="s">
        <v>10</v>
      </c>
      <c r="H2476" s="75" t="s">
        <v>10</v>
      </c>
      <c r="I2476" s="75">
        <v>19489</v>
      </c>
      <c r="K2476" s="75" t="str">
        <f>IFERROR(VLOOKUP(J2476,'NQ10'!$B$9:$C$145,2,0),"")</f>
        <v/>
      </c>
    </row>
    <row r="2477" spans="1:11" ht="15" customHeight="1" x14ac:dyDescent="0.25">
      <c r="A2477" s="75">
        <v>12</v>
      </c>
      <c r="B2477" s="75">
        <v>808</v>
      </c>
      <c r="C2477" s="75" t="s">
        <v>10</v>
      </c>
      <c r="D2477" s="75">
        <v>840</v>
      </c>
      <c r="F2477" s="75" t="s">
        <v>10</v>
      </c>
      <c r="H2477" s="75" t="s">
        <v>10</v>
      </c>
      <c r="I2477" s="75">
        <v>19489</v>
      </c>
      <c r="K2477" s="75" t="str">
        <f>IFERROR(VLOOKUP(J2477,'NQ10'!$B$9:$C$145,2,0),"")</f>
        <v/>
      </c>
    </row>
    <row r="2478" spans="1:11" ht="15" customHeight="1" x14ac:dyDescent="0.25">
      <c r="A2478" s="75">
        <v>12</v>
      </c>
      <c r="B2478" s="75">
        <v>809</v>
      </c>
      <c r="C2478" s="75" t="s">
        <v>10</v>
      </c>
      <c r="D2478" s="75">
        <v>2203</v>
      </c>
      <c r="F2478" s="75" t="s">
        <v>10</v>
      </c>
      <c r="H2478" s="75" t="s">
        <v>10</v>
      </c>
      <c r="I2478" s="75">
        <v>19489</v>
      </c>
      <c r="K2478" s="75" t="str">
        <f>IFERROR(VLOOKUP(J2478,'NQ10'!$B$9:$C$145,2,0),"")</f>
        <v/>
      </c>
    </row>
    <row r="2479" spans="1:11" ht="15" customHeight="1" x14ac:dyDescent="0.25">
      <c r="A2479" s="75">
        <v>12</v>
      </c>
      <c r="B2479" s="75">
        <v>810</v>
      </c>
      <c r="C2479" s="75" t="s">
        <v>10</v>
      </c>
      <c r="D2479" s="75">
        <v>9927</v>
      </c>
      <c r="F2479" s="75" t="s">
        <v>10</v>
      </c>
      <c r="H2479" s="75" t="s">
        <v>10</v>
      </c>
      <c r="I2479" s="75">
        <v>19489</v>
      </c>
      <c r="K2479" s="75" t="str">
        <f>IFERROR(VLOOKUP(J2479,'NQ10'!$B$9:$C$145,2,0),"")</f>
        <v/>
      </c>
    </row>
    <row r="2480" spans="1:11" ht="15" customHeight="1" x14ac:dyDescent="0.25">
      <c r="A2480" s="75">
        <v>12</v>
      </c>
      <c r="B2480" s="75">
        <v>811</v>
      </c>
      <c r="C2480" s="75" t="s">
        <v>10</v>
      </c>
      <c r="D2480" s="75">
        <v>2600</v>
      </c>
      <c r="F2480" s="75" t="s">
        <v>10</v>
      </c>
      <c r="H2480" s="75" t="s">
        <v>10</v>
      </c>
      <c r="I2480" s="75">
        <v>19489</v>
      </c>
      <c r="K2480" s="75" t="str">
        <f>IFERROR(VLOOKUP(J2480,'NQ10'!$B$9:$C$145,2,0),"")</f>
        <v/>
      </c>
    </row>
    <row r="2481" spans="1:11" ht="15" customHeight="1" x14ac:dyDescent="0.25">
      <c r="A2481" s="75">
        <v>12</v>
      </c>
      <c r="B2481" s="75">
        <v>901</v>
      </c>
      <c r="C2481" s="75" t="s">
        <v>10</v>
      </c>
      <c r="D2481" s="75">
        <v>139</v>
      </c>
      <c r="F2481" s="75" t="s">
        <v>10</v>
      </c>
      <c r="H2481" s="75" t="s">
        <v>10</v>
      </c>
      <c r="I2481" s="75">
        <v>19489</v>
      </c>
      <c r="K2481" s="75" t="str">
        <f>IFERROR(VLOOKUP(J2481,'NQ10'!$B$9:$C$145,2,0),"")</f>
        <v/>
      </c>
    </row>
    <row r="2482" spans="1:11" ht="15" customHeight="1" x14ac:dyDescent="0.25">
      <c r="A2482" s="75">
        <v>12</v>
      </c>
      <c r="B2482" s="75">
        <v>902</v>
      </c>
      <c r="C2482" s="75" t="s">
        <v>10</v>
      </c>
      <c r="D2482" s="75">
        <v>561</v>
      </c>
      <c r="F2482" s="75" t="s">
        <v>10</v>
      </c>
      <c r="H2482" s="75" t="s">
        <v>10</v>
      </c>
      <c r="I2482" s="75">
        <v>19489</v>
      </c>
      <c r="K2482" s="75" t="str">
        <f>IFERROR(VLOOKUP(J2482,'NQ10'!$B$9:$C$145,2,0),"")</f>
        <v/>
      </c>
    </row>
    <row r="2483" spans="1:11" ht="15" customHeight="1" x14ac:dyDescent="0.25">
      <c r="A2483" s="75">
        <v>12</v>
      </c>
      <c r="B2483" s="75">
        <v>911</v>
      </c>
      <c r="C2483" s="75" t="s">
        <v>10</v>
      </c>
      <c r="D2483" s="75">
        <v>19093</v>
      </c>
      <c r="F2483" s="75" t="s">
        <v>10</v>
      </c>
      <c r="H2483" s="75" t="s">
        <v>10</v>
      </c>
      <c r="I2483" s="75">
        <v>19489</v>
      </c>
      <c r="K2483" s="75" t="str">
        <f>IFERROR(VLOOKUP(J2483,'NQ10'!$B$9:$C$145,2,0),"")</f>
        <v/>
      </c>
    </row>
    <row r="2484" spans="1:11" ht="15" customHeight="1" x14ac:dyDescent="0.25">
      <c r="A2484" s="75">
        <v>12</v>
      </c>
      <c r="B2484" s="75">
        <v>912</v>
      </c>
      <c r="C2484" s="75" t="s">
        <v>10</v>
      </c>
      <c r="D2484" s="75">
        <v>2506</v>
      </c>
      <c r="F2484" s="75" t="s">
        <v>10</v>
      </c>
      <c r="H2484" s="75" t="s">
        <v>10</v>
      </c>
      <c r="I2484" s="75">
        <v>19489</v>
      </c>
      <c r="K2484" s="75" t="str">
        <f>IFERROR(VLOOKUP(J2484,'NQ10'!$B$9:$C$145,2,0),"")</f>
        <v/>
      </c>
    </row>
    <row r="2485" spans="1:11" ht="15" customHeight="1" x14ac:dyDescent="0.25">
      <c r="A2485" s="75">
        <v>12</v>
      </c>
      <c r="B2485" s="75">
        <v>913</v>
      </c>
      <c r="C2485" s="75" t="s">
        <v>10</v>
      </c>
      <c r="D2485" s="75">
        <v>13465</v>
      </c>
      <c r="F2485" s="75" t="s">
        <v>10</v>
      </c>
      <c r="H2485" s="75" t="s">
        <v>10</v>
      </c>
      <c r="I2485" s="75">
        <v>19489</v>
      </c>
      <c r="K2485" s="75" t="str">
        <f>IFERROR(VLOOKUP(J2485,'NQ10'!$B$9:$C$145,2,0),"")</f>
        <v/>
      </c>
    </row>
    <row r="2486" spans="1:11" ht="15" customHeight="1" x14ac:dyDescent="0.25">
      <c r="A2486" s="75">
        <v>13</v>
      </c>
      <c r="C2486" s="75" t="s">
        <v>10</v>
      </c>
      <c r="D2486" s="75">
        <v>6870</v>
      </c>
      <c r="F2486" s="75" t="s">
        <v>10</v>
      </c>
      <c r="H2486" s="75" t="s">
        <v>10</v>
      </c>
      <c r="I2486" s="75">
        <v>19489</v>
      </c>
      <c r="K2486" s="75" t="str">
        <f>IFERROR(VLOOKUP(J2486,'NQ10'!$B$9:$C$145,2,0),"")</f>
        <v/>
      </c>
    </row>
    <row r="2487" spans="1:11" ht="15" customHeight="1" x14ac:dyDescent="0.25">
      <c r="A2487" s="75">
        <v>13</v>
      </c>
      <c r="C2487" s="75" t="s">
        <v>10</v>
      </c>
      <c r="D2487" s="75">
        <v>126</v>
      </c>
      <c r="F2487" s="75" t="s">
        <v>10</v>
      </c>
      <c r="H2487" s="75" t="s">
        <v>10</v>
      </c>
      <c r="I2487" s="75">
        <v>19489</v>
      </c>
      <c r="K2487" s="75" t="str">
        <f>IFERROR(VLOOKUP(J2487,'NQ10'!$B$9:$C$145,2,0),"")</f>
        <v/>
      </c>
    </row>
    <row r="2488" spans="1:11" ht="15" customHeight="1" x14ac:dyDescent="0.25">
      <c r="A2488" s="75">
        <v>13</v>
      </c>
      <c r="C2488" s="75" t="s">
        <v>10</v>
      </c>
      <c r="D2488" s="75">
        <v>101</v>
      </c>
      <c r="F2488" s="75" t="s">
        <v>10</v>
      </c>
      <c r="H2488" s="75" t="s">
        <v>10</v>
      </c>
      <c r="I2488" s="75">
        <v>19489</v>
      </c>
      <c r="K2488" s="75" t="str">
        <f>IFERROR(VLOOKUP(J2488,'NQ10'!$B$9:$C$145,2,0),"")</f>
        <v/>
      </c>
    </row>
    <row r="2489" spans="1:11" ht="15" customHeight="1" x14ac:dyDescent="0.25">
      <c r="A2489" s="75">
        <v>13</v>
      </c>
      <c r="B2489" s="75">
        <v>1</v>
      </c>
      <c r="C2489" s="75" t="s">
        <v>10</v>
      </c>
      <c r="D2489" s="75">
        <v>11910</v>
      </c>
      <c r="F2489" s="75" t="s">
        <v>10</v>
      </c>
      <c r="H2489" s="75" t="s">
        <v>10</v>
      </c>
      <c r="I2489" s="75">
        <v>19489</v>
      </c>
      <c r="K2489" s="75" t="str">
        <f>IFERROR(VLOOKUP(J2489,'NQ10'!$B$9:$C$145,2,0),"")</f>
        <v/>
      </c>
    </row>
    <row r="2490" spans="1:11" ht="15" customHeight="1" x14ac:dyDescent="0.25">
      <c r="A2490" s="75">
        <v>13</v>
      </c>
      <c r="B2490" s="75">
        <v>2</v>
      </c>
      <c r="C2490" s="75" t="s">
        <v>10</v>
      </c>
      <c r="D2490" s="75">
        <v>7042</v>
      </c>
      <c r="F2490" s="75" t="s">
        <v>10</v>
      </c>
      <c r="H2490" s="75" t="s">
        <v>10</v>
      </c>
      <c r="I2490" s="75">
        <v>19489</v>
      </c>
      <c r="K2490" s="75" t="str">
        <f>IFERROR(VLOOKUP(J2490,'NQ10'!$B$9:$C$145,2,0),"")</f>
        <v/>
      </c>
    </row>
    <row r="2491" spans="1:11" ht="15" customHeight="1" x14ac:dyDescent="0.25">
      <c r="A2491" s="75">
        <v>13</v>
      </c>
      <c r="B2491" s="75">
        <v>3</v>
      </c>
      <c r="C2491" s="75" t="s">
        <v>10</v>
      </c>
      <c r="D2491" s="75">
        <v>56095</v>
      </c>
      <c r="F2491" s="75" t="s">
        <v>10</v>
      </c>
      <c r="H2491" s="75" t="s">
        <v>10</v>
      </c>
      <c r="I2491" s="75">
        <v>19489</v>
      </c>
      <c r="K2491" s="75" t="str">
        <f>IFERROR(VLOOKUP(J2491,'NQ10'!$B$9:$C$145,2,0),"")</f>
        <v/>
      </c>
    </row>
    <row r="2492" spans="1:11" ht="15" customHeight="1" x14ac:dyDescent="0.25">
      <c r="A2492" s="75">
        <v>13</v>
      </c>
      <c r="B2492" s="75">
        <v>4</v>
      </c>
      <c r="C2492" s="75" t="s">
        <v>10</v>
      </c>
      <c r="D2492" s="75">
        <v>5099</v>
      </c>
      <c r="F2492" s="75" t="s">
        <v>10</v>
      </c>
      <c r="H2492" s="75" t="s">
        <v>10</v>
      </c>
      <c r="I2492" s="75">
        <v>19489</v>
      </c>
      <c r="K2492" s="75" t="str">
        <f>IFERROR(VLOOKUP(J2492,'NQ10'!$B$9:$C$145,2,0),"")</f>
        <v/>
      </c>
    </row>
    <row r="2493" spans="1:11" ht="15" customHeight="1" x14ac:dyDescent="0.25">
      <c r="A2493" s="75">
        <v>13</v>
      </c>
      <c r="B2493" s="75">
        <v>5</v>
      </c>
      <c r="C2493" s="75" t="s">
        <v>10</v>
      </c>
      <c r="D2493" s="75">
        <v>6445</v>
      </c>
      <c r="F2493" s="75" t="s">
        <v>10</v>
      </c>
      <c r="H2493" s="75" t="s">
        <v>10</v>
      </c>
      <c r="I2493" s="75">
        <v>19489</v>
      </c>
      <c r="K2493" s="75" t="str">
        <f>IFERROR(VLOOKUP(J2493,'NQ10'!$B$9:$C$145,2,0),"")</f>
        <v/>
      </c>
    </row>
    <row r="2494" spans="1:11" ht="15" customHeight="1" x14ac:dyDescent="0.25">
      <c r="A2494" s="75">
        <v>13</v>
      </c>
      <c r="B2494" s="75">
        <v>6</v>
      </c>
      <c r="C2494" s="75" t="s">
        <v>10</v>
      </c>
      <c r="D2494" s="75">
        <v>5509</v>
      </c>
      <c r="F2494" s="75" t="s">
        <v>10</v>
      </c>
      <c r="H2494" s="75" t="s">
        <v>10</v>
      </c>
      <c r="I2494" s="75">
        <v>19489</v>
      </c>
      <c r="K2494" s="75" t="str">
        <f>IFERROR(VLOOKUP(J2494,'NQ10'!$B$9:$C$145,2,0),"")</f>
        <v/>
      </c>
    </row>
    <row r="2495" spans="1:11" ht="15" customHeight="1" x14ac:dyDescent="0.25">
      <c r="A2495" s="75">
        <v>13</v>
      </c>
      <c r="B2495" s="75">
        <v>7</v>
      </c>
      <c r="C2495" s="75" t="s">
        <v>10</v>
      </c>
      <c r="D2495" s="75">
        <v>6351</v>
      </c>
      <c r="F2495" s="75" t="s">
        <v>10</v>
      </c>
      <c r="H2495" s="75" t="s">
        <v>10</v>
      </c>
      <c r="I2495" s="75">
        <v>19489</v>
      </c>
      <c r="K2495" s="75" t="str">
        <f>IFERROR(VLOOKUP(J2495,'NQ10'!$B$9:$C$145,2,0),"")</f>
        <v/>
      </c>
    </row>
    <row r="2496" spans="1:11" ht="15" customHeight="1" x14ac:dyDescent="0.25">
      <c r="A2496" s="75">
        <v>13</v>
      </c>
      <c r="B2496" s="75">
        <v>8</v>
      </c>
      <c r="C2496" s="75" t="s">
        <v>10</v>
      </c>
      <c r="D2496" s="75">
        <v>6020</v>
      </c>
      <c r="F2496" s="75" t="s">
        <v>10</v>
      </c>
      <c r="H2496" s="75" t="s">
        <v>10</v>
      </c>
      <c r="I2496" s="75">
        <v>19489</v>
      </c>
      <c r="K2496" s="75" t="str">
        <f>IFERROR(VLOOKUP(J2496,'NQ10'!$B$9:$C$145,2,0),"")</f>
        <v/>
      </c>
    </row>
    <row r="2497" spans="1:11" ht="15" customHeight="1" x14ac:dyDescent="0.25">
      <c r="A2497" s="75">
        <v>13</v>
      </c>
      <c r="B2497" s="75">
        <v>9</v>
      </c>
      <c r="C2497" s="75" t="s">
        <v>10</v>
      </c>
      <c r="D2497" s="75">
        <v>7148</v>
      </c>
      <c r="F2497" s="75" t="s">
        <v>10</v>
      </c>
      <c r="H2497" s="75" t="s">
        <v>10</v>
      </c>
      <c r="I2497" s="75">
        <v>19489</v>
      </c>
      <c r="K2497" s="75" t="str">
        <f>IFERROR(VLOOKUP(J2497,'NQ10'!$B$9:$C$145,2,0),"")</f>
        <v/>
      </c>
    </row>
    <row r="2498" spans="1:11" ht="15" customHeight="1" x14ac:dyDescent="0.25">
      <c r="A2498" s="75">
        <v>13</v>
      </c>
      <c r="B2498" s="75">
        <v>10</v>
      </c>
      <c r="C2498" s="75" t="s">
        <v>10</v>
      </c>
      <c r="D2498" s="75">
        <v>5989</v>
      </c>
      <c r="F2498" s="75" t="s">
        <v>10</v>
      </c>
      <c r="H2498" s="75" t="s">
        <v>10</v>
      </c>
      <c r="I2498" s="75">
        <v>19489</v>
      </c>
      <c r="K2498" s="75" t="str">
        <f>IFERROR(VLOOKUP(J2498,'NQ10'!$B$9:$C$145,2,0),"")</f>
        <v/>
      </c>
    </row>
    <row r="2499" spans="1:11" ht="15" customHeight="1" x14ac:dyDescent="0.25">
      <c r="A2499" s="75">
        <v>13</v>
      </c>
      <c r="B2499" s="75">
        <v>11</v>
      </c>
      <c r="C2499" s="75" t="s">
        <v>10</v>
      </c>
      <c r="D2499" s="75">
        <v>11024</v>
      </c>
      <c r="F2499" s="75" t="s">
        <v>10</v>
      </c>
      <c r="H2499" s="75" t="s">
        <v>10</v>
      </c>
      <c r="I2499" s="75">
        <v>19489</v>
      </c>
      <c r="K2499" s="75" t="str">
        <f>IFERROR(VLOOKUP(J2499,'NQ10'!$B$9:$C$145,2,0),"")</f>
        <v/>
      </c>
    </row>
    <row r="2500" spans="1:11" ht="15" customHeight="1" x14ac:dyDescent="0.25">
      <c r="A2500" s="75">
        <v>13</v>
      </c>
      <c r="B2500" s="75">
        <v>12</v>
      </c>
      <c r="C2500" s="75" t="s">
        <v>10</v>
      </c>
      <c r="D2500" s="75">
        <v>4131</v>
      </c>
      <c r="F2500" s="75" t="s">
        <v>10</v>
      </c>
      <c r="H2500" s="75" t="s">
        <v>10</v>
      </c>
      <c r="I2500" s="75">
        <v>19489</v>
      </c>
      <c r="K2500" s="75" t="str">
        <f>IFERROR(VLOOKUP(J2500,'NQ10'!$B$9:$C$145,2,0),"")</f>
        <v/>
      </c>
    </row>
    <row r="2501" spans="1:11" ht="15" customHeight="1" x14ac:dyDescent="0.25">
      <c r="A2501" s="75">
        <v>13</v>
      </c>
      <c r="B2501" s="75">
        <v>13</v>
      </c>
      <c r="C2501" s="75" t="s">
        <v>10</v>
      </c>
      <c r="D2501" s="75">
        <v>2714</v>
      </c>
      <c r="F2501" s="75" t="s">
        <v>10</v>
      </c>
      <c r="H2501" s="75" t="s">
        <v>10</v>
      </c>
      <c r="I2501" s="75">
        <v>19489</v>
      </c>
      <c r="K2501" s="75" t="str">
        <f>IFERROR(VLOOKUP(J2501,'NQ10'!$B$9:$C$145,2,0),"")</f>
        <v/>
      </c>
    </row>
    <row r="2502" spans="1:11" ht="15" customHeight="1" x14ac:dyDescent="0.25">
      <c r="A2502" s="75">
        <v>13</v>
      </c>
      <c r="B2502" s="75">
        <v>14</v>
      </c>
      <c r="C2502" s="75" t="s">
        <v>10</v>
      </c>
      <c r="D2502" s="75">
        <v>77274</v>
      </c>
      <c r="F2502" s="75" t="s">
        <v>10</v>
      </c>
      <c r="H2502" s="75" t="s">
        <v>10</v>
      </c>
      <c r="I2502" s="75">
        <v>19489</v>
      </c>
      <c r="K2502" s="75" t="str">
        <f>IFERROR(VLOOKUP(J2502,'NQ10'!$B$9:$C$145,2,0),"")</f>
        <v/>
      </c>
    </row>
    <row r="2503" spans="1:11" ht="15" customHeight="1" x14ac:dyDescent="0.25">
      <c r="A2503" s="75">
        <v>13</v>
      </c>
      <c r="B2503" s="75">
        <v>15</v>
      </c>
      <c r="C2503" s="75" t="s">
        <v>10</v>
      </c>
      <c r="D2503" s="75">
        <v>12063</v>
      </c>
      <c r="F2503" s="75" t="s">
        <v>10</v>
      </c>
      <c r="H2503" s="75" t="s">
        <v>10</v>
      </c>
      <c r="I2503" s="75">
        <v>19489</v>
      </c>
      <c r="K2503" s="75" t="str">
        <f>IFERROR(VLOOKUP(J2503,'NQ10'!$B$9:$C$145,2,0),"")</f>
        <v/>
      </c>
    </row>
    <row r="2504" spans="1:11" ht="15" customHeight="1" x14ac:dyDescent="0.25">
      <c r="A2504" s="75">
        <v>13</v>
      </c>
      <c r="B2504" s="75">
        <v>17</v>
      </c>
      <c r="C2504" s="75" t="s">
        <v>10</v>
      </c>
      <c r="D2504" s="75">
        <v>7107</v>
      </c>
      <c r="F2504" s="75" t="s">
        <v>10</v>
      </c>
      <c r="H2504" s="75" t="s">
        <v>10</v>
      </c>
      <c r="I2504" s="75">
        <v>19489</v>
      </c>
      <c r="K2504" s="75" t="str">
        <f>IFERROR(VLOOKUP(J2504,'NQ10'!$B$9:$C$145,2,0),"")</f>
        <v/>
      </c>
    </row>
    <row r="2505" spans="1:11" ht="15" customHeight="1" x14ac:dyDescent="0.25">
      <c r="A2505" s="75">
        <v>13</v>
      </c>
      <c r="B2505" s="75">
        <v>18</v>
      </c>
      <c r="C2505" s="75" t="s">
        <v>10</v>
      </c>
      <c r="D2505" s="75">
        <v>2064</v>
      </c>
      <c r="F2505" s="75" t="s">
        <v>10</v>
      </c>
      <c r="H2505" s="75" t="s">
        <v>10</v>
      </c>
      <c r="I2505" s="75">
        <v>19489</v>
      </c>
      <c r="K2505" s="75" t="str">
        <f>IFERROR(VLOOKUP(J2505,'NQ10'!$B$9:$C$145,2,0),"")</f>
        <v/>
      </c>
    </row>
    <row r="2506" spans="1:11" ht="15" customHeight="1" x14ac:dyDescent="0.25">
      <c r="A2506" s="75">
        <v>13</v>
      </c>
      <c r="B2506" s="75">
        <v>19</v>
      </c>
      <c r="C2506" s="75" t="s">
        <v>10</v>
      </c>
      <c r="D2506" s="75">
        <v>6544</v>
      </c>
      <c r="F2506" s="75" t="s">
        <v>10</v>
      </c>
      <c r="H2506" s="75" t="s">
        <v>10</v>
      </c>
      <c r="I2506" s="75">
        <v>19489</v>
      </c>
      <c r="K2506" s="75" t="str">
        <f>IFERROR(VLOOKUP(J2506,'NQ10'!$B$9:$C$145,2,0),"")</f>
        <v/>
      </c>
    </row>
    <row r="2507" spans="1:11" ht="15" customHeight="1" x14ac:dyDescent="0.25">
      <c r="A2507" s="75">
        <v>13</v>
      </c>
      <c r="B2507" s="75">
        <v>20</v>
      </c>
      <c r="C2507" s="75" t="s">
        <v>10</v>
      </c>
      <c r="D2507" s="75">
        <v>44562</v>
      </c>
      <c r="F2507" s="75" t="s">
        <v>10</v>
      </c>
      <c r="H2507" s="75" t="s">
        <v>10</v>
      </c>
      <c r="I2507" s="75">
        <v>19489</v>
      </c>
      <c r="K2507" s="75" t="str">
        <f>IFERROR(VLOOKUP(J2507,'NQ10'!$B$9:$C$145,2,0),"")</f>
        <v/>
      </c>
    </row>
    <row r="2508" spans="1:11" ht="15" customHeight="1" x14ac:dyDescent="0.25">
      <c r="A2508" s="75">
        <v>13</v>
      </c>
      <c r="B2508" s="75">
        <v>21</v>
      </c>
      <c r="C2508" s="75" t="s">
        <v>10</v>
      </c>
      <c r="D2508" s="75">
        <v>3223</v>
      </c>
      <c r="F2508" s="75" t="s">
        <v>10</v>
      </c>
      <c r="H2508" s="75" t="s">
        <v>10</v>
      </c>
      <c r="I2508" s="75">
        <v>19489</v>
      </c>
      <c r="K2508" s="75" t="str">
        <f>IFERROR(VLOOKUP(J2508,'NQ10'!$B$9:$C$145,2,0),"")</f>
        <v/>
      </c>
    </row>
    <row r="2509" spans="1:11" ht="15" customHeight="1" x14ac:dyDescent="0.25">
      <c r="A2509" s="75">
        <v>13</v>
      </c>
      <c r="B2509" s="75">
        <v>22</v>
      </c>
      <c r="C2509" s="75" t="s">
        <v>10</v>
      </c>
      <c r="D2509" s="75">
        <v>17585</v>
      </c>
      <c r="F2509" s="75" t="s">
        <v>10</v>
      </c>
      <c r="H2509" s="75" t="s">
        <v>10</v>
      </c>
      <c r="I2509" s="75">
        <v>19489</v>
      </c>
      <c r="K2509" s="75" t="str">
        <f>IFERROR(VLOOKUP(J2509,'NQ10'!$B$9:$C$145,2,0),"")</f>
        <v/>
      </c>
    </row>
    <row r="2510" spans="1:11" ht="15" customHeight="1" x14ac:dyDescent="0.25">
      <c r="A2510" s="75">
        <v>13</v>
      </c>
      <c r="B2510" s="75">
        <v>23</v>
      </c>
      <c r="C2510" s="75" t="s">
        <v>10</v>
      </c>
      <c r="D2510" s="75">
        <v>5142</v>
      </c>
      <c r="F2510" s="75" t="s">
        <v>10</v>
      </c>
      <c r="H2510" s="75" t="s">
        <v>10</v>
      </c>
      <c r="I2510" s="75">
        <v>19489</v>
      </c>
      <c r="K2510" s="75" t="str">
        <f>IFERROR(VLOOKUP(J2510,'NQ10'!$B$9:$C$145,2,0),"")</f>
        <v/>
      </c>
    </row>
    <row r="2511" spans="1:11" ht="15" customHeight="1" x14ac:dyDescent="0.25">
      <c r="A2511" s="75">
        <v>13</v>
      </c>
      <c r="B2511" s="75">
        <v>25</v>
      </c>
      <c r="C2511" s="75" t="s">
        <v>10</v>
      </c>
      <c r="D2511" s="75">
        <v>8923</v>
      </c>
      <c r="F2511" s="75" t="s">
        <v>10</v>
      </c>
      <c r="H2511" s="75" t="s">
        <v>10</v>
      </c>
      <c r="I2511" s="75">
        <v>19489</v>
      </c>
      <c r="K2511" s="75" t="str">
        <f>IFERROR(VLOOKUP(J2511,'NQ10'!$B$9:$C$145,2,0),"")</f>
        <v/>
      </c>
    </row>
    <row r="2512" spans="1:11" ht="15" customHeight="1" x14ac:dyDescent="0.25">
      <c r="A2512" s="75">
        <v>13</v>
      </c>
      <c r="B2512" s="75">
        <v>27</v>
      </c>
      <c r="C2512" s="75" t="s">
        <v>10</v>
      </c>
      <c r="D2512" s="75">
        <v>710</v>
      </c>
      <c r="F2512" s="75" t="s">
        <v>10</v>
      </c>
      <c r="H2512" s="75" t="s">
        <v>10</v>
      </c>
      <c r="I2512" s="75">
        <v>19489</v>
      </c>
      <c r="K2512" s="75" t="str">
        <f>IFERROR(VLOOKUP(J2512,'NQ10'!$B$9:$C$145,2,0),"")</f>
        <v/>
      </c>
    </row>
    <row r="2513" spans="1:11" ht="15" customHeight="1" x14ac:dyDescent="0.25">
      <c r="A2513" s="75">
        <v>13</v>
      </c>
      <c r="B2513" s="75">
        <v>28</v>
      </c>
      <c r="C2513" s="75" t="s">
        <v>10</v>
      </c>
      <c r="D2513" s="75">
        <v>10399</v>
      </c>
      <c r="F2513" s="75" t="s">
        <v>10</v>
      </c>
      <c r="H2513" s="75" t="s">
        <v>10</v>
      </c>
      <c r="I2513" s="75">
        <v>19489</v>
      </c>
      <c r="K2513" s="75" t="str">
        <f>IFERROR(VLOOKUP(J2513,'NQ10'!$B$9:$C$145,2,0),"")</f>
        <v/>
      </c>
    </row>
    <row r="2514" spans="1:11" ht="15" customHeight="1" x14ac:dyDescent="0.25">
      <c r="A2514" s="75">
        <v>13</v>
      </c>
      <c r="B2514" s="75">
        <v>29</v>
      </c>
      <c r="C2514" s="75" t="s">
        <v>10</v>
      </c>
      <c r="D2514" s="75">
        <v>11079</v>
      </c>
      <c r="F2514" s="75" t="s">
        <v>10</v>
      </c>
      <c r="H2514" s="75" t="s">
        <v>10</v>
      </c>
      <c r="I2514" s="75">
        <v>19489</v>
      </c>
      <c r="K2514" s="75" t="str">
        <f>IFERROR(VLOOKUP(J2514,'NQ10'!$B$9:$C$145,2,0),"")</f>
        <v/>
      </c>
    </row>
    <row r="2515" spans="1:11" ht="15" customHeight="1" x14ac:dyDescent="0.25">
      <c r="A2515" s="75">
        <v>13</v>
      </c>
      <c r="B2515" s="75">
        <v>31</v>
      </c>
      <c r="C2515" s="75" t="s">
        <v>10</v>
      </c>
      <c r="D2515" s="75">
        <v>6475</v>
      </c>
      <c r="F2515" s="75" t="s">
        <v>10</v>
      </c>
      <c r="H2515" s="75" t="s">
        <v>10</v>
      </c>
      <c r="I2515" s="75">
        <v>19489</v>
      </c>
      <c r="K2515" s="75" t="str">
        <f>IFERROR(VLOOKUP(J2515,'NQ10'!$B$9:$C$145,2,0),"")</f>
        <v/>
      </c>
    </row>
    <row r="2516" spans="1:11" ht="15" customHeight="1" x14ac:dyDescent="0.25">
      <c r="A2516" s="75">
        <v>13</v>
      </c>
      <c r="B2516" s="75">
        <v>32</v>
      </c>
      <c r="C2516" s="75" t="s">
        <v>10</v>
      </c>
      <c r="D2516" s="75">
        <v>5955</v>
      </c>
      <c r="F2516" s="75" t="s">
        <v>10</v>
      </c>
      <c r="H2516" s="75" t="s">
        <v>10</v>
      </c>
      <c r="I2516" s="75">
        <v>19489</v>
      </c>
      <c r="K2516" s="75" t="str">
        <f>IFERROR(VLOOKUP(J2516,'NQ10'!$B$9:$C$145,2,0),"")</f>
        <v/>
      </c>
    </row>
    <row r="2517" spans="1:11" ht="15" customHeight="1" x14ac:dyDescent="0.25">
      <c r="A2517" s="75">
        <v>13</v>
      </c>
      <c r="B2517" s="75">
        <v>33</v>
      </c>
      <c r="C2517" s="75" t="s">
        <v>10</v>
      </c>
      <c r="D2517" s="75">
        <v>3003</v>
      </c>
      <c r="F2517" s="75" t="s">
        <v>10</v>
      </c>
      <c r="H2517" s="75" t="s">
        <v>10</v>
      </c>
      <c r="I2517" s="75">
        <v>19489</v>
      </c>
      <c r="K2517" s="75" t="str">
        <f>IFERROR(VLOOKUP(J2517,'NQ10'!$B$9:$C$145,2,0),"")</f>
        <v/>
      </c>
    </row>
    <row r="2518" spans="1:11" ht="15" customHeight="1" x14ac:dyDescent="0.25">
      <c r="A2518" s="75">
        <v>13</v>
      </c>
      <c r="B2518" s="75">
        <v>34</v>
      </c>
      <c r="C2518" s="75" t="s">
        <v>10</v>
      </c>
      <c r="D2518" s="75">
        <v>7084</v>
      </c>
      <c r="F2518" s="75" t="s">
        <v>10</v>
      </c>
      <c r="H2518" s="75" t="s">
        <v>10</v>
      </c>
      <c r="I2518" s="75">
        <v>19489</v>
      </c>
      <c r="K2518" s="75" t="str">
        <f>IFERROR(VLOOKUP(J2518,'NQ10'!$B$9:$C$145,2,0),"")</f>
        <v/>
      </c>
    </row>
    <row r="2519" spans="1:11" ht="15" customHeight="1" x14ac:dyDescent="0.25">
      <c r="A2519" s="75">
        <v>13</v>
      </c>
      <c r="B2519" s="75">
        <v>35</v>
      </c>
      <c r="C2519" s="75" t="s">
        <v>10</v>
      </c>
      <c r="D2519" s="75">
        <v>4314</v>
      </c>
      <c r="F2519" s="75" t="s">
        <v>10</v>
      </c>
      <c r="H2519" s="75" t="s">
        <v>10</v>
      </c>
      <c r="I2519" s="75">
        <v>19489</v>
      </c>
      <c r="K2519" s="75" t="str">
        <f>IFERROR(VLOOKUP(J2519,'NQ10'!$B$9:$C$145,2,0),"")</f>
        <v/>
      </c>
    </row>
    <row r="2520" spans="1:11" ht="15" customHeight="1" x14ac:dyDescent="0.25">
      <c r="A2520" s="75">
        <v>13</v>
      </c>
      <c r="B2520" s="75">
        <v>36</v>
      </c>
      <c r="C2520" s="75" t="s">
        <v>10</v>
      </c>
      <c r="D2520" s="75">
        <v>4035</v>
      </c>
      <c r="F2520" s="75" t="s">
        <v>10</v>
      </c>
      <c r="H2520" s="75" t="s">
        <v>10</v>
      </c>
      <c r="I2520" s="75">
        <v>19489</v>
      </c>
      <c r="K2520" s="75" t="str">
        <f>IFERROR(VLOOKUP(J2520,'NQ10'!$B$9:$C$145,2,0),"")</f>
        <v/>
      </c>
    </row>
    <row r="2521" spans="1:11" ht="15" customHeight="1" x14ac:dyDescent="0.25">
      <c r="A2521" s="75">
        <v>13</v>
      </c>
      <c r="B2521" s="75">
        <v>37</v>
      </c>
      <c r="C2521" s="75" t="s">
        <v>10</v>
      </c>
      <c r="D2521" s="75">
        <v>5656</v>
      </c>
      <c r="F2521" s="75" t="s">
        <v>10</v>
      </c>
      <c r="H2521" s="75" t="s">
        <v>10</v>
      </c>
      <c r="I2521" s="75">
        <v>19489</v>
      </c>
      <c r="K2521" s="75" t="str">
        <f>IFERROR(VLOOKUP(J2521,'NQ10'!$B$9:$C$145,2,0),"")</f>
        <v/>
      </c>
    </row>
    <row r="2522" spans="1:11" ht="15" customHeight="1" x14ac:dyDescent="0.25">
      <c r="A2522" s="75">
        <v>13</v>
      </c>
      <c r="B2522" s="75">
        <v>38</v>
      </c>
      <c r="C2522" s="75" t="s">
        <v>10</v>
      </c>
      <c r="D2522" s="75">
        <v>6431</v>
      </c>
      <c r="F2522" s="75" t="s">
        <v>10</v>
      </c>
      <c r="H2522" s="75" t="s">
        <v>10</v>
      </c>
      <c r="I2522" s="75">
        <v>19489</v>
      </c>
      <c r="K2522" s="75" t="str">
        <f>IFERROR(VLOOKUP(J2522,'NQ10'!$B$9:$C$145,2,0),"")</f>
        <v/>
      </c>
    </row>
    <row r="2523" spans="1:11" ht="15" customHeight="1" x14ac:dyDescent="0.25">
      <c r="A2523" s="75">
        <v>13</v>
      </c>
      <c r="B2523" s="75">
        <v>39</v>
      </c>
      <c r="C2523" s="75" t="s">
        <v>10</v>
      </c>
      <c r="D2523" s="75">
        <v>13322</v>
      </c>
      <c r="F2523" s="75" t="s">
        <v>10</v>
      </c>
      <c r="H2523" s="75" t="s">
        <v>10</v>
      </c>
      <c r="I2523" s="75">
        <v>19489</v>
      </c>
      <c r="K2523" s="75" t="str">
        <f>IFERROR(VLOOKUP(J2523,'NQ10'!$B$9:$C$145,2,0),"")</f>
        <v/>
      </c>
    </row>
    <row r="2524" spans="1:11" ht="15" customHeight="1" x14ac:dyDescent="0.25">
      <c r="A2524" s="75">
        <v>13</v>
      </c>
      <c r="B2524" s="75">
        <v>41</v>
      </c>
      <c r="C2524" s="75" t="s">
        <v>10</v>
      </c>
      <c r="D2524" s="75">
        <v>6670</v>
      </c>
      <c r="F2524" s="75" t="s">
        <v>10</v>
      </c>
      <c r="H2524" s="75" t="s">
        <v>10</v>
      </c>
      <c r="I2524" s="75">
        <v>19489</v>
      </c>
      <c r="K2524" s="75" t="str">
        <f>IFERROR(VLOOKUP(J2524,'NQ10'!$B$9:$C$145,2,0),"")</f>
        <v/>
      </c>
    </row>
    <row r="2525" spans="1:11" ht="15" customHeight="1" x14ac:dyDescent="0.25">
      <c r="A2525" s="75">
        <v>13</v>
      </c>
      <c r="B2525" s="75">
        <v>42</v>
      </c>
      <c r="C2525" s="75" t="s">
        <v>10</v>
      </c>
      <c r="D2525" s="75">
        <v>7558</v>
      </c>
      <c r="F2525" s="75" t="s">
        <v>10</v>
      </c>
      <c r="H2525" s="75" t="s">
        <v>10</v>
      </c>
      <c r="I2525" s="75">
        <v>19489</v>
      </c>
      <c r="K2525" s="75" t="str">
        <f>IFERROR(VLOOKUP(J2525,'NQ10'!$B$9:$C$145,2,0),"")</f>
        <v/>
      </c>
    </row>
    <row r="2526" spans="1:11" ht="15" customHeight="1" x14ac:dyDescent="0.25">
      <c r="A2526" s="75">
        <v>13</v>
      </c>
      <c r="B2526" s="75">
        <v>43</v>
      </c>
      <c r="C2526" s="75" t="s">
        <v>10</v>
      </c>
      <c r="D2526" s="75">
        <v>11692</v>
      </c>
      <c r="F2526" s="75" t="s">
        <v>10</v>
      </c>
      <c r="H2526" s="75" t="s">
        <v>10</v>
      </c>
      <c r="I2526" s="75">
        <v>19489</v>
      </c>
      <c r="K2526" s="75" t="str">
        <f>IFERROR(VLOOKUP(J2526,'NQ10'!$B$9:$C$145,2,0),"")</f>
        <v/>
      </c>
    </row>
    <row r="2527" spans="1:11" ht="15" customHeight="1" x14ac:dyDescent="0.25">
      <c r="A2527" s="75">
        <v>13</v>
      </c>
      <c r="B2527" s="75">
        <v>44</v>
      </c>
      <c r="C2527" s="75" t="s">
        <v>10</v>
      </c>
      <c r="D2527" s="75">
        <v>1079</v>
      </c>
      <c r="F2527" s="75" t="s">
        <v>10</v>
      </c>
      <c r="H2527" s="75" t="s">
        <v>10</v>
      </c>
      <c r="I2527" s="75">
        <v>19489</v>
      </c>
      <c r="K2527" s="75" t="str">
        <f>IFERROR(VLOOKUP(J2527,'NQ10'!$B$9:$C$145,2,0),"")</f>
        <v/>
      </c>
    </row>
    <row r="2528" spans="1:11" ht="15" customHeight="1" x14ac:dyDescent="0.25">
      <c r="A2528" s="75">
        <v>13</v>
      </c>
      <c r="B2528" s="75">
        <v>45</v>
      </c>
      <c r="C2528" s="75" t="s">
        <v>10</v>
      </c>
      <c r="D2528" s="75">
        <v>2926</v>
      </c>
      <c r="F2528" s="75" t="s">
        <v>10</v>
      </c>
      <c r="H2528" s="75" t="s">
        <v>10</v>
      </c>
      <c r="I2528" s="75">
        <v>19489</v>
      </c>
      <c r="K2528" s="75" t="str">
        <f>IFERROR(VLOOKUP(J2528,'NQ10'!$B$9:$C$145,2,0),"")</f>
        <v/>
      </c>
    </row>
    <row r="2529" spans="1:11" ht="15" customHeight="1" x14ac:dyDescent="0.25">
      <c r="A2529" s="75">
        <v>13</v>
      </c>
      <c r="B2529" s="75">
        <v>46</v>
      </c>
      <c r="C2529" s="75" t="s">
        <v>10</v>
      </c>
      <c r="D2529" s="75">
        <v>12775</v>
      </c>
      <c r="F2529" s="75" t="s">
        <v>10</v>
      </c>
      <c r="H2529" s="75" t="s">
        <v>10</v>
      </c>
      <c r="I2529" s="75">
        <v>19489</v>
      </c>
      <c r="K2529" s="75" t="str">
        <f>IFERROR(VLOOKUP(J2529,'NQ10'!$B$9:$C$145,2,0),"")</f>
        <v/>
      </c>
    </row>
    <row r="2530" spans="1:11" ht="15" customHeight="1" x14ac:dyDescent="0.25">
      <c r="A2530" s="75">
        <v>13</v>
      </c>
      <c r="B2530" s="75">
        <v>47</v>
      </c>
      <c r="C2530" s="75" t="s">
        <v>10</v>
      </c>
      <c r="D2530" s="75">
        <v>2849</v>
      </c>
      <c r="F2530" s="75" t="s">
        <v>10</v>
      </c>
      <c r="H2530" s="75" t="s">
        <v>10</v>
      </c>
      <c r="I2530" s="75">
        <v>19489</v>
      </c>
      <c r="K2530" s="75" t="str">
        <f>IFERROR(VLOOKUP(J2530,'NQ10'!$B$9:$C$145,2,0),"")</f>
        <v/>
      </c>
    </row>
    <row r="2531" spans="1:11" ht="15" customHeight="1" x14ac:dyDescent="0.25">
      <c r="A2531" s="75">
        <v>13</v>
      </c>
      <c r="B2531" s="75">
        <v>48</v>
      </c>
      <c r="C2531" s="75" t="s">
        <v>10</v>
      </c>
      <c r="D2531" s="75">
        <v>8792</v>
      </c>
      <c r="F2531" s="75" t="s">
        <v>10</v>
      </c>
      <c r="H2531" s="75" t="s">
        <v>10</v>
      </c>
      <c r="I2531" s="75">
        <v>19489</v>
      </c>
      <c r="K2531" s="75" t="str">
        <f>IFERROR(VLOOKUP(J2531,'NQ10'!$B$9:$C$145,2,0),"")</f>
        <v/>
      </c>
    </row>
    <row r="2532" spans="1:11" ht="15" customHeight="1" x14ac:dyDescent="0.25">
      <c r="A2532" s="75">
        <v>13</v>
      </c>
      <c r="B2532" s="75">
        <v>49</v>
      </c>
      <c r="C2532" s="75" t="s">
        <v>10</v>
      </c>
      <c r="D2532" s="75">
        <v>7635</v>
      </c>
      <c r="F2532" s="75" t="s">
        <v>10</v>
      </c>
      <c r="H2532" s="75" t="s">
        <v>10</v>
      </c>
      <c r="I2532" s="75">
        <v>19489</v>
      </c>
      <c r="K2532" s="75" t="str">
        <f>IFERROR(VLOOKUP(J2532,'NQ10'!$B$9:$C$145,2,0),"")</f>
        <v/>
      </c>
    </row>
    <row r="2533" spans="1:11" ht="15" customHeight="1" x14ac:dyDescent="0.25">
      <c r="A2533" s="75">
        <v>13</v>
      </c>
      <c r="B2533" s="75">
        <v>50</v>
      </c>
      <c r="C2533" s="75" t="s">
        <v>10</v>
      </c>
      <c r="D2533" s="75">
        <v>1601</v>
      </c>
      <c r="F2533" s="75" t="s">
        <v>10</v>
      </c>
      <c r="H2533" s="75" t="s">
        <v>10</v>
      </c>
      <c r="I2533" s="75">
        <v>19489</v>
      </c>
      <c r="K2533" s="75" t="str">
        <f>IFERROR(VLOOKUP(J2533,'NQ10'!$B$9:$C$145,2,0),"")</f>
        <v/>
      </c>
    </row>
    <row r="2534" spans="1:11" ht="15" customHeight="1" x14ac:dyDescent="0.25">
      <c r="A2534" s="75">
        <v>13</v>
      </c>
      <c r="B2534" s="75">
        <v>51</v>
      </c>
      <c r="C2534" s="75" t="s">
        <v>10</v>
      </c>
      <c r="D2534" s="75">
        <v>9891</v>
      </c>
      <c r="F2534" s="75" t="s">
        <v>10</v>
      </c>
      <c r="H2534" s="75" t="s">
        <v>10</v>
      </c>
      <c r="I2534" s="75">
        <v>19489</v>
      </c>
      <c r="K2534" s="75" t="str">
        <f>IFERROR(VLOOKUP(J2534,'NQ10'!$B$9:$C$145,2,0),"")</f>
        <v/>
      </c>
    </row>
    <row r="2535" spans="1:11" ht="15" customHeight="1" x14ac:dyDescent="0.25">
      <c r="A2535" s="75">
        <v>13</v>
      </c>
      <c r="B2535" s="75">
        <v>52</v>
      </c>
      <c r="C2535" s="75" t="s">
        <v>10</v>
      </c>
      <c r="D2535" s="75">
        <v>1264</v>
      </c>
      <c r="F2535" s="75" t="s">
        <v>10</v>
      </c>
      <c r="H2535" s="75" t="s">
        <v>10</v>
      </c>
      <c r="I2535" s="75">
        <v>19489</v>
      </c>
      <c r="K2535" s="75" t="str">
        <f>IFERROR(VLOOKUP(J2535,'NQ10'!$B$9:$C$145,2,0),"")</f>
        <v/>
      </c>
    </row>
    <row r="2536" spans="1:11" ht="15" customHeight="1" x14ac:dyDescent="0.25">
      <c r="A2536" s="75">
        <v>13</v>
      </c>
      <c r="B2536" s="75">
        <v>53</v>
      </c>
      <c r="C2536" s="75" t="s">
        <v>10</v>
      </c>
      <c r="D2536" s="75">
        <v>2848</v>
      </c>
      <c r="F2536" s="75" t="s">
        <v>10</v>
      </c>
      <c r="H2536" s="75" t="s">
        <v>10</v>
      </c>
      <c r="I2536" s="75">
        <v>19489</v>
      </c>
      <c r="K2536" s="75" t="str">
        <f>IFERROR(VLOOKUP(J2536,'NQ10'!$B$9:$C$145,2,0),"")</f>
        <v/>
      </c>
    </row>
    <row r="2537" spans="1:11" ht="15" customHeight="1" x14ac:dyDescent="0.25">
      <c r="A2537" s="75">
        <v>13</v>
      </c>
      <c r="B2537" s="75">
        <v>54</v>
      </c>
      <c r="C2537" s="75" t="s">
        <v>10</v>
      </c>
      <c r="D2537" s="75">
        <v>3964</v>
      </c>
      <c r="F2537" s="75" t="s">
        <v>10</v>
      </c>
      <c r="H2537" s="75" t="s">
        <v>10</v>
      </c>
      <c r="I2537" s="75">
        <v>19489</v>
      </c>
      <c r="K2537" s="75" t="str">
        <f>IFERROR(VLOOKUP(J2537,'NQ10'!$B$9:$C$145,2,0),"")</f>
        <v/>
      </c>
    </row>
    <row r="2538" spans="1:11" ht="15" customHeight="1" x14ac:dyDescent="0.25">
      <c r="A2538" s="75">
        <v>14</v>
      </c>
      <c r="C2538" s="75" t="s">
        <v>10</v>
      </c>
      <c r="D2538" s="75">
        <v>17591</v>
      </c>
      <c r="F2538" s="75" t="s">
        <v>10</v>
      </c>
      <c r="H2538" s="75" t="s">
        <v>10</v>
      </c>
      <c r="I2538" s="75">
        <v>19489</v>
      </c>
      <c r="K2538" s="75" t="str">
        <f>IFERROR(VLOOKUP(J2538,'NQ10'!$B$9:$C$145,2,0),"")</f>
        <v/>
      </c>
    </row>
    <row r="2539" spans="1:11" ht="15" customHeight="1" x14ac:dyDescent="0.25">
      <c r="A2539" s="75">
        <v>14</v>
      </c>
      <c r="C2539" s="75" t="s">
        <v>10</v>
      </c>
      <c r="D2539" s="75">
        <v>9402</v>
      </c>
      <c r="F2539" s="75" t="s">
        <v>10</v>
      </c>
      <c r="H2539" s="75" t="s">
        <v>10</v>
      </c>
      <c r="I2539" s="75">
        <v>19489</v>
      </c>
      <c r="K2539" s="75" t="str">
        <f>IFERROR(VLOOKUP(J2539,'NQ10'!$B$9:$C$145,2,0),"")</f>
        <v/>
      </c>
    </row>
    <row r="2540" spans="1:11" ht="15" customHeight="1" x14ac:dyDescent="0.25">
      <c r="A2540" s="75">
        <v>14</v>
      </c>
      <c r="C2540" s="75" t="s">
        <v>10</v>
      </c>
      <c r="D2540" s="75">
        <v>744</v>
      </c>
      <c r="F2540" s="75" t="s">
        <v>10</v>
      </c>
      <c r="H2540" s="75" t="s">
        <v>10</v>
      </c>
      <c r="I2540" s="75">
        <v>19489</v>
      </c>
      <c r="K2540" s="75" t="str">
        <f>IFERROR(VLOOKUP(J2540,'NQ10'!$B$9:$C$145,2,0),"")</f>
        <v/>
      </c>
    </row>
    <row r="2541" spans="1:11" ht="15" customHeight="1" x14ac:dyDescent="0.25">
      <c r="A2541" s="75">
        <v>14</v>
      </c>
      <c r="C2541" s="75" t="s">
        <v>10</v>
      </c>
      <c r="D2541" s="75">
        <v>78</v>
      </c>
      <c r="F2541" s="75" t="s">
        <v>10</v>
      </c>
      <c r="H2541" s="75" t="s">
        <v>10</v>
      </c>
      <c r="I2541" s="75">
        <v>19489</v>
      </c>
      <c r="K2541" s="75" t="str">
        <f>IFERROR(VLOOKUP(J2541,'NQ10'!$B$9:$C$145,2,0),"")</f>
        <v/>
      </c>
    </row>
    <row r="2542" spans="1:11" ht="15" customHeight="1" x14ac:dyDescent="0.25">
      <c r="A2542" s="75">
        <v>14</v>
      </c>
      <c r="C2542" s="75" t="s">
        <v>10</v>
      </c>
      <c r="D2542" s="75">
        <v>7936</v>
      </c>
      <c r="F2542" s="75" t="s">
        <v>10</v>
      </c>
      <c r="H2542" s="75" t="s">
        <v>10</v>
      </c>
      <c r="I2542" s="75">
        <v>19489</v>
      </c>
      <c r="K2542" s="75" t="str">
        <f>IFERROR(VLOOKUP(J2542,'NQ10'!$B$9:$C$145,2,0),"")</f>
        <v/>
      </c>
    </row>
    <row r="2543" spans="1:11" ht="15" customHeight="1" x14ac:dyDescent="0.25">
      <c r="A2543" s="75">
        <v>14</v>
      </c>
      <c r="C2543" s="75" t="s">
        <v>10</v>
      </c>
      <c r="D2543" s="75">
        <v>156</v>
      </c>
      <c r="F2543" s="75" t="s">
        <v>10</v>
      </c>
      <c r="H2543" s="75" t="s">
        <v>10</v>
      </c>
      <c r="I2543" s="75">
        <v>19489</v>
      </c>
      <c r="K2543" s="75" t="str">
        <f>IFERROR(VLOOKUP(J2543,'NQ10'!$B$9:$C$145,2,0),"")</f>
        <v/>
      </c>
    </row>
    <row r="2544" spans="1:11" ht="15" customHeight="1" x14ac:dyDescent="0.25">
      <c r="A2544" s="75">
        <v>14</v>
      </c>
      <c r="B2544" s="75">
        <v>7</v>
      </c>
      <c r="C2544" s="75" t="s">
        <v>10</v>
      </c>
      <c r="D2544" s="75">
        <v>4710</v>
      </c>
      <c r="F2544" s="75" t="s">
        <v>10</v>
      </c>
      <c r="H2544" s="75" t="s">
        <v>10</v>
      </c>
      <c r="I2544" s="75">
        <v>19489</v>
      </c>
      <c r="K2544" s="75" t="str">
        <f>IFERROR(VLOOKUP(J2544,'NQ10'!$B$9:$C$145,2,0),"")</f>
        <v/>
      </c>
    </row>
    <row r="2545" spans="1:11" ht="15" customHeight="1" x14ac:dyDescent="0.25">
      <c r="A2545" s="75">
        <v>14</v>
      </c>
      <c r="B2545" s="75">
        <v>8</v>
      </c>
      <c r="C2545" s="75" t="s">
        <v>10</v>
      </c>
      <c r="D2545" s="75">
        <v>13375</v>
      </c>
      <c r="F2545" s="75" t="s">
        <v>10</v>
      </c>
      <c r="H2545" s="75" t="s">
        <v>10</v>
      </c>
      <c r="I2545" s="75">
        <v>19489</v>
      </c>
      <c r="K2545" s="75" t="str">
        <f>IFERROR(VLOOKUP(J2545,'NQ10'!$B$9:$C$145,2,0),"")</f>
        <v/>
      </c>
    </row>
    <row r="2546" spans="1:11" ht="15" customHeight="1" x14ac:dyDescent="0.25">
      <c r="A2546" s="75">
        <v>14</v>
      </c>
      <c r="B2546" s="75">
        <v>10</v>
      </c>
      <c r="C2546" s="75" t="s">
        <v>10</v>
      </c>
      <c r="D2546" s="75">
        <v>3036</v>
      </c>
      <c r="F2546" s="75" t="s">
        <v>10</v>
      </c>
      <c r="H2546" s="75" t="s">
        <v>10</v>
      </c>
      <c r="I2546" s="75">
        <v>19489</v>
      </c>
      <c r="K2546" s="75" t="str">
        <f>IFERROR(VLOOKUP(J2546,'NQ10'!$B$9:$C$145,2,0),"")</f>
        <v/>
      </c>
    </row>
    <row r="2547" spans="1:11" ht="15" customHeight="1" x14ac:dyDescent="0.25">
      <c r="A2547" s="75">
        <v>14</v>
      </c>
      <c r="B2547" s="75">
        <v>12</v>
      </c>
      <c r="C2547" s="75" t="s">
        <v>10</v>
      </c>
      <c r="D2547" s="75">
        <v>3329</v>
      </c>
      <c r="F2547" s="75" t="s">
        <v>10</v>
      </c>
      <c r="H2547" s="75" t="s">
        <v>10</v>
      </c>
      <c r="I2547" s="75">
        <v>19489</v>
      </c>
      <c r="K2547" s="75" t="str">
        <f>IFERROR(VLOOKUP(J2547,'NQ10'!$B$9:$C$145,2,0),"")</f>
        <v/>
      </c>
    </row>
    <row r="2548" spans="1:11" ht="15" customHeight="1" x14ac:dyDescent="0.25">
      <c r="A2548" s="75">
        <v>14</v>
      </c>
      <c r="B2548" s="75">
        <v>13</v>
      </c>
      <c r="C2548" s="75" t="s">
        <v>10</v>
      </c>
      <c r="D2548" s="75">
        <v>6163</v>
      </c>
      <c r="F2548" s="75" t="s">
        <v>10</v>
      </c>
      <c r="H2548" s="75" t="s">
        <v>10</v>
      </c>
      <c r="I2548" s="75">
        <v>19489</v>
      </c>
      <c r="K2548" s="75" t="str">
        <f>IFERROR(VLOOKUP(J2548,'NQ10'!$B$9:$C$145,2,0),"")</f>
        <v/>
      </c>
    </row>
    <row r="2549" spans="1:11" ht="15" customHeight="1" x14ac:dyDescent="0.25">
      <c r="A2549" s="75">
        <v>14</v>
      </c>
      <c r="B2549" s="75">
        <v>14</v>
      </c>
      <c r="C2549" s="75" t="s">
        <v>10</v>
      </c>
      <c r="D2549" s="75">
        <v>3943</v>
      </c>
      <c r="F2549" s="75" t="s">
        <v>10</v>
      </c>
      <c r="H2549" s="75" t="s">
        <v>10</v>
      </c>
      <c r="I2549" s="75">
        <v>19489</v>
      </c>
      <c r="K2549" s="75" t="str">
        <f>IFERROR(VLOOKUP(J2549,'NQ10'!$B$9:$C$145,2,0),"")</f>
        <v/>
      </c>
    </row>
    <row r="2550" spans="1:11" ht="15" customHeight="1" x14ac:dyDescent="0.25">
      <c r="A2550" s="75">
        <v>14</v>
      </c>
      <c r="B2550" s="75">
        <v>15</v>
      </c>
      <c r="C2550" s="75" t="s">
        <v>10</v>
      </c>
      <c r="D2550" s="75">
        <v>11888</v>
      </c>
      <c r="F2550" s="75" t="s">
        <v>10</v>
      </c>
      <c r="H2550" s="75" t="s">
        <v>10</v>
      </c>
      <c r="I2550" s="75">
        <v>19489</v>
      </c>
      <c r="K2550" s="75" t="str">
        <f>IFERROR(VLOOKUP(J2550,'NQ10'!$B$9:$C$145,2,0),"")</f>
        <v/>
      </c>
    </row>
    <row r="2551" spans="1:11" ht="15" customHeight="1" x14ac:dyDescent="0.25">
      <c r="A2551" s="75">
        <v>14</v>
      </c>
      <c r="B2551" s="75">
        <v>16</v>
      </c>
      <c r="C2551" s="75" t="s">
        <v>10</v>
      </c>
      <c r="D2551" s="75">
        <v>1697</v>
      </c>
      <c r="F2551" s="75" t="s">
        <v>10</v>
      </c>
      <c r="H2551" s="75" t="s">
        <v>10</v>
      </c>
      <c r="I2551" s="75">
        <v>19489</v>
      </c>
      <c r="K2551" s="75" t="str">
        <f>IFERROR(VLOOKUP(J2551,'NQ10'!$B$9:$C$145,2,0),"")</f>
        <v/>
      </c>
    </row>
    <row r="2552" spans="1:11" ht="15" customHeight="1" x14ac:dyDescent="0.25">
      <c r="A2552" s="75">
        <v>14</v>
      </c>
      <c r="B2552" s="75">
        <v>17</v>
      </c>
      <c r="C2552" s="75" t="s">
        <v>10</v>
      </c>
      <c r="D2552" s="75">
        <v>2420</v>
      </c>
      <c r="F2552" s="75" t="s">
        <v>10</v>
      </c>
      <c r="H2552" s="75" t="s">
        <v>10</v>
      </c>
      <c r="I2552" s="75">
        <v>19489</v>
      </c>
      <c r="K2552" s="75" t="str">
        <f>IFERROR(VLOOKUP(J2552,'NQ10'!$B$9:$C$145,2,0),"")</f>
        <v/>
      </c>
    </row>
    <row r="2553" spans="1:11" ht="15" customHeight="1" x14ac:dyDescent="0.25">
      <c r="A2553" s="75">
        <v>14</v>
      </c>
      <c r="B2553" s="75">
        <v>18</v>
      </c>
      <c r="C2553" s="75" t="s">
        <v>10</v>
      </c>
      <c r="D2553" s="75">
        <v>8154</v>
      </c>
      <c r="F2553" s="75" t="s">
        <v>10</v>
      </c>
      <c r="H2553" s="75" t="s">
        <v>10</v>
      </c>
      <c r="I2553" s="75">
        <v>19489</v>
      </c>
      <c r="K2553" s="75" t="str">
        <f>IFERROR(VLOOKUP(J2553,'NQ10'!$B$9:$C$145,2,0),"")</f>
        <v/>
      </c>
    </row>
    <row r="2554" spans="1:11" ht="15" customHeight="1" x14ac:dyDescent="0.25">
      <c r="A2554" s="75">
        <v>14</v>
      </c>
      <c r="B2554" s="75">
        <v>19</v>
      </c>
      <c r="C2554" s="75" t="s">
        <v>10</v>
      </c>
      <c r="D2554" s="75">
        <v>43927</v>
      </c>
      <c r="F2554" s="75" t="s">
        <v>10</v>
      </c>
      <c r="H2554" s="75" t="s">
        <v>10</v>
      </c>
      <c r="I2554" s="75">
        <v>19489</v>
      </c>
      <c r="K2554" s="75" t="str">
        <f>IFERROR(VLOOKUP(J2554,'NQ10'!$B$9:$C$145,2,0),"")</f>
        <v/>
      </c>
    </row>
    <row r="2555" spans="1:11" ht="15" customHeight="1" x14ac:dyDescent="0.25">
      <c r="A2555" s="75">
        <v>15</v>
      </c>
      <c r="C2555" s="75" t="s">
        <v>10</v>
      </c>
      <c r="D2555" s="75">
        <v>6006</v>
      </c>
      <c r="F2555" s="75" t="s">
        <v>10</v>
      </c>
      <c r="H2555" s="75" t="s">
        <v>10</v>
      </c>
      <c r="I2555" s="75">
        <v>19489</v>
      </c>
      <c r="K2555" s="75" t="str">
        <f>IFERROR(VLOOKUP(J2555,'NQ10'!$B$9:$C$145,2,0),"")</f>
        <v/>
      </c>
    </row>
    <row r="2556" spans="1:11" ht="15" customHeight="1" x14ac:dyDescent="0.25">
      <c r="A2556" s="75">
        <v>15</v>
      </c>
      <c r="C2556" s="75" t="s">
        <v>10</v>
      </c>
      <c r="D2556" s="75">
        <v>3430</v>
      </c>
      <c r="F2556" s="75" t="s">
        <v>10</v>
      </c>
      <c r="H2556" s="75" t="s">
        <v>10</v>
      </c>
      <c r="I2556" s="75">
        <v>19489</v>
      </c>
      <c r="K2556" s="75" t="str">
        <f>IFERROR(VLOOKUP(J2556,'NQ10'!$B$9:$C$145,2,0),"")</f>
        <v/>
      </c>
    </row>
    <row r="2557" spans="1:11" ht="15" customHeight="1" x14ac:dyDescent="0.25">
      <c r="A2557" s="75">
        <v>15</v>
      </c>
      <c r="C2557" s="75" t="s">
        <v>10</v>
      </c>
      <c r="D2557" s="75">
        <v>2395</v>
      </c>
      <c r="F2557" s="75" t="s">
        <v>10</v>
      </c>
      <c r="H2557" s="75" t="s">
        <v>10</v>
      </c>
      <c r="I2557" s="75">
        <v>19489</v>
      </c>
      <c r="K2557" s="75" t="str">
        <f>IFERROR(VLOOKUP(J2557,'NQ10'!$B$9:$C$145,2,0),"")</f>
        <v/>
      </c>
    </row>
    <row r="2558" spans="1:11" ht="15" customHeight="1" x14ac:dyDescent="0.25">
      <c r="A2558" s="75">
        <v>15</v>
      </c>
      <c r="C2558" s="75" t="s">
        <v>10</v>
      </c>
      <c r="D2558" s="75">
        <v>3934</v>
      </c>
      <c r="F2558" s="75" t="s">
        <v>10</v>
      </c>
      <c r="H2558" s="75" t="s">
        <v>10</v>
      </c>
      <c r="I2558" s="75">
        <v>19489</v>
      </c>
      <c r="K2558" s="75" t="str">
        <f>IFERROR(VLOOKUP(J2558,'NQ10'!$B$9:$C$145,2,0),"")</f>
        <v/>
      </c>
    </row>
    <row r="2559" spans="1:11" ht="15" customHeight="1" x14ac:dyDescent="0.25">
      <c r="A2559" s="75">
        <v>15</v>
      </c>
      <c r="C2559" s="75" t="s">
        <v>10</v>
      </c>
      <c r="D2559" s="75">
        <v>8494</v>
      </c>
      <c r="F2559" s="75" t="s">
        <v>10</v>
      </c>
      <c r="H2559" s="75" t="s">
        <v>10</v>
      </c>
      <c r="I2559" s="75">
        <v>19489</v>
      </c>
      <c r="K2559" s="75" t="str">
        <f>IFERROR(VLOOKUP(J2559,'NQ10'!$B$9:$C$145,2,0),"")</f>
        <v/>
      </c>
    </row>
    <row r="2560" spans="1:11" ht="15" customHeight="1" x14ac:dyDescent="0.25">
      <c r="A2560" s="75">
        <v>15</v>
      </c>
      <c r="C2560" s="75" t="s">
        <v>10</v>
      </c>
      <c r="D2560" s="75">
        <v>3574</v>
      </c>
      <c r="F2560" s="75" t="s">
        <v>10</v>
      </c>
      <c r="H2560" s="75" t="s">
        <v>10</v>
      </c>
      <c r="I2560" s="75">
        <v>19489</v>
      </c>
      <c r="K2560" s="75" t="str">
        <f>IFERROR(VLOOKUP(J2560,'NQ10'!$B$9:$C$145,2,0),"")</f>
        <v/>
      </c>
    </row>
    <row r="2561" spans="1:11" ht="15" customHeight="1" x14ac:dyDescent="0.25">
      <c r="A2561" s="75">
        <v>15</v>
      </c>
      <c r="C2561" s="75" t="s">
        <v>10</v>
      </c>
      <c r="D2561" s="75">
        <v>187</v>
      </c>
      <c r="F2561" s="75" t="s">
        <v>10</v>
      </c>
      <c r="H2561" s="75" t="s">
        <v>10</v>
      </c>
      <c r="I2561" s="75">
        <v>19489</v>
      </c>
      <c r="K2561" s="75" t="str">
        <f>IFERROR(VLOOKUP(J2561,'NQ10'!$B$9:$C$145,2,0),"")</f>
        <v/>
      </c>
    </row>
    <row r="2562" spans="1:11" ht="15" customHeight="1" x14ac:dyDescent="0.25">
      <c r="A2562" s="75">
        <v>15</v>
      </c>
      <c r="C2562" s="75" t="s">
        <v>10</v>
      </c>
      <c r="D2562" s="75">
        <v>1344</v>
      </c>
      <c r="F2562" s="75" t="s">
        <v>10</v>
      </c>
      <c r="H2562" s="75" t="s">
        <v>10</v>
      </c>
      <c r="I2562" s="75">
        <v>19489</v>
      </c>
      <c r="K2562" s="75" t="str">
        <f>IFERROR(VLOOKUP(J2562,'NQ10'!$B$9:$C$145,2,0),"")</f>
        <v/>
      </c>
    </row>
    <row r="2563" spans="1:11" ht="15" customHeight="1" x14ac:dyDescent="0.25">
      <c r="A2563" s="75">
        <v>15</v>
      </c>
      <c r="C2563" s="75" t="s">
        <v>10</v>
      </c>
      <c r="D2563" s="75">
        <v>3212</v>
      </c>
      <c r="F2563" s="75" t="s">
        <v>10</v>
      </c>
      <c r="H2563" s="75" t="s">
        <v>10</v>
      </c>
      <c r="I2563" s="75">
        <v>19489</v>
      </c>
      <c r="K2563" s="75" t="str">
        <f>IFERROR(VLOOKUP(J2563,'NQ10'!$B$9:$C$145,2,0),"")</f>
        <v/>
      </c>
    </row>
    <row r="2564" spans="1:11" ht="15" customHeight="1" x14ac:dyDescent="0.25">
      <c r="A2564" s="75">
        <v>15</v>
      </c>
      <c r="C2564" s="75" t="s">
        <v>10</v>
      </c>
      <c r="D2564" s="75">
        <v>7407</v>
      </c>
      <c r="F2564" s="75" t="s">
        <v>10</v>
      </c>
      <c r="H2564" s="75" t="s">
        <v>10</v>
      </c>
      <c r="I2564" s="75">
        <v>19489</v>
      </c>
      <c r="K2564" s="75" t="str">
        <f>IFERROR(VLOOKUP(J2564,'NQ10'!$B$9:$C$145,2,0),"")</f>
        <v/>
      </c>
    </row>
    <row r="2565" spans="1:11" ht="15" customHeight="1" x14ac:dyDescent="0.25">
      <c r="A2565" s="75">
        <v>15</v>
      </c>
      <c r="C2565" s="75" t="s">
        <v>10</v>
      </c>
      <c r="D2565" s="75">
        <v>452</v>
      </c>
      <c r="F2565" s="75" t="s">
        <v>10</v>
      </c>
      <c r="H2565" s="75" t="s">
        <v>10</v>
      </c>
      <c r="I2565" s="75">
        <v>19489</v>
      </c>
      <c r="K2565" s="75" t="str">
        <f>IFERROR(VLOOKUP(J2565,'NQ10'!$B$9:$C$145,2,0),"")</f>
        <v/>
      </c>
    </row>
    <row r="2566" spans="1:11" ht="15" customHeight="1" x14ac:dyDescent="0.25">
      <c r="A2566" s="75">
        <v>15</v>
      </c>
      <c r="C2566" s="75" t="s">
        <v>10</v>
      </c>
      <c r="D2566" s="75">
        <v>3605</v>
      </c>
      <c r="F2566" s="75" t="s">
        <v>10</v>
      </c>
      <c r="H2566" s="75" t="s">
        <v>10</v>
      </c>
      <c r="I2566" s="75">
        <v>19489</v>
      </c>
      <c r="K2566" s="75" t="str">
        <f>IFERROR(VLOOKUP(J2566,'NQ10'!$B$9:$C$145,2,0),"")</f>
        <v/>
      </c>
    </row>
    <row r="2567" spans="1:11" ht="15" customHeight="1" x14ac:dyDescent="0.25">
      <c r="A2567" s="75">
        <v>15</v>
      </c>
      <c r="C2567" s="75" t="s">
        <v>10</v>
      </c>
      <c r="D2567" s="75">
        <v>809</v>
      </c>
      <c r="F2567" s="75" t="s">
        <v>10</v>
      </c>
      <c r="H2567" s="75" t="s">
        <v>10</v>
      </c>
      <c r="I2567" s="75">
        <v>19489</v>
      </c>
      <c r="K2567" s="75" t="str">
        <f>IFERROR(VLOOKUP(J2567,'NQ10'!$B$9:$C$145,2,0),"")</f>
        <v/>
      </c>
    </row>
    <row r="2568" spans="1:11" ht="15" customHeight="1" x14ac:dyDescent="0.25">
      <c r="A2568" s="75">
        <v>15</v>
      </c>
      <c r="B2568" s="75">
        <v>2</v>
      </c>
      <c r="C2568" s="75" t="s">
        <v>10</v>
      </c>
      <c r="D2568" s="75">
        <v>8573</v>
      </c>
      <c r="F2568" s="75" t="s">
        <v>10</v>
      </c>
      <c r="H2568" s="75" t="s">
        <v>10</v>
      </c>
      <c r="I2568" s="75">
        <v>19489</v>
      </c>
      <c r="K2568" s="75" t="str">
        <f>IFERROR(VLOOKUP(J2568,'NQ10'!$B$9:$C$145,2,0),"")</f>
        <v/>
      </c>
    </row>
    <row r="2569" spans="1:11" ht="15" customHeight="1" x14ac:dyDescent="0.25">
      <c r="A2569" s="75">
        <v>15</v>
      </c>
      <c r="B2569" s="75">
        <v>3</v>
      </c>
      <c r="C2569" s="75" t="s">
        <v>10</v>
      </c>
      <c r="D2569" s="75">
        <v>3945</v>
      </c>
      <c r="F2569" s="75" t="s">
        <v>10</v>
      </c>
      <c r="H2569" s="75" t="s">
        <v>10</v>
      </c>
      <c r="I2569" s="75">
        <v>19489</v>
      </c>
      <c r="K2569" s="75" t="str">
        <f>IFERROR(VLOOKUP(J2569,'NQ10'!$B$9:$C$145,2,0),"")</f>
        <v/>
      </c>
    </row>
    <row r="2570" spans="1:11" ht="15" customHeight="1" x14ac:dyDescent="0.25">
      <c r="A2570" s="75">
        <v>15</v>
      </c>
      <c r="B2570" s="75">
        <v>4</v>
      </c>
      <c r="C2570" s="75" t="s">
        <v>10</v>
      </c>
      <c r="D2570" s="75">
        <v>5038</v>
      </c>
      <c r="F2570" s="75" t="s">
        <v>10</v>
      </c>
      <c r="H2570" s="75" t="s">
        <v>10</v>
      </c>
      <c r="I2570" s="75">
        <v>19489</v>
      </c>
      <c r="K2570" s="75" t="str">
        <f>IFERROR(VLOOKUP(J2570,'NQ10'!$B$9:$C$145,2,0),"")</f>
        <v/>
      </c>
    </row>
    <row r="2571" spans="1:11" ht="15" customHeight="1" x14ac:dyDescent="0.25">
      <c r="A2571" s="75">
        <v>15</v>
      </c>
      <c r="B2571" s="75">
        <v>5</v>
      </c>
      <c r="C2571" s="75" t="s">
        <v>10</v>
      </c>
      <c r="D2571" s="75">
        <v>2447</v>
      </c>
      <c r="F2571" s="75" t="s">
        <v>10</v>
      </c>
      <c r="H2571" s="75" t="s">
        <v>10</v>
      </c>
      <c r="I2571" s="75">
        <v>19489</v>
      </c>
      <c r="K2571" s="75" t="str">
        <f>IFERROR(VLOOKUP(J2571,'NQ10'!$B$9:$C$145,2,0),"")</f>
        <v/>
      </c>
    </row>
    <row r="2572" spans="1:11" ht="15" customHeight="1" x14ac:dyDescent="0.25">
      <c r="A2572" s="75">
        <v>15</v>
      </c>
      <c r="B2572" s="75">
        <v>6</v>
      </c>
      <c r="C2572" s="75" t="s">
        <v>10</v>
      </c>
      <c r="D2572" s="75">
        <v>5407</v>
      </c>
      <c r="F2572" s="75" t="s">
        <v>10</v>
      </c>
      <c r="H2572" s="75" t="s">
        <v>10</v>
      </c>
      <c r="I2572" s="75">
        <v>19489</v>
      </c>
      <c r="K2572" s="75" t="str">
        <f>IFERROR(VLOOKUP(J2572,'NQ10'!$B$9:$C$145,2,0),"")</f>
        <v/>
      </c>
    </row>
    <row r="2573" spans="1:11" ht="15" customHeight="1" x14ac:dyDescent="0.25">
      <c r="A2573" s="75">
        <v>15</v>
      </c>
      <c r="B2573" s="75">
        <v>7</v>
      </c>
      <c r="C2573" s="75" t="s">
        <v>10</v>
      </c>
      <c r="D2573" s="75">
        <v>27767</v>
      </c>
      <c r="F2573" s="75" t="s">
        <v>10</v>
      </c>
      <c r="H2573" s="75" t="s">
        <v>10</v>
      </c>
      <c r="I2573" s="75">
        <v>19489</v>
      </c>
      <c r="K2573" s="75" t="str">
        <f>IFERROR(VLOOKUP(J2573,'NQ10'!$B$9:$C$145,2,0),"")</f>
        <v/>
      </c>
    </row>
    <row r="2574" spans="1:11" ht="15" customHeight="1" x14ac:dyDescent="0.25">
      <c r="A2574" s="75">
        <v>15</v>
      </c>
      <c r="B2574" s="75">
        <v>8</v>
      </c>
      <c r="C2574" s="75" t="s">
        <v>10</v>
      </c>
      <c r="D2574" s="75">
        <v>2948</v>
      </c>
      <c r="F2574" s="75" t="s">
        <v>10</v>
      </c>
      <c r="H2574" s="75" t="s">
        <v>10</v>
      </c>
      <c r="I2574" s="75">
        <v>19489</v>
      </c>
      <c r="K2574" s="75" t="str">
        <f>IFERROR(VLOOKUP(J2574,'NQ10'!$B$9:$C$145,2,0),"")</f>
        <v/>
      </c>
    </row>
    <row r="2575" spans="1:11" ht="15" customHeight="1" x14ac:dyDescent="0.25">
      <c r="A2575" s="75">
        <v>15</v>
      </c>
      <c r="B2575" s="75">
        <v>9</v>
      </c>
      <c r="C2575" s="75" t="s">
        <v>10</v>
      </c>
      <c r="D2575" s="75">
        <v>4819</v>
      </c>
      <c r="F2575" s="75" t="s">
        <v>10</v>
      </c>
      <c r="H2575" s="75" t="s">
        <v>10</v>
      </c>
      <c r="I2575" s="75">
        <v>19489</v>
      </c>
      <c r="K2575" s="75" t="str">
        <f>IFERROR(VLOOKUP(J2575,'NQ10'!$B$9:$C$145,2,0),"")</f>
        <v/>
      </c>
    </row>
    <row r="2576" spans="1:11" ht="15" customHeight="1" x14ac:dyDescent="0.25">
      <c r="A2576" s="75">
        <v>15</v>
      </c>
      <c r="B2576" s="75">
        <v>10</v>
      </c>
      <c r="C2576" s="75" t="s">
        <v>10</v>
      </c>
      <c r="D2576" s="75">
        <v>8002</v>
      </c>
      <c r="F2576" s="75" t="s">
        <v>10</v>
      </c>
      <c r="H2576" s="75" t="s">
        <v>10</v>
      </c>
      <c r="I2576" s="75">
        <v>19489</v>
      </c>
      <c r="K2576" s="75" t="str">
        <f>IFERROR(VLOOKUP(J2576,'NQ10'!$B$9:$C$145,2,0),"")</f>
        <v/>
      </c>
    </row>
    <row r="2577" spans="1:11" ht="15" customHeight="1" x14ac:dyDescent="0.25">
      <c r="A2577" s="75">
        <v>15</v>
      </c>
      <c r="B2577" s="75">
        <v>11</v>
      </c>
      <c r="C2577" s="75" t="s">
        <v>10</v>
      </c>
      <c r="D2577" s="75">
        <v>2897</v>
      </c>
      <c r="F2577" s="75" t="s">
        <v>10</v>
      </c>
      <c r="H2577" s="75" t="s">
        <v>10</v>
      </c>
      <c r="I2577" s="75">
        <v>19489</v>
      </c>
      <c r="K2577" s="75" t="str">
        <f>IFERROR(VLOOKUP(J2577,'NQ10'!$B$9:$C$145,2,0),"")</f>
        <v/>
      </c>
    </row>
    <row r="2578" spans="1:11" ht="15" customHeight="1" x14ac:dyDescent="0.25">
      <c r="A2578" s="75">
        <v>15</v>
      </c>
      <c r="B2578" s="75">
        <v>12</v>
      </c>
      <c r="C2578" s="75" t="s">
        <v>10</v>
      </c>
      <c r="D2578" s="75">
        <v>4612</v>
      </c>
      <c r="F2578" s="75" t="s">
        <v>10</v>
      </c>
      <c r="H2578" s="75" t="s">
        <v>10</v>
      </c>
      <c r="I2578" s="75">
        <v>19489</v>
      </c>
      <c r="K2578" s="75" t="str">
        <f>IFERROR(VLOOKUP(J2578,'NQ10'!$B$9:$C$145,2,0),"")</f>
        <v/>
      </c>
    </row>
    <row r="2579" spans="1:11" ht="15" customHeight="1" x14ac:dyDescent="0.25">
      <c r="A2579" s="75">
        <v>15</v>
      </c>
      <c r="B2579" s="75">
        <v>13</v>
      </c>
      <c r="C2579" s="75" t="s">
        <v>10</v>
      </c>
      <c r="D2579" s="75">
        <v>10996</v>
      </c>
      <c r="F2579" s="75" t="s">
        <v>10</v>
      </c>
      <c r="H2579" s="75" t="s">
        <v>10</v>
      </c>
      <c r="I2579" s="75">
        <v>19489</v>
      </c>
      <c r="K2579" s="75" t="str">
        <f>IFERROR(VLOOKUP(J2579,'NQ10'!$B$9:$C$145,2,0),"")</f>
        <v/>
      </c>
    </row>
    <row r="2580" spans="1:11" ht="15" customHeight="1" x14ac:dyDescent="0.25">
      <c r="A2580" s="75">
        <v>15</v>
      </c>
      <c r="B2580" s="75">
        <v>14</v>
      </c>
      <c r="C2580" s="75" t="s">
        <v>10</v>
      </c>
      <c r="D2580" s="75">
        <v>6933</v>
      </c>
      <c r="F2580" s="75" t="s">
        <v>10</v>
      </c>
      <c r="H2580" s="75" t="s">
        <v>10</v>
      </c>
      <c r="I2580" s="75">
        <v>19489</v>
      </c>
      <c r="K2580" s="75" t="str">
        <f>IFERROR(VLOOKUP(J2580,'NQ10'!$B$9:$C$145,2,0),"")</f>
        <v/>
      </c>
    </row>
    <row r="2581" spans="1:11" ht="15" customHeight="1" x14ac:dyDescent="0.25">
      <c r="A2581" s="75">
        <v>15</v>
      </c>
      <c r="B2581" s="75">
        <v>15</v>
      </c>
      <c r="C2581" s="75" t="s">
        <v>10</v>
      </c>
      <c r="D2581" s="75">
        <v>7543</v>
      </c>
      <c r="F2581" s="75" t="s">
        <v>10</v>
      </c>
      <c r="H2581" s="75" t="s">
        <v>10</v>
      </c>
      <c r="I2581" s="75">
        <v>19489</v>
      </c>
      <c r="K2581" s="75" t="str">
        <f>IFERROR(VLOOKUP(J2581,'NQ10'!$B$9:$C$145,2,0),"")</f>
        <v/>
      </c>
    </row>
    <row r="2582" spans="1:11" ht="15" customHeight="1" x14ac:dyDescent="0.25">
      <c r="A2582" s="75">
        <v>15</v>
      </c>
      <c r="B2582" s="75">
        <v>16</v>
      </c>
      <c r="C2582" s="75" t="s">
        <v>10</v>
      </c>
      <c r="D2582" s="75">
        <v>23560</v>
      </c>
      <c r="F2582" s="75" t="s">
        <v>10</v>
      </c>
      <c r="H2582" s="75" t="s">
        <v>10</v>
      </c>
      <c r="I2582" s="75">
        <v>19489</v>
      </c>
      <c r="K2582" s="75" t="str">
        <f>IFERROR(VLOOKUP(J2582,'NQ10'!$B$9:$C$145,2,0),"")</f>
        <v/>
      </c>
    </row>
    <row r="2583" spans="1:11" ht="15" customHeight="1" x14ac:dyDescent="0.25">
      <c r="A2583" s="75">
        <v>15</v>
      </c>
      <c r="B2583" s="75">
        <v>17</v>
      </c>
      <c r="C2583" s="75" t="s">
        <v>10</v>
      </c>
      <c r="D2583" s="75">
        <v>2550</v>
      </c>
      <c r="F2583" s="75" t="s">
        <v>10</v>
      </c>
      <c r="H2583" s="75" t="s">
        <v>10</v>
      </c>
      <c r="I2583" s="75">
        <v>19489</v>
      </c>
      <c r="K2583" s="75" t="str">
        <f>IFERROR(VLOOKUP(J2583,'NQ10'!$B$9:$C$145,2,0),"")</f>
        <v/>
      </c>
    </row>
    <row r="2584" spans="1:11" ht="15" customHeight="1" x14ac:dyDescent="0.25">
      <c r="A2584" s="75">
        <v>15</v>
      </c>
      <c r="B2584" s="75">
        <v>18</v>
      </c>
      <c r="C2584" s="75" t="s">
        <v>10</v>
      </c>
      <c r="D2584" s="75">
        <v>3424</v>
      </c>
      <c r="F2584" s="75" t="s">
        <v>10</v>
      </c>
      <c r="H2584" s="75" t="s">
        <v>10</v>
      </c>
      <c r="I2584" s="75">
        <v>19489</v>
      </c>
      <c r="K2584" s="75" t="str">
        <f>IFERROR(VLOOKUP(J2584,'NQ10'!$B$9:$C$145,2,0),"")</f>
        <v/>
      </c>
    </row>
    <row r="2585" spans="1:11" ht="15" customHeight="1" x14ac:dyDescent="0.25">
      <c r="A2585" s="75">
        <v>15</v>
      </c>
      <c r="B2585" s="75">
        <v>19</v>
      </c>
      <c r="C2585" s="75" t="s">
        <v>10</v>
      </c>
      <c r="D2585" s="75">
        <v>35978</v>
      </c>
      <c r="F2585" s="75" t="s">
        <v>10</v>
      </c>
      <c r="H2585" s="75" t="s">
        <v>10</v>
      </c>
      <c r="I2585" s="75">
        <v>19489</v>
      </c>
      <c r="K2585" s="75" t="str">
        <f>IFERROR(VLOOKUP(J2585,'NQ10'!$B$9:$C$145,2,0),"")</f>
        <v/>
      </c>
    </row>
    <row r="2586" spans="1:11" ht="15" customHeight="1" x14ac:dyDescent="0.25">
      <c r="A2586" s="75">
        <v>15</v>
      </c>
      <c r="B2586" s="75">
        <v>20</v>
      </c>
      <c r="C2586" s="75" t="s">
        <v>10</v>
      </c>
      <c r="D2586" s="75">
        <v>5399</v>
      </c>
      <c r="F2586" s="75" t="s">
        <v>10</v>
      </c>
      <c r="H2586" s="75" t="s">
        <v>10</v>
      </c>
      <c r="I2586" s="75">
        <v>19489</v>
      </c>
      <c r="K2586" s="75" t="str">
        <f>IFERROR(VLOOKUP(J2586,'NQ10'!$B$9:$C$145,2,0),"")</f>
        <v/>
      </c>
    </row>
    <row r="2587" spans="1:11" ht="15" customHeight="1" x14ac:dyDescent="0.25">
      <c r="A2587" s="75">
        <v>15</v>
      </c>
      <c r="B2587" s="75">
        <v>21</v>
      </c>
      <c r="C2587" s="75" t="s">
        <v>10</v>
      </c>
      <c r="D2587" s="75">
        <v>19785</v>
      </c>
      <c r="F2587" s="75" t="s">
        <v>10</v>
      </c>
      <c r="H2587" s="75" t="s">
        <v>10</v>
      </c>
      <c r="I2587" s="75">
        <v>19489</v>
      </c>
      <c r="K2587" s="75" t="str">
        <f>IFERROR(VLOOKUP(J2587,'NQ10'!$B$9:$C$145,2,0),"")</f>
        <v/>
      </c>
    </row>
    <row r="2588" spans="1:11" ht="15" customHeight="1" x14ac:dyDescent="0.25">
      <c r="A2588" s="75">
        <v>15</v>
      </c>
      <c r="B2588" s="75">
        <v>22</v>
      </c>
      <c r="C2588" s="75" t="s">
        <v>10</v>
      </c>
      <c r="D2588" s="75">
        <v>9334</v>
      </c>
      <c r="F2588" s="75" t="s">
        <v>10</v>
      </c>
      <c r="H2588" s="75" t="s">
        <v>10</v>
      </c>
      <c r="I2588" s="75">
        <v>19489</v>
      </c>
      <c r="K2588" s="75" t="str">
        <f>IFERROR(VLOOKUP(J2588,'NQ10'!$B$9:$C$145,2,0),"")</f>
        <v/>
      </c>
    </row>
    <row r="2589" spans="1:11" ht="15" customHeight="1" x14ac:dyDescent="0.25">
      <c r="A2589" s="75">
        <v>15</v>
      </c>
      <c r="B2589" s="75">
        <v>23</v>
      </c>
      <c r="C2589" s="75" t="s">
        <v>10</v>
      </c>
      <c r="D2589" s="75">
        <v>11751</v>
      </c>
      <c r="F2589" s="75" t="s">
        <v>10</v>
      </c>
      <c r="H2589" s="75" t="s">
        <v>10</v>
      </c>
      <c r="I2589" s="75">
        <v>19489</v>
      </c>
      <c r="K2589" s="75" t="str">
        <f>IFERROR(VLOOKUP(J2589,'NQ10'!$B$9:$C$145,2,0),"")</f>
        <v/>
      </c>
    </row>
    <row r="2590" spans="1:11" ht="15" customHeight="1" x14ac:dyDescent="0.25">
      <c r="A2590" s="75">
        <v>15</v>
      </c>
      <c r="B2590" s="75">
        <v>24</v>
      </c>
      <c r="C2590" s="75" t="s">
        <v>10</v>
      </c>
      <c r="D2590" s="75">
        <v>2464</v>
      </c>
      <c r="F2590" s="75" t="s">
        <v>10</v>
      </c>
      <c r="H2590" s="75" t="s">
        <v>10</v>
      </c>
      <c r="I2590" s="75">
        <v>19489</v>
      </c>
      <c r="K2590" s="75" t="str">
        <f>IFERROR(VLOOKUP(J2590,'NQ10'!$B$9:$C$145,2,0),"")</f>
        <v/>
      </c>
    </row>
    <row r="2591" spans="1:11" ht="15" customHeight="1" x14ac:dyDescent="0.25">
      <c r="A2591" s="75">
        <v>15</v>
      </c>
      <c r="B2591" s="75">
        <v>25</v>
      </c>
      <c r="C2591" s="75" t="s">
        <v>10</v>
      </c>
      <c r="D2591" s="75">
        <v>9086</v>
      </c>
      <c r="F2591" s="75" t="s">
        <v>10</v>
      </c>
      <c r="H2591" s="75" t="s">
        <v>10</v>
      </c>
      <c r="I2591" s="75">
        <v>19489</v>
      </c>
      <c r="K2591" s="75" t="str">
        <f>IFERROR(VLOOKUP(J2591,'NQ10'!$B$9:$C$145,2,0),"")</f>
        <v/>
      </c>
    </row>
    <row r="2592" spans="1:11" ht="15" customHeight="1" x14ac:dyDescent="0.25">
      <c r="A2592" s="75">
        <v>15</v>
      </c>
      <c r="B2592" s="75">
        <v>26</v>
      </c>
      <c r="C2592" s="75" t="s">
        <v>10</v>
      </c>
      <c r="D2592" s="75">
        <v>15538</v>
      </c>
      <c r="F2592" s="75" t="s">
        <v>10</v>
      </c>
      <c r="H2592" s="75" t="s">
        <v>10</v>
      </c>
      <c r="I2592" s="75">
        <v>19489</v>
      </c>
      <c r="K2592" s="75" t="str">
        <f>IFERROR(VLOOKUP(J2592,'NQ10'!$B$9:$C$145,2,0),"")</f>
        <v/>
      </c>
    </row>
    <row r="2593" spans="1:11" ht="15" customHeight="1" x14ac:dyDescent="0.25">
      <c r="A2593" s="75">
        <v>15</v>
      </c>
      <c r="B2593" s="75">
        <v>27</v>
      </c>
      <c r="C2593" s="75" t="s">
        <v>10</v>
      </c>
      <c r="D2593" s="75">
        <v>13786</v>
      </c>
      <c r="F2593" s="75" t="s">
        <v>10</v>
      </c>
      <c r="H2593" s="75" t="s">
        <v>10</v>
      </c>
      <c r="I2593" s="75">
        <v>19489</v>
      </c>
      <c r="K2593" s="75" t="str">
        <f>IFERROR(VLOOKUP(J2593,'NQ10'!$B$9:$C$145,2,0),"")</f>
        <v/>
      </c>
    </row>
    <row r="2594" spans="1:11" ht="15" customHeight="1" x14ac:dyDescent="0.25">
      <c r="A2594" s="75">
        <v>15</v>
      </c>
      <c r="B2594" s="75">
        <v>28</v>
      </c>
      <c r="C2594" s="75" t="s">
        <v>10</v>
      </c>
      <c r="D2594" s="75">
        <v>9726</v>
      </c>
      <c r="F2594" s="75" t="s">
        <v>10</v>
      </c>
      <c r="H2594" s="75" t="s">
        <v>10</v>
      </c>
      <c r="I2594" s="75">
        <v>19489</v>
      </c>
      <c r="K2594" s="75" t="str">
        <f>IFERROR(VLOOKUP(J2594,'NQ10'!$B$9:$C$145,2,0),"")</f>
        <v/>
      </c>
    </row>
    <row r="2595" spans="1:11" ht="15" customHeight="1" x14ac:dyDescent="0.25">
      <c r="A2595" s="75">
        <v>15</v>
      </c>
      <c r="B2595" s="75">
        <v>29</v>
      </c>
      <c r="C2595" s="75" t="s">
        <v>10</v>
      </c>
      <c r="D2595" s="75">
        <v>14362</v>
      </c>
      <c r="F2595" s="75" t="s">
        <v>10</v>
      </c>
      <c r="H2595" s="75" t="s">
        <v>10</v>
      </c>
      <c r="I2595" s="75">
        <v>19489</v>
      </c>
      <c r="K2595" s="75" t="str">
        <f>IFERROR(VLOOKUP(J2595,'NQ10'!$B$9:$C$145,2,0),"")</f>
        <v/>
      </c>
    </row>
    <row r="2596" spans="1:11" ht="15" customHeight="1" x14ac:dyDescent="0.25">
      <c r="A2596" s="75">
        <v>15</v>
      </c>
      <c r="B2596" s="75">
        <v>30</v>
      </c>
      <c r="C2596" s="75" t="s">
        <v>10</v>
      </c>
      <c r="D2596" s="75">
        <v>3190</v>
      </c>
      <c r="F2596" s="75" t="s">
        <v>10</v>
      </c>
      <c r="H2596" s="75" t="s">
        <v>10</v>
      </c>
      <c r="I2596" s="75">
        <v>19489</v>
      </c>
      <c r="K2596" s="75" t="str">
        <f>IFERROR(VLOOKUP(J2596,'NQ10'!$B$9:$C$145,2,0),"")</f>
        <v/>
      </c>
    </row>
    <row r="2597" spans="1:11" ht="15" customHeight="1" x14ac:dyDescent="0.25">
      <c r="A2597" s="75">
        <v>15</v>
      </c>
      <c r="B2597" s="75">
        <v>31</v>
      </c>
      <c r="C2597" s="75" t="s">
        <v>10</v>
      </c>
      <c r="D2597" s="75">
        <v>41907</v>
      </c>
      <c r="F2597" s="75" t="s">
        <v>10</v>
      </c>
      <c r="H2597" s="75" t="s">
        <v>10</v>
      </c>
      <c r="I2597" s="75">
        <v>19489</v>
      </c>
      <c r="K2597" s="75" t="str">
        <f>IFERROR(VLOOKUP(J2597,'NQ10'!$B$9:$C$145,2,0),"")</f>
        <v/>
      </c>
    </row>
    <row r="2598" spans="1:11" ht="15" customHeight="1" x14ac:dyDescent="0.25">
      <c r="A2598" s="75">
        <v>15</v>
      </c>
      <c r="B2598" s="75">
        <v>32</v>
      </c>
      <c r="C2598" s="75" t="s">
        <v>10</v>
      </c>
      <c r="D2598" s="75">
        <v>3213</v>
      </c>
      <c r="F2598" s="75" t="s">
        <v>10</v>
      </c>
      <c r="H2598" s="75" t="s">
        <v>10</v>
      </c>
      <c r="I2598" s="75">
        <v>19489</v>
      </c>
      <c r="K2598" s="75" t="str">
        <f>IFERROR(VLOOKUP(J2598,'NQ10'!$B$9:$C$145,2,0),"")</f>
        <v/>
      </c>
    </row>
    <row r="2599" spans="1:11" ht="15" customHeight="1" x14ac:dyDescent="0.25">
      <c r="A2599" s="75">
        <v>15</v>
      </c>
      <c r="B2599" s="75">
        <v>33</v>
      </c>
      <c r="C2599" s="75" t="s">
        <v>10</v>
      </c>
      <c r="D2599" s="75">
        <v>12818</v>
      </c>
      <c r="F2599" s="75" t="s">
        <v>10</v>
      </c>
      <c r="H2599" s="75" t="s">
        <v>10</v>
      </c>
      <c r="I2599" s="75">
        <v>19489</v>
      </c>
      <c r="K2599" s="75" t="str">
        <f>IFERROR(VLOOKUP(J2599,'NQ10'!$B$9:$C$145,2,0),"")</f>
        <v/>
      </c>
    </row>
    <row r="2600" spans="1:11" ht="15" customHeight="1" x14ac:dyDescent="0.25">
      <c r="A2600" s="75">
        <v>15</v>
      </c>
      <c r="B2600" s="75">
        <v>34</v>
      </c>
      <c r="C2600" s="75" t="s">
        <v>10</v>
      </c>
      <c r="D2600" s="75">
        <v>3664</v>
      </c>
      <c r="F2600" s="75" t="s">
        <v>10</v>
      </c>
      <c r="H2600" s="75" t="s">
        <v>10</v>
      </c>
      <c r="I2600" s="75">
        <v>19489</v>
      </c>
      <c r="K2600" s="75" t="str">
        <f>IFERROR(VLOOKUP(J2600,'NQ10'!$B$9:$C$145,2,0),"")</f>
        <v/>
      </c>
    </row>
    <row r="2601" spans="1:11" ht="15" customHeight="1" x14ac:dyDescent="0.25">
      <c r="A2601" s="75">
        <v>15</v>
      </c>
      <c r="B2601" s="75">
        <v>35</v>
      </c>
      <c r="C2601" s="75" t="s">
        <v>10</v>
      </c>
      <c r="D2601" s="75">
        <v>7352</v>
      </c>
      <c r="F2601" s="75" t="s">
        <v>10</v>
      </c>
      <c r="H2601" s="75" t="s">
        <v>10</v>
      </c>
      <c r="I2601" s="75">
        <v>19489</v>
      </c>
      <c r="K2601" s="75" t="str">
        <f>IFERROR(VLOOKUP(J2601,'NQ10'!$B$9:$C$145,2,0),"")</f>
        <v/>
      </c>
    </row>
    <row r="2602" spans="1:11" ht="15" customHeight="1" x14ac:dyDescent="0.25">
      <c r="A2602" s="75">
        <v>15</v>
      </c>
      <c r="B2602" s="75">
        <v>36</v>
      </c>
      <c r="C2602" s="75" t="s">
        <v>10</v>
      </c>
      <c r="D2602" s="75">
        <v>296</v>
      </c>
      <c r="F2602" s="75" t="s">
        <v>10</v>
      </c>
      <c r="H2602" s="75" t="s">
        <v>10</v>
      </c>
      <c r="I2602" s="75">
        <v>19489</v>
      </c>
      <c r="K2602" s="75" t="str">
        <f>IFERROR(VLOOKUP(J2602,'NQ10'!$B$9:$C$145,2,0),"")</f>
        <v/>
      </c>
    </row>
    <row r="2603" spans="1:11" ht="15" customHeight="1" x14ac:dyDescent="0.25">
      <c r="A2603" s="75">
        <v>15</v>
      </c>
      <c r="B2603" s="75">
        <v>37</v>
      </c>
      <c r="C2603" s="75" t="s">
        <v>10</v>
      </c>
      <c r="D2603" s="75">
        <v>5466</v>
      </c>
      <c r="F2603" s="75" t="s">
        <v>10</v>
      </c>
      <c r="H2603" s="75" t="s">
        <v>10</v>
      </c>
      <c r="I2603" s="75">
        <v>19489</v>
      </c>
      <c r="K2603" s="75" t="str">
        <f>IFERROR(VLOOKUP(J2603,'NQ10'!$B$9:$C$145,2,0),"")</f>
        <v/>
      </c>
    </row>
    <row r="2604" spans="1:11" ht="15" customHeight="1" x14ac:dyDescent="0.25">
      <c r="A2604" s="75">
        <v>15</v>
      </c>
      <c r="B2604" s="75">
        <v>38</v>
      </c>
      <c r="C2604" s="75" t="s">
        <v>10</v>
      </c>
      <c r="D2604" s="75">
        <v>27256</v>
      </c>
      <c r="F2604" s="75" t="s">
        <v>10</v>
      </c>
      <c r="H2604" s="75" t="s">
        <v>10</v>
      </c>
      <c r="I2604" s="75">
        <v>19489</v>
      </c>
      <c r="K2604" s="75" t="str">
        <f>IFERROR(VLOOKUP(J2604,'NQ10'!$B$9:$C$145,2,0),"")</f>
        <v/>
      </c>
    </row>
    <row r="2605" spans="1:11" ht="15" customHeight="1" x14ac:dyDescent="0.25">
      <c r="A2605" s="75">
        <v>15</v>
      </c>
      <c r="B2605" s="75">
        <v>39</v>
      </c>
      <c r="C2605" s="75" t="s">
        <v>10</v>
      </c>
      <c r="D2605" s="75">
        <v>9670</v>
      </c>
      <c r="F2605" s="75" t="s">
        <v>10</v>
      </c>
      <c r="H2605" s="75" t="s">
        <v>10</v>
      </c>
      <c r="I2605" s="75">
        <v>19489</v>
      </c>
      <c r="K2605" s="75" t="str">
        <f>IFERROR(VLOOKUP(J2605,'NQ10'!$B$9:$C$145,2,0),"")</f>
        <v/>
      </c>
    </row>
    <row r="2606" spans="1:11" ht="15" customHeight="1" x14ac:dyDescent="0.25">
      <c r="A2606" s="75">
        <v>15</v>
      </c>
      <c r="B2606" s="75">
        <v>40</v>
      </c>
      <c r="C2606" s="75" t="s">
        <v>10</v>
      </c>
      <c r="D2606" s="75">
        <v>7652</v>
      </c>
      <c r="F2606" s="75" t="s">
        <v>10</v>
      </c>
      <c r="H2606" s="75" t="s">
        <v>10</v>
      </c>
      <c r="I2606" s="75">
        <v>19489</v>
      </c>
      <c r="K2606" s="75" t="str">
        <f>IFERROR(VLOOKUP(J2606,'NQ10'!$B$9:$C$145,2,0),"")</f>
        <v/>
      </c>
    </row>
    <row r="2607" spans="1:11" ht="15" customHeight="1" x14ac:dyDescent="0.25">
      <c r="A2607" s="75">
        <v>15</v>
      </c>
      <c r="B2607" s="75">
        <v>41</v>
      </c>
      <c r="C2607" s="75" t="s">
        <v>10</v>
      </c>
      <c r="D2607" s="75">
        <v>1570</v>
      </c>
      <c r="F2607" s="75" t="s">
        <v>10</v>
      </c>
      <c r="H2607" s="75" t="s">
        <v>10</v>
      </c>
      <c r="I2607" s="75">
        <v>19489</v>
      </c>
      <c r="K2607" s="75" t="str">
        <f>IFERROR(VLOOKUP(J2607,'NQ10'!$B$9:$C$145,2,0),"")</f>
        <v/>
      </c>
    </row>
    <row r="2608" spans="1:11" ht="15" customHeight="1" x14ac:dyDescent="0.25">
      <c r="A2608" s="75">
        <v>15</v>
      </c>
      <c r="B2608" s="75">
        <v>42</v>
      </c>
      <c r="C2608" s="75" t="s">
        <v>10</v>
      </c>
      <c r="D2608" s="75">
        <v>3433</v>
      </c>
      <c r="F2608" s="75" t="s">
        <v>10</v>
      </c>
      <c r="H2608" s="75" t="s">
        <v>10</v>
      </c>
      <c r="I2608" s="75">
        <v>19489</v>
      </c>
      <c r="K2608" s="75" t="str">
        <f>IFERROR(VLOOKUP(J2608,'NQ10'!$B$9:$C$145,2,0),"")</f>
        <v/>
      </c>
    </row>
    <row r="2609" spans="1:11" ht="15" customHeight="1" x14ac:dyDescent="0.25">
      <c r="A2609" s="75">
        <v>15</v>
      </c>
      <c r="B2609" s="75">
        <v>43</v>
      </c>
      <c r="C2609" s="75" t="s">
        <v>10</v>
      </c>
      <c r="D2609" s="75">
        <v>15586</v>
      </c>
      <c r="F2609" s="75" t="s">
        <v>10</v>
      </c>
      <c r="H2609" s="75" t="s">
        <v>10</v>
      </c>
      <c r="I2609" s="75">
        <v>19489</v>
      </c>
      <c r="K2609" s="75" t="str">
        <f>IFERROR(VLOOKUP(J2609,'NQ10'!$B$9:$C$145,2,0),"")</f>
        <v/>
      </c>
    </row>
    <row r="2610" spans="1:11" ht="15" customHeight="1" x14ac:dyDescent="0.25">
      <c r="A2610" s="75">
        <v>15</v>
      </c>
      <c r="B2610" s="75">
        <v>44</v>
      </c>
      <c r="C2610" s="75" t="s">
        <v>10</v>
      </c>
      <c r="D2610" s="75">
        <v>9374</v>
      </c>
      <c r="F2610" s="75" t="s">
        <v>10</v>
      </c>
      <c r="H2610" s="75" t="s">
        <v>10</v>
      </c>
      <c r="I2610" s="75">
        <v>19489</v>
      </c>
      <c r="K2610" s="75" t="str">
        <f>IFERROR(VLOOKUP(J2610,'NQ10'!$B$9:$C$145,2,0),"")</f>
        <v/>
      </c>
    </row>
    <row r="2611" spans="1:11" ht="15" customHeight="1" x14ac:dyDescent="0.25">
      <c r="A2611" s="75">
        <v>15</v>
      </c>
      <c r="B2611" s="75">
        <v>45</v>
      </c>
      <c r="C2611" s="75" t="s">
        <v>10</v>
      </c>
      <c r="D2611" s="75">
        <v>6314</v>
      </c>
      <c r="F2611" s="75" t="s">
        <v>10</v>
      </c>
      <c r="H2611" s="75" t="s">
        <v>10</v>
      </c>
      <c r="I2611" s="75">
        <v>19489</v>
      </c>
      <c r="K2611" s="75" t="str">
        <f>IFERROR(VLOOKUP(J2611,'NQ10'!$B$9:$C$145,2,0),"")</f>
        <v/>
      </c>
    </row>
    <row r="2612" spans="1:11" ht="15" customHeight="1" x14ac:dyDescent="0.25">
      <c r="A2612" s="75">
        <v>15</v>
      </c>
      <c r="B2612" s="75">
        <v>46</v>
      </c>
      <c r="C2612" s="75" t="s">
        <v>10</v>
      </c>
      <c r="D2612" s="75">
        <v>4327</v>
      </c>
      <c r="F2612" s="75" t="s">
        <v>10</v>
      </c>
      <c r="H2612" s="75" t="s">
        <v>10</v>
      </c>
      <c r="I2612" s="75">
        <v>19489</v>
      </c>
      <c r="K2612" s="75" t="str">
        <f>IFERROR(VLOOKUP(J2612,'NQ10'!$B$9:$C$145,2,0),"")</f>
        <v/>
      </c>
    </row>
    <row r="2613" spans="1:11" ht="15" customHeight="1" x14ac:dyDescent="0.25">
      <c r="A2613" s="75">
        <v>15</v>
      </c>
      <c r="B2613" s="75">
        <v>47</v>
      </c>
      <c r="C2613" s="75" t="s">
        <v>10</v>
      </c>
      <c r="D2613" s="75">
        <v>16776</v>
      </c>
      <c r="F2613" s="75" t="s">
        <v>10</v>
      </c>
      <c r="H2613" s="75" t="s">
        <v>10</v>
      </c>
      <c r="I2613" s="75">
        <v>19489</v>
      </c>
      <c r="K2613" s="75" t="str">
        <f>IFERROR(VLOOKUP(J2613,'NQ10'!$B$9:$C$145,2,0),"")</f>
        <v/>
      </c>
    </row>
    <row r="2614" spans="1:11" ht="15" customHeight="1" x14ac:dyDescent="0.25">
      <c r="A2614" s="75">
        <v>15</v>
      </c>
      <c r="B2614" s="75">
        <v>48</v>
      </c>
      <c r="C2614" s="75" t="s">
        <v>10</v>
      </c>
      <c r="D2614" s="75">
        <v>2302</v>
      </c>
      <c r="F2614" s="75" t="s">
        <v>10</v>
      </c>
      <c r="H2614" s="75" t="s">
        <v>10</v>
      </c>
      <c r="I2614" s="75">
        <v>19489</v>
      </c>
      <c r="K2614" s="75" t="str">
        <f>IFERROR(VLOOKUP(J2614,'NQ10'!$B$9:$C$145,2,0),"")</f>
        <v/>
      </c>
    </row>
    <row r="2615" spans="1:11" ht="15" customHeight="1" x14ac:dyDescent="0.25">
      <c r="A2615" s="75">
        <v>15</v>
      </c>
      <c r="B2615" s="75">
        <v>49</v>
      </c>
      <c r="C2615" s="75" t="s">
        <v>10</v>
      </c>
      <c r="D2615" s="75">
        <v>2065</v>
      </c>
      <c r="F2615" s="75" t="s">
        <v>10</v>
      </c>
      <c r="H2615" s="75" t="s">
        <v>10</v>
      </c>
      <c r="I2615" s="75">
        <v>19489</v>
      </c>
      <c r="K2615" s="75" t="str">
        <f>IFERROR(VLOOKUP(J2615,'NQ10'!$B$9:$C$145,2,0),"")</f>
        <v/>
      </c>
    </row>
    <row r="2616" spans="1:11" ht="15" customHeight="1" x14ac:dyDescent="0.25">
      <c r="A2616" s="75">
        <v>15</v>
      </c>
      <c r="B2616" s="75">
        <v>51</v>
      </c>
      <c r="C2616" s="75" t="s">
        <v>10</v>
      </c>
      <c r="D2616" s="75">
        <v>3183</v>
      </c>
      <c r="F2616" s="75" t="s">
        <v>10</v>
      </c>
      <c r="H2616" s="75" t="s">
        <v>10</v>
      </c>
      <c r="I2616" s="75">
        <v>19489</v>
      </c>
      <c r="K2616" s="75" t="str">
        <f>IFERROR(VLOOKUP(J2616,'NQ10'!$B$9:$C$145,2,0),"")</f>
        <v/>
      </c>
    </row>
    <row r="2617" spans="1:11" ht="15" customHeight="1" x14ac:dyDescent="0.25">
      <c r="A2617" s="75">
        <v>15</v>
      </c>
      <c r="B2617" s="75">
        <v>52</v>
      </c>
      <c r="C2617" s="75" t="s">
        <v>10</v>
      </c>
      <c r="D2617" s="75">
        <v>3646</v>
      </c>
      <c r="F2617" s="75" t="s">
        <v>10</v>
      </c>
      <c r="H2617" s="75" t="s">
        <v>10</v>
      </c>
      <c r="I2617" s="75">
        <v>19489</v>
      </c>
      <c r="K2617" s="75" t="str">
        <f>IFERROR(VLOOKUP(J2617,'NQ10'!$B$9:$C$145,2,0),"")</f>
        <v/>
      </c>
    </row>
    <row r="2618" spans="1:11" ht="15" customHeight="1" x14ac:dyDescent="0.25">
      <c r="A2618" s="75">
        <v>15</v>
      </c>
      <c r="B2618" s="75">
        <v>53</v>
      </c>
      <c r="C2618" s="75" t="s">
        <v>10</v>
      </c>
      <c r="D2618" s="75">
        <v>41508</v>
      </c>
      <c r="F2618" s="75" t="s">
        <v>10</v>
      </c>
      <c r="H2618" s="75" t="s">
        <v>10</v>
      </c>
      <c r="I2618" s="75">
        <v>19489</v>
      </c>
      <c r="K2618" s="75" t="str">
        <f>IFERROR(VLOOKUP(J2618,'NQ10'!$B$9:$C$145,2,0),"")</f>
        <v/>
      </c>
    </row>
    <row r="2619" spans="1:11" ht="15" customHeight="1" x14ac:dyDescent="0.25">
      <c r="A2619" s="75">
        <v>15</v>
      </c>
      <c r="B2619" s="75">
        <v>54</v>
      </c>
      <c r="C2619" s="75" t="s">
        <v>10</v>
      </c>
      <c r="D2619" s="75">
        <v>3523</v>
      </c>
      <c r="F2619" s="75" t="s">
        <v>10</v>
      </c>
      <c r="H2619" s="75" t="s">
        <v>10</v>
      </c>
      <c r="I2619" s="75">
        <v>19489</v>
      </c>
      <c r="K2619" s="75" t="str">
        <f>IFERROR(VLOOKUP(J2619,'NQ10'!$B$9:$C$145,2,0),"")</f>
        <v/>
      </c>
    </row>
    <row r="2620" spans="1:11" ht="15" customHeight="1" x14ac:dyDescent="0.25">
      <c r="A2620" s="75">
        <v>15</v>
      </c>
      <c r="B2620" s="75">
        <v>55</v>
      </c>
      <c r="C2620" s="75" t="s">
        <v>10</v>
      </c>
      <c r="D2620" s="75">
        <v>7317</v>
      </c>
      <c r="F2620" s="75" t="s">
        <v>10</v>
      </c>
      <c r="H2620" s="75" t="s">
        <v>10</v>
      </c>
      <c r="I2620" s="75">
        <v>19489</v>
      </c>
      <c r="K2620" s="75" t="str">
        <f>IFERROR(VLOOKUP(J2620,'NQ10'!$B$9:$C$145,2,0),"")</f>
        <v/>
      </c>
    </row>
    <row r="2621" spans="1:11" ht="15" customHeight="1" x14ac:dyDescent="0.25">
      <c r="A2621" s="75">
        <v>15</v>
      </c>
      <c r="B2621" s="75">
        <v>57</v>
      </c>
      <c r="C2621" s="75" t="s">
        <v>10</v>
      </c>
      <c r="D2621" s="75">
        <v>8958</v>
      </c>
      <c r="F2621" s="75" t="s">
        <v>10</v>
      </c>
      <c r="H2621" s="75" t="s">
        <v>10</v>
      </c>
      <c r="I2621" s="75">
        <v>19489</v>
      </c>
      <c r="K2621" s="75" t="str">
        <f>IFERROR(VLOOKUP(J2621,'NQ10'!$B$9:$C$145,2,0),"")</f>
        <v/>
      </c>
    </row>
    <row r="2622" spans="1:11" ht="15" customHeight="1" x14ac:dyDescent="0.25">
      <c r="A2622" s="75">
        <v>15</v>
      </c>
      <c r="B2622" s="75">
        <v>60</v>
      </c>
      <c r="C2622" s="75" t="s">
        <v>10</v>
      </c>
      <c r="D2622" s="75">
        <v>7318</v>
      </c>
      <c r="F2622" s="75" t="s">
        <v>10</v>
      </c>
      <c r="H2622" s="75" t="s">
        <v>10</v>
      </c>
      <c r="I2622" s="75">
        <v>19489</v>
      </c>
      <c r="K2622" s="75" t="str">
        <f>IFERROR(VLOOKUP(J2622,'NQ10'!$B$9:$C$145,2,0),"")</f>
        <v/>
      </c>
    </row>
    <row r="2623" spans="1:11" ht="15" customHeight="1" x14ac:dyDescent="0.25">
      <c r="A2623" s="75">
        <v>15</v>
      </c>
      <c r="B2623" s="75">
        <v>62</v>
      </c>
      <c r="C2623" s="75" t="s">
        <v>10</v>
      </c>
      <c r="D2623" s="75">
        <v>22859</v>
      </c>
      <c r="F2623" s="75" t="s">
        <v>10</v>
      </c>
      <c r="H2623" s="75" t="s">
        <v>10</v>
      </c>
      <c r="I2623" s="75">
        <v>19489</v>
      </c>
      <c r="K2623" s="75" t="str">
        <f>IFERROR(VLOOKUP(J2623,'NQ10'!$B$9:$C$145,2,0),"")</f>
        <v/>
      </c>
    </row>
    <row r="2624" spans="1:11" ht="15" customHeight="1" x14ac:dyDescent="0.25">
      <c r="A2624" s="75">
        <v>15</v>
      </c>
      <c r="B2624" s="75">
        <v>64</v>
      </c>
      <c r="C2624" s="75" t="s">
        <v>10</v>
      </c>
      <c r="D2624" s="75">
        <v>12875</v>
      </c>
      <c r="F2624" s="75" t="s">
        <v>10</v>
      </c>
      <c r="H2624" s="75" t="s">
        <v>10</v>
      </c>
      <c r="I2624" s="75">
        <v>19489</v>
      </c>
      <c r="K2624" s="75" t="str">
        <f>IFERROR(VLOOKUP(J2624,'NQ10'!$B$9:$C$145,2,0),"")</f>
        <v/>
      </c>
    </row>
    <row r="2625" spans="1:11" ht="15" customHeight="1" x14ac:dyDescent="0.25">
      <c r="A2625" s="75">
        <v>15</v>
      </c>
      <c r="B2625" s="75">
        <v>65</v>
      </c>
      <c r="C2625" s="75" t="s">
        <v>10</v>
      </c>
      <c r="D2625" s="75">
        <v>2126</v>
      </c>
      <c r="F2625" s="75" t="s">
        <v>10</v>
      </c>
      <c r="H2625" s="75" t="s">
        <v>10</v>
      </c>
      <c r="I2625" s="75">
        <v>19489</v>
      </c>
      <c r="K2625" s="75" t="str">
        <f>IFERROR(VLOOKUP(J2625,'NQ10'!$B$9:$C$145,2,0),"")</f>
        <v/>
      </c>
    </row>
    <row r="2626" spans="1:11" ht="15" customHeight="1" x14ac:dyDescent="0.25">
      <c r="A2626" s="75">
        <v>15</v>
      </c>
      <c r="B2626" s="75">
        <v>66</v>
      </c>
      <c r="C2626" s="75" t="s">
        <v>10</v>
      </c>
      <c r="D2626" s="75">
        <v>1037</v>
      </c>
      <c r="F2626" s="75" t="s">
        <v>10</v>
      </c>
      <c r="H2626" s="75" t="s">
        <v>10</v>
      </c>
      <c r="I2626" s="75">
        <v>19489</v>
      </c>
      <c r="K2626" s="75" t="str">
        <f>IFERROR(VLOOKUP(J2626,'NQ10'!$B$9:$C$145,2,0),"")</f>
        <v/>
      </c>
    </row>
    <row r="2627" spans="1:11" ht="15" customHeight="1" x14ac:dyDescent="0.25">
      <c r="A2627" s="75">
        <v>15</v>
      </c>
      <c r="B2627" s="75">
        <v>67</v>
      </c>
      <c r="C2627" s="75" t="s">
        <v>10</v>
      </c>
      <c r="D2627" s="75">
        <v>9561</v>
      </c>
      <c r="F2627" s="75" t="s">
        <v>10</v>
      </c>
      <c r="H2627" s="75" t="s">
        <v>10</v>
      </c>
      <c r="I2627" s="75">
        <v>19489</v>
      </c>
      <c r="K2627" s="75" t="str">
        <f>IFERROR(VLOOKUP(J2627,'NQ10'!$B$9:$C$145,2,0),"")</f>
        <v/>
      </c>
    </row>
    <row r="2628" spans="1:11" ht="15" customHeight="1" x14ac:dyDescent="0.25">
      <c r="A2628" s="75">
        <v>15</v>
      </c>
      <c r="B2628" s="75">
        <v>68</v>
      </c>
      <c r="C2628" s="75" t="s">
        <v>10</v>
      </c>
      <c r="D2628" s="75">
        <v>11552</v>
      </c>
      <c r="F2628" s="75" t="s">
        <v>10</v>
      </c>
      <c r="H2628" s="75" t="s">
        <v>10</v>
      </c>
      <c r="I2628" s="75">
        <v>19489</v>
      </c>
      <c r="K2628" s="75" t="str">
        <f>IFERROR(VLOOKUP(J2628,'NQ10'!$B$9:$C$145,2,0),"")</f>
        <v/>
      </c>
    </row>
    <row r="2629" spans="1:11" ht="15" customHeight="1" x14ac:dyDescent="0.25">
      <c r="A2629" s="75">
        <v>15</v>
      </c>
      <c r="B2629" s="75">
        <v>69</v>
      </c>
      <c r="C2629" s="75" t="s">
        <v>10</v>
      </c>
      <c r="D2629" s="75">
        <v>4156</v>
      </c>
      <c r="F2629" s="75" t="s">
        <v>10</v>
      </c>
      <c r="H2629" s="75" t="s">
        <v>10</v>
      </c>
      <c r="I2629" s="75">
        <v>19489</v>
      </c>
      <c r="K2629" s="75" t="str">
        <f>IFERROR(VLOOKUP(J2629,'NQ10'!$B$9:$C$145,2,0),"")</f>
        <v/>
      </c>
    </row>
    <row r="2630" spans="1:11" ht="15" customHeight="1" x14ac:dyDescent="0.25">
      <c r="A2630" s="75">
        <v>15</v>
      </c>
      <c r="B2630" s="75">
        <v>70</v>
      </c>
      <c r="C2630" s="75" t="s">
        <v>10</v>
      </c>
      <c r="D2630" s="75">
        <v>15929</v>
      </c>
      <c r="F2630" s="75" t="s">
        <v>10</v>
      </c>
      <c r="H2630" s="75" t="s">
        <v>10</v>
      </c>
      <c r="I2630" s="75">
        <v>19489</v>
      </c>
      <c r="K2630" s="75" t="str">
        <f>IFERROR(VLOOKUP(J2630,'NQ10'!$B$9:$C$145,2,0),"")</f>
        <v/>
      </c>
    </row>
    <row r="2631" spans="1:11" ht="15" customHeight="1" x14ac:dyDescent="0.25">
      <c r="A2631" s="75">
        <v>15</v>
      </c>
      <c r="B2631" s="75">
        <v>71</v>
      </c>
      <c r="C2631" s="75" t="s">
        <v>10</v>
      </c>
      <c r="D2631" s="75">
        <v>7445</v>
      </c>
      <c r="F2631" s="75" t="s">
        <v>10</v>
      </c>
      <c r="H2631" s="75" t="s">
        <v>10</v>
      </c>
      <c r="I2631" s="75">
        <v>19489</v>
      </c>
      <c r="K2631" s="75" t="str">
        <f>IFERROR(VLOOKUP(J2631,'NQ10'!$B$9:$C$145,2,0),"")</f>
        <v/>
      </c>
    </row>
    <row r="2632" spans="1:11" ht="15" customHeight="1" x14ac:dyDescent="0.25">
      <c r="A2632" s="75">
        <v>15</v>
      </c>
      <c r="B2632" s="75">
        <v>74</v>
      </c>
      <c r="C2632" s="75" t="s">
        <v>10</v>
      </c>
      <c r="D2632" s="75">
        <v>7984</v>
      </c>
      <c r="F2632" s="75" t="s">
        <v>10</v>
      </c>
      <c r="H2632" s="75" t="s">
        <v>10</v>
      </c>
      <c r="I2632" s="75">
        <v>19489</v>
      </c>
      <c r="K2632" s="75" t="str">
        <f>IFERROR(VLOOKUP(J2632,'NQ10'!$B$9:$C$145,2,0),"")</f>
        <v/>
      </c>
    </row>
    <row r="2633" spans="1:11" ht="15" customHeight="1" x14ac:dyDescent="0.25">
      <c r="A2633" s="75">
        <v>15</v>
      </c>
      <c r="B2633" s="75">
        <v>76</v>
      </c>
      <c r="C2633" s="75" t="s">
        <v>10</v>
      </c>
      <c r="D2633" s="75">
        <v>5331</v>
      </c>
      <c r="F2633" s="75" t="s">
        <v>10</v>
      </c>
      <c r="H2633" s="75" t="s">
        <v>10</v>
      </c>
      <c r="I2633" s="75">
        <v>19489</v>
      </c>
      <c r="K2633" s="75" t="str">
        <f>IFERROR(VLOOKUP(J2633,'NQ10'!$B$9:$C$145,2,0),"")</f>
        <v/>
      </c>
    </row>
    <row r="2634" spans="1:11" ht="15" customHeight="1" x14ac:dyDescent="0.25">
      <c r="A2634" s="75">
        <v>15</v>
      </c>
      <c r="B2634" s="75">
        <v>77</v>
      </c>
      <c r="C2634" s="75" t="s">
        <v>10</v>
      </c>
      <c r="D2634" s="75">
        <v>4081</v>
      </c>
      <c r="F2634" s="75" t="s">
        <v>10</v>
      </c>
      <c r="H2634" s="75" t="s">
        <v>10</v>
      </c>
      <c r="I2634" s="75">
        <v>19489</v>
      </c>
      <c r="K2634" s="75" t="str">
        <f>IFERROR(VLOOKUP(J2634,'NQ10'!$B$9:$C$145,2,0),"")</f>
        <v/>
      </c>
    </row>
    <row r="2635" spans="1:11" ht="15" customHeight="1" x14ac:dyDescent="0.25">
      <c r="A2635" s="75">
        <v>15</v>
      </c>
      <c r="B2635" s="75">
        <v>78</v>
      </c>
      <c r="C2635" s="75" t="s">
        <v>10</v>
      </c>
      <c r="D2635" s="75">
        <v>4769</v>
      </c>
      <c r="F2635" s="75" t="s">
        <v>10</v>
      </c>
      <c r="H2635" s="75" t="s">
        <v>10</v>
      </c>
      <c r="I2635" s="75">
        <v>19489</v>
      </c>
      <c r="K2635" s="75" t="str">
        <f>IFERROR(VLOOKUP(J2635,'NQ10'!$B$9:$C$145,2,0),"")</f>
        <v/>
      </c>
    </row>
    <row r="2636" spans="1:11" ht="15" customHeight="1" x14ac:dyDescent="0.25">
      <c r="A2636" s="75">
        <v>15</v>
      </c>
      <c r="B2636" s="75">
        <v>83</v>
      </c>
      <c r="C2636" s="75" t="s">
        <v>10</v>
      </c>
      <c r="D2636" s="75">
        <v>6480</v>
      </c>
      <c r="F2636" s="75" t="s">
        <v>10</v>
      </c>
      <c r="H2636" s="75" t="s">
        <v>10</v>
      </c>
      <c r="I2636" s="75">
        <v>19489</v>
      </c>
      <c r="K2636" s="75" t="str">
        <f>IFERROR(VLOOKUP(J2636,'NQ10'!$B$9:$C$145,2,0),"")</f>
        <v/>
      </c>
    </row>
    <row r="2637" spans="1:11" ht="15" customHeight="1" x14ac:dyDescent="0.25">
      <c r="A2637" s="75">
        <v>15</v>
      </c>
      <c r="B2637" s="75">
        <v>84</v>
      </c>
      <c r="C2637" s="75" t="s">
        <v>10</v>
      </c>
      <c r="D2637" s="75">
        <v>7491</v>
      </c>
      <c r="F2637" s="75" t="s">
        <v>10</v>
      </c>
      <c r="H2637" s="75" t="s">
        <v>10</v>
      </c>
      <c r="I2637" s="75">
        <v>19489</v>
      </c>
      <c r="K2637" s="75" t="str">
        <f>IFERROR(VLOOKUP(J2637,'NQ10'!$B$9:$C$145,2,0),"")</f>
        <v/>
      </c>
    </row>
    <row r="2638" spans="1:11" ht="15" customHeight="1" x14ac:dyDescent="0.25">
      <c r="A2638" s="75">
        <v>15</v>
      </c>
      <c r="B2638" s="75">
        <v>85</v>
      </c>
      <c r="C2638" s="75" t="s">
        <v>10</v>
      </c>
      <c r="D2638" s="75">
        <v>4752</v>
      </c>
      <c r="F2638" s="75" t="s">
        <v>10</v>
      </c>
      <c r="H2638" s="75" t="s">
        <v>10</v>
      </c>
      <c r="I2638" s="75">
        <v>19489</v>
      </c>
      <c r="K2638" s="75" t="str">
        <f>IFERROR(VLOOKUP(J2638,'NQ10'!$B$9:$C$145,2,0),"")</f>
        <v/>
      </c>
    </row>
    <row r="2639" spans="1:11" ht="15" customHeight="1" x14ac:dyDescent="0.25">
      <c r="A2639" s="75">
        <v>15</v>
      </c>
      <c r="B2639" s="75">
        <v>86</v>
      </c>
      <c r="C2639" s="75" t="s">
        <v>10</v>
      </c>
      <c r="D2639" s="75">
        <v>3117</v>
      </c>
      <c r="F2639" s="75" t="s">
        <v>10</v>
      </c>
      <c r="H2639" s="75" t="s">
        <v>10</v>
      </c>
      <c r="I2639" s="75">
        <v>19489</v>
      </c>
      <c r="K2639" s="75" t="str">
        <f>IFERROR(VLOOKUP(J2639,'NQ10'!$B$9:$C$145,2,0),"")</f>
        <v/>
      </c>
    </row>
    <row r="2640" spans="1:11" ht="15" customHeight="1" x14ac:dyDescent="0.25">
      <c r="A2640" s="75">
        <v>15</v>
      </c>
      <c r="B2640" s="75">
        <v>87</v>
      </c>
      <c r="C2640" s="75" t="s">
        <v>10</v>
      </c>
      <c r="D2640" s="75">
        <v>16091</v>
      </c>
      <c r="F2640" s="75" t="s">
        <v>10</v>
      </c>
      <c r="H2640" s="75" t="s">
        <v>10</v>
      </c>
      <c r="I2640" s="75">
        <v>19489</v>
      </c>
      <c r="K2640" s="75" t="str">
        <f>IFERROR(VLOOKUP(J2640,'NQ10'!$B$9:$C$145,2,0),"")</f>
        <v/>
      </c>
    </row>
    <row r="2641" spans="1:11" ht="15" customHeight="1" x14ac:dyDescent="0.25">
      <c r="A2641" s="75">
        <v>15</v>
      </c>
      <c r="B2641" s="75">
        <v>88</v>
      </c>
      <c r="C2641" s="75" t="s">
        <v>10</v>
      </c>
      <c r="D2641" s="75">
        <v>3346</v>
      </c>
      <c r="F2641" s="75" t="s">
        <v>10</v>
      </c>
      <c r="H2641" s="75" t="s">
        <v>10</v>
      </c>
      <c r="I2641" s="75">
        <v>19489</v>
      </c>
      <c r="K2641" s="75" t="str">
        <f>IFERROR(VLOOKUP(J2641,'NQ10'!$B$9:$C$145,2,0),"")</f>
        <v/>
      </c>
    </row>
    <row r="2642" spans="1:11" ht="15" customHeight="1" x14ac:dyDescent="0.25">
      <c r="A2642" s="75">
        <v>15</v>
      </c>
      <c r="B2642" s="75">
        <v>89</v>
      </c>
      <c r="C2642" s="75" t="s">
        <v>10</v>
      </c>
      <c r="D2642" s="75">
        <v>25970</v>
      </c>
      <c r="F2642" s="75" t="s">
        <v>10</v>
      </c>
      <c r="H2642" s="75" t="s">
        <v>10</v>
      </c>
      <c r="I2642" s="75">
        <v>19489</v>
      </c>
      <c r="K2642" s="75" t="str">
        <f>IFERROR(VLOOKUP(J2642,'NQ10'!$B$9:$C$145,2,0),"")</f>
        <v/>
      </c>
    </row>
    <row r="2643" spans="1:11" ht="15" customHeight="1" x14ac:dyDescent="0.25">
      <c r="A2643" s="75">
        <v>15</v>
      </c>
      <c r="B2643" s="75">
        <v>90</v>
      </c>
      <c r="C2643" s="75" t="s">
        <v>10</v>
      </c>
      <c r="D2643" s="75">
        <v>24252</v>
      </c>
      <c r="F2643" s="75" t="s">
        <v>10</v>
      </c>
      <c r="H2643" s="75" t="s">
        <v>10</v>
      </c>
      <c r="I2643" s="75">
        <v>19489</v>
      </c>
      <c r="K2643" s="75" t="str">
        <f>IFERROR(VLOOKUP(J2643,'NQ10'!$B$9:$C$145,2,0),"")</f>
        <v/>
      </c>
    </row>
    <row r="2644" spans="1:11" ht="15" customHeight="1" x14ac:dyDescent="0.25">
      <c r="A2644" s="75">
        <v>15</v>
      </c>
      <c r="B2644" s="75">
        <v>91</v>
      </c>
      <c r="C2644" s="75" t="s">
        <v>10</v>
      </c>
      <c r="D2644" s="75">
        <v>4569</v>
      </c>
      <c r="F2644" s="75" t="s">
        <v>10</v>
      </c>
      <c r="H2644" s="75" t="s">
        <v>10</v>
      </c>
      <c r="I2644" s="75">
        <v>19489</v>
      </c>
      <c r="K2644" s="75" t="str">
        <f>IFERROR(VLOOKUP(J2644,'NQ10'!$B$9:$C$145,2,0),"")</f>
        <v/>
      </c>
    </row>
    <row r="2645" spans="1:11" ht="15" customHeight="1" x14ac:dyDescent="0.25">
      <c r="A2645" s="75">
        <v>15</v>
      </c>
      <c r="B2645" s="75">
        <v>92</v>
      </c>
      <c r="C2645" s="75" t="s">
        <v>10</v>
      </c>
      <c r="D2645" s="75">
        <v>1373</v>
      </c>
      <c r="F2645" s="75" t="s">
        <v>10</v>
      </c>
      <c r="H2645" s="75" t="s">
        <v>10</v>
      </c>
      <c r="I2645" s="75">
        <v>19489</v>
      </c>
      <c r="K2645" s="75" t="str">
        <f>IFERROR(VLOOKUP(J2645,'NQ10'!$B$9:$C$145,2,0),"")</f>
        <v/>
      </c>
    </row>
    <row r="2646" spans="1:11" ht="15" customHeight="1" x14ac:dyDescent="0.25">
      <c r="A2646" s="75">
        <v>15</v>
      </c>
      <c r="B2646" s="75">
        <v>93</v>
      </c>
      <c r="C2646" s="75" t="s">
        <v>10</v>
      </c>
      <c r="D2646" s="75">
        <v>4132</v>
      </c>
      <c r="F2646" s="75" t="s">
        <v>10</v>
      </c>
      <c r="H2646" s="75" t="s">
        <v>10</v>
      </c>
      <c r="I2646" s="75">
        <v>19489</v>
      </c>
      <c r="K2646" s="75" t="str">
        <f>IFERROR(VLOOKUP(J2646,'NQ10'!$B$9:$C$145,2,0),"")</f>
        <v/>
      </c>
    </row>
    <row r="2647" spans="1:11" ht="15" customHeight="1" x14ac:dyDescent="0.25">
      <c r="A2647" s="75">
        <v>15</v>
      </c>
      <c r="B2647" s="75">
        <v>94</v>
      </c>
      <c r="C2647" s="75" t="s">
        <v>10</v>
      </c>
      <c r="D2647" s="75">
        <v>17250</v>
      </c>
      <c r="F2647" s="75" t="s">
        <v>10</v>
      </c>
      <c r="H2647" s="75" t="s">
        <v>10</v>
      </c>
      <c r="I2647" s="75">
        <v>19489</v>
      </c>
      <c r="K2647" s="75" t="str">
        <f>IFERROR(VLOOKUP(J2647,'NQ10'!$B$9:$C$145,2,0),"")</f>
        <v/>
      </c>
    </row>
    <row r="2648" spans="1:11" ht="15" customHeight="1" x14ac:dyDescent="0.25">
      <c r="A2648" s="75">
        <v>16</v>
      </c>
      <c r="C2648" s="75" t="s">
        <v>10</v>
      </c>
      <c r="D2648" s="75">
        <v>136</v>
      </c>
      <c r="F2648" s="75" t="s">
        <v>10</v>
      </c>
      <c r="H2648" s="75" t="s">
        <v>10</v>
      </c>
      <c r="I2648" s="75">
        <v>19489</v>
      </c>
      <c r="K2648" s="75" t="str">
        <f>IFERROR(VLOOKUP(J2648,'NQ10'!$B$9:$C$145,2,0),"")</f>
        <v/>
      </c>
    </row>
    <row r="2649" spans="1:11" ht="15" customHeight="1" x14ac:dyDescent="0.25">
      <c r="A2649" s="75">
        <v>16</v>
      </c>
      <c r="C2649" s="75" t="s">
        <v>10</v>
      </c>
      <c r="D2649" s="75">
        <v>5737</v>
      </c>
      <c r="F2649" s="75" t="s">
        <v>10</v>
      </c>
      <c r="H2649" s="75" t="s">
        <v>10</v>
      </c>
      <c r="I2649" s="75">
        <v>19489</v>
      </c>
      <c r="K2649" s="75" t="str">
        <f>IFERROR(VLOOKUP(J2649,'NQ10'!$B$9:$C$145,2,0),"")</f>
        <v/>
      </c>
    </row>
    <row r="2650" spans="1:11" ht="15" customHeight="1" x14ac:dyDescent="0.25">
      <c r="A2650" s="75">
        <v>16</v>
      </c>
      <c r="C2650" s="75" t="s">
        <v>10</v>
      </c>
      <c r="D2650" s="75">
        <v>90</v>
      </c>
      <c r="F2650" s="75" t="s">
        <v>10</v>
      </c>
      <c r="H2650" s="75" t="s">
        <v>10</v>
      </c>
      <c r="I2650" s="75">
        <v>19489</v>
      </c>
      <c r="K2650" s="75" t="str">
        <f>IFERROR(VLOOKUP(J2650,'NQ10'!$B$9:$C$145,2,0),"")</f>
        <v/>
      </c>
    </row>
    <row r="2651" spans="1:11" ht="15" customHeight="1" x14ac:dyDescent="0.25">
      <c r="A2651" s="75">
        <v>16</v>
      </c>
      <c r="B2651" s="75">
        <v>5</v>
      </c>
      <c r="C2651" s="75" t="s">
        <v>10</v>
      </c>
      <c r="D2651" s="75">
        <v>932</v>
      </c>
      <c r="F2651" s="75" t="s">
        <v>10</v>
      </c>
      <c r="H2651" s="75" t="s">
        <v>10</v>
      </c>
      <c r="I2651" s="75">
        <v>19489</v>
      </c>
      <c r="K2651" s="75" t="str">
        <f>IFERROR(VLOOKUP(J2651,'NQ10'!$B$9:$C$145,2,0),"")</f>
        <v/>
      </c>
    </row>
    <row r="2652" spans="1:11" ht="15" customHeight="1" x14ac:dyDescent="0.25">
      <c r="A2652" s="75">
        <v>16</v>
      </c>
      <c r="B2652" s="75">
        <v>6</v>
      </c>
      <c r="C2652" s="75" t="s">
        <v>10</v>
      </c>
      <c r="D2652" s="75">
        <v>2920</v>
      </c>
      <c r="F2652" s="75" t="s">
        <v>10</v>
      </c>
      <c r="H2652" s="75" t="s">
        <v>10</v>
      </c>
      <c r="I2652" s="75">
        <v>19489</v>
      </c>
      <c r="K2652" s="75" t="str">
        <f>IFERROR(VLOOKUP(J2652,'NQ10'!$B$9:$C$145,2,0),"")</f>
        <v/>
      </c>
    </row>
    <row r="2653" spans="1:11" ht="15" customHeight="1" x14ac:dyDescent="0.25">
      <c r="A2653" s="75">
        <v>16</v>
      </c>
      <c r="B2653" s="75">
        <v>7</v>
      </c>
      <c r="C2653" s="75" t="s">
        <v>10</v>
      </c>
      <c r="D2653" s="75">
        <v>3370</v>
      </c>
      <c r="F2653" s="75" t="s">
        <v>10</v>
      </c>
      <c r="H2653" s="75" t="s">
        <v>10</v>
      </c>
      <c r="I2653" s="75">
        <v>19489</v>
      </c>
      <c r="K2653" s="75" t="str">
        <f>IFERROR(VLOOKUP(J2653,'NQ10'!$B$9:$C$145,2,0),"")</f>
        <v/>
      </c>
    </row>
    <row r="2654" spans="1:11" ht="15" customHeight="1" x14ac:dyDescent="0.25">
      <c r="A2654" s="75">
        <v>16</v>
      </c>
      <c r="B2654" s="75">
        <v>8</v>
      </c>
      <c r="C2654" s="75" t="s">
        <v>10</v>
      </c>
      <c r="D2654" s="75">
        <v>5742</v>
      </c>
      <c r="F2654" s="75" t="s">
        <v>10</v>
      </c>
      <c r="H2654" s="75" t="s">
        <v>10</v>
      </c>
      <c r="I2654" s="75">
        <v>19489</v>
      </c>
      <c r="K2654" s="75" t="str">
        <f>IFERROR(VLOOKUP(J2654,'NQ10'!$B$9:$C$145,2,0),"")</f>
        <v/>
      </c>
    </row>
    <row r="2655" spans="1:11" ht="15" customHeight="1" x14ac:dyDescent="0.25">
      <c r="A2655" s="75">
        <v>16</v>
      </c>
      <c r="B2655" s="75">
        <v>10</v>
      </c>
      <c r="C2655" s="75" t="s">
        <v>10</v>
      </c>
      <c r="D2655" s="75">
        <v>3567</v>
      </c>
      <c r="F2655" s="75" t="s">
        <v>10</v>
      </c>
      <c r="H2655" s="75" t="s">
        <v>10</v>
      </c>
      <c r="I2655" s="75">
        <v>19489</v>
      </c>
      <c r="K2655" s="75" t="str">
        <f>IFERROR(VLOOKUP(J2655,'NQ10'!$B$9:$C$145,2,0),"")</f>
        <v/>
      </c>
    </row>
    <row r="2656" spans="1:11" ht="15" customHeight="1" x14ac:dyDescent="0.25">
      <c r="A2656" s="75">
        <v>16</v>
      </c>
      <c r="B2656" s="75">
        <v>12</v>
      </c>
      <c r="C2656" s="75" t="s">
        <v>10</v>
      </c>
      <c r="D2656" s="75">
        <v>1289</v>
      </c>
      <c r="F2656" s="75" t="s">
        <v>10</v>
      </c>
      <c r="H2656" s="75" t="s">
        <v>10</v>
      </c>
      <c r="I2656" s="75">
        <v>19489</v>
      </c>
      <c r="K2656" s="75" t="str">
        <f>IFERROR(VLOOKUP(J2656,'NQ10'!$B$9:$C$145,2,0),"")</f>
        <v/>
      </c>
    </row>
    <row r="2657" spans="1:11" ht="15" customHeight="1" x14ac:dyDescent="0.25">
      <c r="A2657" s="75">
        <v>16</v>
      </c>
      <c r="B2657" s="75">
        <v>13</v>
      </c>
      <c r="C2657" s="75" t="s">
        <v>10</v>
      </c>
      <c r="D2657" s="75">
        <v>4447</v>
      </c>
      <c r="F2657" s="75" t="s">
        <v>10</v>
      </c>
      <c r="H2657" s="75" t="s">
        <v>10</v>
      </c>
      <c r="I2657" s="75">
        <v>19489</v>
      </c>
      <c r="K2657" s="75" t="str">
        <f>IFERROR(VLOOKUP(J2657,'NQ10'!$B$9:$C$145,2,0),"")</f>
        <v/>
      </c>
    </row>
    <row r="2658" spans="1:11" ht="15" customHeight="1" x14ac:dyDescent="0.25">
      <c r="A2658" s="75">
        <v>16</v>
      </c>
      <c r="B2658" s="75">
        <v>14</v>
      </c>
      <c r="C2658" s="75" t="s">
        <v>10</v>
      </c>
      <c r="D2658" s="75">
        <v>2797</v>
      </c>
      <c r="F2658" s="75" t="s">
        <v>10</v>
      </c>
      <c r="H2658" s="75" t="s">
        <v>10</v>
      </c>
      <c r="I2658" s="75">
        <v>19489</v>
      </c>
      <c r="K2658" s="75" t="str">
        <f>IFERROR(VLOOKUP(J2658,'NQ10'!$B$9:$C$145,2,0),"")</f>
        <v/>
      </c>
    </row>
    <row r="2659" spans="1:11" ht="15" customHeight="1" x14ac:dyDescent="0.25">
      <c r="A2659" s="75">
        <v>16</v>
      </c>
      <c r="B2659" s="75">
        <v>15</v>
      </c>
      <c r="C2659" s="75" t="s">
        <v>10</v>
      </c>
      <c r="D2659" s="75">
        <v>23150</v>
      </c>
      <c r="F2659" s="75" t="s">
        <v>10</v>
      </c>
      <c r="H2659" s="75" t="s">
        <v>10</v>
      </c>
      <c r="I2659" s="75">
        <v>19489</v>
      </c>
      <c r="K2659" s="75" t="str">
        <f>IFERROR(VLOOKUP(J2659,'NQ10'!$B$9:$C$145,2,0),"")</f>
        <v/>
      </c>
    </row>
    <row r="2660" spans="1:11" ht="15" customHeight="1" x14ac:dyDescent="0.25">
      <c r="A2660" s="75">
        <v>16</v>
      </c>
      <c r="B2660" s="75">
        <v>16</v>
      </c>
      <c r="C2660" s="75" t="s">
        <v>10</v>
      </c>
      <c r="D2660" s="75">
        <v>379</v>
      </c>
      <c r="F2660" s="75" t="s">
        <v>10</v>
      </c>
      <c r="H2660" s="75" t="s">
        <v>10</v>
      </c>
      <c r="I2660" s="75">
        <v>19489</v>
      </c>
      <c r="K2660" s="75" t="str">
        <f>IFERROR(VLOOKUP(J2660,'NQ10'!$B$9:$C$145,2,0),"")</f>
        <v/>
      </c>
    </row>
    <row r="2661" spans="1:11" ht="15" customHeight="1" x14ac:dyDescent="0.25">
      <c r="A2661" s="75">
        <v>16</v>
      </c>
      <c r="B2661" s="75">
        <v>17</v>
      </c>
      <c r="C2661" s="75" t="s">
        <v>10</v>
      </c>
      <c r="D2661" s="75">
        <v>444</v>
      </c>
      <c r="F2661" s="75" t="s">
        <v>10</v>
      </c>
      <c r="H2661" s="75" t="s">
        <v>10</v>
      </c>
      <c r="I2661" s="75">
        <v>19489</v>
      </c>
      <c r="K2661" s="75" t="str">
        <f>IFERROR(VLOOKUP(J2661,'NQ10'!$B$9:$C$145,2,0),"")</f>
        <v/>
      </c>
    </row>
    <row r="2662" spans="1:11" ht="15" customHeight="1" x14ac:dyDescent="0.25">
      <c r="A2662" s="75">
        <v>16</v>
      </c>
      <c r="B2662" s="75">
        <v>18</v>
      </c>
      <c r="C2662" s="75" t="s">
        <v>10</v>
      </c>
      <c r="D2662" s="75">
        <v>7032</v>
      </c>
      <c r="F2662" s="75" t="s">
        <v>10</v>
      </c>
      <c r="H2662" s="75" t="s">
        <v>10</v>
      </c>
      <c r="I2662" s="75">
        <v>19489</v>
      </c>
      <c r="K2662" s="75" t="str">
        <f>IFERROR(VLOOKUP(J2662,'NQ10'!$B$9:$C$145,2,0),"")</f>
        <v/>
      </c>
    </row>
    <row r="2663" spans="1:11" ht="15" customHeight="1" x14ac:dyDescent="0.25">
      <c r="A2663" s="75">
        <v>16</v>
      </c>
      <c r="B2663" s="75">
        <v>20</v>
      </c>
      <c r="C2663" s="75" t="s">
        <v>10</v>
      </c>
      <c r="D2663" s="75">
        <v>16283</v>
      </c>
      <c r="F2663" s="75" t="s">
        <v>10</v>
      </c>
      <c r="H2663" s="75" t="s">
        <v>10</v>
      </c>
      <c r="I2663" s="75">
        <v>19489</v>
      </c>
      <c r="K2663" s="75" t="str">
        <f>IFERROR(VLOOKUP(J2663,'NQ10'!$B$9:$C$145,2,0),"")</f>
        <v/>
      </c>
    </row>
    <row r="2664" spans="1:11" ht="15" customHeight="1" x14ac:dyDescent="0.25">
      <c r="A2664" s="75">
        <v>16</v>
      </c>
      <c r="B2664" s="75">
        <v>21</v>
      </c>
      <c r="C2664" s="75" t="s">
        <v>10</v>
      </c>
      <c r="D2664" s="75">
        <v>3147</v>
      </c>
      <c r="F2664" s="75" t="s">
        <v>10</v>
      </c>
      <c r="H2664" s="75" t="s">
        <v>10</v>
      </c>
      <c r="I2664" s="75">
        <v>19489</v>
      </c>
      <c r="K2664" s="75" t="str">
        <f>IFERROR(VLOOKUP(J2664,'NQ10'!$B$9:$C$145,2,0),"")</f>
        <v/>
      </c>
    </row>
    <row r="2665" spans="1:11" ht="15" customHeight="1" x14ac:dyDescent="0.25">
      <c r="A2665" s="75">
        <v>16</v>
      </c>
      <c r="B2665" s="75">
        <v>22</v>
      </c>
      <c r="C2665" s="75" t="s">
        <v>10</v>
      </c>
      <c r="D2665" s="75">
        <v>10049</v>
      </c>
      <c r="F2665" s="75" t="s">
        <v>10</v>
      </c>
      <c r="H2665" s="75" t="s">
        <v>10</v>
      </c>
      <c r="I2665" s="75">
        <v>19489</v>
      </c>
      <c r="K2665" s="75" t="str">
        <f>IFERROR(VLOOKUP(J2665,'NQ10'!$B$9:$C$145,2,0),"")</f>
        <v/>
      </c>
    </row>
    <row r="2666" spans="1:11" ht="15" customHeight="1" x14ac:dyDescent="0.25">
      <c r="A2666" s="75">
        <v>16</v>
      </c>
      <c r="B2666" s="75">
        <v>23</v>
      </c>
      <c r="C2666" s="75" t="s">
        <v>10</v>
      </c>
      <c r="D2666" s="75">
        <v>939</v>
      </c>
      <c r="F2666" s="75" t="s">
        <v>10</v>
      </c>
      <c r="H2666" s="75" t="s">
        <v>10</v>
      </c>
      <c r="I2666" s="75">
        <v>19489</v>
      </c>
      <c r="K2666" s="75" t="str">
        <f>IFERROR(VLOOKUP(J2666,'NQ10'!$B$9:$C$145,2,0),"")</f>
        <v/>
      </c>
    </row>
    <row r="2667" spans="1:11" ht="15" customHeight="1" x14ac:dyDescent="0.25">
      <c r="A2667" s="75">
        <v>16</v>
      </c>
      <c r="B2667" s="75">
        <v>25</v>
      </c>
      <c r="C2667" s="75" t="s">
        <v>10</v>
      </c>
      <c r="D2667" s="75">
        <v>185</v>
      </c>
      <c r="F2667" s="75" t="s">
        <v>10</v>
      </c>
      <c r="H2667" s="75" t="s">
        <v>10</v>
      </c>
      <c r="I2667" s="75">
        <v>19489</v>
      </c>
      <c r="K2667" s="75" t="str">
        <f>IFERROR(VLOOKUP(J2667,'NQ10'!$B$9:$C$145,2,0),"")</f>
        <v/>
      </c>
    </row>
    <row r="2668" spans="1:11" ht="15" customHeight="1" x14ac:dyDescent="0.25">
      <c r="A2668" s="75">
        <v>16</v>
      </c>
      <c r="B2668" s="75">
        <v>27</v>
      </c>
      <c r="C2668" s="75" t="s">
        <v>10</v>
      </c>
      <c r="D2668" s="75">
        <v>351</v>
      </c>
      <c r="F2668" s="75" t="s">
        <v>10</v>
      </c>
      <c r="H2668" s="75" t="s">
        <v>10</v>
      </c>
      <c r="I2668" s="75">
        <v>19489</v>
      </c>
      <c r="K2668" s="75" t="str">
        <f>IFERROR(VLOOKUP(J2668,'NQ10'!$B$9:$C$145,2,0),"")</f>
        <v/>
      </c>
    </row>
    <row r="2669" spans="1:11" ht="15" customHeight="1" x14ac:dyDescent="0.25">
      <c r="A2669" s="75">
        <v>16</v>
      </c>
      <c r="B2669" s="75">
        <v>28</v>
      </c>
      <c r="C2669" s="75" t="s">
        <v>10</v>
      </c>
      <c r="D2669" s="75">
        <v>4199</v>
      </c>
      <c r="F2669" s="75" t="s">
        <v>10</v>
      </c>
      <c r="H2669" s="75" t="s">
        <v>10</v>
      </c>
      <c r="I2669" s="75">
        <v>19489</v>
      </c>
      <c r="K2669" s="75" t="str">
        <f>IFERROR(VLOOKUP(J2669,'NQ10'!$B$9:$C$145,2,0),"")</f>
        <v/>
      </c>
    </row>
    <row r="2670" spans="1:11" ht="15" customHeight="1" x14ac:dyDescent="0.25">
      <c r="A2670" s="75">
        <v>16</v>
      </c>
      <c r="B2670" s="75">
        <v>29</v>
      </c>
      <c r="C2670" s="75" t="s">
        <v>10</v>
      </c>
      <c r="D2670" s="75">
        <v>6383</v>
      </c>
      <c r="F2670" s="75" t="s">
        <v>10</v>
      </c>
      <c r="H2670" s="75" t="s">
        <v>10</v>
      </c>
      <c r="I2670" s="75">
        <v>19489</v>
      </c>
      <c r="K2670" s="75" t="str">
        <f>IFERROR(VLOOKUP(J2670,'NQ10'!$B$9:$C$145,2,0),"")</f>
        <v/>
      </c>
    </row>
    <row r="2671" spans="1:11" ht="15" customHeight="1" x14ac:dyDescent="0.25">
      <c r="A2671" s="75">
        <v>16</v>
      </c>
      <c r="B2671" s="75">
        <v>30</v>
      </c>
      <c r="C2671" s="75" t="s">
        <v>10</v>
      </c>
      <c r="D2671" s="75">
        <v>9653</v>
      </c>
      <c r="F2671" s="75" t="s">
        <v>10</v>
      </c>
      <c r="H2671" s="75" t="s">
        <v>10</v>
      </c>
      <c r="I2671" s="75">
        <v>19489</v>
      </c>
      <c r="K2671" s="75" t="str">
        <f>IFERROR(VLOOKUP(J2671,'NQ10'!$B$9:$C$145,2,0),"")</f>
        <v/>
      </c>
    </row>
    <row r="2672" spans="1:11" ht="15" customHeight="1" x14ac:dyDescent="0.25">
      <c r="A2672" s="75">
        <v>16</v>
      </c>
      <c r="B2672" s="75">
        <v>31</v>
      </c>
      <c r="C2672" s="75" t="s">
        <v>10</v>
      </c>
      <c r="D2672" s="75">
        <v>250</v>
      </c>
      <c r="F2672" s="75" t="s">
        <v>10</v>
      </c>
      <c r="H2672" s="75" t="s">
        <v>10</v>
      </c>
      <c r="I2672" s="75">
        <v>19489</v>
      </c>
      <c r="K2672" s="75" t="str">
        <f>IFERROR(VLOOKUP(J2672,'NQ10'!$B$9:$C$145,2,0),"")</f>
        <v/>
      </c>
    </row>
    <row r="2673" spans="1:11" ht="15" customHeight="1" x14ac:dyDescent="0.25">
      <c r="A2673" s="75">
        <v>16</v>
      </c>
      <c r="B2673" s="75">
        <v>32</v>
      </c>
      <c r="C2673" s="75" t="s">
        <v>10</v>
      </c>
      <c r="D2673" s="75">
        <v>8849</v>
      </c>
      <c r="F2673" s="75" t="s">
        <v>10</v>
      </c>
      <c r="H2673" s="75" t="s">
        <v>10</v>
      </c>
      <c r="I2673" s="75">
        <v>19489</v>
      </c>
      <c r="K2673" s="75" t="str">
        <f>IFERROR(VLOOKUP(J2673,'NQ10'!$B$9:$C$145,2,0),"")</f>
        <v/>
      </c>
    </row>
    <row r="2674" spans="1:11" ht="15" customHeight="1" x14ac:dyDescent="0.25">
      <c r="A2674" s="75">
        <v>16</v>
      </c>
      <c r="B2674" s="75">
        <v>33</v>
      </c>
      <c r="C2674" s="75" t="s">
        <v>10</v>
      </c>
      <c r="D2674" s="75">
        <v>4633</v>
      </c>
      <c r="F2674" s="75" t="s">
        <v>10</v>
      </c>
      <c r="H2674" s="75" t="s">
        <v>10</v>
      </c>
      <c r="I2674" s="75">
        <v>19489</v>
      </c>
      <c r="K2674" s="75" t="str">
        <f>IFERROR(VLOOKUP(J2674,'NQ10'!$B$9:$C$145,2,0),"")</f>
        <v/>
      </c>
    </row>
    <row r="2675" spans="1:11" ht="15" customHeight="1" x14ac:dyDescent="0.25">
      <c r="A2675" s="75">
        <v>16</v>
      </c>
      <c r="B2675" s="75">
        <v>34</v>
      </c>
      <c r="C2675" s="75" t="s">
        <v>10</v>
      </c>
      <c r="D2675" s="75">
        <v>4924</v>
      </c>
      <c r="F2675" s="75" t="s">
        <v>10</v>
      </c>
      <c r="H2675" s="75" t="s">
        <v>10</v>
      </c>
      <c r="I2675" s="75">
        <v>19489</v>
      </c>
      <c r="K2675" s="75" t="str">
        <f>IFERROR(VLOOKUP(J2675,'NQ10'!$B$9:$C$145,2,0),"")</f>
        <v/>
      </c>
    </row>
    <row r="2676" spans="1:11" ht="15" customHeight="1" x14ac:dyDescent="0.25">
      <c r="A2676" s="75">
        <v>16</v>
      </c>
      <c r="B2676" s="75">
        <v>35</v>
      </c>
      <c r="C2676" s="75" t="s">
        <v>10</v>
      </c>
      <c r="D2676" s="75">
        <v>6083</v>
      </c>
      <c r="F2676" s="75" t="s">
        <v>10</v>
      </c>
      <c r="H2676" s="75" t="s">
        <v>10</v>
      </c>
      <c r="I2676" s="75">
        <v>19489</v>
      </c>
      <c r="K2676" s="75" t="str">
        <f>IFERROR(VLOOKUP(J2676,'NQ10'!$B$9:$C$145,2,0),"")</f>
        <v/>
      </c>
    </row>
    <row r="2677" spans="1:11" ht="15" customHeight="1" x14ac:dyDescent="0.25">
      <c r="A2677" s="75">
        <v>16</v>
      </c>
      <c r="B2677" s="75">
        <v>36</v>
      </c>
      <c r="C2677" s="75" t="s">
        <v>10</v>
      </c>
      <c r="D2677" s="75">
        <v>2654</v>
      </c>
      <c r="F2677" s="75" t="s">
        <v>10</v>
      </c>
      <c r="H2677" s="75" t="s">
        <v>10</v>
      </c>
      <c r="I2677" s="75">
        <v>19489</v>
      </c>
      <c r="K2677" s="75" t="str">
        <f>IFERROR(VLOOKUP(J2677,'NQ10'!$B$9:$C$145,2,0),"")</f>
        <v/>
      </c>
    </row>
    <row r="2678" spans="1:11" ht="15" customHeight="1" x14ac:dyDescent="0.25">
      <c r="A2678" s="75">
        <v>16</v>
      </c>
      <c r="B2678" s="75">
        <v>37</v>
      </c>
      <c r="C2678" s="75" t="s">
        <v>10</v>
      </c>
      <c r="D2678" s="75">
        <v>1844</v>
      </c>
      <c r="F2678" s="75" t="s">
        <v>10</v>
      </c>
      <c r="H2678" s="75" t="s">
        <v>10</v>
      </c>
      <c r="I2678" s="75">
        <v>19489</v>
      </c>
      <c r="K2678" s="75" t="str">
        <f>IFERROR(VLOOKUP(J2678,'NQ10'!$B$9:$C$145,2,0),"")</f>
        <v/>
      </c>
    </row>
    <row r="2679" spans="1:11" ht="15" customHeight="1" x14ac:dyDescent="0.25">
      <c r="A2679" s="75">
        <v>16</v>
      </c>
      <c r="B2679" s="75">
        <v>38</v>
      </c>
      <c r="C2679" s="75" t="s">
        <v>10</v>
      </c>
      <c r="D2679" s="75">
        <v>1833</v>
      </c>
      <c r="F2679" s="75" t="s">
        <v>10</v>
      </c>
      <c r="H2679" s="75" t="s">
        <v>10</v>
      </c>
      <c r="I2679" s="75">
        <v>19489</v>
      </c>
      <c r="K2679" s="75" t="str">
        <f>IFERROR(VLOOKUP(J2679,'NQ10'!$B$9:$C$145,2,0),"")</f>
        <v/>
      </c>
    </row>
    <row r="2680" spans="1:11" ht="15" customHeight="1" x14ac:dyDescent="0.25">
      <c r="A2680" s="75">
        <v>16</v>
      </c>
      <c r="B2680" s="75">
        <v>39</v>
      </c>
      <c r="C2680" s="75" t="s">
        <v>10</v>
      </c>
      <c r="D2680" s="75">
        <v>4310</v>
      </c>
      <c r="F2680" s="75" t="s">
        <v>10</v>
      </c>
      <c r="H2680" s="75" t="s">
        <v>10</v>
      </c>
      <c r="I2680" s="75">
        <v>19489</v>
      </c>
      <c r="K2680" s="75" t="str">
        <f>IFERROR(VLOOKUP(J2680,'NQ10'!$B$9:$C$145,2,0),"")</f>
        <v/>
      </c>
    </row>
    <row r="2681" spans="1:11" ht="15" customHeight="1" x14ac:dyDescent="0.25">
      <c r="A2681" s="75">
        <v>16</v>
      </c>
      <c r="B2681" s="75">
        <v>40</v>
      </c>
      <c r="C2681" s="75" t="s">
        <v>10</v>
      </c>
      <c r="D2681" s="75">
        <v>17498</v>
      </c>
      <c r="F2681" s="75" t="s">
        <v>10</v>
      </c>
      <c r="H2681" s="75" t="s">
        <v>10</v>
      </c>
      <c r="I2681" s="75">
        <v>19489</v>
      </c>
      <c r="K2681" s="75" t="str">
        <f>IFERROR(VLOOKUP(J2681,'NQ10'!$B$9:$C$145,2,0),"")</f>
        <v/>
      </c>
    </row>
    <row r="2682" spans="1:11" ht="15" customHeight="1" x14ac:dyDescent="0.25">
      <c r="A2682" s="75">
        <v>16</v>
      </c>
      <c r="B2682" s="75">
        <v>41</v>
      </c>
      <c r="C2682" s="75" t="s">
        <v>10</v>
      </c>
      <c r="D2682" s="75">
        <v>7251</v>
      </c>
      <c r="F2682" s="75" t="s">
        <v>10</v>
      </c>
      <c r="H2682" s="75" t="s">
        <v>10</v>
      </c>
      <c r="I2682" s="75">
        <v>19489</v>
      </c>
      <c r="K2682" s="75" t="str">
        <f>IFERROR(VLOOKUP(J2682,'NQ10'!$B$9:$C$145,2,0),"")</f>
        <v/>
      </c>
    </row>
    <row r="2683" spans="1:11" ht="15" customHeight="1" x14ac:dyDescent="0.25">
      <c r="A2683" s="75">
        <v>16</v>
      </c>
      <c r="B2683" s="75">
        <v>42</v>
      </c>
      <c r="C2683" s="75" t="s">
        <v>10</v>
      </c>
      <c r="D2683" s="75">
        <v>3890</v>
      </c>
      <c r="F2683" s="75" t="s">
        <v>10</v>
      </c>
      <c r="H2683" s="75" t="s">
        <v>10</v>
      </c>
      <c r="I2683" s="75">
        <v>19489</v>
      </c>
      <c r="K2683" s="75" t="str">
        <f>IFERROR(VLOOKUP(J2683,'NQ10'!$B$9:$C$145,2,0),"")</f>
        <v/>
      </c>
    </row>
    <row r="2684" spans="1:11" ht="15" customHeight="1" x14ac:dyDescent="0.25">
      <c r="A2684" s="75">
        <v>16</v>
      </c>
      <c r="B2684" s="75">
        <v>43</v>
      </c>
      <c r="C2684" s="75" t="s">
        <v>10</v>
      </c>
      <c r="D2684" s="75">
        <v>5519</v>
      </c>
      <c r="F2684" s="75" t="s">
        <v>10</v>
      </c>
      <c r="H2684" s="75" t="s">
        <v>10</v>
      </c>
      <c r="I2684" s="75">
        <v>19489</v>
      </c>
      <c r="K2684" s="75" t="str">
        <f>IFERROR(VLOOKUP(J2684,'NQ10'!$B$9:$C$145,2,0),"")</f>
        <v/>
      </c>
    </row>
    <row r="2685" spans="1:11" ht="15" customHeight="1" x14ac:dyDescent="0.25">
      <c r="A2685" s="75">
        <v>16</v>
      </c>
      <c r="B2685" s="75">
        <v>44</v>
      </c>
      <c r="C2685" s="75" t="s">
        <v>10</v>
      </c>
      <c r="D2685" s="75">
        <v>6343</v>
      </c>
      <c r="F2685" s="75" t="s">
        <v>10</v>
      </c>
      <c r="H2685" s="75" t="s">
        <v>10</v>
      </c>
      <c r="I2685" s="75">
        <v>19489</v>
      </c>
      <c r="K2685" s="75" t="str">
        <f>IFERROR(VLOOKUP(J2685,'NQ10'!$B$9:$C$145,2,0),"")</f>
        <v/>
      </c>
    </row>
    <row r="2686" spans="1:11" ht="15" customHeight="1" x14ac:dyDescent="0.25">
      <c r="A2686" s="75">
        <v>16</v>
      </c>
      <c r="B2686" s="75">
        <v>45</v>
      </c>
      <c r="C2686" s="75" t="s">
        <v>10</v>
      </c>
      <c r="D2686" s="75">
        <v>455</v>
      </c>
      <c r="F2686" s="75" t="s">
        <v>10</v>
      </c>
      <c r="H2686" s="75" t="s">
        <v>10</v>
      </c>
      <c r="I2686" s="75">
        <v>19489</v>
      </c>
      <c r="K2686" s="75" t="str">
        <f>IFERROR(VLOOKUP(J2686,'NQ10'!$B$9:$C$145,2,0),"")</f>
        <v/>
      </c>
    </row>
    <row r="2687" spans="1:11" ht="15" customHeight="1" x14ac:dyDescent="0.25">
      <c r="A2687" s="75">
        <v>16</v>
      </c>
      <c r="B2687" s="75">
        <v>46</v>
      </c>
      <c r="C2687" s="75" t="s">
        <v>10</v>
      </c>
      <c r="D2687" s="75">
        <v>1876</v>
      </c>
      <c r="F2687" s="75" t="s">
        <v>10</v>
      </c>
      <c r="H2687" s="75" t="s">
        <v>10</v>
      </c>
      <c r="I2687" s="75">
        <v>19489</v>
      </c>
      <c r="K2687" s="75" t="str">
        <f>IFERROR(VLOOKUP(J2687,'NQ10'!$B$9:$C$145,2,0),"")</f>
        <v/>
      </c>
    </row>
    <row r="2688" spans="1:11" ht="15" customHeight="1" x14ac:dyDescent="0.25">
      <c r="A2688" s="75">
        <v>16</v>
      </c>
      <c r="B2688" s="75">
        <v>47</v>
      </c>
      <c r="C2688" s="75" t="s">
        <v>10</v>
      </c>
      <c r="D2688" s="75">
        <v>4587</v>
      </c>
      <c r="F2688" s="75" t="s">
        <v>10</v>
      </c>
      <c r="H2688" s="75" t="s">
        <v>10</v>
      </c>
      <c r="I2688" s="75">
        <v>19489</v>
      </c>
      <c r="K2688" s="75" t="str">
        <f>IFERROR(VLOOKUP(J2688,'NQ10'!$B$9:$C$145,2,0),"")</f>
        <v/>
      </c>
    </row>
    <row r="2689" spans="1:11" ht="15" customHeight="1" x14ac:dyDescent="0.25">
      <c r="A2689" s="75">
        <v>16</v>
      </c>
      <c r="B2689" s="75">
        <v>48</v>
      </c>
      <c r="C2689" s="75" t="s">
        <v>10</v>
      </c>
      <c r="D2689" s="75">
        <v>440</v>
      </c>
      <c r="F2689" s="75" t="s">
        <v>10</v>
      </c>
      <c r="H2689" s="75" t="s">
        <v>10</v>
      </c>
      <c r="I2689" s="75">
        <v>19489</v>
      </c>
      <c r="K2689" s="75" t="str">
        <f>IFERROR(VLOOKUP(J2689,'NQ10'!$B$9:$C$145,2,0),"")</f>
        <v/>
      </c>
    </row>
    <row r="2690" spans="1:11" ht="15" customHeight="1" x14ac:dyDescent="0.25">
      <c r="A2690" s="75">
        <v>16</v>
      </c>
      <c r="B2690" s="75">
        <v>49</v>
      </c>
      <c r="C2690" s="75" t="s">
        <v>10</v>
      </c>
      <c r="D2690" s="75">
        <v>2542</v>
      </c>
      <c r="F2690" s="75" t="s">
        <v>10</v>
      </c>
      <c r="H2690" s="75" t="s">
        <v>10</v>
      </c>
      <c r="I2690" s="75">
        <v>19489</v>
      </c>
      <c r="K2690" s="75" t="str">
        <f>IFERROR(VLOOKUP(J2690,'NQ10'!$B$9:$C$145,2,0),"")</f>
        <v/>
      </c>
    </row>
    <row r="2691" spans="1:11" ht="15" customHeight="1" x14ac:dyDescent="0.25">
      <c r="A2691" s="75">
        <v>16</v>
      </c>
      <c r="B2691" s="75">
        <v>50</v>
      </c>
      <c r="C2691" s="75" t="s">
        <v>10</v>
      </c>
      <c r="D2691" s="75">
        <v>1739</v>
      </c>
      <c r="F2691" s="75" t="s">
        <v>10</v>
      </c>
      <c r="H2691" s="75" t="s">
        <v>10</v>
      </c>
      <c r="I2691" s="75">
        <v>19489</v>
      </c>
      <c r="K2691" s="75" t="str">
        <f>IFERROR(VLOOKUP(J2691,'NQ10'!$B$9:$C$145,2,0),"")</f>
        <v/>
      </c>
    </row>
    <row r="2692" spans="1:11" ht="15" customHeight="1" x14ac:dyDescent="0.25">
      <c r="A2692" s="75">
        <v>17</v>
      </c>
      <c r="B2692" s="75">
        <v>3</v>
      </c>
      <c r="C2692" s="75" t="s">
        <v>10</v>
      </c>
      <c r="D2692" s="75">
        <v>5636</v>
      </c>
      <c r="F2692" s="75" t="s">
        <v>10</v>
      </c>
      <c r="H2692" s="75" t="s">
        <v>10</v>
      </c>
      <c r="I2692" s="75">
        <v>19489</v>
      </c>
      <c r="K2692" s="75" t="str">
        <f>IFERROR(VLOOKUP(J2692,'NQ10'!$B$9:$C$145,2,0),"")</f>
        <v/>
      </c>
    </row>
    <row r="2693" spans="1:11" ht="15" customHeight="1" x14ac:dyDescent="0.25">
      <c r="A2693" s="75">
        <v>17</v>
      </c>
      <c r="B2693" s="75">
        <v>4</v>
      </c>
      <c r="C2693" s="75" t="s">
        <v>10</v>
      </c>
      <c r="D2693" s="75">
        <v>11940</v>
      </c>
      <c r="F2693" s="75" t="s">
        <v>10</v>
      </c>
      <c r="H2693" s="75" t="s">
        <v>10</v>
      </c>
      <c r="I2693" s="75">
        <v>19489</v>
      </c>
      <c r="K2693" s="75" t="str">
        <f>IFERROR(VLOOKUP(J2693,'NQ10'!$B$9:$C$145,2,0),"")</f>
        <v/>
      </c>
    </row>
    <row r="2694" spans="1:11" ht="15" customHeight="1" x14ac:dyDescent="0.25">
      <c r="A2694" s="75">
        <v>17</v>
      </c>
      <c r="B2694" s="75">
        <v>5</v>
      </c>
      <c r="C2694" s="75" t="s">
        <v>10</v>
      </c>
      <c r="D2694" s="75">
        <v>9118</v>
      </c>
      <c r="F2694" s="75" t="s">
        <v>10</v>
      </c>
      <c r="H2694" s="75" t="s">
        <v>10</v>
      </c>
      <c r="I2694" s="75">
        <v>19489</v>
      </c>
      <c r="K2694" s="75" t="str">
        <f>IFERROR(VLOOKUP(J2694,'NQ10'!$B$9:$C$145,2,0),"")</f>
        <v/>
      </c>
    </row>
    <row r="2695" spans="1:11" ht="15" customHeight="1" x14ac:dyDescent="0.25">
      <c r="A2695" s="75">
        <v>17</v>
      </c>
      <c r="B2695" s="75">
        <v>7</v>
      </c>
      <c r="C2695" s="75" t="s">
        <v>10</v>
      </c>
      <c r="D2695" s="75">
        <v>21168</v>
      </c>
      <c r="F2695" s="75" t="s">
        <v>10</v>
      </c>
      <c r="H2695" s="75" t="s">
        <v>10</v>
      </c>
      <c r="I2695" s="75">
        <v>19489</v>
      </c>
      <c r="K2695" s="75" t="str">
        <f>IFERROR(VLOOKUP(J2695,'NQ10'!$B$9:$C$145,2,0),"")</f>
        <v/>
      </c>
    </row>
    <row r="2696" spans="1:11" ht="15" customHeight="1" x14ac:dyDescent="0.25">
      <c r="A2696" s="75">
        <v>17</v>
      </c>
      <c r="B2696" s="75">
        <v>8</v>
      </c>
      <c r="C2696" s="75" t="s">
        <v>10</v>
      </c>
      <c r="D2696" s="75">
        <v>10679</v>
      </c>
      <c r="F2696" s="75" t="s">
        <v>10</v>
      </c>
      <c r="H2696" s="75" t="s">
        <v>10</v>
      </c>
      <c r="I2696" s="75">
        <v>19489</v>
      </c>
      <c r="K2696" s="75" t="str">
        <f>IFERROR(VLOOKUP(J2696,'NQ10'!$B$9:$C$145,2,0),"")</f>
        <v/>
      </c>
    </row>
    <row r="2697" spans="1:11" ht="15" customHeight="1" x14ac:dyDescent="0.25">
      <c r="A2697" s="75">
        <v>17</v>
      </c>
      <c r="B2697" s="75">
        <v>10</v>
      </c>
      <c r="C2697" s="75" t="s">
        <v>10</v>
      </c>
      <c r="D2697" s="75">
        <v>21928</v>
      </c>
      <c r="F2697" s="75" t="s">
        <v>10</v>
      </c>
      <c r="H2697" s="75" t="s">
        <v>10</v>
      </c>
      <c r="I2697" s="75">
        <v>19489</v>
      </c>
      <c r="K2697" s="75" t="str">
        <f>IFERROR(VLOOKUP(J2697,'NQ10'!$B$9:$C$145,2,0),"")</f>
        <v/>
      </c>
    </row>
    <row r="2698" spans="1:11" ht="15" customHeight="1" x14ac:dyDescent="0.25">
      <c r="A2698" s="75">
        <v>17</v>
      </c>
      <c r="B2698" s="75">
        <v>13</v>
      </c>
      <c r="C2698" s="75" t="s">
        <v>10</v>
      </c>
      <c r="D2698" s="75">
        <v>6888</v>
      </c>
      <c r="F2698" s="75" t="s">
        <v>10</v>
      </c>
      <c r="H2698" s="75" t="s">
        <v>10</v>
      </c>
      <c r="I2698" s="75">
        <v>19489</v>
      </c>
      <c r="K2698" s="75" t="str">
        <f>IFERROR(VLOOKUP(J2698,'NQ10'!$B$9:$C$145,2,0),"")</f>
        <v/>
      </c>
    </row>
    <row r="2699" spans="1:11" ht="15" customHeight="1" x14ac:dyDescent="0.25">
      <c r="A2699" s="75">
        <v>17</v>
      </c>
      <c r="B2699" s="75">
        <v>14</v>
      </c>
      <c r="C2699" s="75" t="s">
        <v>10</v>
      </c>
      <c r="D2699" s="75">
        <v>6904</v>
      </c>
      <c r="F2699" s="75" t="s">
        <v>10</v>
      </c>
      <c r="H2699" s="75" t="s">
        <v>10</v>
      </c>
      <c r="I2699" s="75">
        <v>19489</v>
      </c>
      <c r="K2699" s="75" t="str">
        <f>IFERROR(VLOOKUP(J2699,'NQ10'!$B$9:$C$145,2,0),"")</f>
        <v/>
      </c>
    </row>
    <row r="2700" spans="1:11" ht="15" customHeight="1" x14ac:dyDescent="0.25">
      <c r="A2700" s="75">
        <v>18</v>
      </c>
      <c r="C2700" s="75" t="s">
        <v>10</v>
      </c>
      <c r="D2700" s="75">
        <v>6628</v>
      </c>
      <c r="F2700" s="75" t="s">
        <v>10</v>
      </c>
      <c r="H2700" s="75" t="s">
        <v>10</v>
      </c>
      <c r="I2700" s="75">
        <v>19489</v>
      </c>
      <c r="K2700" s="75" t="str">
        <f>IFERROR(VLOOKUP(J2700,'NQ10'!$B$9:$C$145,2,0),"")</f>
        <v/>
      </c>
    </row>
    <row r="2701" spans="1:11" ht="15" customHeight="1" x14ac:dyDescent="0.25">
      <c r="A2701" s="75">
        <v>18</v>
      </c>
      <c r="C2701" s="75" t="s">
        <v>10</v>
      </c>
      <c r="D2701" s="75">
        <v>154</v>
      </c>
      <c r="F2701" s="75" t="s">
        <v>10</v>
      </c>
      <c r="H2701" s="75" t="s">
        <v>10</v>
      </c>
      <c r="I2701" s="75">
        <v>19489</v>
      </c>
      <c r="K2701" s="75" t="str">
        <f>IFERROR(VLOOKUP(J2701,'NQ10'!$B$9:$C$145,2,0),"")</f>
        <v/>
      </c>
    </row>
    <row r="2702" spans="1:11" ht="15" customHeight="1" x14ac:dyDescent="0.25">
      <c r="A2702" s="75">
        <v>18</v>
      </c>
      <c r="C2702" s="75" t="s">
        <v>10</v>
      </c>
      <c r="D2702" s="75">
        <v>532</v>
      </c>
      <c r="F2702" s="75" t="s">
        <v>10</v>
      </c>
      <c r="H2702" s="75" t="s">
        <v>10</v>
      </c>
      <c r="I2702" s="75">
        <v>19489</v>
      </c>
      <c r="K2702" s="75" t="str">
        <f>IFERROR(VLOOKUP(J2702,'NQ10'!$B$9:$C$145,2,0),"")</f>
        <v/>
      </c>
    </row>
    <row r="2703" spans="1:11" ht="15" customHeight="1" x14ac:dyDescent="0.25">
      <c r="A2703" s="75">
        <v>18</v>
      </c>
      <c r="C2703" s="75" t="s">
        <v>10</v>
      </c>
      <c r="D2703" s="75">
        <v>83</v>
      </c>
      <c r="F2703" s="75" t="s">
        <v>10</v>
      </c>
      <c r="H2703" s="75" t="s">
        <v>10</v>
      </c>
      <c r="I2703" s="75">
        <v>19489</v>
      </c>
      <c r="K2703" s="75" t="str">
        <f>IFERROR(VLOOKUP(J2703,'NQ10'!$B$9:$C$145,2,0),"")</f>
        <v/>
      </c>
    </row>
    <row r="2704" spans="1:11" ht="15" customHeight="1" x14ac:dyDescent="0.25">
      <c r="A2704" s="75">
        <v>18</v>
      </c>
      <c r="C2704" s="75" t="s">
        <v>10</v>
      </c>
      <c r="D2704" s="75">
        <v>91801</v>
      </c>
      <c r="F2704" s="75" t="s">
        <v>10</v>
      </c>
      <c r="H2704" s="75" t="s">
        <v>10</v>
      </c>
      <c r="I2704" s="75">
        <v>19489</v>
      </c>
      <c r="K2704" s="75" t="str">
        <f>IFERROR(VLOOKUP(J2704,'NQ10'!$B$9:$C$145,2,0),"")</f>
        <v/>
      </c>
    </row>
    <row r="2705" spans="1:11" ht="15" customHeight="1" x14ac:dyDescent="0.25">
      <c r="A2705" s="75">
        <v>18</v>
      </c>
      <c r="C2705" s="75" t="s">
        <v>10</v>
      </c>
      <c r="D2705" s="75">
        <v>224</v>
      </c>
      <c r="F2705" s="75" t="s">
        <v>10</v>
      </c>
      <c r="H2705" s="75" t="s">
        <v>10</v>
      </c>
      <c r="I2705" s="75">
        <v>19489</v>
      </c>
      <c r="K2705" s="75" t="str">
        <f>IFERROR(VLOOKUP(J2705,'NQ10'!$B$9:$C$145,2,0),"")</f>
        <v/>
      </c>
    </row>
    <row r="2706" spans="1:11" ht="15" customHeight="1" x14ac:dyDescent="0.25">
      <c r="A2706" s="75">
        <v>18</v>
      </c>
      <c r="C2706" s="75" t="s">
        <v>10</v>
      </c>
      <c r="D2706" s="75">
        <v>161</v>
      </c>
      <c r="F2706" s="75" t="s">
        <v>10</v>
      </c>
      <c r="H2706" s="75" t="s">
        <v>10</v>
      </c>
      <c r="I2706" s="75">
        <v>19489</v>
      </c>
      <c r="K2706" s="75" t="str">
        <f>IFERROR(VLOOKUP(J2706,'NQ10'!$B$9:$C$145,2,0),"")</f>
        <v/>
      </c>
    </row>
    <row r="2707" spans="1:11" ht="15" customHeight="1" x14ac:dyDescent="0.25">
      <c r="A2707" s="75">
        <v>18</v>
      </c>
      <c r="C2707" s="75" t="s">
        <v>10</v>
      </c>
      <c r="D2707" s="75">
        <v>441</v>
      </c>
      <c r="F2707" s="75" t="s">
        <v>10</v>
      </c>
      <c r="H2707" s="75" t="s">
        <v>10</v>
      </c>
      <c r="I2707" s="75">
        <v>19489</v>
      </c>
      <c r="K2707" s="75" t="str">
        <f>IFERROR(VLOOKUP(J2707,'NQ10'!$B$9:$C$145,2,0),"")</f>
        <v/>
      </c>
    </row>
    <row r="2708" spans="1:11" ht="15" customHeight="1" x14ac:dyDescent="0.25">
      <c r="A2708" s="75">
        <v>18</v>
      </c>
      <c r="C2708" s="75" t="s">
        <v>10</v>
      </c>
      <c r="D2708" s="75">
        <v>701</v>
      </c>
      <c r="F2708" s="75" t="s">
        <v>10</v>
      </c>
      <c r="H2708" s="75" t="s">
        <v>10</v>
      </c>
      <c r="I2708" s="75">
        <v>19489</v>
      </c>
      <c r="K2708" s="75" t="str">
        <f>IFERROR(VLOOKUP(J2708,'NQ10'!$B$9:$C$145,2,0),"")</f>
        <v/>
      </c>
    </row>
    <row r="2709" spans="1:11" ht="15" customHeight="1" x14ac:dyDescent="0.25">
      <c r="A2709" s="75">
        <v>18</v>
      </c>
      <c r="C2709" s="75" t="s">
        <v>10</v>
      </c>
      <c r="D2709" s="75">
        <v>658</v>
      </c>
      <c r="F2709" s="75" t="s">
        <v>10</v>
      </c>
      <c r="H2709" s="75" t="s">
        <v>10</v>
      </c>
      <c r="I2709" s="75">
        <v>19489</v>
      </c>
      <c r="K2709" s="75" t="str">
        <f>IFERROR(VLOOKUP(J2709,'NQ10'!$B$9:$C$145,2,0),"")</f>
        <v/>
      </c>
    </row>
    <row r="2710" spans="1:11" ht="15" customHeight="1" x14ac:dyDescent="0.25">
      <c r="A2710" s="75">
        <v>18</v>
      </c>
      <c r="B2710" s="75">
        <v>1</v>
      </c>
      <c r="C2710" s="75" t="s">
        <v>10</v>
      </c>
      <c r="D2710" s="75">
        <v>600</v>
      </c>
      <c r="F2710" s="75" t="s">
        <v>10</v>
      </c>
      <c r="H2710" s="75" t="s">
        <v>10</v>
      </c>
      <c r="I2710" s="75">
        <v>19489</v>
      </c>
      <c r="K2710" s="75" t="str">
        <f>IFERROR(VLOOKUP(J2710,'NQ10'!$B$9:$C$145,2,0),"")</f>
        <v/>
      </c>
    </row>
    <row r="2711" spans="1:11" ht="15" customHeight="1" x14ac:dyDescent="0.25">
      <c r="A2711" s="75">
        <v>18</v>
      </c>
      <c r="B2711" s="75">
        <v>3</v>
      </c>
      <c r="C2711" s="75" t="s">
        <v>10</v>
      </c>
      <c r="D2711" s="75">
        <v>335</v>
      </c>
      <c r="F2711" s="75" t="s">
        <v>10</v>
      </c>
      <c r="H2711" s="75" t="s">
        <v>10</v>
      </c>
      <c r="I2711" s="75">
        <v>19489</v>
      </c>
      <c r="K2711" s="75" t="str">
        <f>IFERROR(VLOOKUP(J2711,'NQ10'!$B$9:$C$145,2,0),"")</f>
        <v/>
      </c>
    </row>
    <row r="2712" spans="1:11" ht="15" customHeight="1" x14ac:dyDescent="0.25">
      <c r="A2712" s="75">
        <v>18</v>
      </c>
      <c r="B2712" s="75">
        <v>4</v>
      </c>
      <c r="C2712" s="75" t="s">
        <v>10</v>
      </c>
      <c r="D2712" s="75">
        <v>140</v>
      </c>
      <c r="F2712" s="75" t="s">
        <v>10</v>
      </c>
      <c r="H2712" s="75" t="s">
        <v>10</v>
      </c>
      <c r="I2712" s="75">
        <v>19489</v>
      </c>
      <c r="K2712" s="75" t="str">
        <f>IFERROR(VLOOKUP(J2712,'NQ10'!$B$9:$C$145,2,0),"")</f>
        <v/>
      </c>
    </row>
    <row r="2713" spans="1:11" ht="15" customHeight="1" x14ac:dyDescent="0.25">
      <c r="A2713" s="75">
        <v>18</v>
      </c>
      <c r="B2713" s="75">
        <v>5</v>
      </c>
      <c r="C2713" s="75" t="s">
        <v>10</v>
      </c>
      <c r="D2713" s="75">
        <v>252</v>
      </c>
      <c r="F2713" s="75" t="s">
        <v>10</v>
      </c>
      <c r="H2713" s="75" t="s">
        <v>10</v>
      </c>
      <c r="I2713" s="75">
        <v>19489</v>
      </c>
      <c r="K2713" s="75" t="str">
        <f>IFERROR(VLOOKUP(J2713,'NQ10'!$B$9:$C$145,2,0),"")</f>
        <v/>
      </c>
    </row>
    <row r="2714" spans="1:11" ht="15" customHeight="1" x14ac:dyDescent="0.25">
      <c r="A2714" s="75">
        <v>18</v>
      </c>
      <c r="B2714" s="75">
        <v>6</v>
      </c>
      <c r="C2714" s="75" t="s">
        <v>10</v>
      </c>
      <c r="D2714" s="75">
        <v>695</v>
      </c>
      <c r="F2714" s="75" t="s">
        <v>10</v>
      </c>
      <c r="H2714" s="75" t="s">
        <v>10</v>
      </c>
      <c r="I2714" s="75">
        <v>19489</v>
      </c>
      <c r="K2714" s="75" t="str">
        <f>IFERROR(VLOOKUP(J2714,'NQ10'!$B$9:$C$145,2,0),"")</f>
        <v/>
      </c>
    </row>
    <row r="2715" spans="1:11" ht="15" customHeight="1" x14ac:dyDescent="0.25">
      <c r="A2715" s="75">
        <v>18</v>
      </c>
      <c r="B2715" s="75">
        <v>7</v>
      </c>
      <c r="C2715" s="75" t="s">
        <v>10</v>
      </c>
      <c r="D2715" s="75">
        <v>662</v>
      </c>
      <c r="F2715" s="75" t="s">
        <v>10</v>
      </c>
      <c r="H2715" s="75" t="s">
        <v>10</v>
      </c>
      <c r="I2715" s="75">
        <v>19489</v>
      </c>
      <c r="K2715" s="75" t="str">
        <f>IFERROR(VLOOKUP(J2715,'NQ10'!$B$9:$C$145,2,0),"")</f>
        <v/>
      </c>
    </row>
    <row r="2716" spans="1:11" ht="15" customHeight="1" x14ac:dyDescent="0.25">
      <c r="A2716" s="75">
        <v>18</v>
      </c>
      <c r="B2716" s="75">
        <v>8</v>
      </c>
      <c r="C2716" s="75" t="s">
        <v>10</v>
      </c>
      <c r="D2716" s="75">
        <v>442</v>
      </c>
      <c r="F2716" s="75" t="s">
        <v>10</v>
      </c>
      <c r="H2716" s="75" t="s">
        <v>10</v>
      </c>
      <c r="I2716" s="75">
        <v>19489</v>
      </c>
      <c r="K2716" s="75" t="str">
        <f>IFERROR(VLOOKUP(J2716,'NQ10'!$B$9:$C$145,2,0),"")</f>
        <v/>
      </c>
    </row>
    <row r="2717" spans="1:11" ht="15" customHeight="1" x14ac:dyDescent="0.25">
      <c r="A2717" s="75">
        <v>18</v>
      </c>
      <c r="B2717" s="75">
        <v>9</v>
      </c>
      <c r="C2717" s="75" t="s">
        <v>10</v>
      </c>
      <c r="D2717" s="75">
        <v>470</v>
      </c>
      <c r="F2717" s="75" t="s">
        <v>10</v>
      </c>
      <c r="H2717" s="75" t="s">
        <v>10</v>
      </c>
      <c r="I2717" s="75">
        <v>19489</v>
      </c>
      <c r="K2717" s="75" t="str">
        <f>IFERROR(VLOOKUP(J2717,'NQ10'!$B$9:$C$145,2,0),"")</f>
        <v/>
      </c>
    </row>
    <row r="2718" spans="1:11" ht="15" customHeight="1" x14ac:dyDescent="0.25">
      <c r="A2718" s="75">
        <v>18</v>
      </c>
      <c r="B2718" s="75">
        <v>10</v>
      </c>
      <c r="C2718" s="75" t="s">
        <v>10</v>
      </c>
      <c r="D2718" s="75">
        <v>523</v>
      </c>
      <c r="F2718" s="75" t="s">
        <v>10</v>
      </c>
      <c r="H2718" s="75" t="s">
        <v>10</v>
      </c>
      <c r="I2718" s="75">
        <v>19489</v>
      </c>
      <c r="K2718" s="75" t="str">
        <f>IFERROR(VLOOKUP(J2718,'NQ10'!$B$9:$C$145,2,0),"")</f>
        <v/>
      </c>
    </row>
    <row r="2719" spans="1:11" ht="15" customHeight="1" x14ac:dyDescent="0.25">
      <c r="A2719" s="75">
        <v>18</v>
      </c>
      <c r="B2719" s="75">
        <v>11</v>
      </c>
      <c r="C2719" s="75" t="s">
        <v>10</v>
      </c>
      <c r="D2719" s="75">
        <v>281</v>
      </c>
      <c r="F2719" s="75" t="s">
        <v>10</v>
      </c>
      <c r="H2719" s="75" t="s">
        <v>10</v>
      </c>
      <c r="I2719" s="75">
        <v>19489</v>
      </c>
      <c r="K2719" s="75" t="str">
        <f>IFERROR(VLOOKUP(J2719,'NQ10'!$B$9:$C$145,2,0),"")</f>
        <v/>
      </c>
    </row>
    <row r="2720" spans="1:11" ht="15" customHeight="1" x14ac:dyDescent="0.25">
      <c r="A2720" s="75">
        <v>18</v>
      </c>
      <c r="B2720" s="75">
        <v>12</v>
      </c>
      <c r="C2720" s="75" t="s">
        <v>10</v>
      </c>
      <c r="D2720" s="75">
        <v>118</v>
      </c>
      <c r="F2720" s="75" t="s">
        <v>10</v>
      </c>
      <c r="H2720" s="75" t="s">
        <v>10</v>
      </c>
      <c r="I2720" s="75">
        <v>19489</v>
      </c>
      <c r="K2720" s="75" t="str">
        <f>IFERROR(VLOOKUP(J2720,'NQ10'!$B$9:$C$145,2,0),"")</f>
        <v/>
      </c>
    </row>
    <row r="2721" spans="1:11" ht="15" customHeight="1" x14ac:dyDescent="0.25">
      <c r="A2721" s="75">
        <v>18</v>
      </c>
      <c r="B2721" s="75">
        <v>13</v>
      </c>
      <c r="C2721" s="75" t="s">
        <v>10</v>
      </c>
      <c r="D2721" s="75">
        <v>170</v>
      </c>
      <c r="F2721" s="75" t="s">
        <v>10</v>
      </c>
      <c r="H2721" s="75" t="s">
        <v>10</v>
      </c>
      <c r="I2721" s="75">
        <v>19489</v>
      </c>
      <c r="K2721" s="75" t="str">
        <f>IFERROR(VLOOKUP(J2721,'NQ10'!$B$9:$C$145,2,0),"")</f>
        <v/>
      </c>
    </row>
    <row r="2722" spans="1:11" ht="15" customHeight="1" x14ac:dyDescent="0.25">
      <c r="A2722" s="75">
        <v>18</v>
      </c>
      <c r="B2722" s="75">
        <v>14</v>
      </c>
      <c r="C2722" s="75" t="s">
        <v>10</v>
      </c>
      <c r="D2722" s="75">
        <v>639</v>
      </c>
      <c r="F2722" s="75" t="s">
        <v>10</v>
      </c>
      <c r="H2722" s="75" t="s">
        <v>10</v>
      </c>
      <c r="I2722" s="75">
        <v>19489</v>
      </c>
      <c r="K2722" s="75" t="str">
        <f>IFERROR(VLOOKUP(J2722,'NQ10'!$B$9:$C$145,2,0),"")</f>
        <v/>
      </c>
    </row>
    <row r="2723" spans="1:11" ht="15" customHeight="1" x14ac:dyDescent="0.25">
      <c r="A2723" s="75">
        <v>18</v>
      </c>
      <c r="B2723" s="75">
        <v>15</v>
      </c>
      <c r="C2723" s="75" t="s">
        <v>10</v>
      </c>
      <c r="D2723" s="75">
        <v>260</v>
      </c>
      <c r="F2723" s="75" t="s">
        <v>10</v>
      </c>
      <c r="H2723" s="75" t="s">
        <v>10</v>
      </c>
      <c r="I2723" s="75">
        <v>19489</v>
      </c>
      <c r="K2723" s="75" t="str">
        <f>IFERROR(VLOOKUP(J2723,'NQ10'!$B$9:$C$145,2,0),"")</f>
        <v/>
      </c>
    </row>
    <row r="2724" spans="1:11" ht="15" customHeight="1" x14ac:dyDescent="0.25">
      <c r="A2724" s="75">
        <v>18</v>
      </c>
      <c r="B2724" s="75">
        <v>16</v>
      </c>
      <c r="C2724" s="75" t="s">
        <v>10</v>
      </c>
      <c r="D2724" s="75">
        <v>213</v>
      </c>
      <c r="F2724" s="75" t="s">
        <v>10</v>
      </c>
      <c r="H2724" s="75" t="s">
        <v>10</v>
      </c>
      <c r="I2724" s="75">
        <v>19489</v>
      </c>
      <c r="K2724" s="75" t="str">
        <f>IFERROR(VLOOKUP(J2724,'NQ10'!$B$9:$C$145,2,0),"")</f>
        <v/>
      </c>
    </row>
    <row r="2725" spans="1:11" ht="15" customHeight="1" x14ac:dyDescent="0.25">
      <c r="A2725" s="75">
        <v>18</v>
      </c>
      <c r="B2725" s="75">
        <v>17</v>
      </c>
      <c r="C2725" s="75" t="s">
        <v>10</v>
      </c>
      <c r="D2725" s="75">
        <v>255</v>
      </c>
      <c r="F2725" s="75" t="s">
        <v>10</v>
      </c>
      <c r="H2725" s="75" t="s">
        <v>10</v>
      </c>
      <c r="I2725" s="75">
        <v>19489</v>
      </c>
      <c r="K2725" s="75" t="str">
        <f>IFERROR(VLOOKUP(J2725,'NQ10'!$B$9:$C$145,2,0),"")</f>
        <v/>
      </c>
    </row>
    <row r="2726" spans="1:11" ht="15" customHeight="1" x14ac:dyDescent="0.25">
      <c r="A2726" s="75">
        <v>18</v>
      </c>
      <c r="B2726" s="75">
        <v>18</v>
      </c>
      <c r="C2726" s="75" t="s">
        <v>10</v>
      </c>
      <c r="D2726" s="75">
        <v>219</v>
      </c>
      <c r="F2726" s="75" t="s">
        <v>10</v>
      </c>
      <c r="H2726" s="75" t="s">
        <v>10</v>
      </c>
      <c r="I2726" s="75">
        <v>19489</v>
      </c>
      <c r="K2726" s="75" t="str">
        <f>IFERROR(VLOOKUP(J2726,'NQ10'!$B$9:$C$145,2,0),"")</f>
        <v/>
      </c>
    </row>
    <row r="2727" spans="1:11" ht="15" customHeight="1" x14ac:dyDescent="0.25">
      <c r="A2727" s="75">
        <v>18</v>
      </c>
      <c r="B2727" s="75">
        <v>19</v>
      </c>
      <c r="C2727" s="75" t="s">
        <v>10</v>
      </c>
      <c r="D2727" s="75">
        <v>313</v>
      </c>
      <c r="F2727" s="75" t="s">
        <v>10</v>
      </c>
      <c r="H2727" s="75" t="s">
        <v>10</v>
      </c>
      <c r="I2727" s="75">
        <v>19489</v>
      </c>
      <c r="K2727" s="75" t="str">
        <f>IFERROR(VLOOKUP(J2727,'NQ10'!$B$9:$C$145,2,0),"")</f>
        <v/>
      </c>
    </row>
    <row r="2728" spans="1:11" ht="15" customHeight="1" x14ac:dyDescent="0.25">
      <c r="A2728" s="75">
        <v>18</v>
      </c>
      <c r="B2728" s="75">
        <v>20</v>
      </c>
      <c r="C2728" s="75" t="s">
        <v>10</v>
      </c>
      <c r="D2728" s="75">
        <v>520</v>
      </c>
      <c r="F2728" s="75" t="s">
        <v>10</v>
      </c>
      <c r="H2728" s="75" t="s">
        <v>10</v>
      </c>
      <c r="I2728" s="75">
        <v>19489</v>
      </c>
      <c r="K2728" s="75" t="str">
        <f>IFERROR(VLOOKUP(J2728,'NQ10'!$B$9:$C$145,2,0),"")</f>
        <v/>
      </c>
    </row>
    <row r="2729" spans="1:11" ht="15" customHeight="1" x14ac:dyDescent="0.25">
      <c r="A2729" s="75">
        <v>18</v>
      </c>
      <c r="B2729" s="75">
        <v>21</v>
      </c>
      <c r="C2729" s="75" t="s">
        <v>10</v>
      </c>
      <c r="D2729" s="75">
        <v>551</v>
      </c>
      <c r="F2729" s="75" t="s">
        <v>10</v>
      </c>
      <c r="H2729" s="75" t="s">
        <v>10</v>
      </c>
      <c r="I2729" s="75">
        <v>19489</v>
      </c>
      <c r="K2729" s="75" t="str">
        <f>IFERROR(VLOOKUP(J2729,'NQ10'!$B$9:$C$145,2,0),"")</f>
        <v/>
      </c>
    </row>
    <row r="2730" spans="1:11" ht="15" customHeight="1" x14ac:dyDescent="0.25">
      <c r="A2730" s="75">
        <v>18</v>
      </c>
      <c r="B2730" s="75">
        <v>22</v>
      </c>
      <c r="C2730" s="75" t="s">
        <v>10</v>
      </c>
      <c r="D2730" s="75">
        <v>6801</v>
      </c>
      <c r="F2730" s="75" t="s">
        <v>10</v>
      </c>
      <c r="H2730" s="75" t="s">
        <v>10</v>
      </c>
      <c r="I2730" s="75">
        <v>19489</v>
      </c>
      <c r="K2730" s="75" t="str">
        <f>IFERROR(VLOOKUP(J2730,'NQ10'!$B$9:$C$145,2,0),"")</f>
        <v/>
      </c>
    </row>
    <row r="2731" spans="1:11" ht="15" customHeight="1" x14ac:dyDescent="0.25">
      <c r="A2731" s="75">
        <v>18</v>
      </c>
      <c r="B2731" s="75">
        <v>23</v>
      </c>
      <c r="C2731" s="75" t="s">
        <v>10</v>
      </c>
      <c r="D2731" s="75">
        <v>316</v>
      </c>
      <c r="F2731" s="75" t="s">
        <v>10</v>
      </c>
      <c r="H2731" s="75" t="s">
        <v>10</v>
      </c>
      <c r="I2731" s="75">
        <v>19489</v>
      </c>
      <c r="K2731" s="75" t="str">
        <f>IFERROR(VLOOKUP(J2731,'NQ10'!$B$9:$C$145,2,0),"")</f>
        <v/>
      </c>
    </row>
    <row r="2732" spans="1:11" ht="15" customHeight="1" x14ac:dyDescent="0.25">
      <c r="A2732" s="75">
        <v>18</v>
      </c>
      <c r="B2732" s="75">
        <v>24</v>
      </c>
      <c r="C2732" s="75" t="s">
        <v>10</v>
      </c>
      <c r="D2732" s="75">
        <v>484</v>
      </c>
      <c r="F2732" s="75" t="s">
        <v>10</v>
      </c>
      <c r="H2732" s="75" t="s">
        <v>10</v>
      </c>
      <c r="I2732" s="75">
        <v>19489</v>
      </c>
      <c r="K2732" s="75" t="str">
        <f>IFERROR(VLOOKUP(J2732,'NQ10'!$B$9:$C$145,2,0),"")</f>
        <v/>
      </c>
    </row>
    <row r="2733" spans="1:11" ht="15" customHeight="1" x14ac:dyDescent="0.25">
      <c r="A2733" s="75">
        <v>18</v>
      </c>
      <c r="B2733" s="75">
        <v>25</v>
      </c>
      <c r="C2733" s="75" t="s">
        <v>10</v>
      </c>
      <c r="D2733" s="75">
        <v>197</v>
      </c>
      <c r="F2733" s="75" t="s">
        <v>10</v>
      </c>
      <c r="H2733" s="75" t="s">
        <v>10</v>
      </c>
      <c r="I2733" s="75">
        <v>19489</v>
      </c>
      <c r="K2733" s="75" t="str">
        <f>IFERROR(VLOOKUP(J2733,'NQ10'!$B$9:$C$145,2,0),"")</f>
        <v/>
      </c>
    </row>
    <row r="2734" spans="1:11" ht="15" customHeight="1" x14ac:dyDescent="0.25">
      <c r="A2734" s="75">
        <v>18</v>
      </c>
      <c r="B2734" s="75">
        <v>26</v>
      </c>
      <c r="C2734" s="75" t="s">
        <v>10</v>
      </c>
      <c r="D2734" s="75">
        <v>262</v>
      </c>
      <c r="F2734" s="75" t="s">
        <v>10</v>
      </c>
      <c r="H2734" s="75" t="s">
        <v>10</v>
      </c>
      <c r="I2734" s="75">
        <v>19489</v>
      </c>
      <c r="K2734" s="75" t="str">
        <f>IFERROR(VLOOKUP(J2734,'NQ10'!$B$9:$C$145,2,0),"")</f>
        <v/>
      </c>
    </row>
    <row r="2735" spans="1:11" ht="15" customHeight="1" x14ac:dyDescent="0.25">
      <c r="A2735" s="75">
        <v>18</v>
      </c>
      <c r="B2735" s="75">
        <v>27</v>
      </c>
      <c r="C2735" s="75" t="s">
        <v>10</v>
      </c>
      <c r="D2735" s="75">
        <v>119</v>
      </c>
      <c r="F2735" s="75" t="s">
        <v>10</v>
      </c>
      <c r="H2735" s="75" t="s">
        <v>10</v>
      </c>
      <c r="I2735" s="75">
        <v>19489</v>
      </c>
      <c r="K2735" s="75" t="str">
        <f>IFERROR(VLOOKUP(J2735,'NQ10'!$B$9:$C$145,2,0),"")</f>
        <v/>
      </c>
    </row>
    <row r="2736" spans="1:11" ht="15" customHeight="1" x14ac:dyDescent="0.25">
      <c r="A2736" s="75">
        <v>18</v>
      </c>
      <c r="B2736" s="75">
        <v>28</v>
      </c>
      <c r="C2736" s="75" t="s">
        <v>10</v>
      </c>
      <c r="D2736" s="75">
        <v>131</v>
      </c>
      <c r="F2736" s="75" t="s">
        <v>10</v>
      </c>
      <c r="H2736" s="75" t="s">
        <v>10</v>
      </c>
      <c r="I2736" s="75">
        <v>19489</v>
      </c>
      <c r="K2736" s="75" t="str">
        <f>IFERROR(VLOOKUP(J2736,'NQ10'!$B$9:$C$145,2,0),"")</f>
        <v/>
      </c>
    </row>
    <row r="2737" spans="1:11" ht="15" customHeight="1" x14ac:dyDescent="0.25">
      <c r="A2737" s="75">
        <v>18</v>
      </c>
      <c r="B2737" s="75">
        <v>29</v>
      </c>
      <c r="C2737" s="75" t="s">
        <v>10</v>
      </c>
      <c r="D2737" s="75">
        <v>245</v>
      </c>
      <c r="F2737" s="75" t="s">
        <v>10</v>
      </c>
      <c r="H2737" s="75" t="s">
        <v>10</v>
      </c>
      <c r="I2737" s="75">
        <v>19489</v>
      </c>
      <c r="K2737" s="75" t="str">
        <f>IFERROR(VLOOKUP(J2737,'NQ10'!$B$9:$C$145,2,0),"")</f>
        <v/>
      </c>
    </row>
    <row r="2738" spans="1:11" ht="15" customHeight="1" x14ac:dyDescent="0.25">
      <c r="A2738" s="75">
        <v>18</v>
      </c>
      <c r="B2738" s="75">
        <v>30</v>
      </c>
      <c r="C2738" s="75" t="s">
        <v>10</v>
      </c>
      <c r="D2738" s="75">
        <v>193</v>
      </c>
      <c r="F2738" s="75" t="s">
        <v>10</v>
      </c>
      <c r="H2738" s="75" t="s">
        <v>10</v>
      </c>
      <c r="I2738" s="75">
        <v>19489</v>
      </c>
      <c r="K2738" s="75" t="str">
        <f>IFERROR(VLOOKUP(J2738,'NQ10'!$B$9:$C$145,2,0),"")</f>
        <v/>
      </c>
    </row>
    <row r="2739" spans="1:11" ht="15" customHeight="1" x14ac:dyDescent="0.25">
      <c r="A2739" s="75">
        <v>18</v>
      </c>
      <c r="B2739" s="75">
        <v>31</v>
      </c>
      <c r="C2739" s="75" t="s">
        <v>10</v>
      </c>
      <c r="D2739" s="75">
        <v>517</v>
      </c>
      <c r="F2739" s="75" t="s">
        <v>10</v>
      </c>
      <c r="H2739" s="75" t="s">
        <v>10</v>
      </c>
      <c r="I2739" s="75">
        <v>19489</v>
      </c>
      <c r="K2739" s="75" t="str">
        <f>IFERROR(VLOOKUP(J2739,'NQ10'!$B$9:$C$145,2,0),"")</f>
        <v/>
      </c>
    </row>
    <row r="2740" spans="1:11" ht="15" customHeight="1" x14ac:dyDescent="0.25">
      <c r="A2740" s="75">
        <v>18</v>
      </c>
      <c r="B2740" s="75">
        <v>32</v>
      </c>
      <c r="C2740" s="75" t="s">
        <v>10</v>
      </c>
      <c r="D2740" s="75">
        <v>444</v>
      </c>
      <c r="F2740" s="75" t="s">
        <v>10</v>
      </c>
      <c r="H2740" s="75" t="s">
        <v>10</v>
      </c>
      <c r="I2740" s="75">
        <v>19489</v>
      </c>
      <c r="K2740" s="75" t="str">
        <f>IFERROR(VLOOKUP(J2740,'NQ10'!$B$9:$C$145,2,0),"")</f>
        <v/>
      </c>
    </row>
    <row r="2741" spans="1:11" ht="15" customHeight="1" x14ac:dyDescent="0.25">
      <c r="A2741" s="75">
        <v>18</v>
      </c>
      <c r="B2741" s="75">
        <v>33</v>
      </c>
      <c r="C2741" s="75" t="s">
        <v>10</v>
      </c>
      <c r="D2741" s="75">
        <v>277</v>
      </c>
      <c r="F2741" s="75" t="s">
        <v>10</v>
      </c>
      <c r="H2741" s="75" t="s">
        <v>10</v>
      </c>
      <c r="I2741" s="75">
        <v>19489</v>
      </c>
      <c r="K2741" s="75" t="str">
        <f>IFERROR(VLOOKUP(J2741,'NQ10'!$B$9:$C$145,2,0),"")</f>
        <v/>
      </c>
    </row>
    <row r="2742" spans="1:11" ht="15" customHeight="1" x14ac:dyDescent="0.25">
      <c r="A2742" s="75">
        <v>18</v>
      </c>
      <c r="B2742" s="75">
        <v>34</v>
      </c>
      <c r="C2742" s="75" t="s">
        <v>10</v>
      </c>
      <c r="D2742" s="75">
        <v>482</v>
      </c>
      <c r="F2742" s="75" t="s">
        <v>10</v>
      </c>
      <c r="H2742" s="75" t="s">
        <v>10</v>
      </c>
      <c r="I2742" s="75">
        <v>19489</v>
      </c>
      <c r="K2742" s="75" t="str">
        <f>IFERROR(VLOOKUP(J2742,'NQ10'!$B$9:$C$145,2,0),"")</f>
        <v/>
      </c>
    </row>
    <row r="2743" spans="1:11" ht="15" customHeight="1" x14ac:dyDescent="0.25">
      <c r="A2743" s="75">
        <v>18</v>
      </c>
      <c r="B2743" s="75">
        <v>37</v>
      </c>
      <c r="C2743" s="75" t="s">
        <v>10</v>
      </c>
      <c r="D2743" s="75">
        <v>654</v>
      </c>
      <c r="F2743" s="75" t="s">
        <v>10</v>
      </c>
      <c r="H2743" s="75" t="s">
        <v>10</v>
      </c>
      <c r="I2743" s="75">
        <v>19489</v>
      </c>
      <c r="K2743" s="75" t="str">
        <f>IFERROR(VLOOKUP(J2743,'NQ10'!$B$9:$C$145,2,0),"")</f>
        <v/>
      </c>
    </row>
    <row r="2744" spans="1:11" ht="15" customHeight="1" x14ac:dyDescent="0.25">
      <c r="A2744" s="75">
        <v>18</v>
      </c>
      <c r="B2744" s="75">
        <v>38</v>
      </c>
      <c r="C2744" s="75" t="s">
        <v>10</v>
      </c>
      <c r="D2744" s="75">
        <v>331</v>
      </c>
      <c r="F2744" s="75" t="s">
        <v>10</v>
      </c>
      <c r="H2744" s="75" t="s">
        <v>10</v>
      </c>
      <c r="I2744" s="75">
        <v>19489</v>
      </c>
      <c r="K2744" s="75" t="str">
        <f>IFERROR(VLOOKUP(J2744,'NQ10'!$B$9:$C$145,2,0),"")</f>
        <v/>
      </c>
    </row>
    <row r="2745" spans="1:11" ht="15" customHeight="1" x14ac:dyDescent="0.25">
      <c r="A2745" s="75">
        <v>18</v>
      </c>
      <c r="B2745" s="75">
        <v>39</v>
      </c>
      <c r="C2745" s="75" t="s">
        <v>10</v>
      </c>
      <c r="D2745" s="75">
        <v>313</v>
      </c>
      <c r="F2745" s="75" t="s">
        <v>10</v>
      </c>
      <c r="H2745" s="75" t="s">
        <v>10</v>
      </c>
      <c r="I2745" s="75">
        <v>19489</v>
      </c>
      <c r="K2745" s="75" t="str">
        <f>IFERROR(VLOOKUP(J2745,'NQ10'!$B$9:$C$145,2,0),"")</f>
        <v/>
      </c>
    </row>
    <row r="2746" spans="1:11" ht="15" customHeight="1" x14ac:dyDescent="0.25">
      <c r="A2746" s="75">
        <v>18</v>
      </c>
      <c r="B2746" s="75">
        <v>40</v>
      </c>
      <c r="C2746" s="75" t="s">
        <v>10</v>
      </c>
      <c r="D2746" s="75">
        <v>371</v>
      </c>
      <c r="F2746" s="75" t="s">
        <v>10</v>
      </c>
      <c r="H2746" s="75" t="s">
        <v>10</v>
      </c>
      <c r="I2746" s="75">
        <v>19489</v>
      </c>
      <c r="K2746" s="75" t="str">
        <f>IFERROR(VLOOKUP(J2746,'NQ10'!$B$9:$C$145,2,0),"")</f>
        <v/>
      </c>
    </row>
    <row r="2747" spans="1:11" ht="15" customHeight="1" x14ac:dyDescent="0.25">
      <c r="A2747" s="75">
        <v>18</v>
      </c>
      <c r="B2747" s="75">
        <v>41</v>
      </c>
      <c r="C2747" s="75" t="s">
        <v>10</v>
      </c>
      <c r="D2747" s="75">
        <v>185</v>
      </c>
      <c r="F2747" s="75" t="s">
        <v>10</v>
      </c>
      <c r="H2747" s="75" t="s">
        <v>10</v>
      </c>
      <c r="I2747" s="75">
        <v>19489</v>
      </c>
      <c r="K2747" s="75" t="str">
        <f>IFERROR(VLOOKUP(J2747,'NQ10'!$B$9:$C$145,2,0),"")</f>
        <v/>
      </c>
    </row>
    <row r="2748" spans="1:11" ht="15" customHeight="1" x14ac:dyDescent="0.25">
      <c r="A2748" s="75">
        <v>18</v>
      </c>
      <c r="B2748" s="75">
        <v>42</v>
      </c>
      <c r="C2748" s="75" t="s">
        <v>10</v>
      </c>
      <c r="D2748" s="75">
        <v>192</v>
      </c>
      <c r="F2748" s="75" t="s">
        <v>10</v>
      </c>
      <c r="H2748" s="75" t="s">
        <v>10</v>
      </c>
      <c r="I2748" s="75">
        <v>19489</v>
      </c>
      <c r="K2748" s="75" t="str">
        <f>IFERROR(VLOOKUP(J2748,'NQ10'!$B$9:$C$145,2,0),"")</f>
        <v/>
      </c>
    </row>
    <row r="2749" spans="1:11" ht="15" customHeight="1" x14ac:dyDescent="0.25">
      <c r="A2749" s="75">
        <v>18</v>
      </c>
      <c r="B2749" s="75">
        <v>44</v>
      </c>
      <c r="C2749" s="75" t="s">
        <v>10</v>
      </c>
      <c r="D2749" s="75">
        <v>387</v>
      </c>
      <c r="F2749" s="75" t="s">
        <v>10</v>
      </c>
      <c r="H2749" s="75" t="s">
        <v>10</v>
      </c>
      <c r="I2749" s="75">
        <v>19489</v>
      </c>
      <c r="K2749" s="75" t="str">
        <f>IFERROR(VLOOKUP(J2749,'NQ10'!$B$9:$C$145,2,0),"")</f>
        <v/>
      </c>
    </row>
    <row r="2750" spans="1:11" ht="15" customHeight="1" x14ac:dyDescent="0.25">
      <c r="A2750" s="75">
        <v>18</v>
      </c>
      <c r="B2750" s="75">
        <v>45</v>
      </c>
      <c r="C2750" s="75" t="s">
        <v>10</v>
      </c>
      <c r="D2750" s="75">
        <v>634</v>
      </c>
      <c r="F2750" s="75" t="s">
        <v>10</v>
      </c>
      <c r="H2750" s="75" t="s">
        <v>10</v>
      </c>
      <c r="I2750" s="75">
        <v>19489</v>
      </c>
      <c r="K2750" s="75" t="str">
        <f>IFERROR(VLOOKUP(J2750,'NQ10'!$B$9:$C$145,2,0),"")</f>
        <v/>
      </c>
    </row>
    <row r="2751" spans="1:11" ht="15" customHeight="1" x14ac:dyDescent="0.25">
      <c r="A2751" s="75">
        <v>18</v>
      </c>
      <c r="B2751" s="75">
        <v>46</v>
      </c>
      <c r="C2751" s="75" t="s">
        <v>10</v>
      </c>
      <c r="D2751" s="75">
        <v>793</v>
      </c>
      <c r="F2751" s="75" t="s">
        <v>10</v>
      </c>
      <c r="H2751" s="75" t="s">
        <v>10</v>
      </c>
      <c r="I2751" s="75">
        <v>19489</v>
      </c>
      <c r="K2751" s="75" t="str">
        <f>IFERROR(VLOOKUP(J2751,'NQ10'!$B$9:$C$145,2,0),"")</f>
        <v/>
      </c>
    </row>
    <row r="2752" spans="1:11" ht="15" customHeight="1" x14ac:dyDescent="0.25">
      <c r="A2752" s="75">
        <v>18</v>
      </c>
      <c r="B2752" s="75">
        <v>48</v>
      </c>
      <c r="C2752" s="75" t="s">
        <v>10</v>
      </c>
      <c r="D2752" s="75">
        <v>154</v>
      </c>
      <c r="F2752" s="75" t="s">
        <v>10</v>
      </c>
      <c r="H2752" s="75" t="s">
        <v>10</v>
      </c>
      <c r="I2752" s="75">
        <v>19489</v>
      </c>
      <c r="K2752" s="75" t="str">
        <f>IFERROR(VLOOKUP(J2752,'NQ10'!$B$9:$C$145,2,0),"")</f>
        <v/>
      </c>
    </row>
    <row r="2753" spans="1:11" ht="15" customHeight="1" x14ac:dyDescent="0.25">
      <c r="A2753" s="75">
        <v>18</v>
      </c>
      <c r="B2753" s="75">
        <v>49</v>
      </c>
      <c r="C2753" s="75" t="s">
        <v>10</v>
      </c>
      <c r="D2753" s="75">
        <v>134</v>
      </c>
      <c r="F2753" s="75" t="s">
        <v>10</v>
      </c>
      <c r="H2753" s="75" t="s">
        <v>10</v>
      </c>
      <c r="I2753" s="75">
        <v>19489</v>
      </c>
      <c r="K2753" s="75" t="str">
        <f>IFERROR(VLOOKUP(J2753,'NQ10'!$B$9:$C$145,2,0),"")</f>
        <v/>
      </c>
    </row>
    <row r="2754" spans="1:11" ht="15" customHeight="1" x14ac:dyDescent="0.25">
      <c r="A2754" s="75">
        <v>18</v>
      </c>
      <c r="B2754" s="75">
        <v>50</v>
      </c>
      <c r="C2754" s="75" t="s">
        <v>10</v>
      </c>
      <c r="D2754" s="75">
        <v>262</v>
      </c>
      <c r="F2754" s="75" t="s">
        <v>10</v>
      </c>
      <c r="H2754" s="75" t="s">
        <v>10</v>
      </c>
      <c r="I2754" s="75">
        <v>19489</v>
      </c>
      <c r="K2754" s="75" t="str">
        <f>IFERROR(VLOOKUP(J2754,'NQ10'!$B$9:$C$145,2,0),"")</f>
        <v/>
      </c>
    </row>
    <row r="2755" spans="1:11" ht="15" customHeight="1" x14ac:dyDescent="0.25">
      <c r="A2755" s="75">
        <v>18</v>
      </c>
      <c r="B2755" s="75">
        <v>51</v>
      </c>
      <c r="C2755" s="75" t="s">
        <v>10</v>
      </c>
      <c r="D2755" s="75">
        <v>380</v>
      </c>
      <c r="F2755" s="75" t="s">
        <v>10</v>
      </c>
      <c r="H2755" s="75" t="s">
        <v>10</v>
      </c>
      <c r="I2755" s="75">
        <v>19489</v>
      </c>
      <c r="K2755" s="75" t="str">
        <f>IFERROR(VLOOKUP(J2755,'NQ10'!$B$9:$C$145,2,0),"")</f>
        <v/>
      </c>
    </row>
    <row r="2756" spans="1:11" ht="15" customHeight="1" x14ac:dyDescent="0.25">
      <c r="A2756" s="75">
        <v>18</v>
      </c>
      <c r="B2756" s="75">
        <v>52</v>
      </c>
      <c r="C2756" s="75" t="s">
        <v>10</v>
      </c>
      <c r="D2756" s="75">
        <v>180</v>
      </c>
      <c r="F2756" s="75" t="s">
        <v>10</v>
      </c>
      <c r="H2756" s="75" t="s">
        <v>10</v>
      </c>
      <c r="I2756" s="75">
        <v>19489</v>
      </c>
      <c r="K2756" s="75" t="str">
        <f>IFERROR(VLOOKUP(J2756,'NQ10'!$B$9:$C$145,2,0),"")</f>
        <v/>
      </c>
    </row>
    <row r="2757" spans="1:11" ht="15" customHeight="1" x14ac:dyDescent="0.25">
      <c r="A2757" s="75">
        <v>18</v>
      </c>
      <c r="B2757" s="75">
        <v>53</v>
      </c>
      <c r="C2757" s="75" t="s">
        <v>10</v>
      </c>
      <c r="D2757" s="75">
        <v>374</v>
      </c>
      <c r="F2757" s="75" t="s">
        <v>10</v>
      </c>
      <c r="H2757" s="75" t="s">
        <v>10</v>
      </c>
      <c r="I2757" s="75">
        <v>19489</v>
      </c>
      <c r="K2757" s="75" t="str">
        <f>IFERROR(VLOOKUP(J2757,'NQ10'!$B$9:$C$145,2,0),"")</f>
        <v/>
      </c>
    </row>
    <row r="2758" spans="1:11" ht="15" customHeight="1" x14ac:dyDescent="0.25">
      <c r="A2758" s="75">
        <v>18</v>
      </c>
      <c r="B2758" s="75">
        <v>54</v>
      </c>
      <c r="C2758" s="75" t="s">
        <v>10</v>
      </c>
      <c r="D2758" s="75">
        <v>460</v>
      </c>
      <c r="F2758" s="75" t="s">
        <v>10</v>
      </c>
      <c r="H2758" s="75" t="s">
        <v>10</v>
      </c>
      <c r="I2758" s="75">
        <v>19489</v>
      </c>
      <c r="K2758" s="75" t="str">
        <f>IFERROR(VLOOKUP(J2758,'NQ10'!$B$9:$C$145,2,0),"")</f>
        <v/>
      </c>
    </row>
    <row r="2759" spans="1:11" ht="15" customHeight="1" x14ac:dyDescent="0.25">
      <c r="A2759" s="75">
        <v>18</v>
      </c>
      <c r="B2759" s="75">
        <v>55</v>
      </c>
      <c r="C2759" s="75" t="s">
        <v>10</v>
      </c>
      <c r="D2759" s="75">
        <v>291</v>
      </c>
      <c r="F2759" s="75" t="s">
        <v>10</v>
      </c>
      <c r="H2759" s="75" t="s">
        <v>10</v>
      </c>
      <c r="I2759" s="75">
        <v>19489</v>
      </c>
      <c r="K2759" s="75" t="str">
        <f>IFERROR(VLOOKUP(J2759,'NQ10'!$B$9:$C$145,2,0),"")</f>
        <v/>
      </c>
    </row>
    <row r="2760" spans="1:11" ht="15" customHeight="1" x14ac:dyDescent="0.25">
      <c r="A2760" s="75">
        <v>18</v>
      </c>
      <c r="B2760" s="75">
        <v>56</v>
      </c>
      <c r="C2760" s="75" t="s">
        <v>10</v>
      </c>
      <c r="D2760" s="75">
        <v>401</v>
      </c>
      <c r="F2760" s="75" t="s">
        <v>10</v>
      </c>
      <c r="H2760" s="75" t="s">
        <v>10</v>
      </c>
      <c r="I2760" s="75">
        <v>19489</v>
      </c>
      <c r="K2760" s="75" t="str">
        <f>IFERROR(VLOOKUP(J2760,'NQ10'!$B$9:$C$145,2,0),"")</f>
        <v/>
      </c>
    </row>
    <row r="2761" spans="1:11" ht="15" customHeight="1" x14ac:dyDescent="0.25">
      <c r="A2761" s="75">
        <v>18</v>
      </c>
      <c r="B2761" s="75">
        <v>57</v>
      </c>
      <c r="C2761" s="75" t="s">
        <v>10</v>
      </c>
      <c r="D2761" s="75">
        <v>311</v>
      </c>
      <c r="F2761" s="75" t="s">
        <v>10</v>
      </c>
      <c r="H2761" s="75" t="s">
        <v>10</v>
      </c>
      <c r="I2761" s="75">
        <v>19489</v>
      </c>
      <c r="K2761" s="75" t="str">
        <f>IFERROR(VLOOKUP(J2761,'NQ10'!$B$9:$C$145,2,0),"")</f>
        <v/>
      </c>
    </row>
    <row r="2762" spans="1:11" ht="15" customHeight="1" x14ac:dyDescent="0.25">
      <c r="A2762" s="75">
        <v>18</v>
      </c>
      <c r="B2762" s="75">
        <v>58</v>
      </c>
      <c r="C2762" s="75" t="s">
        <v>10</v>
      </c>
      <c r="D2762" s="75">
        <v>408</v>
      </c>
      <c r="F2762" s="75" t="s">
        <v>10</v>
      </c>
      <c r="H2762" s="75" t="s">
        <v>10</v>
      </c>
      <c r="I2762" s="75">
        <v>19489</v>
      </c>
      <c r="K2762" s="75" t="str">
        <f>IFERROR(VLOOKUP(J2762,'NQ10'!$B$9:$C$145,2,0),"")</f>
        <v/>
      </c>
    </row>
    <row r="2763" spans="1:11" ht="15" customHeight="1" x14ac:dyDescent="0.25">
      <c r="A2763" s="75">
        <v>18</v>
      </c>
      <c r="B2763" s="75">
        <v>59</v>
      </c>
      <c r="C2763" s="75" t="s">
        <v>10</v>
      </c>
      <c r="D2763" s="75">
        <v>548</v>
      </c>
      <c r="F2763" s="75" t="s">
        <v>10</v>
      </c>
      <c r="H2763" s="75" t="s">
        <v>10</v>
      </c>
      <c r="I2763" s="75">
        <v>19489</v>
      </c>
      <c r="K2763" s="75" t="str">
        <f>IFERROR(VLOOKUP(J2763,'NQ10'!$B$9:$C$145,2,0),"")</f>
        <v/>
      </c>
    </row>
    <row r="2764" spans="1:11" ht="15" customHeight="1" x14ac:dyDescent="0.25">
      <c r="A2764" s="75">
        <v>18</v>
      </c>
      <c r="B2764" s="75">
        <v>60</v>
      </c>
      <c r="C2764" s="75" t="s">
        <v>10</v>
      </c>
      <c r="D2764" s="75">
        <v>485</v>
      </c>
      <c r="F2764" s="75" t="s">
        <v>10</v>
      </c>
      <c r="H2764" s="75" t="s">
        <v>10</v>
      </c>
      <c r="I2764" s="75">
        <v>19489</v>
      </c>
      <c r="K2764" s="75" t="str">
        <f>IFERROR(VLOOKUP(J2764,'NQ10'!$B$9:$C$145,2,0),"")</f>
        <v/>
      </c>
    </row>
    <row r="2765" spans="1:11" ht="15" customHeight="1" x14ac:dyDescent="0.25">
      <c r="A2765" s="75">
        <v>18</v>
      </c>
      <c r="B2765" s="75">
        <v>61</v>
      </c>
      <c r="C2765" s="75" t="s">
        <v>10</v>
      </c>
      <c r="D2765" s="75">
        <v>216</v>
      </c>
      <c r="F2765" s="75" t="s">
        <v>10</v>
      </c>
      <c r="H2765" s="75" t="s">
        <v>10</v>
      </c>
      <c r="I2765" s="75">
        <v>19489</v>
      </c>
      <c r="K2765" s="75" t="str">
        <f>IFERROR(VLOOKUP(J2765,'NQ10'!$B$9:$C$145,2,0),"")</f>
        <v/>
      </c>
    </row>
    <row r="2766" spans="1:11" ht="15" customHeight="1" x14ac:dyDescent="0.25">
      <c r="A2766" s="75">
        <v>18</v>
      </c>
      <c r="B2766" s="75">
        <v>62</v>
      </c>
      <c r="C2766" s="75" t="s">
        <v>10</v>
      </c>
      <c r="D2766" s="75">
        <v>508</v>
      </c>
      <c r="F2766" s="75" t="s">
        <v>10</v>
      </c>
      <c r="H2766" s="75" t="s">
        <v>10</v>
      </c>
      <c r="I2766" s="75">
        <v>19489</v>
      </c>
      <c r="K2766" s="75" t="str">
        <f>IFERROR(VLOOKUP(J2766,'NQ10'!$B$9:$C$145,2,0),"")</f>
        <v/>
      </c>
    </row>
    <row r="2767" spans="1:11" ht="15" customHeight="1" x14ac:dyDescent="0.25">
      <c r="A2767" s="75">
        <v>18</v>
      </c>
      <c r="B2767" s="75">
        <v>63</v>
      </c>
      <c r="C2767" s="75" t="s">
        <v>10</v>
      </c>
      <c r="D2767" s="75">
        <v>496</v>
      </c>
      <c r="F2767" s="75" t="s">
        <v>10</v>
      </c>
      <c r="H2767" s="75" t="s">
        <v>10</v>
      </c>
      <c r="I2767" s="75">
        <v>19489</v>
      </c>
      <c r="K2767" s="75" t="str">
        <f>IFERROR(VLOOKUP(J2767,'NQ10'!$B$9:$C$145,2,0),"")</f>
        <v/>
      </c>
    </row>
    <row r="2768" spans="1:11" ht="15" customHeight="1" x14ac:dyDescent="0.25">
      <c r="A2768" s="75">
        <v>18</v>
      </c>
      <c r="B2768" s="75">
        <v>64</v>
      </c>
      <c r="C2768" s="75" t="s">
        <v>10</v>
      </c>
      <c r="D2768" s="75">
        <v>129</v>
      </c>
      <c r="F2768" s="75" t="s">
        <v>10</v>
      </c>
      <c r="H2768" s="75" t="s">
        <v>10</v>
      </c>
      <c r="I2768" s="75">
        <v>19489</v>
      </c>
      <c r="K2768" s="75" t="str">
        <f>IFERROR(VLOOKUP(J2768,'NQ10'!$B$9:$C$145,2,0),"")</f>
        <v/>
      </c>
    </row>
    <row r="2769" spans="1:11" ht="15" customHeight="1" x14ac:dyDescent="0.25">
      <c r="A2769" s="75">
        <v>18</v>
      </c>
      <c r="B2769" s="75">
        <v>65</v>
      </c>
      <c r="C2769" s="75" t="s">
        <v>10</v>
      </c>
      <c r="D2769" s="75">
        <v>465</v>
      </c>
      <c r="F2769" s="75" t="s">
        <v>10</v>
      </c>
      <c r="H2769" s="75" t="s">
        <v>10</v>
      </c>
      <c r="I2769" s="75">
        <v>19489</v>
      </c>
      <c r="K2769" s="75" t="str">
        <f>IFERROR(VLOOKUP(J2769,'NQ10'!$B$9:$C$145,2,0),"")</f>
        <v/>
      </c>
    </row>
    <row r="2770" spans="1:11" ht="15" customHeight="1" x14ac:dyDescent="0.25">
      <c r="A2770" s="75">
        <v>18</v>
      </c>
      <c r="B2770" s="75">
        <v>66</v>
      </c>
      <c r="C2770" s="75" t="s">
        <v>10</v>
      </c>
      <c r="D2770" s="75">
        <v>332</v>
      </c>
      <c r="F2770" s="75" t="s">
        <v>10</v>
      </c>
      <c r="H2770" s="75" t="s">
        <v>10</v>
      </c>
      <c r="I2770" s="75">
        <v>19489</v>
      </c>
      <c r="K2770" s="75" t="str">
        <f>IFERROR(VLOOKUP(J2770,'NQ10'!$B$9:$C$145,2,0),"")</f>
        <v/>
      </c>
    </row>
    <row r="2771" spans="1:11" ht="15" customHeight="1" x14ac:dyDescent="0.25">
      <c r="A2771" s="75">
        <v>18</v>
      </c>
      <c r="B2771" s="75">
        <v>67</v>
      </c>
      <c r="C2771" s="75" t="s">
        <v>10</v>
      </c>
      <c r="D2771" s="75">
        <v>209</v>
      </c>
      <c r="F2771" s="75" t="s">
        <v>10</v>
      </c>
      <c r="H2771" s="75" t="s">
        <v>10</v>
      </c>
      <c r="I2771" s="75">
        <v>19489</v>
      </c>
      <c r="K2771" s="75" t="str">
        <f>IFERROR(VLOOKUP(J2771,'NQ10'!$B$9:$C$145,2,0),"")</f>
        <v/>
      </c>
    </row>
    <row r="2772" spans="1:11" ht="15" customHeight="1" x14ac:dyDescent="0.25">
      <c r="A2772" s="75">
        <v>18</v>
      </c>
      <c r="B2772" s="75">
        <v>68</v>
      </c>
      <c r="C2772" s="75" t="s">
        <v>10</v>
      </c>
      <c r="D2772" s="75">
        <v>302</v>
      </c>
      <c r="F2772" s="75" t="s">
        <v>10</v>
      </c>
      <c r="H2772" s="75" t="s">
        <v>10</v>
      </c>
      <c r="I2772" s="75">
        <v>19489</v>
      </c>
      <c r="K2772" s="75" t="str">
        <f>IFERROR(VLOOKUP(J2772,'NQ10'!$B$9:$C$145,2,0),"")</f>
        <v/>
      </c>
    </row>
    <row r="2773" spans="1:11" ht="15" customHeight="1" x14ac:dyDescent="0.25">
      <c r="A2773" s="75">
        <v>18</v>
      </c>
      <c r="B2773" s="75">
        <v>70</v>
      </c>
      <c r="C2773" s="75" t="s">
        <v>10</v>
      </c>
      <c r="D2773" s="75">
        <v>2058</v>
      </c>
      <c r="F2773" s="75" t="s">
        <v>10</v>
      </c>
      <c r="H2773" s="75" t="s">
        <v>10</v>
      </c>
      <c r="I2773" s="75">
        <v>19489</v>
      </c>
      <c r="K2773" s="75" t="str">
        <f>IFERROR(VLOOKUP(J2773,'NQ10'!$B$9:$C$145,2,0),"")</f>
        <v/>
      </c>
    </row>
    <row r="2774" spans="1:11" ht="15" customHeight="1" x14ac:dyDescent="0.25">
      <c r="A2774" s="75">
        <v>18</v>
      </c>
      <c r="B2774" s="75">
        <v>71</v>
      </c>
      <c r="C2774" s="75" t="s">
        <v>10</v>
      </c>
      <c r="D2774" s="75">
        <v>365</v>
      </c>
      <c r="F2774" s="75" t="s">
        <v>10</v>
      </c>
      <c r="H2774" s="75" t="s">
        <v>10</v>
      </c>
      <c r="I2774" s="75">
        <v>19489</v>
      </c>
      <c r="K2774" s="75" t="str">
        <f>IFERROR(VLOOKUP(J2774,'NQ10'!$B$9:$C$145,2,0),"")</f>
        <v/>
      </c>
    </row>
    <row r="2775" spans="1:11" ht="15" customHeight="1" x14ac:dyDescent="0.25">
      <c r="A2775" s="75">
        <v>18</v>
      </c>
      <c r="B2775" s="75">
        <v>72</v>
      </c>
      <c r="C2775" s="75" t="s">
        <v>10</v>
      </c>
      <c r="D2775" s="75">
        <v>221</v>
      </c>
      <c r="F2775" s="75" t="s">
        <v>10</v>
      </c>
      <c r="H2775" s="75" t="s">
        <v>10</v>
      </c>
      <c r="I2775" s="75">
        <v>19489</v>
      </c>
      <c r="K2775" s="75" t="str">
        <f>IFERROR(VLOOKUP(J2775,'NQ10'!$B$9:$C$145,2,0),"")</f>
        <v/>
      </c>
    </row>
    <row r="2776" spans="1:11" ht="15" customHeight="1" x14ac:dyDescent="0.25">
      <c r="A2776" s="75">
        <v>18</v>
      </c>
      <c r="B2776" s="75">
        <v>73</v>
      </c>
      <c r="C2776" s="75" t="s">
        <v>10</v>
      </c>
      <c r="D2776" s="75">
        <v>251</v>
      </c>
      <c r="F2776" s="75" t="s">
        <v>10</v>
      </c>
      <c r="H2776" s="75" t="s">
        <v>10</v>
      </c>
      <c r="I2776" s="75">
        <v>19489</v>
      </c>
      <c r="K2776" s="75" t="str">
        <f>IFERROR(VLOOKUP(J2776,'NQ10'!$B$9:$C$145,2,0),"")</f>
        <v/>
      </c>
    </row>
    <row r="2777" spans="1:11" ht="15" customHeight="1" x14ac:dyDescent="0.25">
      <c r="A2777" s="75">
        <v>18</v>
      </c>
      <c r="B2777" s="75">
        <v>76</v>
      </c>
      <c r="C2777" s="75" t="s">
        <v>10</v>
      </c>
      <c r="D2777" s="75">
        <v>210</v>
      </c>
      <c r="F2777" s="75" t="s">
        <v>10</v>
      </c>
      <c r="H2777" s="75" t="s">
        <v>10</v>
      </c>
      <c r="I2777" s="75">
        <v>19489</v>
      </c>
      <c r="K2777" s="75" t="str">
        <f>IFERROR(VLOOKUP(J2777,'NQ10'!$B$9:$C$145,2,0),"")</f>
        <v/>
      </c>
    </row>
    <row r="2778" spans="1:11" ht="15" customHeight="1" x14ac:dyDescent="0.25">
      <c r="A2778" s="75">
        <v>18</v>
      </c>
      <c r="B2778" s="75">
        <v>77</v>
      </c>
      <c r="C2778" s="75" t="s">
        <v>10</v>
      </c>
      <c r="D2778" s="75">
        <v>824</v>
      </c>
      <c r="F2778" s="75" t="s">
        <v>10</v>
      </c>
      <c r="H2778" s="75" t="s">
        <v>10</v>
      </c>
      <c r="I2778" s="75">
        <v>19489</v>
      </c>
      <c r="K2778" s="75" t="str">
        <f>IFERROR(VLOOKUP(J2778,'NQ10'!$B$9:$C$145,2,0),"")</f>
        <v/>
      </c>
    </row>
    <row r="2779" spans="1:11" ht="15" customHeight="1" x14ac:dyDescent="0.25">
      <c r="A2779" s="75">
        <v>18</v>
      </c>
      <c r="B2779" s="75">
        <v>78</v>
      </c>
      <c r="C2779" s="75" t="s">
        <v>10</v>
      </c>
      <c r="D2779" s="75">
        <v>238</v>
      </c>
      <c r="F2779" s="75" t="s">
        <v>10</v>
      </c>
      <c r="H2779" s="75" t="s">
        <v>10</v>
      </c>
      <c r="I2779" s="75">
        <v>19489</v>
      </c>
      <c r="K2779" s="75" t="str">
        <f>IFERROR(VLOOKUP(J2779,'NQ10'!$B$9:$C$145,2,0),"")</f>
        <v/>
      </c>
    </row>
    <row r="2780" spans="1:11" ht="15" customHeight="1" x14ac:dyDescent="0.25">
      <c r="A2780" s="75">
        <v>18</v>
      </c>
      <c r="B2780" s="75">
        <v>79</v>
      </c>
      <c r="C2780" s="75" t="s">
        <v>10</v>
      </c>
      <c r="D2780" s="75">
        <v>269</v>
      </c>
      <c r="F2780" s="75" t="s">
        <v>10</v>
      </c>
      <c r="H2780" s="75" t="s">
        <v>10</v>
      </c>
      <c r="I2780" s="75">
        <v>19489</v>
      </c>
      <c r="K2780" s="75" t="str">
        <f>IFERROR(VLOOKUP(J2780,'NQ10'!$B$9:$C$145,2,0),"")</f>
        <v/>
      </c>
    </row>
    <row r="2781" spans="1:11" ht="15" customHeight="1" x14ac:dyDescent="0.25">
      <c r="A2781" s="75">
        <v>18</v>
      </c>
      <c r="B2781" s="75">
        <v>80</v>
      </c>
      <c r="C2781" s="75" t="s">
        <v>10</v>
      </c>
      <c r="D2781" s="75">
        <v>302</v>
      </c>
      <c r="F2781" s="75" t="s">
        <v>10</v>
      </c>
      <c r="H2781" s="75" t="s">
        <v>10</v>
      </c>
      <c r="I2781" s="75">
        <v>19489</v>
      </c>
      <c r="K2781" s="75" t="str">
        <f>IFERROR(VLOOKUP(J2781,'NQ10'!$B$9:$C$145,2,0),"")</f>
        <v/>
      </c>
    </row>
    <row r="2782" spans="1:11" ht="15" customHeight="1" x14ac:dyDescent="0.25">
      <c r="A2782" s="75">
        <v>18</v>
      </c>
      <c r="B2782" s="75">
        <v>81</v>
      </c>
      <c r="C2782" s="75" t="s">
        <v>10</v>
      </c>
      <c r="D2782" s="75">
        <v>335</v>
      </c>
      <c r="F2782" s="75" t="s">
        <v>10</v>
      </c>
      <c r="H2782" s="75" t="s">
        <v>10</v>
      </c>
      <c r="I2782" s="75">
        <v>19489</v>
      </c>
      <c r="K2782" s="75" t="str">
        <f>IFERROR(VLOOKUP(J2782,'NQ10'!$B$9:$C$145,2,0),"")</f>
        <v/>
      </c>
    </row>
    <row r="2783" spans="1:11" ht="15" customHeight="1" x14ac:dyDescent="0.25">
      <c r="A2783" s="75">
        <v>18</v>
      </c>
      <c r="B2783" s="75">
        <v>82</v>
      </c>
      <c r="C2783" s="75" t="s">
        <v>10</v>
      </c>
      <c r="D2783" s="75">
        <v>275</v>
      </c>
      <c r="F2783" s="75" t="s">
        <v>10</v>
      </c>
      <c r="H2783" s="75" t="s">
        <v>10</v>
      </c>
      <c r="I2783" s="75">
        <v>19489</v>
      </c>
      <c r="K2783" s="75" t="str">
        <f>IFERROR(VLOOKUP(J2783,'NQ10'!$B$9:$C$145,2,0),"")</f>
        <v/>
      </c>
    </row>
    <row r="2784" spans="1:11" ht="15" customHeight="1" x14ac:dyDescent="0.25">
      <c r="A2784" s="75">
        <v>18</v>
      </c>
      <c r="B2784" s="75">
        <v>83</v>
      </c>
      <c r="C2784" s="75" t="s">
        <v>10</v>
      </c>
      <c r="D2784" s="75">
        <v>590</v>
      </c>
      <c r="F2784" s="75" t="s">
        <v>10</v>
      </c>
      <c r="H2784" s="75" t="s">
        <v>10</v>
      </c>
      <c r="I2784" s="75">
        <v>19489</v>
      </c>
      <c r="K2784" s="75" t="str">
        <f>IFERROR(VLOOKUP(J2784,'NQ10'!$B$9:$C$145,2,0),"")</f>
        <v/>
      </c>
    </row>
    <row r="2785" spans="1:11" ht="15" customHeight="1" x14ac:dyDescent="0.25">
      <c r="A2785" s="75">
        <v>18</v>
      </c>
      <c r="B2785" s="75">
        <v>84</v>
      </c>
      <c r="C2785" s="75" t="s">
        <v>10</v>
      </c>
      <c r="D2785" s="75">
        <v>240</v>
      </c>
      <c r="F2785" s="75" t="s">
        <v>10</v>
      </c>
      <c r="H2785" s="75" t="s">
        <v>10</v>
      </c>
      <c r="I2785" s="75">
        <v>19489</v>
      </c>
      <c r="K2785" s="75" t="str">
        <f>IFERROR(VLOOKUP(J2785,'NQ10'!$B$9:$C$145,2,0),"")</f>
        <v/>
      </c>
    </row>
    <row r="2786" spans="1:11" ht="15" customHeight="1" x14ac:dyDescent="0.25">
      <c r="A2786" s="75">
        <v>18</v>
      </c>
      <c r="B2786" s="75">
        <v>85</v>
      </c>
      <c r="C2786" s="75" t="s">
        <v>10</v>
      </c>
      <c r="D2786" s="75">
        <v>759</v>
      </c>
      <c r="F2786" s="75" t="s">
        <v>10</v>
      </c>
      <c r="H2786" s="75" t="s">
        <v>10</v>
      </c>
      <c r="I2786" s="75">
        <v>19489</v>
      </c>
      <c r="K2786" s="75" t="str">
        <f>IFERROR(VLOOKUP(J2786,'NQ10'!$B$9:$C$145,2,0),"")</f>
        <v/>
      </c>
    </row>
    <row r="2787" spans="1:11" ht="15" customHeight="1" x14ac:dyDescent="0.25">
      <c r="A2787" s="75">
        <v>18</v>
      </c>
      <c r="B2787" s="75">
        <v>88</v>
      </c>
      <c r="C2787" s="75" t="s">
        <v>10</v>
      </c>
      <c r="D2787" s="75">
        <v>670</v>
      </c>
      <c r="F2787" s="75" t="s">
        <v>10</v>
      </c>
      <c r="H2787" s="75" t="s">
        <v>10</v>
      </c>
      <c r="I2787" s="75">
        <v>19489</v>
      </c>
      <c r="K2787" s="75" t="str">
        <f>IFERROR(VLOOKUP(J2787,'NQ10'!$B$9:$C$145,2,0),"")</f>
        <v/>
      </c>
    </row>
    <row r="2788" spans="1:11" ht="15" customHeight="1" x14ac:dyDescent="0.25">
      <c r="A2788" s="75">
        <v>18</v>
      </c>
      <c r="B2788" s="75">
        <v>89</v>
      </c>
      <c r="C2788" s="75" t="s">
        <v>10</v>
      </c>
      <c r="D2788" s="75">
        <v>147</v>
      </c>
      <c r="F2788" s="75" t="s">
        <v>10</v>
      </c>
      <c r="H2788" s="75" t="s">
        <v>10</v>
      </c>
      <c r="I2788" s="75">
        <v>19489</v>
      </c>
      <c r="K2788" s="75" t="str">
        <f>IFERROR(VLOOKUP(J2788,'NQ10'!$B$9:$C$145,2,0),"")</f>
        <v/>
      </c>
    </row>
    <row r="2789" spans="1:11" ht="15" customHeight="1" x14ac:dyDescent="0.25">
      <c r="A2789" s="75">
        <v>18</v>
      </c>
      <c r="B2789" s="75">
        <v>90</v>
      </c>
      <c r="C2789" s="75" t="s">
        <v>10</v>
      </c>
      <c r="D2789" s="75">
        <v>328</v>
      </c>
      <c r="F2789" s="75" t="s">
        <v>10</v>
      </c>
      <c r="H2789" s="75" t="s">
        <v>10</v>
      </c>
      <c r="I2789" s="75">
        <v>19489</v>
      </c>
      <c r="K2789" s="75" t="str">
        <f>IFERROR(VLOOKUP(J2789,'NQ10'!$B$9:$C$145,2,0),"")</f>
        <v/>
      </c>
    </row>
    <row r="2790" spans="1:11" ht="15" customHeight="1" x14ac:dyDescent="0.25">
      <c r="A2790" s="75">
        <v>18</v>
      </c>
      <c r="B2790" s="75">
        <v>91</v>
      </c>
      <c r="C2790" s="75" t="s">
        <v>10</v>
      </c>
      <c r="D2790" s="75">
        <v>600</v>
      </c>
      <c r="F2790" s="75" t="s">
        <v>10</v>
      </c>
      <c r="H2790" s="75" t="s">
        <v>10</v>
      </c>
      <c r="I2790" s="75">
        <v>19489</v>
      </c>
      <c r="K2790" s="75" t="str">
        <f>IFERROR(VLOOKUP(J2790,'NQ10'!$B$9:$C$145,2,0),"")</f>
        <v/>
      </c>
    </row>
    <row r="2791" spans="1:11" ht="15" customHeight="1" x14ac:dyDescent="0.25">
      <c r="A2791" s="75">
        <v>18</v>
      </c>
      <c r="B2791" s="75">
        <v>92</v>
      </c>
      <c r="C2791" s="75" t="s">
        <v>10</v>
      </c>
      <c r="D2791" s="75">
        <v>305</v>
      </c>
      <c r="F2791" s="75" t="s">
        <v>10</v>
      </c>
      <c r="H2791" s="75" t="s">
        <v>10</v>
      </c>
      <c r="I2791" s="75">
        <v>19489</v>
      </c>
      <c r="K2791" s="75" t="str">
        <f>IFERROR(VLOOKUP(J2791,'NQ10'!$B$9:$C$145,2,0),"")</f>
        <v/>
      </c>
    </row>
    <row r="2792" spans="1:11" ht="15" customHeight="1" x14ac:dyDescent="0.25">
      <c r="A2792" s="75">
        <v>18</v>
      </c>
      <c r="B2792" s="75">
        <v>93</v>
      </c>
      <c r="C2792" s="75" t="s">
        <v>10</v>
      </c>
      <c r="D2792" s="75">
        <v>241</v>
      </c>
      <c r="F2792" s="75" t="s">
        <v>10</v>
      </c>
      <c r="H2792" s="75" t="s">
        <v>10</v>
      </c>
      <c r="I2792" s="75">
        <v>19489</v>
      </c>
      <c r="K2792" s="75" t="str">
        <f>IFERROR(VLOOKUP(J2792,'NQ10'!$B$9:$C$145,2,0),"")</f>
        <v/>
      </c>
    </row>
    <row r="2793" spans="1:11" ht="15" customHeight="1" x14ac:dyDescent="0.25">
      <c r="A2793" s="75">
        <v>18</v>
      </c>
      <c r="B2793" s="75">
        <v>94</v>
      </c>
      <c r="C2793" s="75" t="s">
        <v>10</v>
      </c>
      <c r="D2793" s="75">
        <v>595</v>
      </c>
      <c r="F2793" s="75" t="s">
        <v>10</v>
      </c>
      <c r="H2793" s="75" t="s">
        <v>10</v>
      </c>
      <c r="I2793" s="75">
        <v>19489</v>
      </c>
      <c r="K2793" s="75" t="str">
        <f>IFERROR(VLOOKUP(J2793,'NQ10'!$B$9:$C$145,2,0),"")</f>
        <v/>
      </c>
    </row>
    <row r="2794" spans="1:11" ht="15" customHeight="1" x14ac:dyDescent="0.25">
      <c r="A2794" s="75">
        <v>18</v>
      </c>
      <c r="B2794" s="75">
        <v>95</v>
      </c>
      <c r="C2794" s="75" t="s">
        <v>10</v>
      </c>
      <c r="D2794" s="75">
        <v>954</v>
      </c>
      <c r="F2794" s="75" t="s">
        <v>10</v>
      </c>
      <c r="H2794" s="75" t="s">
        <v>10</v>
      </c>
      <c r="I2794" s="75">
        <v>19489</v>
      </c>
      <c r="K2794" s="75" t="str">
        <f>IFERROR(VLOOKUP(J2794,'NQ10'!$B$9:$C$145,2,0),"")</f>
        <v/>
      </c>
    </row>
    <row r="2795" spans="1:11" ht="15" customHeight="1" x14ac:dyDescent="0.25">
      <c r="A2795" s="75">
        <v>18</v>
      </c>
      <c r="B2795" s="75">
        <v>96</v>
      </c>
      <c r="C2795" s="75" t="s">
        <v>10</v>
      </c>
      <c r="D2795" s="75">
        <v>159</v>
      </c>
      <c r="F2795" s="75" t="s">
        <v>10</v>
      </c>
      <c r="H2795" s="75" t="s">
        <v>10</v>
      </c>
      <c r="I2795" s="75">
        <v>19489</v>
      </c>
      <c r="K2795" s="75" t="str">
        <f>IFERROR(VLOOKUP(J2795,'NQ10'!$B$9:$C$145,2,0),"")</f>
        <v/>
      </c>
    </row>
    <row r="2796" spans="1:11" ht="15" customHeight="1" x14ac:dyDescent="0.25">
      <c r="A2796" s="75">
        <v>18</v>
      </c>
      <c r="B2796" s="75">
        <v>97</v>
      </c>
      <c r="C2796" s="75" t="s">
        <v>10</v>
      </c>
      <c r="D2796" s="75">
        <v>111</v>
      </c>
      <c r="F2796" s="75" t="s">
        <v>10</v>
      </c>
      <c r="H2796" s="75" t="s">
        <v>10</v>
      </c>
      <c r="I2796" s="75">
        <v>19489</v>
      </c>
      <c r="K2796" s="75" t="str">
        <f>IFERROR(VLOOKUP(J2796,'NQ10'!$B$9:$C$145,2,0),"")</f>
        <v/>
      </c>
    </row>
    <row r="2797" spans="1:11" ht="15" customHeight="1" x14ac:dyDescent="0.25">
      <c r="A2797" s="75">
        <v>18</v>
      </c>
      <c r="B2797" s="75">
        <v>98</v>
      </c>
      <c r="C2797" s="75" t="s">
        <v>10</v>
      </c>
      <c r="D2797" s="75">
        <v>194</v>
      </c>
      <c r="F2797" s="75" t="s">
        <v>10</v>
      </c>
      <c r="H2797" s="75" t="s">
        <v>10</v>
      </c>
      <c r="I2797" s="75">
        <v>19489</v>
      </c>
      <c r="K2797" s="75" t="str">
        <f>IFERROR(VLOOKUP(J2797,'NQ10'!$B$9:$C$145,2,0),"")</f>
        <v/>
      </c>
    </row>
    <row r="2798" spans="1:11" ht="15" customHeight="1" x14ac:dyDescent="0.25">
      <c r="A2798" s="75">
        <v>18</v>
      </c>
      <c r="B2798" s="75">
        <v>99</v>
      </c>
      <c r="C2798" s="75" t="s">
        <v>10</v>
      </c>
      <c r="D2798" s="75">
        <v>265</v>
      </c>
      <c r="F2798" s="75" t="s">
        <v>10</v>
      </c>
      <c r="H2798" s="75" t="s">
        <v>10</v>
      </c>
      <c r="I2798" s="75">
        <v>19489</v>
      </c>
      <c r="K2798" s="75" t="str">
        <f>IFERROR(VLOOKUP(J2798,'NQ10'!$B$9:$C$145,2,0),"")</f>
        <v/>
      </c>
    </row>
    <row r="2799" spans="1:11" ht="15" customHeight="1" x14ac:dyDescent="0.25">
      <c r="A2799" s="75">
        <v>18</v>
      </c>
      <c r="B2799" s="75">
        <v>100</v>
      </c>
      <c r="C2799" s="75" t="s">
        <v>10</v>
      </c>
      <c r="D2799" s="75">
        <v>328</v>
      </c>
      <c r="F2799" s="75" t="s">
        <v>10</v>
      </c>
      <c r="H2799" s="75" t="s">
        <v>10</v>
      </c>
      <c r="I2799" s="75">
        <v>19489</v>
      </c>
      <c r="K2799" s="75" t="str">
        <f>IFERROR(VLOOKUP(J2799,'NQ10'!$B$9:$C$145,2,0),"")</f>
        <v/>
      </c>
    </row>
    <row r="2800" spans="1:11" ht="15" customHeight="1" x14ac:dyDescent="0.25">
      <c r="A2800" s="75">
        <v>18</v>
      </c>
      <c r="B2800" s="75">
        <v>101</v>
      </c>
      <c r="C2800" s="75" t="s">
        <v>10</v>
      </c>
      <c r="D2800" s="75">
        <v>419</v>
      </c>
      <c r="F2800" s="75" t="s">
        <v>10</v>
      </c>
      <c r="H2800" s="75" t="s">
        <v>10</v>
      </c>
      <c r="I2800" s="75">
        <v>19489</v>
      </c>
      <c r="K2800" s="75" t="str">
        <f>IFERROR(VLOOKUP(J2800,'NQ10'!$B$9:$C$145,2,0),"")</f>
        <v/>
      </c>
    </row>
    <row r="2801" spans="1:11" ht="15" customHeight="1" x14ac:dyDescent="0.25">
      <c r="A2801" s="75">
        <v>18</v>
      </c>
      <c r="B2801" s="75">
        <v>103</v>
      </c>
      <c r="C2801" s="75" t="s">
        <v>10</v>
      </c>
      <c r="D2801" s="75">
        <v>1285</v>
      </c>
      <c r="F2801" s="75" t="s">
        <v>10</v>
      </c>
      <c r="H2801" s="75" t="s">
        <v>10</v>
      </c>
      <c r="I2801" s="75">
        <v>19489</v>
      </c>
      <c r="K2801" s="75" t="str">
        <f>IFERROR(VLOOKUP(J2801,'NQ10'!$B$9:$C$145,2,0),"")</f>
        <v/>
      </c>
    </row>
    <row r="2802" spans="1:11" ht="15" customHeight="1" x14ac:dyDescent="0.25">
      <c r="A2802" s="75">
        <v>18</v>
      </c>
      <c r="B2802" s="75">
        <v>104</v>
      </c>
      <c r="C2802" s="75" t="s">
        <v>10</v>
      </c>
      <c r="D2802" s="75">
        <v>478</v>
      </c>
      <c r="F2802" s="75" t="s">
        <v>10</v>
      </c>
      <c r="H2802" s="75" t="s">
        <v>10</v>
      </c>
      <c r="I2802" s="75">
        <v>19489</v>
      </c>
      <c r="K2802" s="75" t="str">
        <f>IFERROR(VLOOKUP(J2802,'NQ10'!$B$9:$C$145,2,0),"")</f>
        <v/>
      </c>
    </row>
    <row r="2803" spans="1:11" ht="15" customHeight="1" x14ac:dyDescent="0.25">
      <c r="A2803" s="75">
        <v>18</v>
      </c>
      <c r="B2803" s="75">
        <v>105</v>
      </c>
      <c r="C2803" s="75" t="s">
        <v>10</v>
      </c>
      <c r="D2803" s="75">
        <v>614</v>
      </c>
      <c r="F2803" s="75" t="s">
        <v>10</v>
      </c>
      <c r="H2803" s="75" t="s">
        <v>10</v>
      </c>
      <c r="I2803" s="75">
        <v>19489</v>
      </c>
      <c r="K2803" s="75" t="str">
        <f>IFERROR(VLOOKUP(J2803,'NQ10'!$B$9:$C$145,2,0),"")</f>
        <v/>
      </c>
    </row>
    <row r="2804" spans="1:11" ht="15" customHeight="1" x14ac:dyDescent="0.25">
      <c r="A2804" s="75">
        <v>18</v>
      </c>
      <c r="B2804" s="75">
        <v>106</v>
      </c>
      <c r="C2804" s="75" t="s">
        <v>10</v>
      </c>
      <c r="D2804" s="75">
        <v>400</v>
      </c>
      <c r="F2804" s="75" t="s">
        <v>10</v>
      </c>
      <c r="H2804" s="75" t="s">
        <v>10</v>
      </c>
      <c r="I2804" s="75">
        <v>19489</v>
      </c>
      <c r="K2804" s="75" t="str">
        <f>IFERROR(VLOOKUP(J2804,'NQ10'!$B$9:$C$145,2,0),"")</f>
        <v/>
      </c>
    </row>
    <row r="2805" spans="1:11" ht="15" customHeight="1" x14ac:dyDescent="0.25">
      <c r="A2805" s="75">
        <v>18</v>
      </c>
      <c r="B2805" s="75">
        <v>107</v>
      </c>
      <c r="C2805" s="75" t="s">
        <v>10</v>
      </c>
      <c r="D2805" s="75">
        <v>94</v>
      </c>
      <c r="F2805" s="75" t="s">
        <v>10</v>
      </c>
      <c r="H2805" s="75" t="s">
        <v>10</v>
      </c>
      <c r="I2805" s="75">
        <v>19489</v>
      </c>
      <c r="K2805" s="75" t="str">
        <f>IFERROR(VLOOKUP(J2805,'NQ10'!$B$9:$C$145,2,0),"")</f>
        <v/>
      </c>
    </row>
    <row r="2806" spans="1:11" ht="15" customHeight="1" x14ac:dyDescent="0.25">
      <c r="A2806" s="75">
        <v>18</v>
      </c>
      <c r="B2806" s="75">
        <v>108</v>
      </c>
      <c r="C2806" s="75" t="s">
        <v>10</v>
      </c>
      <c r="D2806" s="75">
        <v>3408</v>
      </c>
      <c r="F2806" s="75" t="s">
        <v>10</v>
      </c>
      <c r="H2806" s="75" t="s">
        <v>10</v>
      </c>
      <c r="I2806" s="75">
        <v>19489</v>
      </c>
      <c r="K2806" s="75" t="str">
        <f>IFERROR(VLOOKUP(J2806,'NQ10'!$B$9:$C$145,2,0),"")</f>
        <v/>
      </c>
    </row>
    <row r="2807" spans="1:11" ht="15" customHeight="1" x14ac:dyDescent="0.25">
      <c r="A2807" s="75">
        <v>18</v>
      </c>
      <c r="B2807" s="75">
        <v>109</v>
      </c>
      <c r="C2807" s="75" t="s">
        <v>10</v>
      </c>
      <c r="D2807" s="75">
        <v>3097</v>
      </c>
      <c r="F2807" s="75" t="s">
        <v>10</v>
      </c>
      <c r="H2807" s="75" t="s">
        <v>10</v>
      </c>
      <c r="I2807" s="75">
        <v>19489</v>
      </c>
      <c r="K2807" s="75" t="str">
        <f>IFERROR(VLOOKUP(J2807,'NQ10'!$B$9:$C$145,2,0),"")</f>
        <v/>
      </c>
    </row>
    <row r="2808" spans="1:11" ht="15" customHeight="1" x14ac:dyDescent="0.25">
      <c r="A2808" s="75">
        <v>18</v>
      </c>
      <c r="B2808" s="75">
        <v>110</v>
      </c>
      <c r="C2808" s="75" t="s">
        <v>10</v>
      </c>
      <c r="D2808" s="75">
        <v>408</v>
      </c>
      <c r="F2808" s="75" t="s">
        <v>10</v>
      </c>
      <c r="H2808" s="75" t="s">
        <v>10</v>
      </c>
      <c r="I2808" s="75">
        <v>19489</v>
      </c>
      <c r="K2808" s="75" t="str">
        <f>IFERROR(VLOOKUP(J2808,'NQ10'!$B$9:$C$145,2,0),"")</f>
        <v/>
      </c>
    </row>
    <row r="2809" spans="1:11" ht="15" customHeight="1" x14ac:dyDescent="0.25">
      <c r="A2809" s="75">
        <v>18</v>
      </c>
      <c r="B2809" s="75">
        <v>111</v>
      </c>
      <c r="C2809" s="75" t="s">
        <v>10</v>
      </c>
      <c r="D2809" s="75">
        <v>944</v>
      </c>
      <c r="F2809" s="75" t="s">
        <v>10</v>
      </c>
      <c r="H2809" s="75" t="s">
        <v>10</v>
      </c>
      <c r="I2809" s="75">
        <v>19489</v>
      </c>
      <c r="K2809" s="75" t="str">
        <f>IFERROR(VLOOKUP(J2809,'NQ10'!$B$9:$C$145,2,0),"")</f>
        <v/>
      </c>
    </row>
    <row r="2810" spans="1:11" ht="15" customHeight="1" x14ac:dyDescent="0.25">
      <c r="A2810" s="75">
        <v>18</v>
      </c>
      <c r="B2810" s="75">
        <v>114</v>
      </c>
      <c r="C2810" s="75" t="s">
        <v>10</v>
      </c>
      <c r="D2810" s="75">
        <v>701</v>
      </c>
      <c r="F2810" s="75" t="s">
        <v>10</v>
      </c>
      <c r="H2810" s="75" t="s">
        <v>10</v>
      </c>
      <c r="I2810" s="75">
        <v>19489</v>
      </c>
      <c r="K2810" s="75" t="str">
        <f>IFERROR(VLOOKUP(J2810,'NQ10'!$B$9:$C$145,2,0),"")</f>
        <v/>
      </c>
    </row>
    <row r="2811" spans="1:11" ht="15" customHeight="1" x14ac:dyDescent="0.25">
      <c r="A2811" s="75">
        <v>18</v>
      </c>
      <c r="B2811" s="75">
        <v>115</v>
      </c>
      <c r="C2811" s="75" t="s">
        <v>10</v>
      </c>
      <c r="D2811" s="75">
        <v>592</v>
      </c>
      <c r="F2811" s="75" t="s">
        <v>10</v>
      </c>
      <c r="H2811" s="75" t="s">
        <v>10</v>
      </c>
      <c r="I2811" s="75">
        <v>19489</v>
      </c>
      <c r="K2811" s="75" t="str">
        <f>IFERROR(VLOOKUP(J2811,'NQ10'!$B$9:$C$145,2,0),"")</f>
        <v/>
      </c>
    </row>
    <row r="2812" spans="1:11" ht="15" customHeight="1" x14ac:dyDescent="0.25">
      <c r="A2812" s="75">
        <v>18</v>
      </c>
      <c r="B2812" s="75">
        <v>116</v>
      </c>
      <c r="C2812" s="75" t="s">
        <v>10</v>
      </c>
      <c r="D2812" s="75">
        <v>114</v>
      </c>
      <c r="F2812" s="75" t="s">
        <v>10</v>
      </c>
      <c r="H2812" s="75" t="s">
        <v>10</v>
      </c>
      <c r="I2812" s="75">
        <v>19489</v>
      </c>
      <c r="K2812" s="75" t="str">
        <f>IFERROR(VLOOKUP(J2812,'NQ10'!$B$9:$C$145,2,0),"")</f>
        <v/>
      </c>
    </row>
    <row r="2813" spans="1:11" ht="15" customHeight="1" x14ac:dyDescent="0.25">
      <c r="A2813" s="75">
        <v>18</v>
      </c>
      <c r="B2813" s="75">
        <v>117</v>
      </c>
      <c r="C2813" s="75" t="s">
        <v>10</v>
      </c>
      <c r="D2813" s="75">
        <v>446</v>
      </c>
      <c r="F2813" s="75" t="s">
        <v>10</v>
      </c>
      <c r="H2813" s="75" t="s">
        <v>10</v>
      </c>
      <c r="I2813" s="75">
        <v>19489</v>
      </c>
      <c r="K2813" s="75" t="str">
        <f>IFERROR(VLOOKUP(J2813,'NQ10'!$B$9:$C$145,2,0),"")</f>
        <v/>
      </c>
    </row>
    <row r="2814" spans="1:11" ht="15" customHeight="1" x14ac:dyDescent="0.25">
      <c r="A2814" s="75">
        <v>18</v>
      </c>
      <c r="B2814" s="75">
        <v>118</v>
      </c>
      <c r="C2814" s="75" t="s">
        <v>10</v>
      </c>
      <c r="D2814" s="75">
        <v>265</v>
      </c>
      <c r="F2814" s="75" t="s">
        <v>10</v>
      </c>
      <c r="H2814" s="75" t="s">
        <v>10</v>
      </c>
      <c r="I2814" s="75">
        <v>19489</v>
      </c>
      <c r="K2814" s="75" t="str">
        <f>IFERROR(VLOOKUP(J2814,'NQ10'!$B$9:$C$145,2,0),"")</f>
        <v/>
      </c>
    </row>
    <row r="2815" spans="1:11" ht="15" customHeight="1" x14ac:dyDescent="0.25">
      <c r="A2815" s="75">
        <v>18</v>
      </c>
      <c r="B2815" s="75">
        <v>119</v>
      </c>
      <c r="C2815" s="75" t="s">
        <v>10</v>
      </c>
      <c r="D2815" s="75">
        <v>1279</v>
      </c>
      <c r="F2815" s="75" t="s">
        <v>10</v>
      </c>
      <c r="H2815" s="75" t="s">
        <v>10</v>
      </c>
      <c r="I2815" s="75">
        <v>19489</v>
      </c>
      <c r="K2815" s="75" t="str">
        <f>IFERROR(VLOOKUP(J2815,'NQ10'!$B$9:$C$145,2,0),"")</f>
        <v/>
      </c>
    </row>
    <row r="2816" spans="1:11" ht="15" customHeight="1" x14ac:dyDescent="0.25">
      <c r="A2816" s="75">
        <v>18</v>
      </c>
      <c r="B2816" s="75">
        <v>120</v>
      </c>
      <c r="C2816" s="75" t="s">
        <v>10</v>
      </c>
      <c r="D2816" s="75">
        <v>1954</v>
      </c>
      <c r="F2816" s="75" t="s">
        <v>10</v>
      </c>
      <c r="H2816" s="75" t="s">
        <v>10</v>
      </c>
      <c r="I2816" s="75">
        <v>19489</v>
      </c>
      <c r="K2816" s="75" t="str">
        <f>IFERROR(VLOOKUP(J2816,'NQ10'!$B$9:$C$145,2,0),"")</f>
        <v/>
      </c>
    </row>
    <row r="2817" spans="1:11" ht="15" customHeight="1" x14ac:dyDescent="0.25">
      <c r="A2817" s="75">
        <v>18</v>
      </c>
      <c r="B2817" s="75">
        <v>121</v>
      </c>
      <c r="C2817" s="75" t="s">
        <v>10</v>
      </c>
      <c r="D2817" s="75">
        <v>442</v>
      </c>
      <c r="F2817" s="75" t="s">
        <v>10</v>
      </c>
      <c r="H2817" s="75" t="s">
        <v>10</v>
      </c>
      <c r="I2817" s="75">
        <v>19489</v>
      </c>
      <c r="K2817" s="75" t="str">
        <f>IFERROR(VLOOKUP(J2817,'NQ10'!$B$9:$C$145,2,0),"")</f>
        <v/>
      </c>
    </row>
    <row r="2818" spans="1:11" ht="15" customHeight="1" x14ac:dyDescent="0.25">
      <c r="A2818" s="75">
        <v>18</v>
      </c>
      <c r="B2818" s="75">
        <v>122</v>
      </c>
      <c r="C2818" s="75" t="s">
        <v>10</v>
      </c>
      <c r="D2818" s="75">
        <v>789</v>
      </c>
      <c r="F2818" s="75" t="s">
        <v>10</v>
      </c>
      <c r="H2818" s="75" t="s">
        <v>10</v>
      </c>
      <c r="I2818" s="75">
        <v>19489</v>
      </c>
      <c r="K2818" s="75" t="str">
        <f>IFERROR(VLOOKUP(J2818,'NQ10'!$B$9:$C$145,2,0),"")</f>
        <v/>
      </c>
    </row>
    <row r="2819" spans="1:11" ht="15" customHeight="1" x14ac:dyDescent="0.25">
      <c r="A2819" s="75">
        <v>18</v>
      </c>
      <c r="B2819" s="75">
        <v>123</v>
      </c>
      <c r="C2819" s="75" t="s">
        <v>10</v>
      </c>
      <c r="D2819" s="75">
        <v>227</v>
      </c>
      <c r="F2819" s="75" t="s">
        <v>10</v>
      </c>
      <c r="H2819" s="75" t="s">
        <v>10</v>
      </c>
      <c r="I2819" s="75">
        <v>19489</v>
      </c>
      <c r="K2819" s="75" t="str">
        <f>IFERROR(VLOOKUP(J2819,'NQ10'!$B$9:$C$145,2,0),"")</f>
        <v/>
      </c>
    </row>
    <row r="2820" spans="1:11" ht="15" customHeight="1" x14ac:dyDescent="0.25">
      <c r="A2820" s="75">
        <v>18</v>
      </c>
      <c r="B2820" s="75">
        <v>124</v>
      </c>
      <c r="C2820" s="75" t="s">
        <v>10</v>
      </c>
      <c r="D2820" s="75">
        <v>1382</v>
      </c>
      <c r="F2820" s="75" t="s">
        <v>10</v>
      </c>
      <c r="H2820" s="75" t="s">
        <v>10</v>
      </c>
      <c r="I2820" s="75">
        <v>19489</v>
      </c>
      <c r="K2820" s="75" t="str">
        <f>IFERROR(VLOOKUP(J2820,'NQ10'!$B$9:$C$145,2,0),"")</f>
        <v/>
      </c>
    </row>
    <row r="2821" spans="1:11" ht="15" customHeight="1" x14ac:dyDescent="0.25">
      <c r="A2821" s="75">
        <v>18</v>
      </c>
      <c r="B2821" s="75">
        <v>125</v>
      </c>
      <c r="C2821" s="75" t="s">
        <v>10</v>
      </c>
      <c r="D2821" s="75">
        <v>2655</v>
      </c>
      <c r="F2821" s="75" t="s">
        <v>10</v>
      </c>
      <c r="H2821" s="75" t="s">
        <v>10</v>
      </c>
      <c r="I2821" s="75">
        <v>19489</v>
      </c>
      <c r="K2821" s="75" t="str">
        <f>IFERROR(VLOOKUP(J2821,'NQ10'!$B$9:$C$145,2,0),"")</f>
        <v/>
      </c>
    </row>
    <row r="2822" spans="1:11" ht="15" customHeight="1" x14ac:dyDescent="0.25">
      <c r="A2822" s="75">
        <v>18</v>
      </c>
      <c r="B2822" s="75">
        <v>127</v>
      </c>
      <c r="C2822" s="75" t="s">
        <v>10</v>
      </c>
      <c r="D2822" s="75">
        <v>290</v>
      </c>
      <c r="F2822" s="75" t="s">
        <v>10</v>
      </c>
      <c r="H2822" s="75" t="s">
        <v>10</v>
      </c>
      <c r="I2822" s="75">
        <v>19489</v>
      </c>
      <c r="K2822" s="75" t="str">
        <f>IFERROR(VLOOKUP(J2822,'NQ10'!$B$9:$C$145,2,0),"")</f>
        <v/>
      </c>
    </row>
    <row r="2823" spans="1:11" ht="15" customHeight="1" x14ac:dyDescent="0.25">
      <c r="A2823" s="75">
        <v>18</v>
      </c>
      <c r="B2823" s="75">
        <v>128</v>
      </c>
      <c r="C2823" s="75" t="s">
        <v>10</v>
      </c>
      <c r="D2823" s="75">
        <v>224</v>
      </c>
      <c r="F2823" s="75" t="s">
        <v>10</v>
      </c>
      <c r="H2823" s="75" t="s">
        <v>10</v>
      </c>
      <c r="I2823" s="75">
        <v>19489</v>
      </c>
      <c r="K2823" s="75" t="str">
        <f>IFERROR(VLOOKUP(J2823,'NQ10'!$B$9:$C$145,2,0),"")</f>
        <v/>
      </c>
    </row>
    <row r="2824" spans="1:11" ht="15" customHeight="1" x14ac:dyDescent="0.25">
      <c r="A2824" s="75">
        <v>18</v>
      </c>
      <c r="B2824" s="75">
        <v>129</v>
      </c>
      <c r="C2824" s="75" t="s">
        <v>10</v>
      </c>
      <c r="D2824" s="75">
        <v>1525</v>
      </c>
      <c r="F2824" s="75" t="s">
        <v>10</v>
      </c>
      <c r="H2824" s="75" t="s">
        <v>10</v>
      </c>
      <c r="I2824" s="75">
        <v>19489</v>
      </c>
      <c r="K2824" s="75" t="str">
        <f>IFERROR(VLOOKUP(J2824,'NQ10'!$B$9:$C$145,2,0),"")</f>
        <v/>
      </c>
    </row>
    <row r="2825" spans="1:11" ht="15" customHeight="1" x14ac:dyDescent="0.25">
      <c r="A2825" s="75">
        <v>18</v>
      </c>
      <c r="B2825" s="75">
        <v>130</v>
      </c>
      <c r="C2825" s="75" t="s">
        <v>10</v>
      </c>
      <c r="D2825" s="75">
        <v>270</v>
      </c>
      <c r="F2825" s="75" t="s">
        <v>10</v>
      </c>
      <c r="H2825" s="75" t="s">
        <v>10</v>
      </c>
      <c r="I2825" s="75">
        <v>19489</v>
      </c>
      <c r="K2825" s="75" t="str">
        <f>IFERROR(VLOOKUP(J2825,'NQ10'!$B$9:$C$145,2,0),"")</f>
        <v/>
      </c>
    </row>
    <row r="2826" spans="1:11" ht="15" customHeight="1" x14ac:dyDescent="0.25">
      <c r="A2826" s="75">
        <v>18</v>
      </c>
      <c r="B2826" s="75">
        <v>131</v>
      </c>
      <c r="C2826" s="75" t="s">
        <v>10</v>
      </c>
      <c r="D2826" s="75">
        <v>679</v>
      </c>
      <c r="F2826" s="75" t="s">
        <v>10</v>
      </c>
      <c r="H2826" s="75" t="s">
        <v>10</v>
      </c>
      <c r="I2826" s="75">
        <v>19489</v>
      </c>
      <c r="K2826" s="75" t="str">
        <f>IFERROR(VLOOKUP(J2826,'NQ10'!$B$9:$C$145,2,0),"")</f>
        <v/>
      </c>
    </row>
    <row r="2827" spans="1:11" ht="15" customHeight="1" x14ac:dyDescent="0.25">
      <c r="A2827" s="75">
        <v>18</v>
      </c>
      <c r="B2827" s="75">
        <v>132</v>
      </c>
      <c r="C2827" s="75" t="s">
        <v>10</v>
      </c>
      <c r="D2827" s="75">
        <v>4603</v>
      </c>
      <c r="F2827" s="75" t="s">
        <v>10</v>
      </c>
      <c r="H2827" s="75" t="s">
        <v>10</v>
      </c>
      <c r="I2827" s="75">
        <v>19489</v>
      </c>
      <c r="K2827" s="75" t="str">
        <f>IFERROR(VLOOKUP(J2827,'NQ10'!$B$9:$C$145,2,0),"")</f>
        <v/>
      </c>
    </row>
    <row r="2828" spans="1:11" ht="15" customHeight="1" x14ac:dyDescent="0.25">
      <c r="A2828" s="75">
        <v>18</v>
      </c>
      <c r="B2828" s="75">
        <v>133</v>
      </c>
      <c r="C2828" s="75" t="s">
        <v>10</v>
      </c>
      <c r="D2828" s="75">
        <v>2810</v>
      </c>
      <c r="F2828" s="75" t="s">
        <v>10</v>
      </c>
      <c r="H2828" s="75" t="s">
        <v>10</v>
      </c>
      <c r="I2828" s="75">
        <v>19489</v>
      </c>
      <c r="K2828" s="75" t="str">
        <f>IFERROR(VLOOKUP(J2828,'NQ10'!$B$9:$C$145,2,0),"")</f>
        <v/>
      </c>
    </row>
    <row r="2829" spans="1:11" ht="15" customHeight="1" x14ac:dyDescent="0.25">
      <c r="A2829" s="75">
        <v>18</v>
      </c>
      <c r="B2829" s="75">
        <v>134</v>
      </c>
      <c r="C2829" s="75" t="s">
        <v>10</v>
      </c>
      <c r="D2829" s="75">
        <v>737</v>
      </c>
      <c r="F2829" s="75" t="s">
        <v>10</v>
      </c>
      <c r="H2829" s="75" t="s">
        <v>10</v>
      </c>
      <c r="I2829" s="75">
        <v>19489</v>
      </c>
      <c r="K2829" s="75" t="str">
        <f>IFERROR(VLOOKUP(J2829,'NQ10'!$B$9:$C$145,2,0),"")</f>
        <v/>
      </c>
    </row>
    <row r="2830" spans="1:11" ht="15" customHeight="1" x14ac:dyDescent="0.25">
      <c r="A2830" s="75">
        <v>18</v>
      </c>
      <c r="B2830" s="75">
        <v>135</v>
      </c>
      <c r="C2830" s="75" t="s">
        <v>10</v>
      </c>
      <c r="D2830" s="75">
        <v>1141</v>
      </c>
      <c r="F2830" s="75" t="s">
        <v>10</v>
      </c>
      <c r="H2830" s="75" t="s">
        <v>10</v>
      </c>
      <c r="I2830" s="75">
        <v>19489</v>
      </c>
      <c r="K2830" s="75" t="str">
        <f>IFERROR(VLOOKUP(J2830,'NQ10'!$B$9:$C$145,2,0),"")</f>
        <v/>
      </c>
    </row>
    <row r="2831" spans="1:11" ht="15" customHeight="1" x14ac:dyDescent="0.25">
      <c r="A2831" s="75">
        <v>18</v>
      </c>
      <c r="B2831" s="75">
        <v>137</v>
      </c>
      <c r="C2831" s="75" t="s">
        <v>10</v>
      </c>
      <c r="D2831" s="75">
        <v>4553</v>
      </c>
      <c r="F2831" s="75" t="s">
        <v>10</v>
      </c>
      <c r="H2831" s="75" t="s">
        <v>10</v>
      </c>
      <c r="I2831" s="75">
        <v>19489</v>
      </c>
      <c r="K2831" s="75" t="str">
        <f>IFERROR(VLOOKUP(J2831,'NQ10'!$B$9:$C$145,2,0),"")</f>
        <v/>
      </c>
    </row>
    <row r="2832" spans="1:11" ht="15" customHeight="1" x14ac:dyDescent="0.25">
      <c r="A2832" s="75">
        <v>18</v>
      </c>
      <c r="B2832" s="75">
        <v>138</v>
      </c>
      <c r="C2832" s="75" t="s">
        <v>10</v>
      </c>
      <c r="D2832" s="75">
        <v>372</v>
      </c>
      <c r="F2832" s="75" t="s">
        <v>10</v>
      </c>
      <c r="H2832" s="75" t="s">
        <v>10</v>
      </c>
      <c r="I2832" s="75">
        <v>19489</v>
      </c>
      <c r="K2832" s="75" t="str">
        <f>IFERROR(VLOOKUP(J2832,'NQ10'!$B$9:$C$145,2,0),"")</f>
        <v/>
      </c>
    </row>
    <row r="2833" spans="1:11" ht="15" customHeight="1" x14ac:dyDescent="0.25">
      <c r="A2833" s="75">
        <v>18</v>
      </c>
      <c r="B2833" s="75">
        <v>139</v>
      </c>
      <c r="C2833" s="75" t="s">
        <v>10</v>
      </c>
      <c r="D2833" s="75">
        <v>1694</v>
      </c>
      <c r="F2833" s="75" t="s">
        <v>10</v>
      </c>
      <c r="H2833" s="75" t="s">
        <v>10</v>
      </c>
      <c r="I2833" s="75">
        <v>19489</v>
      </c>
      <c r="K2833" s="75" t="str">
        <f>IFERROR(VLOOKUP(J2833,'NQ10'!$B$9:$C$145,2,0),"")</f>
        <v/>
      </c>
    </row>
    <row r="2834" spans="1:11" ht="15" customHeight="1" x14ac:dyDescent="0.25">
      <c r="A2834" s="75">
        <v>18</v>
      </c>
      <c r="B2834" s="75">
        <v>140</v>
      </c>
      <c r="C2834" s="75" t="s">
        <v>10</v>
      </c>
      <c r="D2834" s="75">
        <v>8776</v>
      </c>
      <c r="F2834" s="75" t="s">
        <v>10</v>
      </c>
      <c r="H2834" s="75" t="s">
        <v>10</v>
      </c>
      <c r="I2834" s="75">
        <v>19489</v>
      </c>
      <c r="K2834" s="75" t="str">
        <f>IFERROR(VLOOKUP(J2834,'NQ10'!$B$9:$C$145,2,0),"")</f>
        <v/>
      </c>
    </row>
    <row r="2835" spans="1:11" ht="15" customHeight="1" x14ac:dyDescent="0.25">
      <c r="A2835" s="75">
        <v>18</v>
      </c>
      <c r="B2835" s="75">
        <v>141</v>
      </c>
      <c r="C2835" s="75" t="s">
        <v>10</v>
      </c>
      <c r="D2835" s="75">
        <v>3239</v>
      </c>
      <c r="F2835" s="75" t="s">
        <v>10</v>
      </c>
      <c r="H2835" s="75" t="s">
        <v>10</v>
      </c>
      <c r="I2835" s="75">
        <v>19489</v>
      </c>
      <c r="K2835" s="75" t="str">
        <f>IFERROR(VLOOKUP(J2835,'NQ10'!$B$9:$C$145,2,0),"")</f>
        <v/>
      </c>
    </row>
    <row r="2836" spans="1:11" ht="15" customHeight="1" x14ac:dyDescent="0.25">
      <c r="A2836" s="75">
        <v>18</v>
      </c>
      <c r="B2836" s="75">
        <v>142</v>
      </c>
      <c r="C2836" s="75" t="s">
        <v>10</v>
      </c>
      <c r="D2836" s="75">
        <v>773</v>
      </c>
      <c r="F2836" s="75" t="s">
        <v>10</v>
      </c>
      <c r="H2836" s="75" t="s">
        <v>10</v>
      </c>
      <c r="I2836" s="75">
        <v>19489</v>
      </c>
      <c r="K2836" s="75" t="str">
        <f>IFERROR(VLOOKUP(J2836,'NQ10'!$B$9:$C$145,2,0),"")</f>
        <v/>
      </c>
    </row>
    <row r="2837" spans="1:11" ht="15" customHeight="1" x14ac:dyDescent="0.25">
      <c r="A2837" s="75">
        <v>18</v>
      </c>
      <c r="B2837" s="75">
        <v>143</v>
      </c>
      <c r="C2837" s="75" t="s">
        <v>10</v>
      </c>
      <c r="D2837" s="75">
        <v>341</v>
      </c>
      <c r="F2837" s="75" t="s">
        <v>10</v>
      </c>
      <c r="H2837" s="75" t="s">
        <v>10</v>
      </c>
      <c r="I2837" s="75">
        <v>19489</v>
      </c>
      <c r="K2837" s="75" t="str">
        <f>IFERROR(VLOOKUP(J2837,'NQ10'!$B$9:$C$145,2,0),"")</f>
        <v/>
      </c>
    </row>
    <row r="2838" spans="1:11" ht="15" customHeight="1" x14ac:dyDescent="0.25">
      <c r="A2838" s="75">
        <v>18</v>
      </c>
      <c r="B2838" s="75">
        <v>144</v>
      </c>
      <c r="C2838" s="75" t="s">
        <v>10</v>
      </c>
      <c r="D2838" s="75">
        <v>2790</v>
      </c>
      <c r="F2838" s="75" t="s">
        <v>10</v>
      </c>
      <c r="H2838" s="75" t="s">
        <v>10</v>
      </c>
      <c r="I2838" s="75">
        <v>19489</v>
      </c>
      <c r="K2838" s="75" t="str">
        <f>IFERROR(VLOOKUP(J2838,'NQ10'!$B$9:$C$145,2,0),"")</f>
        <v/>
      </c>
    </row>
    <row r="2839" spans="1:11" ht="15" customHeight="1" x14ac:dyDescent="0.25">
      <c r="A2839" s="75">
        <v>18</v>
      </c>
      <c r="B2839" s="75">
        <v>146</v>
      </c>
      <c r="C2839" s="75" t="s">
        <v>10</v>
      </c>
      <c r="D2839" s="75">
        <v>825</v>
      </c>
      <c r="F2839" s="75" t="s">
        <v>10</v>
      </c>
      <c r="H2839" s="75" t="s">
        <v>10</v>
      </c>
      <c r="I2839" s="75">
        <v>19489</v>
      </c>
      <c r="K2839" s="75" t="str">
        <f>IFERROR(VLOOKUP(J2839,'NQ10'!$B$9:$C$145,2,0),"")</f>
        <v/>
      </c>
    </row>
    <row r="2840" spans="1:11" ht="15" customHeight="1" x14ac:dyDescent="0.25">
      <c r="A2840" s="75">
        <v>18</v>
      </c>
      <c r="B2840" s="75">
        <v>147</v>
      </c>
      <c r="C2840" s="75" t="s">
        <v>10</v>
      </c>
      <c r="D2840" s="75">
        <v>2321</v>
      </c>
      <c r="F2840" s="75" t="s">
        <v>10</v>
      </c>
      <c r="H2840" s="75" t="s">
        <v>10</v>
      </c>
      <c r="I2840" s="75">
        <v>19489</v>
      </c>
      <c r="K2840" s="75" t="str">
        <f>IFERROR(VLOOKUP(J2840,'NQ10'!$B$9:$C$145,2,0),"")</f>
        <v/>
      </c>
    </row>
    <row r="2841" spans="1:11" ht="15" customHeight="1" x14ac:dyDescent="0.25">
      <c r="A2841" s="75">
        <v>18</v>
      </c>
      <c r="B2841" s="75">
        <v>148</v>
      </c>
      <c r="C2841" s="75" t="s">
        <v>10</v>
      </c>
      <c r="D2841" s="75">
        <v>1699</v>
      </c>
      <c r="F2841" s="75" t="s">
        <v>10</v>
      </c>
      <c r="H2841" s="75" t="s">
        <v>10</v>
      </c>
      <c r="I2841" s="75">
        <v>19489</v>
      </c>
      <c r="K2841" s="75" t="str">
        <f>IFERROR(VLOOKUP(J2841,'NQ10'!$B$9:$C$145,2,0),"")</f>
        <v/>
      </c>
    </row>
    <row r="2842" spans="1:11" ht="15" customHeight="1" x14ac:dyDescent="0.25">
      <c r="A2842" s="75">
        <v>18</v>
      </c>
      <c r="B2842" s="75">
        <v>149</v>
      </c>
      <c r="C2842" s="75" t="s">
        <v>10</v>
      </c>
      <c r="D2842" s="75">
        <v>1257</v>
      </c>
      <c r="F2842" s="75" t="s">
        <v>10</v>
      </c>
      <c r="H2842" s="75" t="s">
        <v>10</v>
      </c>
      <c r="I2842" s="75">
        <v>19489</v>
      </c>
      <c r="K2842" s="75" t="str">
        <f>IFERROR(VLOOKUP(J2842,'NQ10'!$B$9:$C$145,2,0),"")</f>
        <v/>
      </c>
    </row>
    <row r="2843" spans="1:11" ht="15" customHeight="1" x14ac:dyDescent="0.25">
      <c r="A2843" s="75">
        <v>18</v>
      </c>
      <c r="B2843" s="75">
        <v>150</v>
      </c>
      <c r="C2843" s="75" t="s">
        <v>10</v>
      </c>
      <c r="D2843" s="75">
        <v>1320</v>
      </c>
      <c r="F2843" s="75" t="s">
        <v>10</v>
      </c>
      <c r="H2843" s="75" t="s">
        <v>10</v>
      </c>
      <c r="I2843" s="75">
        <v>19489</v>
      </c>
      <c r="K2843" s="75" t="str">
        <f>IFERROR(VLOOKUP(J2843,'NQ10'!$B$9:$C$145,2,0),"")</f>
        <v/>
      </c>
    </row>
    <row r="2844" spans="1:11" ht="15" customHeight="1" x14ac:dyDescent="0.25">
      <c r="A2844" s="75">
        <v>18</v>
      </c>
      <c r="B2844" s="75">
        <v>151</v>
      </c>
      <c r="C2844" s="75" t="s">
        <v>10</v>
      </c>
      <c r="D2844" s="75">
        <v>2238</v>
      </c>
      <c r="F2844" s="75" t="s">
        <v>10</v>
      </c>
      <c r="H2844" s="75" t="s">
        <v>10</v>
      </c>
      <c r="I2844" s="75">
        <v>19489</v>
      </c>
      <c r="K2844" s="75" t="str">
        <f>IFERROR(VLOOKUP(J2844,'NQ10'!$B$9:$C$145,2,0),"")</f>
        <v/>
      </c>
    </row>
    <row r="2845" spans="1:11" ht="15" customHeight="1" x14ac:dyDescent="0.25">
      <c r="A2845" s="75">
        <v>18</v>
      </c>
      <c r="B2845" s="75">
        <v>153</v>
      </c>
      <c r="C2845" s="75" t="s">
        <v>10</v>
      </c>
      <c r="D2845" s="75">
        <v>903</v>
      </c>
      <c r="F2845" s="75" t="s">
        <v>10</v>
      </c>
      <c r="H2845" s="75" t="s">
        <v>10</v>
      </c>
      <c r="I2845" s="75">
        <v>19489</v>
      </c>
      <c r="K2845" s="75" t="str">
        <f>IFERROR(VLOOKUP(J2845,'NQ10'!$B$9:$C$145,2,0),"")</f>
        <v/>
      </c>
    </row>
    <row r="2846" spans="1:11" ht="15" customHeight="1" x14ac:dyDescent="0.25">
      <c r="A2846" s="75">
        <v>18</v>
      </c>
      <c r="B2846" s="75">
        <v>154</v>
      </c>
      <c r="C2846" s="75" t="s">
        <v>10</v>
      </c>
      <c r="D2846" s="75">
        <v>289</v>
      </c>
      <c r="F2846" s="75" t="s">
        <v>10</v>
      </c>
      <c r="H2846" s="75" t="s">
        <v>10</v>
      </c>
      <c r="I2846" s="75">
        <v>19489</v>
      </c>
      <c r="K2846" s="75" t="str">
        <f>IFERROR(VLOOKUP(J2846,'NQ10'!$B$9:$C$145,2,0),"")</f>
        <v/>
      </c>
    </row>
    <row r="2847" spans="1:11" ht="15" customHeight="1" x14ac:dyDescent="0.25">
      <c r="A2847" s="75">
        <v>18</v>
      </c>
      <c r="B2847" s="75">
        <v>155</v>
      </c>
      <c r="C2847" s="75" t="s">
        <v>10</v>
      </c>
      <c r="D2847" s="75">
        <v>3381</v>
      </c>
      <c r="F2847" s="75" t="s">
        <v>10</v>
      </c>
      <c r="H2847" s="75" t="s">
        <v>10</v>
      </c>
      <c r="I2847" s="75">
        <v>19489</v>
      </c>
      <c r="K2847" s="75" t="str">
        <f>IFERROR(VLOOKUP(J2847,'NQ10'!$B$9:$C$145,2,0),"")</f>
        <v/>
      </c>
    </row>
    <row r="2848" spans="1:11" ht="15" customHeight="1" x14ac:dyDescent="0.25">
      <c r="A2848" s="75">
        <v>18</v>
      </c>
      <c r="B2848" s="75">
        <v>156</v>
      </c>
      <c r="C2848" s="75" t="s">
        <v>10</v>
      </c>
      <c r="D2848" s="75">
        <v>1421</v>
      </c>
      <c r="F2848" s="75" t="s">
        <v>10</v>
      </c>
      <c r="H2848" s="75" t="s">
        <v>10</v>
      </c>
      <c r="I2848" s="75">
        <v>19489</v>
      </c>
      <c r="K2848" s="75" t="str">
        <f>IFERROR(VLOOKUP(J2848,'NQ10'!$B$9:$C$145,2,0),"")</f>
        <v/>
      </c>
    </row>
    <row r="2849" spans="1:11" ht="15" customHeight="1" x14ac:dyDescent="0.25">
      <c r="A2849" s="75">
        <v>18</v>
      </c>
      <c r="B2849" s="75">
        <v>157</v>
      </c>
      <c r="C2849" s="75" t="s">
        <v>10</v>
      </c>
      <c r="D2849" s="75">
        <v>5617</v>
      </c>
      <c r="F2849" s="75" t="s">
        <v>10</v>
      </c>
      <c r="H2849" s="75" t="s">
        <v>10</v>
      </c>
      <c r="I2849" s="75">
        <v>19489</v>
      </c>
      <c r="K2849" s="75" t="str">
        <f>IFERROR(VLOOKUP(J2849,'NQ10'!$B$9:$C$145,2,0),"")</f>
        <v/>
      </c>
    </row>
    <row r="2850" spans="1:11" ht="15" customHeight="1" x14ac:dyDescent="0.25">
      <c r="A2850" s="75">
        <v>18</v>
      </c>
      <c r="B2850" s="75">
        <v>158</v>
      </c>
      <c r="C2850" s="75" t="s">
        <v>10</v>
      </c>
      <c r="D2850" s="75">
        <v>1551</v>
      </c>
      <c r="F2850" s="75" t="s">
        <v>10</v>
      </c>
      <c r="H2850" s="75" t="s">
        <v>10</v>
      </c>
      <c r="I2850" s="75">
        <v>19489</v>
      </c>
      <c r="K2850" s="75" t="str">
        <f>IFERROR(VLOOKUP(J2850,'NQ10'!$B$9:$C$145,2,0),"")</f>
        <v/>
      </c>
    </row>
    <row r="2851" spans="1:11" ht="15" customHeight="1" x14ac:dyDescent="0.25">
      <c r="A2851" s="75">
        <v>18</v>
      </c>
      <c r="B2851" s="75">
        <v>159</v>
      </c>
      <c r="C2851" s="75" t="s">
        <v>10</v>
      </c>
      <c r="D2851" s="75">
        <v>1548</v>
      </c>
      <c r="F2851" s="75" t="s">
        <v>10</v>
      </c>
      <c r="H2851" s="75" t="s">
        <v>10</v>
      </c>
      <c r="I2851" s="75">
        <v>19489</v>
      </c>
      <c r="K2851" s="75" t="str">
        <f>IFERROR(VLOOKUP(J2851,'NQ10'!$B$9:$C$145,2,0),"")</f>
        <v/>
      </c>
    </row>
    <row r="2852" spans="1:11" ht="15" customHeight="1" x14ac:dyDescent="0.25">
      <c r="A2852" s="75">
        <v>18</v>
      </c>
      <c r="B2852" s="75">
        <v>161</v>
      </c>
      <c r="C2852" s="75" t="s">
        <v>10</v>
      </c>
      <c r="D2852" s="75">
        <v>3834</v>
      </c>
      <c r="F2852" s="75" t="s">
        <v>10</v>
      </c>
      <c r="H2852" s="75" t="s">
        <v>10</v>
      </c>
      <c r="I2852" s="75">
        <v>19489</v>
      </c>
      <c r="K2852" s="75" t="str">
        <f>IFERROR(VLOOKUP(J2852,'NQ10'!$B$9:$C$145,2,0),"")</f>
        <v/>
      </c>
    </row>
    <row r="2853" spans="1:11" ht="15" customHeight="1" x14ac:dyDescent="0.25">
      <c r="A2853" s="75">
        <v>18</v>
      </c>
      <c r="B2853" s="75">
        <v>163</v>
      </c>
      <c r="C2853" s="75" t="s">
        <v>10</v>
      </c>
      <c r="D2853" s="75">
        <v>7442</v>
      </c>
      <c r="F2853" s="75" t="s">
        <v>10</v>
      </c>
      <c r="H2853" s="75" t="s">
        <v>10</v>
      </c>
      <c r="I2853" s="75">
        <v>19489</v>
      </c>
      <c r="K2853" s="75" t="str">
        <f>IFERROR(VLOOKUP(J2853,'NQ10'!$B$9:$C$145,2,0),"")</f>
        <v/>
      </c>
    </row>
    <row r="2854" spans="1:11" ht="15" customHeight="1" x14ac:dyDescent="0.25">
      <c r="A2854" s="75">
        <v>18</v>
      </c>
      <c r="B2854" s="75">
        <v>164</v>
      </c>
      <c r="C2854" s="75" t="s">
        <v>10</v>
      </c>
      <c r="D2854" s="75">
        <v>2284</v>
      </c>
      <c r="F2854" s="75" t="s">
        <v>10</v>
      </c>
      <c r="H2854" s="75" t="s">
        <v>10</v>
      </c>
      <c r="I2854" s="75">
        <v>19489</v>
      </c>
      <c r="K2854" s="75" t="str">
        <f>IFERROR(VLOOKUP(J2854,'NQ10'!$B$9:$C$145,2,0),"")</f>
        <v/>
      </c>
    </row>
    <row r="2855" spans="1:11" ht="15" customHeight="1" x14ac:dyDescent="0.25">
      <c r="A2855" s="75">
        <v>18</v>
      </c>
      <c r="B2855" s="75">
        <v>165</v>
      </c>
      <c r="C2855" s="75" t="s">
        <v>10</v>
      </c>
      <c r="D2855" s="75">
        <v>664</v>
      </c>
      <c r="F2855" s="75" t="s">
        <v>10</v>
      </c>
      <c r="H2855" s="75" t="s">
        <v>10</v>
      </c>
      <c r="I2855" s="75">
        <v>19489</v>
      </c>
      <c r="K2855" s="75" t="str">
        <f>IFERROR(VLOOKUP(J2855,'NQ10'!$B$9:$C$145,2,0),"")</f>
        <v/>
      </c>
    </row>
    <row r="2856" spans="1:11" ht="15" customHeight="1" x14ac:dyDescent="0.25">
      <c r="A2856" s="75">
        <v>18</v>
      </c>
      <c r="B2856" s="75">
        <v>166</v>
      </c>
      <c r="C2856" s="75" t="s">
        <v>10</v>
      </c>
      <c r="D2856" s="75">
        <v>6523</v>
      </c>
      <c r="F2856" s="75" t="s">
        <v>10</v>
      </c>
      <c r="H2856" s="75" t="s">
        <v>10</v>
      </c>
      <c r="I2856" s="75">
        <v>19489</v>
      </c>
      <c r="K2856" s="75" t="str">
        <f>IFERROR(VLOOKUP(J2856,'NQ10'!$B$9:$C$145,2,0),"")</f>
        <v/>
      </c>
    </row>
    <row r="2857" spans="1:11" ht="15" customHeight="1" x14ac:dyDescent="0.25">
      <c r="A2857" s="75">
        <v>18</v>
      </c>
      <c r="B2857" s="75">
        <v>167</v>
      </c>
      <c r="C2857" s="75" t="s">
        <v>10</v>
      </c>
      <c r="D2857" s="75">
        <v>4180</v>
      </c>
      <c r="F2857" s="75" t="s">
        <v>10</v>
      </c>
      <c r="H2857" s="75" t="s">
        <v>10</v>
      </c>
      <c r="I2857" s="75">
        <v>19489</v>
      </c>
      <c r="K2857" s="75" t="str">
        <f>IFERROR(VLOOKUP(J2857,'NQ10'!$B$9:$C$145,2,0),"")</f>
        <v/>
      </c>
    </row>
    <row r="2858" spans="1:11" ht="15" customHeight="1" x14ac:dyDescent="0.25">
      <c r="A2858" s="75">
        <v>18</v>
      </c>
      <c r="B2858" s="75">
        <v>170</v>
      </c>
      <c r="C2858" s="75" t="s">
        <v>10</v>
      </c>
      <c r="D2858" s="75">
        <v>5614</v>
      </c>
      <c r="F2858" s="75" t="s">
        <v>10</v>
      </c>
      <c r="H2858" s="75" t="s">
        <v>10</v>
      </c>
      <c r="I2858" s="75">
        <v>19489</v>
      </c>
      <c r="K2858" s="75" t="str">
        <f>IFERROR(VLOOKUP(J2858,'NQ10'!$B$9:$C$145,2,0),"")</f>
        <v/>
      </c>
    </row>
    <row r="2859" spans="1:11" ht="15" customHeight="1" x14ac:dyDescent="0.25">
      <c r="A2859" s="75">
        <v>18</v>
      </c>
      <c r="B2859" s="75">
        <v>171</v>
      </c>
      <c r="C2859" s="75" t="s">
        <v>10</v>
      </c>
      <c r="D2859" s="75">
        <v>1661</v>
      </c>
      <c r="F2859" s="75" t="s">
        <v>10</v>
      </c>
      <c r="H2859" s="75" t="s">
        <v>10</v>
      </c>
      <c r="I2859" s="75">
        <v>19489</v>
      </c>
      <c r="K2859" s="75" t="str">
        <f>IFERROR(VLOOKUP(J2859,'NQ10'!$B$9:$C$145,2,0),"")</f>
        <v/>
      </c>
    </row>
    <row r="2860" spans="1:11" ht="15" customHeight="1" x14ac:dyDescent="0.25">
      <c r="A2860" s="75">
        <v>18</v>
      </c>
      <c r="B2860" s="75">
        <v>173</v>
      </c>
      <c r="C2860" s="75" t="s">
        <v>10</v>
      </c>
      <c r="D2860" s="75">
        <v>16314</v>
      </c>
      <c r="F2860" s="75" t="s">
        <v>10</v>
      </c>
      <c r="H2860" s="75" t="s">
        <v>10</v>
      </c>
      <c r="I2860" s="75">
        <v>19489</v>
      </c>
      <c r="K2860" s="75" t="str">
        <f>IFERROR(VLOOKUP(J2860,'NQ10'!$B$9:$C$145,2,0),"")</f>
        <v/>
      </c>
    </row>
    <row r="2861" spans="1:11" ht="15" customHeight="1" x14ac:dyDescent="0.25">
      <c r="A2861" s="75">
        <v>18</v>
      </c>
      <c r="B2861" s="75">
        <v>174</v>
      </c>
      <c r="C2861" s="75" t="s">
        <v>10</v>
      </c>
      <c r="D2861" s="75">
        <v>5936</v>
      </c>
      <c r="F2861" s="75" t="s">
        <v>10</v>
      </c>
      <c r="H2861" s="75" t="s">
        <v>10</v>
      </c>
      <c r="I2861" s="75">
        <v>19489</v>
      </c>
      <c r="K2861" s="75" t="str">
        <f>IFERROR(VLOOKUP(J2861,'NQ10'!$B$9:$C$145,2,0),"")</f>
        <v/>
      </c>
    </row>
    <row r="2862" spans="1:11" ht="15" customHeight="1" x14ac:dyDescent="0.25">
      <c r="A2862" s="75">
        <v>18</v>
      </c>
      <c r="B2862" s="75">
        <v>175</v>
      </c>
      <c r="C2862" s="75" t="s">
        <v>10</v>
      </c>
      <c r="D2862" s="75">
        <v>21006</v>
      </c>
      <c r="F2862" s="75" t="s">
        <v>10</v>
      </c>
      <c r="H2862" s="75" t="s">
        <v>10</v>
      </c>
      <c r="I2862" s="75">
        <v>19489</v>
      </c>
      <c r="K2862" s="75" t="str">
        <f>IFERROR(VLOOKUP(J2862,'NQ10'!$B$9:$C$145,2,0),"")</f>
        <v/>
      </c>
    </row>
    <row r="2863" spans="1:11" ht="15" customHeight="1" x14ac:dyDescent="0.25">
      <c r="A2863" s="75">
        <v>18</v>
      </c>
      <c r="B2863" s="75">
        <v>176</v>
      </c>
      <c r="C2863" s="75" t="s">
        <v>10</v>
      </c>
      <c r="D2863" s="75">
        <v>1697</v>
      </c>
      <c r="F2863" s="75" t="s">
        <v>10</v>
      </c>
      <c r="H2863" s="75" t="s">
        <v>10</v>
      </c>
      <c r="I2863" s="75">
        <v>19489</v>
      </c>
      <c r="K2863" s="75" t="str">
        <f>IFERROR(VLOOKUP(J2863,'NQ10'!$B$9:$C$145,2,0),"")</f>
        <v/>
      </c>
    </row>
    <row r="2864" spans="1:11" ht="15" customHeight="1" x14ac:dyDescent="0.25">
      <c r="A2864" s="75">
        <v>18</v>
      </c>
      <c r="B2864" s="75">
        <v>177</v>
      </c>
      <c r="C2864" s="75" t="s">
        <v>10</v>
      </c>
      <c r="D2864" s="75">
        <v>9628</v>
      </c>
      <c r="F2864" s="75" t="s">
        <v>10</v>
      </c>
      <c r="H2864" s="75" t="s">
        <v>10</v>
      </c>
      <c r="I2864" s="75">
        <v>19489</v>
      </c>
      <c r="K2864" s="75" t="str">
        <f>IFERROR(VLOOKUP(J2864,'NQ10'!$B$9:$C$145,2,0),"")</f>
        <v/>
      </c>
    </row>
    <row r="2865" spans="1:11" ht="15" customHeight="1" x14ac:dyDescent="0.25">
      <c r="A2865" s="75">
        <v>18</v>
      </c>
      <c r="B2865" s="75">
        <v>178</v>
      </c>
      <c r="C2865" s="75" t="s">
        <v>10</v>
      </c>
      <c r="D2865" s="75">
        <v>16992</v>
      </c>
      <c r="F2865" s="75" t="s">
        <v>10</v>
      </c>
      <c r="H2865" s="75" t="s">
        <v>10</v>
      </c>
      <c r="I2865" s="75">
        <v>19489</v>
      </c>
      <c r="K2865" s="75" t="str">
        <f>IFERROR(VLOOKUP(J2865,'NQ10'!$B$9:$C$145,2,0),"")</f>
        <v/>
      </c>
    </row>
    <row r="2866" spans="1:11" ht="15" customHeight="1" x14ac:dyDescent="0.25">
      <c r="A2866" s="75">
        <v>18</v>
      </c>
      <c r="B2866" s="75">
        <v>179</v>
      </c>
      <c r="C2866" s="75" t="s">
        <v>10</v>
      </c>
      <c r="D2866" s="75">
        <v>4345</v>
      </c>
      <c r="F2866" s="75" t="s">
        <v>10</v>
      </c>
      <c r="H2866" s="75" t="s">
        <v>10</v>
      </c>
      <c r="I2866" s="75">
        <v>19489</v>
      </c>
      <c r="K2866" s="75" t="str">
        <f>IFERROR(VLOOKUP(J2866,'NQ10'!$B$9:$C$145,2,0),"")</f>
        <v/>
      </c>
    </row>
    <row r="2867" spans="1:11" ht="15" customHeight="1" x14ac:dyDescent="0.25">
      <c r="A2867" s="75">
        <v>18</v>
      </c>
      <c r="B2867" s="75">
        <v>180</v>
      </c>
      <c r="C2867" s="75" t="s">
        <v>10</v>
      </c>
      <c r="D2867" s="75">
        <v>11674</v>
      </c>
      <c r="F2867" s="75" t="s">
        <v>10</v>
      </c>
      <c r="H2867" s="75" t="s">
        <v>10</v>
      </c>
      <c r="I2867" s="75">
        <v>19489</v>
      </c>
      <c r="K2867" s="75" t="str">
        <f>IFERROR(VLOOKUP(J2867,'NQ10'!$B$9:$C$145,2,0),"")</f>
        <v/>
      </c>
    </row>
    <row r="2868" spans="1:11" ht="15" customHeight="1" x14ac:dyDescent="0.25">
      <c r="A2868" s="75">
        <v>18</v>
      </c>
      <c r="B2868" s="75">
        <v>181</v>
      </c>
      <c r="C2868" s="75" t="s">
        <v>10</v>
      </c>
      <c r="D2868" s="75">
        <v>8854</v>
      </c>
      <c r="F2868" s="75" t="s">
        <v>10</v>
      </c>
      <c r="H2868" s="75" t="s">
        <v>10</v>
      </c>
      <c r="I2868" s="75">
        <v>19489</v>
      </c>
      <c r="K2868" s="75" t="str">
        <f>IFERROR(VLOOKUP(J2868,'NQ10'!$B$9:$C$145,2,0),"")</f>
        <v/>
      </c>
    </row>
    <row r="2869" spans="1:11" ht="15" customHeight="1" x14ac:dyDescent="0.25">
      <c r="A2869" s="75">
        <v>18</v>
      </c>
      <c r="B2869" s="75">
        <v>182</v>
      </c>
      <c r="C2869" s="75" t="s">
        <v>10</v>
      </c>
      <c r="D2869" s="75">
        <v>4513</v>
      </c>
      <c r="F2869" s="75" t="s">
        <v>10</v>
      </c>
      <c r="H2869" s="75" t="s">
        <v>10</v>
      </c>
      <c r="I2869" s="75">
        <v>19489</v>
      </c>
      <c r="K2869" s="75" t="str">
        <f>IFERROR(VLOOKUP(J2869,'NQ10'!$B$9:$C$145,2,0),"")</f>
        <v/>
      </c>
    </row>
    <row r="2870" spans="1:11" ht="15" customHeight="1" x14ac:dyDescent="0.25">
      <c r="A2870" s="75">
        <v>18</v>
      </c>
      <c r="B2870" s="75">
        <v>183</v>
      </c>
      <c r="C2870" s="75" t="s">
        <v>10</v>
      </c>
      <c r="D2870" s="75">
        <v>2666</v>
      </c>
      <c r="F2870" s="75" t="s">
        <v>10</v>
      </c>
      <c r="H2870" s="75" t="s">
        <v>10</v>
      </c>
      <c r="I2870" s="75">
        <v>19489</v>
      </c>
      <c r="K2870" s="75" t="str">
        <f>IFERROR(VLOOKUP(J2870,'NQ10'!$B$9:$C$145,2,0),"")</f>
        <v/>
      </c>
    </row>
    <row r="2871" spans="1:11" ht="15" customHeight="1" x14ac:dyDescent="0.25">
      <c r="A2871" s="75">
        <v>18</v>
      </c>
      <c r="B2871" s="75">
        <v>184</v>
      </c>
      <c r="C2871" s="75" t="s">
        <v>10</v>
      </c>
      <c r="D2871" s="75">
        <v>8805</v>
      </c>
      <c r="F2871" s="75" t="s">
        <v>10</v>
      </c>
      <c r="H2871" s="75" t="s">
        <v>10</v>
      </c>
      <c r="I2871" s="75">
        <v>19489</v>
      </c>
      <c r="K2871" s="75" t="str">
        <f>IFERROR(VLOOKUP(J2871,'NQ10'!$B$9:$C$145,2,0),"")</f>
        <v/>
      </c>
    </row>
    <row r="2872" spans="1:11" ht="15" customHeight="1" x14ac:dyDescent="0.25">
      <c r="A2872" s="75">
        <v>18</v>
      </c>
      <c r="B2872" s="75">
        <v>185</v>
      </c>
      <c r="C2872" s="75" t="s">
        <v>10</v>
      </c>
      <c r="D2872" s="75">
        <v>3059</v>
      </c>
      <c r="F2872" s="75" t="s">
        <v>10</v>
      </c>
      <c r="H2872" s="75" t="s">
        <v>10</v>
      </c>
      <c r="I2872" s="75">
        <v>19489</v>
      </c>
      <c r="K2872" s="75" t="str">
        <f>IFERROR(VLOOKUP(J2872,'NQ10'!$B$9:$C$145,2,0),"")</f>
        <v/>
      </c>
    </row>
    <row r="2873" spans="1:11" ht="15" customHeight="1" x14ac:dyDescent="0.25">
      <c r="A2873" s="75">
        <v>18</v>
      </c>
      <c r="B2873" s="75">
        <v>186</v>
      </c>
      <c r="C2873" s="75" t="s">
        <v>10</v>
      </c>
      <c r="D2873" s="75">
        <v>15889</v>
      </c>
      <c r="F2873" s="75" t="s">
        <v>10</v>
      </c>
      <c r="H2873" s="75" t="s">
        <v>10</v>
      </c>
      <c r="I2873" s="75">
        <v>19489</v>
      </c>
      <c r="K2873" s="75" t="str">
        <f>IFERROR(VLOOKUP(J2873,'NQ10'!$B$9:$C$145,2,0),"")</f>
        <v/>
      </c>
    </row>
    <row r="2874" spans="1:11" ht="15" customHeight="1" x14ac:dyDescent="0.25">
      <c r="A2874" s="75">
        <v>18</v>
      </c>
      <c r="B2874" s="75">
        <v>187</v>
      </c>
      <c r="C2874" s="75" t="s">
        <v>10</v>
      </c>
      <c r="D2874" s="75">
        <v>5816</v>
      </c>
      <c r="F2874" s="75" t="s">
        <v>10</v>
      </c>
      <c r="H2874" s="75" t="s">
        <v>10</v>
      </c>
      <c r="I2874" s="75">
        <v>19489</v>
      </c>
      <c r="K2874" s="75" t="str">
        <f>IFERROR(VLOOKUP(J2874,'NQ10'!$B$9:$C$145,2,0),"")</f>
        <v/>
      </c>
    </row>
    <row r="2875" spans="1:11" ht="15" customHeight="1" x14ac:dyDescent="0.25">
      <c r="A2875" s="75">
        <v>18</v>
      </c>
      <c r="B2875" s="75">
        <v>188</v>
      </c>
      <c r="C2875" s="75" t="s">
        <v>10</v>
      </c>
      <c r="D2875" s="75">
        <v>15231</v>
      </c>
      <c r="F2875" s="75" t="s">
        <v>10</v>
      </c>
      <c r="H2875" s="75" t="s">
        <v>10</v>
      </c>
      <c r="I2875" s="75">
        <v>19489</v>
      </c>
      <c r="K2875" s="75" t="str">
        <f>IFERROR(VLOOKUP(J2875,'NQ10'!$B$9:$C$145,2,0),"")</f>
        <v/>
      </c>
    </row>
    <row r="2876" spans="1:11" ht="15" customHeight="1" x14ac:dyDescent="0.25">
      <c r="A2876" s="75">
        <v>18</v>
      </c>
      <c r="B2876" s="75">
        <v>189</v>
      </c>
      <c r="C2876" s="75" t="s">
        <v>10</v>
      </c>
      <c r="D2876" s="75">
        <v>873</v>
      </c>
      <c r="F2876" s="75" t="s">
        <v>10</v>
      </c>
      <c r="H2876" s="75" t="s">
        <v>10</v>
      </c>
      <c r="I2876" s="75">
        <v>19489</v>
      </c>
      <c r="K2876" s="75" t="str">
        <f>IFERROR(VLOOKUP(J2876,'NQ10'!$B$9:$C$145,2,0),"")</f>
        <v/>
      </c>
    </row>
    <row r="2877" spans="1:11" ht="15" customHeight="1" x14ac:dyDescent="0.25">
      <c r="A2877" s="75">
        <v>18</v>
      </c>
      <c r="B2877" s="75">
        <v>190</v>
      </c>
      <c r="C2877" s="75" t="s">
        <v>10</v>
      </c>
      <c r="D2877" s="75">
        <v>251</v>
      </c>
      <c r="F2877" s="75" t="s">
        <v>10</v>
      </c>
      <c r="H2877" s="75" t="s">
        <v>10</v>
      </c>
      <c r="I2877" s="75">
        <v>19489</v>
      </c>
      <c r="K2877" s="75" t="str">
        <f>IFERROR(VLOOKUP(J2877,'NQ10'!$B$9:$C$145,2,0),"")</f>
        <v/>
      </c>
    </row>
    <row r="2878" spans="1:11" ht="15" customHeight="1" x14ac:dyDescent="0.25">
      <c r="A2878" s="75">
        <v>18</v>
      </c>
      <c r="B2878" s="75">
        <v>192</v>
      </c>
      <c r="C2878" s="75" t="s">
        <v>10</v>
      </c>
      <c r="D2878" s="75">
        <v>3490</v>
      </c>
      <c r="F2878" s="75" t="s">
        <v>10</v>
      </c>
      <c r="H2878" s="75" t="s">
        <v>10</v>
      </c>
      <c r="I2878" s="75">
        <v>19489</v>
      </c>
      <c r="K2878" s="75" t="str">
        <f>IFERROR(VLOOKUP(J2878,'NQ10'!$B$9:$C$145,2,0),"")</f>
        <v/>
      </c>
    </row>
    <row r="2879" spans="1:11" ht="15" customHeight="1" x14ac:dyDescent="0.25">
      <c r="A2879" s="75">
        <v>18</v>
      </c>
      <c r="B2879" s="75">
        <v>194</v>
      </c>
      <c r="C2879" s="75" t="s">
        <v>10</v>
      </c>
      <c r="D2879" s="75">
        <v>892</v>
      </c>
      <c r="F2879" s="75" t="s">
        <v>10</v>
      </c>
      <c r="H2879" s="75" t="s">
        <v>10</v>
      </c>
      <c r="I2879" s="75">
        <v>19489</v>
      </c>
      <c r="K2879" s="75" t="str">
        <f>IFERROR(VLOOKUP(J2879,'NQ10'!$B$9:$C$145,2,0),"")</f>
        <v/>
      </c>
    </row>
    <row r="2880" spans="1:11" ht="15" customHeight="1" x14ac:dyDescent="0.25">
      <c r="A2880" s="75">
        <v>18</v>
      </c>
      <c r="B2880" s="75">
        <v>195</v>
      </c>
      <c r="C2880" s="75" t="s">
        <v>10</v>
      </c>
      <c r="D2880" s="75">
        <v>355</v>
      </c>
      <c r="F2880" s="75" t="s">
        <v>10</v>
      </c>
      <c r="H2880" s="75" t="s">
        <v>10</v>
      </c>
      <c r="I2880" s="75">
        <v>19489</v>
      </c>
      <c r="K2880" s="75" t="str">
        <f>IFERROR(VLOOKUP(J2880,'NQ10'!$B$9:$C$145,2,0),"")</f>
        <v/>
      </c>
    </row>
    <row r="2881" spans="1:11" ht="15" customHeight="1" x14ac:dyDescent="0.25">
      <c r="A2881" s="75">
        <v>19</v>
      </c>
      <c r="B2881" s="75">
        <v>1</v>
      </c>
      <c r="C2881" s="75" t="s">
        <v>10</v>
      </c>
      <c r="D2881" s="75">
        <v>25248</v>
      </c>
      <c r="F2881" s="75" t="s">
        <v>10</v>
      </c>
      <c r="H2881" s="75" t="s">
        <v>10</v>
      </c>
      <c r="I2881" s="75">
        <v>19489</v>
      </c>
      <c r="K2881" s="75" t="str">
        <f>IFERROR(VLOOKUP(J2881,'NQ10'!$B$9:$C$145,2,0),"")</f>
        <v/>
      </c>
    </row>
    <row r="2882" spans="1:11" ht="15" customHeight="1" x14ac:dyDescent="0.25">
      <c r="A2882" s="75">
        <v>19</v>
      </c>
      <c r="B2882" s="75">
        <v>2</v>
      </c>
      <c r="C2882" s="75" t="s">
        <v>10</v>
      </c>
      <c r="D2882" s="75">
        <v>3903</v>
      </c>
      <c r="F2882" s="75" t="s">
        <v>10</v>
      </c>
      <c r="H2882" s="75" t="s">
        <v>10</v>
      </c>
      <c r="I2882" s="75">
        <v>19489</v>
      </c>
      <c r="K2882" s="75" t="str">
        <f>IFERROR(VLOOKUP(J2882,'NQ10'!$B$9:$C$145,2,0),"")</f>
        <v/>
      </c>
    </row>
    <row r="2883" spans="1:11" ht="15" customHeight="1" x14ac:dyDescent="0.25">
      <c r="A2883" s="75">
        <v>19</v>
      </c>
      <c r="B2883" s="75">
        <v>3</v>
      </c>
      <c r="C2883" s="75" t="s">
        <v>10</v>
      </c>
      <c r="D2883" s="75">
        <v>17077</v>
      </c>
      <c r="F2883" s="75" t="s">
        <v>10</v>
      </c>
      <c r="H2883" s="75" t="s">
        <v>10</v>
      </c>
      <c r="I2883" s="75">
        <v>19489</v>
      </c>
      <c r="K2883" s="75" t="str">
        <f>IFERROR(VLOOKUP(J2883,'NQ10'!$B$9:$C$145,2,0),"")</f>
        <v/>
      </c>
    </row>
    <row r="2884" spans="1:11" ht="15" customHeight="1" x14ac:dyDescent="0.25">
      <c r="A2884" s="75">
        <v>19</v>
      </c>
      <c r="B2884" s="75">
        <v>4</v>
      </c>
      <c r="C2884" s="75" t="s">
        <v>10</v>
      </c>
      <c r="D2884" s="75">
        <v>9328</v>
      </c>
      <c r="F2884" s="75" t="s">
        <v>10</v>
      </c>
      <c r="H2884" s="75" t="s">
        <v>10</v>
      </c>
      <c r="I2884" s="75">
        <v>19489</v>
      </c>
      <c r="K2884" s="75" t="str">
        <f>IFERROR(VLOOKUP(J2884,'NQ10'!$B$9:$C$145,2,0),"")</f>
        <v/>
      </c>
    </row>
    <row r="2885" spans="1:11" ht="15" customHeight="1" x14ac:dyDescent="0.25">
      <c r="A2885" s="75">
        <v>19</v>
      </c>
      <c r="B2885" s="75">
        <v>5</v>
      </c>
      <c r="C2885" s="75" t="s">
        <v>10</v>
      </c>
      <c r="D2885" s="75">
        <v>14514</v>
      </c>
      <c r="F2885" s="75" t="s">
        <v>10</v>
      </c>
      <c r="H2885" s="75" t="s">
        <v>10</v>
      </c>
      <c r="I2885" s="75">
        <v>19489</v>
      </c>
      <c r="K2885" s="75" t="str">
        <f>IFERROR(VLOOKUP(J2885,'NQ10'!$B$9:$C$145,2,0),"")</f>
        <v/>
      </c>
    </row>
    <row r="2886" spans="1:11" ht="15" customHeight="1" x14ac:dyDescent="0.25">
      <c r="A2886" s="75">
        <v>19</v>
      </c>
      <c r="B2886" s="75">
        <v>6</v>
      </c>
      <c r="C2886" s="75" t="s">
        <v>10</v>
      </c>
      <c r="D2886" s="75">
        <v>32876</v>
      </c>
      <c r="F2886" s="75" t="s">
        <v>10</v>
      </c>
      <c r="H2886" s="75" t="s">
        <v>10</v>
      </c>
      <c r="I2886" s="75">
        <v>19489</v>
      </c>
      <c r="K2886" s="75" t="str">
        <f>IFERROR(VLOOKUP(J2886,'NQ10'!$B$9:$C$145,2,0),"")</f>
        <v/>
      </c>
    </row>
    <row r="2887" spans="1:11" ht="15" customHeight="1" x14ac:dyDescent="0.25">
      <c r="A2887" s="75">
        <v>19</v>
      </c>
      <c r="B2887" s="75">
        <v>7</v>
      </c>
      <c r="C2887" s="75" t="s">
        <v>10</v>
      </c>
      <c r="D2887" s="75">
        <v>27130</v>
      </c>
      <c r="F2887" s="75" t="s">
        <v>10</v>
      </c>
      <c r="H2887" s="75" t="s">
        <v>10</v>
      </c>
      <c r="I2887" s="75">
        <v>19489</v>
      </c>
      <c r="K2887" s="75" t="str">
        <f>IFERROR(VLOOKUP(J2887,'NQ10'!$B$9:$C$145,2,0),"")</f>
        <v/>
      </c>
    </row>
    <row r="2888" spans="1:11" ht="15" customHeight="1" x14ac:dyDescent="0.25">
      <c r="A2888" s="75">
        <v>19</v>
      </c>
      <c r="B2888" s="75">
        <v>11</v>
      </c>
      <c r="C2888" s="75" t="s">
        <v>10</v>
      </c>
      <c r="D2888" s="75">
        <v>15624</v>
      </c>
      <c r="F2888" s="75" t="s">
        <v>10</v>
      </c>
      <c r="H2888" s="75" t="s">
        <v>10</v>
      </c>
      <c r="I2888" s="75">
        <v>19489</v>
      </c>
      <c r="K2888" s="75" t="str">
        <f>IFERROR(VLOOKUP(J2888,'NQ10'!$B$9:$C$145,2,0),"")</f>
        <v/>
      </c>
    </row>
    <row r="2889" spans="1:11" ht="15" customHeight="1" x14ac:dyDescent="0.25">
      <c r="A2889" s="75">
        <v>19</v>
      </c>
      <c r="B2889" s="75">
        <v>12</v>
      </c>
      <c r="C2889" s="75" t="s">
        <v>10</v>
      </c>
      <c r="D2889" s="75">
        <v>24716</v>
      </c>
      <c r="F2889" s="75" t="s">
        <v>10</v>
      </c>
      <c r="H2889" s="75" t="s">
        <v>10</v>
      </c>
      <c r="I2889" s="75">
        <v>19489</v>
      </c>
      <c r="K2889" s="75" t="str">
        <f>IFERROR(VLOOKUP(J2889,'NQ10'!$B$9:$C$145,2,0),"")</f>
        <v/>
      </c>
    </row>
    <row r="2890" spans="1:11" ht="15" customHeight="1" x14ac:dyDescent="0.25">
      <c r="A2890" s="75">
        <v>19</v>
      </c>
      <c r="B2890" s="75">
        <v>13</v>
      </c>
      <c r="C2890" s="75" t="s">
        <v>10</v>
      </c>
      <c r="D2890" s="75">
        <v>14680</v>
      </c>
      <c r="F2890" s="75" t="s">
        <v>10</v>
      </c>
      <c r="H2890" s="75" t="s">
        <v>10</v>
      </c>
      <c r="I2890" s="75">
        <v>19489</v>
      </c>
      <c r="K2890" s="75" t="str">
        <f>IFERROR(VLOOKUP(J2890,'NQ10'!$B$9:$C$145,2,0),"")</f>
        <v/>
      </c>
    </row>
    <row r="2891" spans="1:11" ht="15" customHeight="1" x14ac:dyDescent="0.25">
      <c r="A2891" s="75">
        <v>19</v>
      </c>
      <c r="B2891" s="75">
        <v>14</v>
      </c>
      <c r="C2891" s="75" t="s">
        <v>10</v>
      </c>
      <c r="D2891" s="75">
        <v>6897</v>
      </c>
      <c r="F2891" s="75" t="s">
        <v>10</v>
      </c>
      <c r="H2891" s="75" t="s">
        <v>10</v>
      </c>
      <c r="I2891" s="75">
        <v>19489</v>
      </c>
      <c r="K2891" s="75" t="str">
        <f>IFERROR(VLOOKUP(J2891,'NQ10'!$B$9:$C$145,2,0),"")</f>
        <v/>
      </c>
    </row>
    <row r="2892" spans="1:11" ht="15" customHeight="1" x14ac:dyDescent="0.25">
      <c r="A2892" s="75">
        <v>19</v>
      </c>
      <c r="B2892" s="75">
        <v>15</v>
      </c>
      <c r="C2892" s="75" t="s">
        <v>10</v>
      </c>
      <c r="D2892" s="75">
        <v>10499</v>
      </c>
      <c r="F2892" s="75" t="s">
        <v>10</v>
      </c>
      <c r="H2892" s="75" t="s">
        <v>10</v>
      </c>
      <c r="I2892" s="75">
        <v>19489</v>
      </c>
      <c r="K2892" s="75" t="str">
        <f>IFERROR(VLOOKUP(J2892,'NQ10'!$B$9:$C$145,2,0),"")</f>
        <v/>
      </c>
    </row>
    <row r="2893" spans="1:11" ht="15" customHeight="1" x14ac:dyDescent="0.25">
      <c r="A2893" s="75">
        <v>19</v>
      </c>
      <c r="B2893" s="75">
        <v>16</v>
      </c>
      <c r="C2893" s="75" t="s">
        <v>10</v>
      </c>
      <c r="D2893" s="75">
        <v>7428</v>
      </c>
      <c r="F2893" s="75" t="s">
        <v>10</v>
      </c>
      <c r="H2893" s="75" t="s">
        <v>10</v>
      </c>
      <c r="I2893" s="75">
        <v>19489</v>
      </c>
      <c r="K2893" s="75" t="str">
        <f>IFERROR(VLOOKUP(J2893,'NQ10'!$B$9:$C$145,2,0),"")</f>
        <v/>
      </c>
    </row>
    <row r="2894" spans="1:11" ht="15" customHeight="1" x14ac:dyDescent="0.25">
      <c r="A2894" s="75">
        <v>19</v>
      </c>
      <c r="B2894" s="75">
        <v>17</v>
      </c>
      <c r="C2894" s="75" t="s">
        <v>10</v>
      </c>
      <c r="D2894" s="75">
        <v>4416</v>
      </c>
      <c r="F2894" s="75" t="s">
        <v>10</v>
      </c>
      <c r="H2894" s="75" t="s">
        <v>10</v>
      </c>
      <c r="I2894" s="75">
        <v>19489</v>
      </c>
      <c r="K2894" s="75" t="str">
        <f>IFERROR(VLOOKUP(J2894,'NQ10'!$B$9:$C$145,2,0),"")</f>
        <v/>
      </c>
    </row>
    <row r="2895" spans="1:11" ht="15" customHeight="1" x14ac:dyDescent="0.25">
      <c r="A2895" s="75">
        <v>19</v>
      </c>
      <c r="B2895" s="75">
        <v>18</v>
      </c>
      <c r="C2895" s="75" t="s">
        <v>10</v>
      </c>
      <c r="D2895" s="75">
        <v>3517</v>
      </c>
      <c r="F2895" s="75" t="s">
        <v>10</v>
      </c>
      <c r="H2895" s="75" t="s">
        <v>10</v>
      </c>
      <c r="I2895" s="75">
        <v>19489</v>
      </c>
      <c r="K2895" s="75" t="str">
        <f>IFERROR(VLOOKUP(J2895,'NQ10'!$B$9:$C$145,2,0),"")</f>
        <v/>
      </c>
    </row>
    <row r="2896" spans="1:11" ht="15" customHeight="1" x14ac:dyDescent="0.25">
      <c r="A2896" s="75">
        <v>19</v>
      </c>
      <c r="B2896" s="75">
        <v>22</v>
      </c>
      <c r="C2896" s="75" t="s">
        <v>10</v>
      </c>
      <c r="D2896" s="75">
        <v>2855</v>
      </c>
      <c r="F2896" s="75" t="s">
        <v>10</v>
      </c>
      <c r="H2896" s="75" t="s">
        <v>10</v>
      </c>
      <c r="I2896" s="75">
        <v>19489</v>
      </c>
      <c r="K2896" s="75" t="str">
        <f>IFERROR(VLOOKUP(J2896,'NQ10'!$B$9:$C$145,2,0),"")</f>
        <v/>
      </c>
    </row>
    <row r="2897" spans="1:11" ht="15" customHeight="1" x14ac:dyDescent="0.25">
      <c r="A2897" s="75">
        <v>19</v>
      </c>
      <c r="B2897" s="75">
        <v>24</v>
      </c>
      <c r="C2897" s="75" t="s">
        <v>10</v>
      </c>
      <c r="D2897" s="75">
        <v>1097</v>
      </c>
      <c r="F2897" s="75" t="s">
        <v>10</v>
      </c>
      <c r="H2897" s="75" t="s">
        <v>10</v>
      </c>
      <c r="I2897" s="75">
        <v>19489</v>
      </c>
      <c r="K2897" s="75" t="str">
        <f>IFERROR(VLOOKUP(J2897,'NQ10'!$B$9:$C$145,2,0),"")</f>
        <v/>
      </c>
    </row>
    <row r="2898" spans="1:11" ht="15" customHeight="1" x14ac:dyDescent="0.25">
      <c r="A2898" s="75">
        <v>19</v>
      </c>
      <c r="B2898" s="75">
        <v>26</v>
      </c>
      <c r="C2898" s="75" t="s">
        <v>10</v>
      </c>
      <c r="D2898" s="75">
        <v>7097</v>
      </c>
      <c r="F2898" s="75" t="s">
        <v>10</v>
      </c>
      <c r="H2898" s="75" t="s">
        <v>10</v>
      </c>
      <c r="I2898" s="75">
        <v>19489</v>
      </c>
      <c r="K2898" s="75" t="str">
        <f>IFERROR(VLOOKUP(J2898,'NQ10'!$B$9:$C$145,2,0),"")</f>
        <v/>
      </c>
    </row>
    <row r="2899" spans="1:11" ht="15" customHeight="1" x14ac:dyDescent="0.25">
      <c r="A2899" s="75">
        <v>19</v>
      </c>
      <c r="B2899" s="75">
        <v>27</v>
      </c>
      <c r="C2899" s="75" t="s">
        <v>10</v>
      </c>
      <c r="D2899" s="75">
        <v>3106</v>
      </c>
      <c r="F2899" s="75" t="s">
        <v>10</v>
      </c>
      <c r="H2899" s="75" t="s">
        <v>10</v>
      </c>
      <c r="I2899" s="75">
        <v>19489</v>
      </c>
      <c r="K2899" s="75" t="str">
        <f>IFERROR(VLOOKUP(J2899,'NQ10'!$B$9:$C$145,2,0),"")</f>
        <v/>
      </c>
    </row>
    <row r="2900" spans="1:11" ht="15" customHeight="1" x14ac:dyDescent="0.25">
      <c r="A2900" s="75">
        <v>21</v>
      </c>
      <c r="C2900" s="75" t="s">
        <v>10</v>
      </c>
      <c r="D2900" s="75">
        <v>12984</v>
      </c>
      <c r="F2900" s="75" t="s">
        <v>10</v>
      </c>
      <c r="H2900" s="75" t="s">
        <v>10</v>
      </c>
      <c r="I2900" s="75">
        <v>19489</v>
      </c>
      <c r="K2900" s="75" t="str">
        <f>IFERROR(VLOOKUP(J2900,'NQ10'!$B$9:$C$145,2,0),"")</f>
        <v/>
      </c>
    </row>
    <row r="2901" spans="1:11" ht="15" customHeight="1" x14ac:dyDescent="0.25">
      <c r="A2901" s="75">
        <v>21</v>
      </c>
      <c r="C2901" s="75" t="s">
        <v>10</v>
      </c>
      <c r="D2901" s="75">
        <v>2238</v>
      </c>
      <c r="F2901" s="75" t="s">
        <v>10</v>
      </c>
      <c r="H2901" s="75" t="s">
        <v>10</v>
      </c>
      <c r="I2901" s="75">
        <v>19489</v>
      </c>
      <c r="K2901" s="75" t="str">
        <f>IFERROR(VLOOKUP(J2901,'NQ10'!$B$9:$C$145,2,0),"")</f>
        <v/>
      </c>
    </row>
    <row r="2902" spans="1:11" ht="15" customHeight="1" x14ac:dyDescent="0.25">
      <c r="A2902" s="75">
        <v>21</v>
      </c>
      <c r="C2902" s="75" t="s">
        <v>10</v>
      </c>
      <c r="D2902" s="75">
        <v>183313</v>
      </c>
      <c r="F2902" s="75" t="s">
        <v>10</v>
      </c>
      <c r="H2902" s="75" t="s">
        <v>10</v>
      </c>
      <c r="I2902" s="75">
        <v>19489</v>
      </c>
      <c r="K2902" s="75" t="str">
        <f>IFERROR(VLOOKUP(J2902,'NQ10'!$B$9:$C$145,2,0),"")</f>
        <v/>
      </c>
    </row>
    <row r="2903" spans="1:11" ht="15" customHeight="1" x14ac:dyDescent="0.25">
      <c r="A2903" s="75">
        <v>21</v>
      </c>
      <c r="C2903" s="75" t="s">
        <v>10</v>
      </c>
      <c r="D2903" s="75">
        <v>7579</v>
      </c>
      <c r="F2903" s="75" t="s">
        <v>10</v>
      </c>
      <c r="H2903" s="75" t="s">
        <v>10</v>
      </c>
      <c r="I2903" s="75">
        <v>19489</v>
      </c>
      <c r="K2903" s="75" t="str">
        <f>IFERROR(VLOOKUP(J2903,'NQ10'!$B$9:$C$145,2,0),"")</f>
        <v/>
      </c>
    </row>
    <row r="2904" spans="1:11" ht="15" customHeight="1" x14ac:dyDescent="0.25">
      <c r="A2904" s="75">
        <v>21</v>
      </c>
      <c r="C2904" s="75" t="s">
        <v>10</v>
      </c>
      <c r="D2904" s="75">
        <v>266714</v>
      </c>
      <c r="F2904" s="75" t="s">
        <v>10</v>
      </c>
      <c r="H2904" s="75" t="s">
        <v>10</v>
      </c>
      <c r="I2904" s="75">
        <v>19489</v>
      </c>
      <c r="K2904" s="75" t="str">
        <f>IFERROR(VLOOKUP(J2904,'NQ10'!$B$9:$C$145,2,0),"")</f>
        <v/>
      </c>
    </row>
    <row r="2905" spans="1:11" ht="15" customHeight="1" x14ac:dyDescent="0.25">
      <c r="A2905" s="75">
        <v>21</v>
      </c>
      <c r="C2905" s="75" t="s">
        <v>10</v>
      </c>
      <c r="D2905" s="75">
        <v>142887</v>
      </c>
      <c r="F2905" s="75" t="s">
        <v>10</v>
      </c>
      <c r="H2905" s="75" t="s">
        <v>10</v>
      </c>
      <c r="I2905" s="75">
        <v>19489</v>
      </c>
      <c r="K2905" s="75" t="str">
        <f>IFERROR(VLOOKUP(J2905,'NQ10'!$B$9:$C$145,2,0),"")</f>
        <v/>
      </c>
    </row>
    <row r="2906" spans="1:11" ht="15" customHeight="1" x14ac:dyDescent="0.25">
      <c r="A2906" s="75">
        <v>21</v>
      </c>
      <c r="C2906" s="75" t="s">
        <v>10</v>
      </c>
      <c r="D2906" s="75">
        <v>9384</v>
      </c>
      <c r="F2906" s="75" t="s">
        <v>10</v>
      </c>
      <c r="H2906" s="75" t="s">
        <v>10</v>
      </c>
      <c r="I2906" s="75">
        <v>19489</v>
      </c>
      <c r="K2906" s="75" t="str">
        <f>IFERROR(VLOOKUP(J2906,'NQ10'!$B$9:$C$145,2,0),"")</f>
        <v/>
      </c>
    </row>
    <row r="2907" spans="1:11" ht="15" customHeight="1" x14ac:dyDescent="0.25">
      <c r="A2907" s="75">
        <v>21</v>
      </c>
      <c r="C2907" s="75" t="s">
        <v>10</v>
      </c>
      <c r="D2907" s="75">
        <v>968</v>
      </c>
      <c r="F2907" s="75" t="s">
        <v>10</v>
      </c>
      <c r="H2907" s="75" t="s">
        <v>10</v>
      </c>
      <c r="I2907" s="75">
        <v>19489</v>
      </c>
      <c r="K2907" s="75" t="str">
        <f>IFERROR(VLOOKUP(J2907,'NQ10'!$B$9:$C$145,2,0),"")</f>
        <v/>
      </c>
    </row>
    <row r="2908" spans="1:11" ht="15" customHeight="1" x14ac:dyDescent="0.25">
      <c r="A2908" s="75">
        <v>21</v>
      </c>
      <c r="C2908" s="75" t="s">
        <v>10</v>
      </c>
      <c r="D2908" s="75">
        <v>2363</v>
      </c>
      <c r="F2908" s="75" t="s">
        <v>10</v>
      </c>
      <c r="H2908" s="75" t="s">
        <v>10</v>
      </c>
      <c r="I2908" s="75">
        <v>19489</v>
      </c>
      <c r="K2908" s="75" t="str">
        <f>IFERROR(VLOOKUP(J2908,'NQ10'!$B$9:$C$145,2,0),"")</f>
        <v/>
      </c>
    </row>
    <row r="2909" spans="1:11" ht="15" customHeight="1" x14ac:dyDescent="0.25">
      <c r="A2909" s="75">
        <v>21</v>
      </c>
      <c r="C2909" s="75" t="s">
        <v>10</v>
      </c>
      <c r="D2909" s="75">
        <v>125979</v>
      </c>
      <c r="F2909" s="75" t="s">
        <v>10</v>
      </c>
      <c r="H2909" s="75" t="s">
        <v>10</v>
      </c>
      <c r="I2909" s="75">
        <v>19489</v>
      </c>
      <c r="K2909" s="75" t="str">
        <f>IFERROR(VLOOKUP(J2909,'NQ10'!$B$9:$C$145,2,0),"")</f>
        <v/>
      </c>
    </row>
    <row r="2910" spans="1:11" ht="15" customHeight="1" x14ac:dyDescent="0.25">
      <c r="A2910" s="75">
        <v>21</v>
      </c>
      <c r="C2910" s="75" t="s">
        <v>10</v>
      </c>
      <c r="D2910" s="75">
        <v>9016</v>
      </c>
      <c r="F2910" s="75" t="s">
        <v>10</v>
      </c>
      <c r="H2910" s="75" t="s">
        <v>10</v>
      </c>
      <c r="I2910" s="75">
        <v>19489</v>
      </c>
      <c r="K2910" s="75" t="str">
        <f>IFERROR(VLOOKUP(J2910,'NQ10'!$B$9:$C$145,2,0),"")</f>
        <v/>
      </c>
    </row>
    <row r="2911" spans="1:11" ht="15" customHeight="1" x14ac:dyDescent="0.25">
      <c r="A2911" s="75">
        <v>21</v>
      </c>
      <c r="C2911" s="75" t="s">
        <v>10</v>
      </c>
      <c r="D2911" s="75">
        <v>3044</v>
      </c>
      <c r="F2911" s="75" t="s">
        <v>10</v>
      </c>
      <c r="H2911" s="75" t="s">
        <v>10</v>
      </c>
      <c r="I2911" s="75">
        <v>19489</v>
      </c>
      <c r="K2911" s="75" t="str">
        <f>IFERROR(VLOOKUP(J2911,'NQ10'!$B$9:$C$145,2,0),"")</f>
        <v/>
      </c>
    </row>
    <row r="2912" spans="1:11" ht="15" customHeight="1" x14ac:dyDescent="0.25">
      <c r="A2912" s="75">
        <v>21</v>
      </c>
      <c r="C2912" s="75" t="s">
        <v>10</v>
      </c>
      <c r="D2912" s="75">
        <v>8797</v>
      </c>
      <c r="F2912" s="75" t="s">
        <v>10</v>
      </c>
      <c r="H2912" s="75" t="s">
        <v>10</v>
      </c>
      <c r="I2912" s="75">
        <v>19489</v>
      </c>
      <c r="K2912" s="75" t="str">
        <f>IFERROR(VLOOKUP(J2912,'NQ10'!$B$9:$C$145,2,0),"")</f>
        <v/>
      </c>
    </row>
    <row r="2913" spans="1:11" ht="15" customHeight="1" x14ac:dyDescent="0.25">
      <c r="A2913" s="75">
        <v>21</v>
      </c>
      <c r="C2913" s="75" t="s">
        <v>10</v>
      </c>
      <c r="D2913" s="75">
        <v>6990</v>
      </c>
      <c r="F2913" s="75" t="s">
        <v>10</v>
      </c>
      <c r="H2913" s="75" t="s">
        <v>10</v>
      </c>
      <c r="I2913" s="75">
        <v>19489</v>
      </c>
      <c r="K2913" s="75" t="str">
        <f>IFERROR(VLOOKUP(J2913,'NQ10'!$B$9:$C$145,2,0),"")</f>
        <v/>
      </c>
    </row>
    <row r="2914" spans="1:11" ht="15" customHeight="1" x14ac:dyDescent="0.25">
      <c r="A2914" s="75">
        <v>21</v>
      </c>
      <c r="C2914" s="75" t="s">
        <v>10</v>
      </c>
      <c r="D2914" s="75">
        <v>260682</v>
      </c>
      <c r="F2914" s="75" t="s">
        <v>10</v>
      </c>
      <c r="H2914" s="75" t="s">
        <v>10</v>
      </c>
      <c r="I2914" s="75">
        <v>19489</v>
      </c>
      <c r="K2914" s="75" t="str">
        <f>IFERROR(VLOOKUP(J2914,'NQ10'!$B$9:$C$145,2,0),"")</f>
        <v/>
      </c>
    </row>
    <row r="2915" spans="1:11" ht="15" customHeight="1" x14ac:dyDescent="0.25">
      <c r="A2915" s="75">
        <v>21</v>
      </c>
      <c r="C2915" s="75" t="s">
        <v>10</v>
      </c>
      <c r="D2915" s="75">
        <v>24263</v>
      </c>
      <c r="F2915" s="75" t="s">
        <v>10</v>
      </c>
      <c r="H2915" s="75" t="s">
        <v>10</v>
      </c>
      <c r="I2915" s="75">
        <v>19489</v>
      </c>
      <c r="K2915" s="75" t="str">
        <f>IFERROR(VLOOKUP(J2915,'NQ10'!$B$9:$C$145,2,0),"")</f>
        <v/>
      </c>
    </row>
    <row r="2916" spans="1:11" ht="15" customHeight="1" x14ac:dyDescent="0.25">
      <c r="A2916" s="75">
        <v>21</v>
      </c>
      <c r="C2916" s="75" t="s">
        <v>10</v>
      </c>
      <c r="D2916" s="75">
        <v>3368</v>
      </c>
      <c r="F2916" s="75" t="s">
        <v>10</v>
      </c>
      <c r="H2916" s="75" t="s">
        <v>10</v>
      </c>
      <c r="I2916" s="75">
        <v>19489</v>
      </c>
      <c r="K2916" s="75" t="str">
        <f>IFERROR(VLOOKUP(J2916,'NQ10'!$B$9:$C$145,2,0),"")</f>
        <v/>
      </c>
    </row>
    <row r="2917" spans="1:11" ht="15" customHeight="1" x14ac:dyDescent="0.25">
      <c r="A2917" s="75">
        <v>21</v>
      </c>
      <c r="C2917" s="75" t="s">
        <v>10</v>
      </c>
      <c r="D2917" s="75">
        <v>1172205</v>
      </c>
      <c r="F2917" s="75" t="s">
        <v>10</v>
      </c>
      <c r="H2917" s="75" t="s">
        <v>10</v>
      </c>
      <c r="I2917" s="75">
        <v>19489</v>
      </c>
      <c r="K2917" s="75" t="str">
        <f>IFERROR(VLOOKUP(J2917,'NQ10'!$B$9:$C$145,2,0),"")</f>
        <v/>
      </c>
    </row>
    <row r="2918" spans="1:11" ht="15" customHeight="1" x14ac:dyDescent="0.25">
      <c r="A2918" s="75">
        <v>21</v>
      </c>
      <c r="C2918" s="75" t="s">
        <v>10</v>
      </c>
      <c r="D2918" s="75">
        <v>142348</v>
      </c>
      <c r="F2918" s="75" t="s">
        <v>10</v>
      </c>
      <c r="H2918" s="75" t="s">
        <v>10</v>
      </c>
      <c r="I2918" s="75">
        <v>19489</v>
      </c>
      <c r="K2918" s="75" t="str">
        <f>IFERROR(VLOOKUP(J2918,'NQ10'!$B$9:$C$145,2,0),"")</f>
        <v/>
      </c>
    </row>
    <row r="2919" spans="1:11" ht="15" customHeight="1" x14ac:dyDescent="0.25">
      <c r="A2919" s="75">
        <v>21</v>
      </c>
      <c r="C2919" s="75" t="s">
        <v>10</v>
      </c>
      <c r="D2919" s="75">
        <v>193440</v>
      </c>
      <c r="F2919" s="75" t="s">
        <v>10</v>
      </c>
      <c r="H2919" s="75" t="s">
        <v>10</v>
      </c>
      <c r="I2919" s="75">
        <v>19489</v>
      </c>
      <c r="K2919" s="75" t="str">
        <f>IFERROR(VLOOKUP(J2919,'NQ10'!$B$9:$C$145,2,0),"")</f>
        <v/>
      </c>
    </row>
    <row r="2920" spans="1:11" ht="15" customHeight="1" x14ac:dyDescent="0.25">
      <c r="A2920" s="75">
        <v>21</v>
      </c>
      <c r="C2920" s="75" t="s">
        <v>10</v>
      </c>
      <c r="D2920" s="75">
        <v>3336</v>
      </c>
      <c r="F2920" s="75" t="s">
        <v>10</v>
      </c>
      <c r="H2920" s="75" t="s">
        <v>10</v>
      </c>
      <c r="I2920" s="75">
        <v>19489</v>
      </c>
      <c r="K2920" s="75" t="str">
        <f>IFERROR(VLOOKUP(J2920,'NQ10'!$B$9:$C$145,2,0),"")</f>
        <v/>
      </c>
    </row>
    <row r="2921" spans="1:11" ht="15" customHeight="1" x14ac:dyDescent="0.25">
      <c r="A2921" s="75">
        <v>21</v>
      </c>
      <c r="C2921" s="75" t="s">
        <v>10</v>
      </c>
      <c r="D2921" s="75">
        <v>10017</v>
      </c>
      <c r="F2921" s="75" t="s">
        <v>10</v>
      </c>
      <c r="H2921" s="75" t="s">
        <v>10</v>
      </c>
      <c r="I2921" s="75">
        <v>19489</v>
      </c>
      <c r="K2921" s="75" t="str">
        <f>IFERROR(VLOOKUP(J2921,'NQ10'!$B$9:$C$145,2,0),"")</f>
        <v/>
      </c>
    </row>
    <row r="2922" spans="1:11" ht="15" customHeight="1" x14ac:dyDescent="0.25">
      <c r="A2922" s="75">
        <v>21</v>
      </c>
      <c r="C2922" s="75" t="s">
        <v>10</v>
      </c>
      <c r="D2922" s="75">
        <v>3752</v>
      </c>
      <c r="F2922" s="75" t="s">
        <v>10</v>
      </c>
      <c r="H2922" s="75" t="s">
        <v>10</v>
      </c>
      <c r="I2922" s="75">
        <v>19489</v>
      </c>
      <c r="K2922" s="75" t="str">
        <f>IFERROR(VLOOKUP(J2922,'NQ10'!$B$9:$C$145,2,0),"")</f>
        <v/>
      </c>
    </row>
    <row r="2923" spans="1:11" ht="15" customHeight="1" x14ac:dyDescent="0.25">
      <c r="A2923" s="75">
        <v>21</v>
      </c>
      <c r="C2923" s="75" t="s">
        <v>10</v>
      </c>
      <c r="D2923" s="75">
        <v>1800</v>
      </c>
      <c r="F2923" s="75" t="s">
        <v>10</v>
      </c>
      <c r="H2923" s="75" t="s">
        <v>10</v>
      </c>
      <c r="I2923" s="75">
        <v>19489</v>
      </c>
      <c r="K2923" s="75" t="str">
        <f>IFERROR(VLOOKUP(J2923,'NQ10'!$B$9:$C$145,2,0),"")</f>
        <v/>
      </c>
    </row>
    <row r="2924" spans="1:11" ht="15" customHeight="1" x14ac:dyDescent="0.25">
      <c r="A2924" s="75">
        <v>21</v>
      </c>
      <c r="C2924" s="75" t="s">
        <v>10</v>
      </c>
      <c r="D2924" s="75">
        <v>48844</v>
      </c>
      <c r="F2924" s="75" t="s">
        <v>10</v>
      </c>
      <c r="H2924" s="75" t="s">
        <v>10</v>
      </c>
      <c r="I2924" s="75">
        <v>19489</v>
      </c>
      <c r="K2924" s="75" t="str">
        <f>IFERROR(VLOOKUP(J2924,'NQ10'!$B$9:$C$145,2,0),"")</f>
        <v/>
      </c>
    </row>
    <row r="2925" spans="1:11" ht="15" customHeight="1" x14ac:dyDescent="0.25">
      <c r="A2925" s="75">
        <v>21</v>
      </c>
      <c r="C2925" s="75" t="s">
        <v>10</v>
      </c>
      <c r="D2925" s="75">
        <v>6531</v>
      </c>
      <c r="F2925" s="75" t="s">
        <v>10</v>
      </c>
      <c r="H2925" s="75" t="s">
        <v>10</v>
      </c>
      <c r="I2925" s="75">
        <v>19489</v>
      </c>
      <c r="K2925" s="75" t="str">
        <f>IFERROR(VLOOKUP(J2925,'NQ10'!$B$9:$C$145,2,0),"")</f>
        <v/>
      </c>
    </row>
    <row r="2926" spans="1:11" ht="15" customHeight="1" x14ac:dyDescent="0.25">
      <c r="A2926" s="75">
        <v>21</v>
      </c>
      <c r="C2926" s="75" t="s">
        <v>10</v>
      </c>
      <c r="D2926" s="75">
        <v>21374</v>
      </c>
      <c r="F2926" s="75" t="s">
        <v>10</v>
      </c>
      <c r="H2926" s="75" t="s">
        <v>10</v>
      </c>
      <c r="I2926" s="75">
        <v>19489</v>
      </c>
      <c r="K2926" s="75" t="str">
        <f>IFERROR(VLOOKUP(J2926,'NQ10'!$B$9:$C$145,2,0),"")</f>
        <v/>
      </c>
    </row>
    <row r="2927" spans="1:11" ht="15" customHeight="1" x14ac:dyDescent="0.25">
      <c r="A2927" s="75">
        <v>21</v>
      </c>
      <c r="C2927" s="75" t="s">
        <v>10</v>
      </c>
      <c r="D2927" s="75">
        <v>13890</v>
      </c>
      <c r="F2927" s="75" t="s">
        <v>10</v>
      </c>
      <c r="H2927" s="75" t="s">
        <v>10</v>
      </c>
      <c r="I2927" s="75">
        <v>19489</v>
      </c>
      <c r="K2927" s="75" t="str">
        <f>IFERROR(VLOOKUP(J2927,'NQ10'!$B$9:$C$145,2,0),"")</f>
        <v/>
      </c>
    </row>
    <row r="2928" spans="1:11" ht="15" customHeight="1" x14ac:dyDescent="0.25">
      <c r="A2928" s="75">
        <v>21</v>
      </c>
      <c r="C2928" s="75" t="s">
        <v>10</v>
      </c>
      <c r="D2928" s="75">
        <v>24371</v>
      </c>
      <c r="F2928" s="75" t="s">
        <v>10</v>
      </c>
      <c r="H2928" s="75" t="s">
        <v>10</v>
      </c>
      <c r="I2928" s="75">
        <v>19489</v>
      </c>
      <c r="K2928" s="75" t="str">
        <f>IFERROR(VLOOKUP(J2928,'NQ10'!$B$9:$C$145,2,0),"")</f>
        <v/>
      </c>
    </row>
    <row r="2929" spans="1:11" ht="15" customHeight="1" x14ac:dyDescent="0.25">
      <c r="A2929" s="75">
        <v>21</v>
      </c>
      <c r="C2929" s="75" t="s">
        <v>10</v>
      </c>
      <c r="D2929" s="75">
        <v>311</v>
      </c>
      <c r="F2929" s="75" t="s">
        <v>10</v>
      </c>
      <c r="H2929" s="75" t="s">
        <v>10</v>
      </c>
      <c r="I2929" s="75">
        <v>19489</v>
      </c>
      <c r="K2929" s="75" t="str">
        <f>IFERROR(VLOOKUP(J2929,'NQ10'!$B$9:$C$145,2,0),"")</f>
        <v/>
      </c>
    </row>
    <row r="2930" spans="1:11" ht="15" customHeight="1" x14ac:dyDescent="0.25">
      <c r="A2930" s="75">
        <v>21</v>
      </c>
      <c r="C2930" s="75" t="s">
        <v>10</v>
      </c>
      <c r="D2930" s="75">
        <v>187</v>
      </c>
      <c r="F2930" s="75" t="s">
        <v>10</v>
      </c>
      <c r="H2930" s="75" t="s">
        <v>10</v>
      </c>
      <c r="I2930" s="75">
        <v>19489</v>
      </c>
      <c r="K2930" s="75" t="str">
        <f>IFERROR(VLOOKUP(J2930,'NQ10'!$B$9:$C$145,2,0),"")</f>
        <v/>
      </c>
    </row>
    <row r="2931" spans="1:11" ht="15" customHeight="1" x14ac:dyDescent="0.25">
      <c r="A2931" s="75">
        <v>21</v>
      </c>
      <c r="B2931" s="75">
        <v>122</v>
      </c>
      <c r="C2931" s="75" t="s">
        <v>10</v>
      </c>
      <c r="D2931" s="75">
        <v>4973</v>
      </c>
      <c r="F2931" s="75" t="s">
        <v>10</v>
      </c>
      <c r="H2931" s="75" t="s">
        <v>307</v>
      </c>
      <c r="I2931" s="75">
        <v>19489</v>
      </c>
      <c r="K2931" s="75" t="str">
        <f>IFERROR(VLOOKUP(J2931,'NQ10'!$B$9:$C$145,2,0),"")</f>
        <v/>
      </c>
    </row>
    <row r="2932" spans="1:11" ht="15" customHeight="1" x14ac:dyDescent="0.25">
      <c r="A2932" s="75">
        <v>22</v>
      </c>
      <c r="C2932" s="75" t="s">
        <v>10</v>
      </c>
      <c r="D2932" s="75">
        <v>208</v>
      </c>
      <c r="F2932" s="75" t="s">
        <v>10</v>
      </c>
      <c r="H2932" s="75" t="s">
        <v>10</v>
      </c>
      <c r="I2932" s="75">
        <v>19489</v>
      </c>
      <c r="K2932" s="75" t="str">
        <f>IFERROR(VLOOKUP(J2932,'NQ10'!$B$9:$C$145,2,0),"")</f>
        <v/>
      </c>
    </row>
    <row r="2933" spans="1:11" ht="15" customHeight="1" x14ac:dyDescent="0.25">
      <c r="A2933" s="75">
        <v>22</v>
      </c>
      <c r="C2933" s="75" t="s">
        <v>10</v>
      </c>
      <c r="D2933" s="75">
        <v>7897</v>
      </c>
      <c r="F2933" s="75" t="s">
        <v>10</v>
      </c>
      <c r="H2933" s="75" t="s">
        <v>10</v>
      </c>
      <c r="I2933" s="75">
        <v>19489</v>
      </c>
      <c r="K2933" s="75" t="str">
        <f>IFERROR(VLOOKUP(J2933,'NQ10'!$B$9:$C$145,2,0),"")</f>
        <v/>
      </c>
    </row>
    <row r="2934" spans="1:11" ht="15" customHeight="1" x14ac:dyDescent="0.25">
      <c r="A2934" s="75">
        <v>22</v>
      </c>
      <c r="C2934" s="75" t="s">
        <v>10</v>
      </c>
      <c r="D2934" s="75">
        <v>150</v>
      </c>
      <c r="F2934" s="75" t="s">
        <v>10</v>
      </c>
      <c r="H2934" s="75" t="s">
        <v>10</v>
      </c>
      <c r="I2934" s="75">
        <v>19489</v>
      </c>
      <c r="K2934" s="75" t="str">
        <f>IFERROR(VLOOKUP(J2934,'NQ10'!$B$9:$C$145,2,0),"")</f>
        <v/>
      </c>
    </row>
    <row r="2935" spans="1:11" ht="15" customHeight="1" x14ac:dyDescent="0.25">
      <c r="A2935" s="75">
        <v>22</v>
      </c>
      <c r="C2935" s="75" t="s">
        <v>10</v>
      </c>
      <c r="D2935" s="75">
        <v>378</v>
      </c>
      <c r="F2935" s="75" t="s">
        <v>10</v>
      </c>
      <c r="H2935" s="75" t="s">
        <v>10</v>
      </c>
      <c r="I2935" s="75">
        <v>19489</v>
      </c>
      <c r="K2935" s="75" t="str">
        <f>IFERROR(VLOOKUP(J2935,'NQ10'!$B$9:$C$145,2,0),"")</f>
        <v/>
      </c>
    </row>
    <row r="2936" spans="1:11" ht="15" customHeight="1" x14ac:dyDescent="0.25">
      <c r="A2936" s="75">
        <v>22</v>
      </c>
      <c r="C2936" s="75" t="s">
        <v>10</v>
      </c>
      <c r="D2936" s="75">
        <v>1881</v>
      </c>
      <c r="F2936" s="75" t="s">
        <v>10</v>
      </c>
      <c r="H2936" s="75" t="s">
        <v>10</v>
      </c>
      <c r="I2936" s="75">
        <v>19489</v>
      </c>
      <c r="K2936" s="75" t="str">
        <f>IFERROR(VLOOKUP(J2936,'NQ10'!$B$9:$C$145,2,0),"")</f>
        <v/>
      </c>
    </row>
    <row r="2937" spans="1:11" ht="15" customHeight="1" x14ac:dyDescent="0.25">
      <c r="A2937" s="75">
        <v>22</v>
      </c>
      <c r="C2937" s="75" t="s">
        <v>10</v>
      </c>
      <c r="D2937" s="75">
        <v>710</v>
      </c>
      <c r="F2937" s="75" t="s">
        <v>10</v>
      </c>
      <c r="H2937" s="75" t="s">
        <v>10</v>
      </c>
      <c r="I2937" s="75">
        <v>19489</v>
      </c>
      <c r="K2937" s="75" t="str">
        <f>IFERROR(VLOOKUP(J2937,'NQ10'!$B$9:$C$145,2,0),"")</f>
        <v/>
      </c>
    </row>
    <row r="2938" spans="1:11" ht="15" customHeight="1" x14ac:dyDescent="0.25">
      <c r="A2938" s="75">
        <v>22</v>
      </c>
      <c r="C2938" s="75" t="s">
        <v>10</v>
      </c>
      <c r="D2938" s="75">
        <v>237</v>
      </c>
      <c r="F2938" s="75" t="s">
        <v>10</v>
      </c>
      <c r="H2938" s="75" t="s">
        <v>10</v>
      </c>
      <c r="I2938" s="75">
        <v>19489</v>
      </c>
      <c r="K2938" s="75" t="str">
        <f>IFERROR(VLOOKUP(J2938,'NQ10'!$B$9:$C$145,2,0),"")</f>
        <v/>
      </c>
    </row>
    <row r="2939" spans="1:11" ht="15" customHeight="1" x14ac:dyDescent="0.25">
      <c r="A2939" s="75">
        <v>22</v>
      </c>
      <c r="C2939" s="75" t="s">
        <v>10</v>
      </c>
      <c r="D2939" s="75">
        <v>3068</v>
      </c>
      <c r="F2939" s="75" t="s">
        <v>10</v>
      </c>
      <c r="H2939" s="75" t="s">
        <v>10</v>
      </c>
      <c r="I2939" s="75">
        <v>19489</v>
      </c>
      <c r="K2939" s="75" t="str">
        <f>IFERROR(VLOOKUP(J2939,'NQ10'!$B$9:$C$145,2,0),"")</f>
        <v/>
      </c>
    </row>
    <row r="2940" spans="1:11" ht="15" customHeight="1" x14ac:dyDescent="0.25">
      <c r="A2940" s="75">
        <v>22</v>
      </c>
      <c r="B2940" s="75">
        <v>1</v>
      </c>
      <c r="C2940" s="75" t="s">
        <v>10</v>
      </c>
      <c r="D2940" s="75">
        <v>3431</v>
      </c>
      <c r="F2940" s="75" t="s">
        <v>10</v>
      </c>
      <c r="H2940" s="75" t="s">
        <v>10</v>
      </c>
      <c r="I2940" s="75">
        <v>19489</v>
      </c>
      <c r="K2940" s="75" t="str">
        <f>IFERROR(VLOOKUP(J2940,'NQ10'!$B$9:$C$145,2,0),"")</f>
        <v/>
      </c>
    </row>
    <row r="2941" spans="1:11" ht="15" customHeight="1" x14ac:dyDescent="0.25">
      <c r="A2941" s="75">
        <v>22</v>
      </c>
      <c r="B2941" s="75">
        <v>3</v>
      </c>
      <c r="C2941" s="75" t="s">
        <v>10</v>
      </c>
      <c r="D2941" s="75">
        <v>8194</v>
      </c>
      <c r="F2941" s="75" t="s">
        <v>10</v>
      </c>
      <c r="H2941" s="75" t="s">
        <v>10</v>
      </c>
      <c r="I2941" s="75">
        <v>19489</v>
      </c>
      <c r="K2941" s="75" t="str">
        <f>IFERROR(VLOOKUP(J2941,'NQ10'!$B$9:$C$145,2,0),"")</f>
        <v/>
      </c>
    </row>
    <row r="2942" spans="1:11" ht="15" customHeight="1" x14ac:dyDescent="0.25">
      <c r="A2942" s="75">
        <v>22</v>
      </c>
      <c r="B2942" s="75">
        <v>4</v>
      </c>
      <c r="C2942" s="75" t="s">
        <v>10</v>
      </c>
      <c r="D2942" s="75">
        <v>8811</v>
      </c>
      <c r="F2942" s="75" t="s">
        <v>10</v>
      </c>
      <c r="H2942" s="75" t="s">
        <v>10</v>
      </c>
      <c r="I2942" s="75">
        <v>19489</v>
      </c>
      <c r="K2942" s="75" t="str">
        <f>IFERROR(VLOOKUP(J2942,'NQ10'!$B$9:$C$145,2,0),"")</f>
        <v/>
      </c>
    </row>
    <row r="2943" spans="1:11" ht="15" customHeight="1" x14ac:dyDescent="0.25">
      <c r="A2943" s="75">
        <v>22</v>
      </c>
      <c r="B2943" s="75">
        <v>8</v>
      </c>
      <c r="C2943" s="75" t="s">
        <v>10</v>
      </c>
      <c r="D2943" s="75">
        <v>7948</v>
      </c>
      <c r="F2943" s="75" t="s">
        <v>10</v>
      </c>
      <c r="H2943" s="75" t="s">
        <v>10</v>
      </c>
      <c r="I2943" s="75">
        <v>19489</v>
      </c>
      <c r="K2943" s="75" t="str">
        <f>IFERROR(VLOOKUP(J2943,'NQ10'!$B$9:$C$145,2,0),"")</f>
        <v/>
      </c>
    </row>
    <row r="2944" spans="1:11" ht="15" customHeight="1" x14ac:dyDescent="0.25">
      <c r="A2944" s="75">
        <v>22</v>
      </c>
      <c r="B2944" s="75">
        <v>9</v>
      </c>
      <c r="C2944" s="75" t="s">
        <v>10</v>
      </c>
      <c r="D2944" s="75">
        <v>19285</v>
      </c>
      <c r="F2944" s="75" t="s">
        <v>10</v>
      </c>
      <c r="H2944" s="75" t="s">
        <v>10</v>
      </c>
      <c r="I2944" s="75">
        <v>19489</v>
      </c>
      <c r="K2944" s="75" t="str">
        <f>IFERROR(VLOOKUP(J2944,'NQ10'!$B$9:$C$145,2,0),"")</f>
        <v/>
      </c>
    </row>
    <row r="2945" spans="1:11" ht="15" customHeight="1" x14ac:dyDescent="0.25">
      <c r="A2945" s="75">
        <v>22</v>
      </c>
      <c r="B2945" s="75">
        <v>10</v>
      </c>
      <c r="C2945" s="75" t="s">
        <v>10</v>
      </c>
      <c r="D2945" s="75">
        <v>8065</v>
      </c>
      <c r="F2945" s="75" t="s">
        <v>10</v>
      </c>
      <c r="H2945" s="75" t="s">
        <v>10</v>
      </c>
      <c r="I2945" s="75">
        <v>19489</v>
      </c>
      <c r="K2945" s="75" t="str">
        <f>IFERROR(VLOOKUP(J2945,'NQ10'!$B$9:$C$145,2,0),"")</f>
        <v/>
      </c>
    </row>
    <row r="2946" spans="1:11" ht="15" customHeight="1" x14ac:dyDescent="0.25">
      <c r="A2946" s="75">
        <v>22</v>
      </c>
      <c r="B2946" s="75">
        <v>11</v>
      </c>
      <c r="C2946" s="75" t="s">
        <v>10</v>
      </c>
      <c r="D2946" s="75">
        <v>5446</v>
      </c>
      <c r="F2946" s="75" t="s">
        <v>10</v>
      </c>
      <c r="H2946" s="75" t="s">
        <v>10</v>
      </c>
      <c r="I2946" s="75">
        <v>19489</v>
      </c>
      <c r="K2946" s="75" t="str">
        <f>IFERROR(VLOOKUP(J2946,'NQ10'!$B$9:$C$145,2,0),"")</f>
        <v/>
      </c>
    </row>
    <row r="2947" spans="1:11" ht="15" customHeight="1" x14ac:dyDescent="0.25">
      <c r="A2947" s="75">
        <v>22</v>
      </c>
      <c r="B2947" s="75">
        <v>12</v>
      </c>
      <c r="C2947" s="75" t="s">
        <v>10</v>
      </c>
      <c r="D2947" s="75">
        <v>4121</v>
      </c>
      <c r="F2947" s="75" t="s">
        <v>10</v>
      </c>
      <c r="H2947" s="75" t="s">
        <v>10</v>
      </c>
      <c r="I2947" s="75">
        <v>19489</v>
      </c>
      <c r="K2947" s="75" t="str">
        <f>IFERROR(VLOOKUP(J2947,'NQ10'!$B$9:$C$145,2,0),"")</f>
        <v/>
      </c>
    </row>
    <row r="2948" spans="1:11" ht="15" customHeight="1" x14ac:dyDescent="0.25">
      <c r="A2948" s="75">
        <v>22</v>
      </c>
      <c r="B2948" s="75">
        <v>13</v>
      </c>
      <c r="C2948" s="75" t="s">
        <v>10</v>
      </c>
      <c r="D2948" s="75">
        <v>15855</v>
      </c>
      <c r="F2948" s="75" t="s">
        <v>10</v>
      </c>
      <c r="H2948" s="75" t="s">
        <v>10</v>
      </c>
      <c r="I2948" s="75">
        <v>19489</v>
      </c>
      <c r="K2948" s="75" t="str">
        <f>IFERROR(VLOOKUP(J2948,'NQ10'!$B$9:$C$145,2,0),"")</f>
        <v/>
      </c>
    </row>
    <row r="2949" spans="1:11" ht="15" customHeight="1" x14ac:dyDescent="0.25">
      <c r="A2949" s="75">
        <v>22</v>
      </c>
      <c r="B2949" s="75">
        <v>15</v>
      </c>
      <c r="C2949" s="75" t="s">
        <v>10</v>
      </c>
      <c r="D2949" s="75">
        <v>13842</v>
      </c>
      <c r="F2949" s="75" t="s">
        <v>10</v>
      </c>
      <c r="H2949" s="75" t="s">
        <v>10</v>
      </c>
      <c r="I2949" s="75">
        <v>19489</v>
      </c>
      <c r="K2949" s="75" t="str">
        <f>IFERROR(VLOOKUP(J2949,'NQ10'!$B$9:$C$145,2,0),"")</f>
        <v/>
      </c>
    </row>
    <row r="2950" spans="1:11" ht="15" customHeight="1" x14ac:dyDescent="0.25">
      <c r="A2950" s="75">
        <v>22</v>
      </c>
      <c r="B2950" s="75">
        <v>19</v>
      </c>
      <c r="C2950" s="75" t="s">
        <v>10</v>
      </c>
      <c r="D2950" s="75">
        <v>23154</v>
      </c>
      <c r="F2950" s="75" t="s">
        <v>10</v>
      </c>
      <c r="H2950" s="75" t="s">
        <v>10</v>
      </c>
      <c r="I2950" s="75">
        <v>19489</v>
      </c>
      <c r="K2950" s="75" t="str">
        <f>IFERROR(VLOOKUP(J2950,'NQ10'!$B$9:$C$145,2,0),"")</f>
        <v/>
      </c>
    </row>
    <row r="2951" spans="1:11" ht="15" customHeight="1" x14ac:dyDescent="0.25">
      <c r="A2951" s="75">
        <v>22</v>
      </c>
      <c r="B2951" s="75">
        <v>20</v>
      </c>
      <c r="C2951" s="75" t="s">
        <v>10</v>
      </c>
      <c r="D2951" s="75">
        <v>14340</v>
      </c>
      <c r="F2951" s="75" t="s">
        <v>10</v>
      </c>
      <c r="H2951" s="75" t="s">
        <v>10</v>
      </c>
      <c r="I2951" s="75">
        <v>19489</v>
      </c>
      <c r="K2951" s="75" t="str">
        <f>IFERROR(VLOOKUP(J2951,'NQ10'!$B$9:$C$145,2,0),"")</f>
        <v/>
      </c>
    </row>
    <row r="2952" spans="1:11" ht="15" customHeight="1" x14ac:dyDescent="0.25">
      <c r="A2952" s="75">
        <v>22</v>
      </c>
      <c r="B2952" s="75">
        <v>101</v>
      </c>
      <c r="C2952" s="75" t="s">
        <v>10</v>
      </c>
      <c r="D2952" s="75">
        <v>843</v>
      </c>
      <c r="F2952" s="75" t="s">
        <v>10</v>
      </c>
      <c r="H2952" s="75" t="s">
        <v>10</v>
      </c>
      <c r="I2952" s="75">
        <v>19489</v>
      </c>
      <c r="K2952" s="75" t="str">
        <f>IFERROR(VLOOKUP(J2952,'NQ10'!$B$9:$C$145,2,0),"")</f>
        <v/>
      </c>
    </row>
    <row r="2953" spans="1:11" ht="15" customHeight="1" x14ac:dyDescent="0.25">
      <c r="A2953" s="75">
        <v>23</v>
      </c>
      <c r="C2953" s="75" t="s">
        <v>10</v>
      </c>
      <c r="D2953" s="75">
        <v>1254</v>
      </c>
      <c r="F2953" s="75" t="s">
        <v>10</v>
      </c>
      <c r="H2953" s="75" t="s">
        <v>10</v>
      </c>
      <c r="I2953" s="75">
        <v>19489</v>
      </c>
      <c r="K2953" s="75" t="str">
        <f>IFERROR(VLOOKUP(J2953,'NQ10'!$B$9:$C$145,2,0),"")</f>
        <v/>
      </c>
    </row>
    <row r="2954" spans="1:11" ht="15" customHeight="1" x14ac:dyDescent="0.25">
      <c r="A2954" s="75">
        <v>23</v>
      </c>
      <c r="C2954" s="75" t="s">
        <v>10</v>
      </c>
      <c r="D2954" s="75">
        <v>86</v>
      </c>
      <c r="F2954" s="75" t="s">
        <v>10</v>
      </c>
      <c r="H2954" s="75" t="s">
        <v>10</v>
      </c>
      <c r="I2954" s="75">
        <v>19489</v>
      </c>
      <c r="K2954" s="75" t="str">
        <f>IFERROR(VLOOKUP(J2954,'NQ10'!$B$9:$C$145,2,0),"")</f>
        <v/>
      </c>
    </row>
    <row r="2955" spans="1:11" ht="15" customHeight="1" x14ac:dyDescent="0.25">
      <c r="A2955" s="75">
        <v>23</v>
      </c>
      <c r="B2955" s="75">
        <v>1</v>
      </c>
      <c r="C2955" s="75" t="s">
        <v>10</v>
      </c>
      <c r="D2955" s="75">
        <v>4959</v>
      </c>
      <c r="F2955" s="75" t="s">
        <v>10</v>
      </c>
      <c r="H2955" s="75" t="s">
        <v>10</v>
      </c>
      <c r="I2955" s="75">
        <v>19489</v>
      </c>
      <c r="K2955" s="75" t="str">
        <f>IFERROR(VLOOKUP(J2955,'NQ10'!$B$9:$C$145,2,0),"")</f>
        <v/>
      </c>
    </row>
    <row r="2956" spans="1:11" ht="15" customHeight="1" x14ac:dyDescent="0.25">
      <c r="A2956" s="75">
        <v>23</v>
      </c>
      <c r="B2956" s="75">
        <v>5</v>
      </c>
      <c r="C2956" s="75" t="s">
        <v>10</v>
      </c>
      <c r="D2956" s="75">
        <v>1220</v>
      </c>
      <c r="F2956" s="75" t="s">
        <v>10</v>
      </c>
      <c r="H2956" s="75" t="s">
        <v>10</v>
      </c>
      <c r="I2956" s="75">
        <v>19489</v>
      </c>
      <c r="K2956" s="75" t="str">
        <f>IFERROR(VLOOKUP(J2956,'NQ10'!$B$9:$C$145,2,0),"")</f>
        <v/>
      </c>
    </row>
    <row r="2957" spans="1:11" ht="15" customHeight="1" x14ac:dyDescent="0.25">
      <c r="A2957" s="75">
        <v>23</v>
      </c>
      <c r="B2957" s="75">
        <v>6</v>
      </c>
      <c r="C2957" s="75" t="s">
        <v>10</v>
      </c>
      <c r="D2957" s="75">
        <v>956</v>
      </c>
      <c r="F2957" s="75" t="s">
        <v>10</v>
      </c>
      <c r="H2957" s="75" t="s">
        <v>10</v>
      </c>
      <c r="I2957" s="75">
        <v>19489</v>
      </c>
      <c r="K2957" s="75" t="str">
        <f>IFERROR(VLOOKUP(J2957,'NQ10'!$B$9:$C$145,2,0),"")</f>
        <v/>
      </c>
    </row>
    <row r="2958" spans="1:11" ht="15" customHeight="1" x14ac:dyDescent="0.25">
      <c r="A2958" s="75">
        <v>23</v>
      </c>
      <c r="B2958" s="75">
        <v>7</v>
      </c>
      <c r="C2958" s="75" t="s">
        <v>10</v>
      </c>
      <c r="D2958" s="75">
        <v>2680</v>
      </c>
      <c r="F2958" s="75" t="s">
        <v>10</v>
      </c>
      <c r="H2958" s="75" t="s">
        <v>10</v>
      </c>
      <c r="I2958" s="75">
        <v>19489</v>
      </c>
      <c r="K2958" s="75" t="str">
        <f>IFERROR(VLOOKUP(J2958,'NQ10'!$B$9:$C$145,2,0),"")</f>
        <v/>
      </c>
    </row>
    <row r="2959" spans="1:11" ht="15" customHeight="1" x14ac:dyDescent="0.25">
      <c r="A2959" s="75">
        <v>23</v>
      </c>
      <c r="B2959" s="75">
        <v>8</v>
      </c>
      <c r="C2959" s="75" t="s">
        <v>10</v>
      </c>
      <c r="D2959" s="75">
        <v>7019</v>
      </c>
      <c r="F2959" s="75" t="s">
        <v>10</v>
      </c>
      <c r="H2959" s="75" t="s">
        <v>10</v>
      </c>
      <c r="I2959" s="75">
        <v>19489</v>
      </c>
      <c r="K2959" s="75" t="str">
        <f>IFERROR(VLOOKUP(J2959,'NQ10'!$B$9:$C$145,2,0),"")</f>
        <v/>
      </c>
    </row>
    <row r="2960" spans="1:11" ht="15" customHeight="1" x14ac:dyDescent="0.25">
      <c r="A2960" s="75">
        <v>23</v>
      </c>
      <c r="B2960" s="75">
        <v>10</v>
      </c>
      <c r="C2960" s="75" t="s">
        <v>10</v>
      </c>
      <c r="D2960" s="75">
        <v>9059</v>
      </c>
      <c r="F2960" s="75" t="s">
        <v>10</v>
      </c>
      <c r="H2960" s="75" t="s">
        <v>10</v>
      </c>
      <c r="I2960" s="75">
        <v>19489</v>
      </c>
      <c r="K2960" s="75" t="str">
        <f>IFERROR(VLOOKUP(J2960,'NQ10'!$B$9:$C$145,2,0),"")</f>
        <v/>
      </c>
    </row>
    <row r="2961" spans="1:11" ht="15" customHeight="1" x14ac:dyDescent="0.25">
      <c r="A2961" s="75">
        <v>23</v>
      </c>
      <c r="B2961" s="75">
        <v>11</v>
      </c>
      <c r="C2961" s="75" t="s">
        <v>10</v>
      </c>
      <c r="D2961" s="75">
        <v>3549</v>
      </c>
      <c r="F2961" s="75" t="s">
        <v>10</v>
      </c>
      <c r="H2961" s="75" t="s">
        <v>10</v>
      </c>
      <c r="I2961" s="75">
        <v>19489</v>
      </c>
      <c r="K2961" s="75" t="str">
        <f>IFERROR(VLOOKUP(J2961,'NQ10'!$B$9:$C$145,2,0),"")</f>
        <v/>
      </c>
    </row>
    <row r="2962" spans="1:11" ht="15" customHeight="1" x14ac:dyDescent="0.25">
      <c r="A2962" s="75">
        <v>23</v>
      </c>
      <c r="B2962" s="75">
        <v>13</v>
      </c>
      <c r="C2962" s="75" t="s">
        <v>10</v>
      </c>
      <c r="D2962" s="75">
        <v>2178</v>
      </c>
      <c r="F2962" s="75" t="s">
        <v>10</v>
      </c>
      <c r="H2962" s="75" t="s">
        <v>10</v>
      </c>
      <c r="I2962" s="75">
        <v>19489</v>
      </c>
      <c r="K2962" s="75" t="str">
        <f>IFERROR(VLOOKUP(J2962,'NQ10'!$B$9:$C$145,2,0),"")</f>
        <v/>
      </c>
    </row>
    <row r="2963" spans="1:11" ht="15" customHeight="1" x14ac:dyDescent="0.25">
      <c r="A2963" s="75">
        <v>23</v>
      </c>
      <c r="B2963" s="75">
        <v>14</v>
      </c>
      <c r="C2963" s="75" t="s">
        <v>10</v>
      </c>
      <c r="D2963" s="75">
        <v>226</v>
      </c>
      <c r="F2963" s="75" t="s">
        <v>10</v>
      </c>
      <c r="H2963" s="75" t="s">
        <v>10</v>
      </c>
      <c r="I2963" s="75">
        <v>19489</v>
      </c>
      <c r="K2963" s="75" t="str">
        <f>IFERROR(VLOOKUP(J2963,'NQ10'!$B$9:$C$145,2,0),"")</f>
        <v/>
      </c>
    </row>
    <row r="2964" spans="1:11" ht="15" customHeight="1" x14ac:dyDescent="0.25">
      <c r="A2964" s="75">
        <v>24</v>
      </c>
      <c r="B2964" s="75">
        <v>1</v>
      </c>
      <c r="C2964" s="75" t="s">
        <v>10</v>
      </c>
      <c r="D2964" s="75">
        <v>17250</v>
      </c>
      <c r="F2964" s="75" t="s">
        <v>10</v>
      </c>
      <c r="H2964" s="75" t="s">
        <v>10</v>
      </c>
      <c r="I2964" s="75">
        <v>19489</v>
      </c>
      <c r="K2964" s="75" t="str">
        <f>IFERROR(VLOOKUP(J2964,'NQ10'!$B$9:$C$145,2,0),"")</f>
        <v/>
      </c>
    </row>
    <row r="2965" spans="1:11" ht="15" customHeight="1" x14ac:dyDescent="0.25">
      <c r="A2965" s="75">
        <v>24</v>
      </c>
      <c r="B2965" s="75">
        <v>2</v>
      </c>
      <c r="C2965" s="75" t="s">
        <v>10</v>
      </c>
      <c r="D2965" s="75">
        <v>38445</v>
      </c>
      <c r="F2965" s="75" t="s">
        <v>10</v>
      </c>
      <c r="H2965" s="75" t="s">
        <v>10</v>
      </c>
      <c r="I2965" s="75">
        <v>19489</v>
      </c>
      <c r="K2965" s="75" t="str">
        <f>IFERROR(VLOOKUP(J2965,'NQ10'!$B$9:$C$145,2,0),"")</f>
        <v/>
      </c>
    </row>
    <row r="2966" spans="1:11" ht="15" customHeight="1" x14ac:dyDescent="0.25">
      <c r="A2966" s="75">
        <v>24</v>
      </c>
      <c r="B2966" s="75">
        <v>3</v>
      </c>
      <c r="C2966" s="75" t="s">
        <v>10</v>
      </c>
      <c r="D2966" s="75">
        <v>20665</v>
      </c>
      <c r="F2966" s="75" t="s">
        <v>10</v>
      </c>
      <c r="H2966" s="75" t="s">
        <v>10</v>
      </c>
      <c r="I2966" s="75">
        <v>19489</v>
      </c>
      <c r="K2966" s="75" t="str">
        <f>IFERROR(VLOOKUP(J2966,'NQ10'!$B$9:$C$145,2,0),"")</f>
        <v/>
      </c>
    </row>
    <row r="2967" spans="1:11" ht="15" customHeight="1" x14ac:dyDescent="0.25">
      <c r="A2967" s="75">
        <v>24</v>
      </c>
      <c r="B2967" s="75">
        <v>4</v>
      </c>
      <c r="C2967" s="75" t="s">
        <v>10</v>
      </c>
      <c r="D2967" s="75">
        <v>14193</v>
      </c>
      <c r="F2967" s="75" t="s">
        <v>10</v>
      </c>
      <c r="H2967" s="75" t="s">
        <v>10</v>
      </c>
      <c r="I2967" s="75">
        <v>19489</v>
      </c>
      <c r="K2967" s="75" t="str">
        <f>IFERROR(VLOOKUP(J2967,'NQ10'!$B$9:$C$145,2,0),"")</f>
        <v/>
      </c>
    </row>
    <row r="2968" spans="1:11" ht="15" customHeight="1" x14ac:dyDescent="0.25">
      <c r="A2968" s="75">
        <v>24</v>
      </c>
      <c r="B2968" s="75">
        <v>5</v>
      </c>
      <c r="C2968" s="75" t="s">
        <v>10</v>
      </c>
      <c r="D2968" s="75">
        <v>15183</v>
      </c>
      <c r="F2968" s="75" t="s">
        <v>10</v>
      </c>
      <c r="H2968" s="75" t="s">
        <v>10</v>
      </c>
      <c r="I2968" s="75">
        <v>19489</v>
      </c>
      <c r="K2968" s="75" t="str">
        <f>IFERROR(VLOOKUP(J2968,'NQ10'!$B$9:$C$145,2,0),"")</f>
        <v/>
      </c>
    </row>
    <row r="2969" spans="1:11" ht="15" customHeight="1" x14ac:dyDescent="0.25">
      <c r="A2969" s="75">
        <v>24</v>
      </c>
      <c r="B2969" s="75">
        <v>6</v>
      </c>
      <c r="C2969" s="75" t="s">
        <v>10</v>
      </c>
      <c r="D2969" s="75">
        <v>34749</v>
      </c>
      <c r="F2969" s="75" t="s">
        <v>10</v>
      </c>
      <c r="H2969" s="75" t="s">
        <v>10</v>
      </c>
      <c r="I2969" s="75">
        <v>19489</v>
      </c>
      <c r="K2969" s="75" t="str">
        <f>IFERROR(VLOOKUP(J2969,'NQ10'!$B$9:$C$145,2,0),"")</f>
        <v/>
      </c>
    </row>
    <row r="2970" spans="1:11" ht="15" customHeight="1" x14ac:dyDescent="0.25">
      <c r="A2970" s="75">
        <v>24</v>
      </c>
      <c r="B2970" s="75">
        <v>7</v>
      </c>
      <c r="C2970" s="75" t="s">
        <v>10</v>
      </c>
      <c r="D2970" s="75">
        <v>12328</v>
      </c>
      <c r="F2970" s="75" t="s">
        <v>10</v>
      </c>
      <c r="H2970" s="75" t="s">
        <v>10</v>
      </c>
      <c r="I2970" s="75">
        <v>19489</v>
      </c>
      <c r="K2970" s="75" t="str">
        <f>IFERROR(VLOOKUP(J2970,'NQ10'!$B$9:$C$145,2,0),"")</f>
        <v/>
      </c>
    </row>
    <row r="2971" spans="1:11" ht="15" customHeight="1" x14ac:dyDescent="0.25">
      <c r="A2971" s="75">
        <v>25</v>
      </c>
      <c r="C2971" s="75" t="s">
        <v>10</v>
      </c>
      <c r="D2971" s="75">
        <v>185617</v>
      </c>
      <c r="F2971" s="75" t="s">
        <v>10</v>
      </c>
      <c r="H2971" s="75" t="s">
        <v>10</v>
      </c>
      <c r="I2971" s="75">
        <v>19489</v>
      </c>
      <c r="K2971" s="75" t="str">
        <f>IFERROR(VLOOKUP(J2971,'NQ10'!$B$9:$C$145,2,0),"")</f>
        <v/>
      </c>
    </row>
    <row r="2972" spans="1:11" ht="15" customHeight="1" x14ac:dyDescent="0.25">
      <c r="A2972" s="75">
        <v>25</v>
      </c>
      <c r="C2972" s="75" t="s">
        <v>10</v>
      </c>
      <c r="D2972" s="75">
        <v>3140</v>
      </c>
      <c r="F2972" s="75" t="s">
        <v>10</v>
      </c>
      <c r="H2972" s="75" t="s">
        <v>10</v>
      </c>
      <c r="I2972" s="75">
        <v>19489</v>
      </c>
      <c r="K2972" s="75" t="str">
        <f>IFERROR(VLOOKUP(J2972,'NQ10'!$B$9:$C$145,2,0),"")</f>
        <v/>
      </c>
    </row>
    <row r="2973" spans="1:11" ht="15" customHeight="1" x14ac:dyDescent="0.25">
      <c r="A2973" s="75">
        <v>28</v>
      </c>
      <c r="C2973" s="75" t="s">
        <v>10</v>
      </c>
      <c r="D2973" s="75">
        <v>12921</v>
      </c>
      <c r="F2973" s="75" t="s">
        <v>10</v>
      </c>
      <c r="H2973" s="75" t="s">
        <v>10</v>
      </c>
      <c r="I2973" s="75">
        <v>19489</v>
      </c>
      <c r="K2973" s="75" t="str">
        <f>IFERROR(VLOOKUP(J2973,'NQ10'!$B$9:$C$145,2,0),"")</f>
        <v/>
      </c>
    </row>
    <row r="2974" spans="1:11" ht="15" customHeight="1" x14ac:dyDescent="0.25">
      <c r="A2974" s="75">
        <v>28</v>
      </c>
      <c r="C2974" s="75" t="s">
        <v>10</v>
      </c>
      <c r="D2974" s="75">
        <v>1293</v>
      </c>
      <c r="F2974" s="75" t="s">
        <v>10</v>
      </c>
      <c r="H2974" s="75" t="s">
        <v>10</v>
      </c>
      <c r="I2974" s="75">
        <v>19489</v>
      </c>
      <c r="K2974" s="75" t="str">
        <f>IFERROR(VLOOKUP(J2974,'NQ10'!$B$9:$C$145,2,0),"")</f>
        <v/>
      </c>
    </row>
    <row r="2975" spans="1:11" ht="15" customHeight="1" x14ac:dyDescent="0.25">
      <c r="A2975" s="75">
        <v>28</v>
      </c>
      <c r="C2975" s="75" t="s">
        <v>10</v>
      </c>
      <c r="D2975" s="75">
        <v>10563</v>
      </c>
      <c r="F2975" s="75" t="s">
        <v>10</v>
      </c>
      <c r="H2975" s="75" t="s">
        <v>10</v>
      </c>
      <c r="I2975" s="75">
        <v>19489</v>
      </c>
      <c r="K2975" s="75" t="str">
        <f>IFERROR(VLOOKUP(J2975,'NQ10'!$B$9:$C$145,2,0),"")</f>
        <v/>
      </c>
    </row>
    <row r="2976" spans="1:11" ht="15" customHeight="1" x14ac:dyDescent="0.25">
      <c r="A2976" s="75">
        <v>28</v>
      </c>
      <c r="C2976" s="75" t="s">
        <v>10</v>
      </c>
      <c r="D2976" s="75">
        <v>636</v>
      </c>
      <c r="F2976" s="75" t="s">
        <v>10</v>
      </c>
      <c r="H2976" s="75" t="s">
        <v>10</v>
      </c>
      <c r="I2976" s="75">
        <v>19489</v>
      </c>
      <c r="K2976" s="75" t="str">
        <f>IFERROR(VLOOKUP(J2976,'NQ10'!$B$9:$C$145,2,0),"")</f>
        <v/>
      </c>
    </row>
    <row r="2977" spans="1:11" ht="15" customHeight="1" x14ac:dyDescent="0.25">
      <c r="A2977" s="75">
        <v>28</v>
      </c>
      <c r="C2977" s="75" t="s">
        <v>10</v>
      </c>
      <c r="D2977" s="75">
        <v>18114</v>
      </c>
      <c r="F2977" s="75" t="s">
        <v>10</v>
      </c>
      <c r="H2977" s="75" t="s">
        <v>10</v>
      </c>
      <c r="I2977" s="75">
        <v>19489</v>
      </c>
      <c r="K2977" s="75" t="str">
        <f>IFERROR(VLOOKUP(J2977,'NQ10'!$B$9:$C$145,2,0),"")</f>
        <v/>
      </c>
    </row>
    <row r="2978" spans="1:11" ht="15" customHeight="1" x14ac:dyDescent="0.25">
      <c r="A2978" s="75">
        <v>28</v>
      </c>
      <c r="C2978" s="75" t="s">
        <v>10</v>
      </c>
      <c r="D2978" s="75">
        <v>85</v>
      </c>
      <c r="F2978" s="75" t="s">
        <v>10</v>
      </c>
      <c r="H2978" s="75" t="s">
        <v>10</v>
      </c>
      <c r="I2978" s="75">
        <v>19489</v>
      </c>
      <c r="K2978" s="75" t="str">
        <f>IFERROR(VLOOKUP(J2978,'NQ10'!$B$9:$C$145,2,0),"")</f>
        <v/>
      </c>
    </row>
    <row r="2979" spans="1:11" ht="15" customHeight="1" x14ac:dyDescent="0.25">
      <c r="A2979" s="75">
        <v>28</v>
      </c>
      <c r="C2979" s="75" t="s">
        <v>10</v>
      </c>
      <c r="D2979" s="75">
        <v>297</v>
      </c>
      <c r="F2979" s="75" t="s">
        <v>10</v>
      </c>
      <c r="H2979" s="75" t="s">
        <v>10</v>
      </c>
      <c r="I2979" s="75">
        <v>19489</v>
      </c>
      <c r="K2979" s="75" t="str">
        <f>IFERROR(VLOOKUP(J2979,'NQ10'!$B$9:$C$145,2,0),"")</f>
        <v/>
      </c>
    </row>
    <row r="2980" spans="1:11" ht="15" customHeight="1" x14ac:dyDescent="0.25">
      <c r="A2980" s="75">
        <v>28</v>
      </c>
      <c r="C2980" s="75" t="s">
        <v>10</v>
      </c>
      <c r="D2980" s="75">
        <v>991</v>
      </c>
      <c r="F2980" s="75" t="s">
        <v>10</v>
      </c>
      <c r="H2980" s="75" t="s">
        <v>10</v>
      </c>
      <c r="I2980" s="75">
        <v>19489</v>
      </c>
      <c r="K2980" s="75" t="str">
        <f>IFERROR(VLOOKUP(J2980,'NQ10'!$B$9:$C$145,2,0),"")</f>
        <v/>
      </c>
    </row>
    <row r="2981" spans="1:11" ht="15" customHeight="1" x14ac:dyDescent="0.25">
      <c r="A2981" s="75">
        <v>28</v>
      </c>
      <c r="C2981" s="75" t="s">
        <v>10</v>
      </c>
      <c r="D2981" s="75">
        <v>1344</v>
      </c>
      <c r="F2981" s="75" t="s">
        <v>10</v>
      </c>
      <c r="H2981" s="75" t="s">
        <v>10</v>
      </c>
      <c r="I2981" s="75">
        <v>19489</v>
      </c>
      <c r="K2981" s="75" t="str">
        <f>IFERROR(VLOOKUP(J2981,'NQ10'!$B$9:$C$145,2,0),"")</f>
        <v/>
      </c>
    </row>
    <row r="2982" spans="1:11" ht="15" customHeight="1" x14ac:dyDescent="0.25">
      <c r="A2982" s="75">
        <v>28</v>
      </c>
      <c r="C2982" s="75" t="s">
        <v>10</v>
      </c>
      <c r="D2982" s="75">
        <v>4151</v>
      </c>
      <c r="F2982" s="75" t="s">
        <v>10</v>
      </c>
      <c r="H2982" s="75" t="s">
        <v>10</v>
      </c>
      <c r="I2982" s="75">
        <v>19489</v>
      </c>
      <c r="K2982" s="75" t="str">
        <f>IFERROR(VLOOKUP(J2982,'NQ10'!$B$9:$C$145,2,0),"")</f>
        <v/>
      </c>
    </row>
    <row r="2983" spans="1:11" ht="15" customHeight="1" x14ac:dyDescent="0.25">
      <c r="A2983" s="75">
        <v>28</v>
      </c>
      <c r="C2983" s="75" t="s">
        <v>10</v>
      </c>
      <c r="D2983" s="75">
        <v>817</v>
      </c>
      <c r="F2983" s="75" t="s">
        <v>10</v>
      </c>
      <c r="H2983" s="75" t="s">
        <v>10</v>
      </c>
      <c r="I2983" s="75">
        <v>19489</v>
      </c>
      <c r="K2983" s="75" t="str">
        <f>IFERROR(VLOOKUP(J2983,'NQ10'!$B$9:$C$145,2,0),"")</f>
        <v/>
      </c>
    </row>
    <row r="2984" spans="1:11" ht="15" customHeight="1" x14ac:dyDescent="0.25">
      <c r="A2984" s="75">
        <v>28</v>
      </c>
      <c r="C2984" s="75" t="s">
        <v>10</v>
      </c>
      <c r="D2984" s="75">
        <v>156</v>
      </c>
      <c r="F2984" s="75" t="s">
        <v>10</v>
      </c>
      <c r="H2984" s="75" t="s">
        <v>10</v>
      </c>
      <c r="I2984" s="75">
        <v>19489</v>
      </c>
      <c r="K2984" s="75" t="str">
        <f>IFERROR(VLOOKUP(J2984,'NQ10'!$B$9:$C$145,2,0),"")</f>
        <v/>
      </c>
    </row>
    <row r="2985" spans="1:11" ht="15" customHeight="1" x14ac:dyDescent="0.25">
      <c r="A2985" s="75">
        <v>28</v>
      </c>
      <c r="C2985" s="75" t="s">
        <v>10</v>
      </c>
      <c r="D2985" s="75">
        <v>747</v>
      </c>
      <c r="F2985" s="75" t="s">
        <v>10</v>
      </c>
      <c r="H2985" s="75" t="s">
        <v>10</v>
      </c>
      <c r="I2985" s="75">
        <v>19489</v>
      </c>
      <c r="K2985" s="75" t="str">
        <f>IFERROR(VLOOKUP(J2985,'NQ10'!$B$9:$C$145,2,0),"")</f>
        <v/>
      </c>
    </row>
    <row r="2986" spans="1:11" ht="15" customHeight="1" x14ac:dyDescent="0.25">
      <c r="A2986" s="75">
        <v>28</v>
      </c>
      <c r="C2986" s="75" t="s">
        <v>10</v>
      </c>
      <c r="D2986" s="75">
        <v>3671</v>
      </c>
      <c r="F2986" s="75" t="s">
        <v>10</v>
      </c>
      <c r="H2986" s="75" t="s">
        <v>10</v>
      </c>
      <c r="I2986" s="75">
        <v>19489</v>
      </c>
      <c r="K2986" s="75" t="str">
        <f>IFERROR(VLOOKUP(J2986,'NQ10'!$B$9:$C$145,2,0),"")</f>
        <v/>
      </c>
    </row>
    <row r="2987" spans="1:11" ht="15" customHeight="1" x14ac:dyDescent="0.25">
      <c r="A2987" s="75">
        <v>28</v>
      </c>
      <c r="C2987" s="75" t="s">
        <v>10</v>
      </c>
      <c r="D2987" s="75">
        <v>642</v>
      </c>
      <c r="F2987" s="75" t="s">
        <v>10</v>
      </c>
      <c r="H2987" s="75" t="s">
        <v>10</v>
      </c>
      <c r="I2987" s="75">
        <v>19489</v>
      </c>
      <c r="K2987" s="75" t="str">
        <f>IFERROR(VLOOKUP(J2987,'NQ10'!$B$9:$C$145,2,0),"")</f>
        <v/>
      </c>
    </row>
    <row r="2988" spans="1:11" ht="15" customHeight="1" x14ac:dyDescent="0.25">
      <c r="A2988" s="75">
        <v>28</v>
      </c>
      <c r="C2988" s="75" t="s">
        <v>10</v>
      </c>
      <c r="D2988" s="75">
        <v>926</v>
      </c>
      <c r="F2988" s="75" t="s">
        <v>10</v>
      </c>
      <c r="H2988" s="75" t="s">
        <v>10</v>
      </c>
      <c r="I2988" s="75">
        <v>19489</v>
      </c>
      <c r="K2988" s="75" t="str">
        <f>IFERROR(VLOOKUP(J2988,'NQ10'!$B$9:$C$145,2,0),"")</f>
        <v/>
      </c>
    </row>
    <row r="2989" spans="1:11" ht="15" customHeight="1" x14ac:dyDescent="0.25">
      <c r="A2989" s="75">
        <v>28</v>
      </c>
      <c r="C2989" s="75" t="s">
        <v>10</v>
      </c>
      <c r="D2989" s="75">
        <v>11517</v>
      </c>
      <c r="F2989" s="75" t="s">
        <v>10</v>
      </c>
      <c r="H2989" s="75" t="s">
        <v>10</v>
      </c>
      <c r="I2989" s="75">
        <v>19489</v>
      </c>
      <c r="K2989" s="75" t="str">
        <f>IFERROR(VLOOKUP(J2989,'NQ10'!$B$9:$C$145,2,0),"")</f>
        <v/>
      </c>
    </row>
    <row r="2990" spans="1:11" ht="15" customHeight="1" x14ac:dyDescent="0.25">
      <c r="A2990" s="75">
        <v>28</v>
      </c>
      <c r="C2990" s="75" t="s">
        <v>10</v>
      </c>
      <c r="D2990" s="75">
        <v>1191</v>
      </c>
      <c r="F2990" s="75" t="s">
        <v>10</v>
      </c>
      <c r="H2990" s="75" t="s">
        <v>10</v>
      </c>
      <c r="I2990" s="75">
        <v>19489</v>
      </c>
      <c r="K2990" s="75" t="str">
        <f>IFERROR(VLOOKUP(J2990,'NQ10'!$B$9:$C$145,2,0),"")</f>
        <v/>
      </c>
    </row>
    <row r="2991" spans="1:11" ht="15" customHeight="1" x14ac:dyDescent="0.25">
      <c r="A2991" s="75">
        <v>28</v>
      </c>
      <c r="C2991" s="75" t="s">
        <v>10</v>
      </c>
      <c r="D2991" s="75">
        <v>4123</v>
      </c>
      <c r="F2991" s="75" t="s">
        <v>10</v>
      </c>
      <c r="H2991" s="75" t="s">
        <v>10</v>
      </c>
      <c r="I2991" s="75">
        <v>19489</v>
      </c>
      <c r="K2991" s="75" t="str">
        <f>IFERROR(VLOOKUP(J2991,'NQ10'!$B$9:$C$145,2,0),"")</f>
        <v/>
      </c>
    </row>
    <row r="2992" spans="1:11" ht="15" customHeight="1" x14ac:dyDescent="0.25">
      <c r="A2992" s="75">
        <v>28</v>
      </c>
      <c r="C2992" s="75" t="s">
        <v>10</v>
      </c>
      <c r="D2992" s="75">
        <v>4368</v>
      </c>
      <c r="F2992" s="75" t="s">
        <v>10</v>
      </c>
      <c r="H2992" s="75" t="s">
        <v>10</v>
      </c>
      <c r="I2992" s="75">
        <v>19489</v>
      </c>
      <c r="K2992" s="75" t="str">
        <f>IFERROR(VLOOKUP(J2992,'NQ10'!$B$9:$C$145,2,0),"")</f>
        <v/>
      </c>
    </row>
    <row r="2993" spans="1:11" ht="15" customHeight="1" x14ac:dyDescent="0.25">
      <c r="A2993" s="75">
        <v>28</v>
      </c>
      <c r="C2993" s="75" t="s">
        <v>10</v>
      </c>
      <c r="D2993" s="75">
        <v>3575</v>
      </c>
      <c r="F2993" s="75" t="s">
        <v>10</v>
      </c>
      <c r="H2993" s="75" t="s">
        <v>10</v>
      </c>
      <c r="I2993" s="75">
        <v>19489</v>
      </c>
      <c r="K2993" s="75" t="str">
        <f>IFERROR(VLOOKUP(J2993,'NQ10'!$B$9:$C$145,2,0),"")</f>
        <v/>
      </c>
    </row>
    <row r="2994" spans="1:11" ht="15" customHeight="1" x14ac:dyDescent="0.25">
      <c r="A2994" s="75">
        <v>28</v>
      </c>
      <c r="C2994" s="75" t="s">
        <v>10</v>
      </c>
      <c r="D2994" s="75">
        <v>18858</v>
      </c>
      <c r="F2994" s="75" t="s">
        <v>10</v>
      </c>
      <c r="H2994" s="75" t="s">
        <v>10</v>
      </c>
      <c r="I2994" s="75">
        <v>19489</v>
      </c>
      <c r="K2994" s="75" t="str">
        <f>IFERROR(VLOOKUP(J2994,'NQ10'!$B$9:$C$145,2,0),"")</f>
        <v/>
      </c>
    </row>
    <row r="2995" spans="1:11" ht="15" customHeight="1" x14ac:dyDescent="0.25">
      <c r="A2995" s="75">
        <v>28</v>
      </c>
      <c r="B2995" s="75">
        <v>1</v>
      </c>
      <c r="C2995" s="75" t="s">
        <v>10</v>
      </c>
      <c r="D2995" s="75">
        <v>10159</v>
      </c>
      <c r="F2995" s="75" t="s">
        <v>10</v>
      </c>
      <c r="H2995" s="75" t="s">
        <v>10</v>
      </c>
      <c r="I2995" s="75">
        <v>19489</v>
      </c>
      <c r="K2995" s="75" t="str">
        <f>IFERROR(VLOOKUP(J2995,'NQ10'!$B$9:$C$145,2,0),"")</f>
        <v/>
      </c>
    </row>
    <row r="2996" spans="1:11" ht="15" customHeight="1" x14ac:dyDescent="0.25">
      <c r="A2996" s="75">
        <v>28</v>
      </c>
      <c r="B2996" s="75">
        <v>2</v>
      </c>
      <c r="C2996" s="75" t="s">
        <v>10</v>
      </c>
      <c r="D2996" s="75">
        <v>1725</v>
      </c>
      <c r="F2996" s="75" t="s">
        <v>10</v>
      </c>
      <c r="H2996" s="75" t="s">
        <v>10</v>
      </c>
      <c r="I2996" s="75">
        <v>19489</v>
      </c>
      <c r="K2996" s="75" t="str">
        <f>IFERROR(VLOOKUP(J2996,'NQ10'!$B$9:$C$145,2,0),"")</f>
        <v/>
      </c>
    </row>
    <row r="2997" spans="1:11" ht="15" customHeight="1" x14ac:dyDescent="0.25">
      <c r="A2997" s="75">
        <v>28</v>
      </c>
      <c r="B2997" s="75">
        <v>3</v>
      </c>
      <c r="C2997" s="75" t="s">
        <v>10</v>
      </c>
      <c r="D2997" s="75">
        <v>5638</v>
      </c>
      <c r="F2997" s="75" t="s">
        <v>10</v>
      </c>
      <c r="H2997" s="75" t="s">
        <v>10</v>
      </c>
      <c r="I2997" s="75">
        <v>19489</v>
      </c>
      <c r="K2997" s="75" t="str">
        <f>IFERROR(VLOOKUP(J2997,'NQ10'!$B$9:$C$145,2,0),"")</f>
        <v/>
      </c>
    </row>
    <row r="2998" spans="1:11" ht="15" customHeight="1" x14ac:dyDescent="0.25">
      <c r="A2998" s="75">
        <v>28</v>
      </c>
      <c r="B2998" s="75">
        <v>4</v>
      </c>
      <c r="C2998" s="75" t="s">
        <v>10</v>
      </c>
      <c r="D2998" s="75">
        <v>12035</v>
      </c>
      <c r="F2998" s="75" t="s">
        <v>10</v>
      </c>
      <c r="H2998" s="75" t="s">
        <v>10</v>
      </c>
      <c r="I2998" s="75">
        <v>19489</v>
      </c>
      <c r="K2998" s="75" t="str">
        <f>IFERROR(VLOOKUP(J2998,'NQ10'!$B$9:$C$145,2,0),"")</f>
        <v/>
      </c>
    </row>
    <row r="2999" spans="1:11" ht="15" customHeight="1" x14ac:dyDescent="0.25">
      <c r="A2999" s="75">
        <v>28</v>
      </c>
      <c r="B2999" s="75">
        <v>5</v>
      </c>
      <c r="C2999" s="75" t="s">
        <v>10</v>
      </c>
      <c r="D2999" s="75">
        <v>6383</v>
      </c>
      <c r="F2999" s="75" t="s">
        <v>10</v>
      </c>
      <c r="H2999" s="75" t="s">
        <v>10</v>
      </c>
      <c r="I2999" s="75">
        <v>19489</v>
      </c>
      <c r="K2999" s="75" t="str">
        <f>IFERROR(VLOOKUP(J2999,'NQ10'!$B$9:$C$145,2,0),"")</f>
        <v/>
      </c>
    </row>
    <row r="3000" spans="1:11" ht="15" customHeight="1" x14ac:dyDescent="0.25">
      <c r="A3000" s="75">
        <v>28</v>
      </c>
      <c r="B3000" s="75">
        <v>6</v>
      </c>
      <c r="C3000" s="75" t="s">
        <v>10</v>
      </c>
      <c r="D3000" s="75">
        <v>4781</v>
      </c>
      <c r="F3000" s="75" t="s">
        <v>10</v>
      </c>
      <c r="H3000" s="75" t="s">
        <v>10</v>
      </c>
      <c r="I3000" s="75">
        <v>19489</v>
      </c>
      <c r="K3000" s="75" t="str">
        <f>IFERROR(VLOOKUP(J3000,'NQ10'!$B$9:$C$145,2,0),"")</f>
        <v/>
      </c>
    </row>
    <row r="3001" spans="1:11" ht="15" customHeight="1" x14ac:dyDescent="0.25">
      <c r="A3001" s="75">
        <v>28</v>
      </c>
      <c r="B3001" s="75">
        <v>7</v>
      </c>
      <c r="C3001" s="75" t="s">
        <v>10</v>
      </c>
      <c r="D3001" s="75">
        <v>2291</v>
      </c>
      <c r="F3001" s="75" t="s">
        <v>10</v>
      </c>
      <c r="H3001" s="75" t="s">
        <v>10</v>
      </c>
      <c r="I3001" s="75">
        <v>19489</v>
      </c>
      <c r="K3001" s="75" t="str">
        <f>IFERROR(VLOOKUP(J3001,'NQ10'!$B$9:$C$145,2,0),"")</f>
        <v/>
      </c>
    </row>
    <row r="3002" spans="1:11" ht="15" customHeight="1" x14ac:dyDescent="0.25">
      <c r="A3002" s="75">
        <v>28</v>
      </c>
      <c r="B3002" s="75">
        <v>9</v>
      </c>
      <c r="C3002" s="75" t="s">
        <v>10</v>
      </c>
      <c r="D3002" s="75">
        <v>17176</v>
      </c>
      <c r="F3002" s="75" t="s">
        <v>10</v>
      </c>
      <c r="H3002" s="75" t="s">
        <v>10</v>
      </c>
      <c r="I3002" s="75">
        <v>19489</v>
      </c>
      <c r="K3002" s="75" t="str">
        <f>IFERROR(VLOOKUP(J3002,'NQ10'!$B$9:$C$145,2,0),"")</f>
        <v/>
      </c>
    </row>
    <row r="3003" spans="1:11" ht="15" customHeight="1" x14ac:dyDescent="0.25">
      <c r="A3003" s="75">
        <v>28</v>
      </c>
      <c r="B3003" s="75">
        <v>10</v>
      </c>
      <c r="C3003" s="75" t="s">
        <v>10</v>
      </c>
      <c r="D3003" s="75">
        <v>4439</v>
      </c>
      <c r="F3003" s="75" t="s">
        <v>10</v>
      </c>
      <c r="H3003" s="75" t="s">
        <v>10</v>
      </c>
      <c r="I3003" s="75">
        <v>19489</v>
      </c>
      <c r="K3003" s="75" t="str">
        <f>IFERROR(VLOOKUP(J3003,'NQ10'!$B$9:$C$145,2,0),"")</f>
        <v/>
      </c>
    </row>
    <row r="3004" spans="1:11" ht="15" customHeight="1" x14ac:dyDescent="0.25">
      <c r="A3004" s="75">
        <v>28</v>
      </c>
      <c r="B3004" s="75">
        <v>11</v>
      </c>
      <c r="C3004" s="75" t="s">
        <v>10</v>
      </c>
      <c r="D3004" s="75">
        <v>38388</v>
      </c>
      <c r="F3004" s="75" t="s">
        <v>10</v>
      </c>
      <c r="H3004" s="75" t="s">
        <v>10</v>
      </c>
      <c r="I3004" s="75">
        <v>19489</v>
      </c>
      <c r="K3004" s="75" t="str">
        <f>IFERROR(VLOOKUP(J3004,'NQ10'!$B$9:$C$145,2,0),"")</f>
        <v/>
      </c>
    </row>
    <row r="3005" spans="1:11" ht="15" customHeight="1" x14ac:dyDescent="0.25">
      <c r="A3005" s="75">
        <v>28</v>
      </c>
      <c r="B3005" s="75">
        <v>13</v>
      </c>
      <c r="C3005" s="75" t="s">
        <v>10</v>
      </c>
      <c r="D3005" s="75">
        <v>11842</v>
      </c>
      <c r="F3005" s="75" t="s">
        <v>10</v>
      </c>
      <c r="H3005" s="75" t="s">
        <v>10</v>
      </c>
      <c r="I3005" s="75">
        <v>19489</v>
      </c>
      <c r="K3005" s="75" t="str">
        <f>IFERROR(VLOOKUP(J3005,'NQ10'!$B$9:$C$145,2,0),"")</f>
        <v/>
      </c>
    </row>
    <row r="3006" spans="1:11" ht="15" customHeight="1" x14ac:dyDescent="0.25">
      <c r="A3006" s="75">
        <v>28</v>
      </c>
      <c r="B3006" s="75">
        <v>15</v>
      </c>
      <c r="C3006" s="75" t="s">
        <v>10</v>
      </c>
      <c r="D3006" s="75">
        <v>330</v>
      </c>
      <c r="F3006" s="75" t="s">
        <v>10</v>
      </c>
      <c r="H3006" s="75" t="s">
        <v>10</v>
      </c>
      <c r="I3006" s="75">
        <v>19489</v>
      </c>
      <c r="K3006" s="75" t="str">
        <f>IFERROR(VLOOKUP(J3006,'NQ10'!$B$9:$C$145,2,0),"")</f>
        <v/>
      </c>
    </row>
    <row r="3007" spans="1:11" ht="15" customHeight="1" x14ac:dyDescent="0.25">
      <c r="A3007" s="75">
        <v>28</v>
      </c>
      <c r="B3007" s="75">
        <v>16</v>
      </c>
      <c r="C3007" s="75" t="s">
        <v>10</v>
      </c>
      <c r="D3007" s="75">
        <v>187</v>
      </c>
      <c r="F3007" s="75" t="s">
        <v>10</v>
      </c>
      <c r="H3007" s="75" t="s">
        <v>10</v>
      </c>
      <c r="I3007" s="75">
        <v>19489</v>
      </c>
      <c r="K3007" s="75" t="str">
        <f>IFERROR(VLOOKUP(J3007,'NQ10'!$B$9:$C$145,2,0),"")</f>
        <v/>
      </c>
    </row>
    <row r="3008" spans="1:11" ht="15" customHeight="1" x14ac:dyDescent="0.25">
      <c r="A3008" s="75">
        <v>28</v>
      </c>
      <c r="B3008" s="75">
        <v>17</v>
      </c>
      <c r="C3008" s="75" t="s">
        <v>10</v>
      </c>
      <c r="D3008" s="75">
        <v>7704</v>
      </c>
      <c r="F3008" s="75" t="s">
        <v>10</v>
      </c>
      <c r="H3008" s="75" t="s">
        <v>10</v>
      </c>
      <c r="I3008" s="75">
        <v>19489</v>
      </c>
      <c r="K3008" s="75" t="str">
        <f>IFERROR(VLOOKUP(J3008,'NQ10'!$B$9:$C$145,2,0),"")</f>
        <v/>
      </c>
    </row>
    <row r="3009" spans="1:11" ht="15" customHeight="1" x14ac:dyDescent="0.25">
      <c r="A3009" s="75">
        <v>28</v>
      </c>
      <c r="B3009" s="75">
        <v>18</v>
      </c>
      <c r="C3009" s="75" t="s">
        <v>10</v>
      </c>
      <c r="D3009" s="75">
        <v>19027</v>
      </c>
      <c r="F3009" s="75" t="s">
        <v>10</v>
      </c>
      <c r="H3009" s="75" t="s">
        <v>10</v>
      </c>
      <c r="I3009" s="75">
        <v>19489</v>
      </c>
      <c r="K3009" s="75" t="str">
        <f>IFERROR(VLOOKUP(J3009,'NQ10'!$B$9:$C$145,2,0),"")</f>
        <v/>
      </c>
    </row>
    <row r="3010" spans="1:11" ht="15" customHeight="1" x14ac:dyDescent="0.25">
      <c r="A3010" s="75">
        <v>28</v>
      </c>
      <c r="B3010" s="75">
        <v>19</v>
      </c>
      <c r="C3010" s="75" t="s">
        <v>10</v>
      </c>
      <c r="D3010" s="75">
        <v>5053</v>
      </c>
      <c r="F3010" s="75" t="s">
        <v>10</v>
      </c>
      <c r="H3010" s="75" t="s">
        <v>10</v>
      </c>
      <c r="I3010" s="75">
        <v>19489</v>
      </c>
      <c r="K3010" s="75" t="str">
        <f>IFERROR(VLOOKUP(J3010,'NQ10'!$B$9:$C$145,2,0),"")</f>
        <v/>
      </c>
    </row>
    <row r="3011" spans="1:11" ht="15" customHeight="1" x14ac:dyDescent="0.25">
      <c r="A3011" s="75">
        <v>28</v>
      </c>
      <c r="B3011" s="75">
        <v>20</v>
      </c>
      <c r="C3011" s="75" t="s">
        <v>10</v>
      </c>
      <c r="D3011" s="75">
        <v>304</v>
      </c>
      <c r="F3011" s="75" t="s">
        <v>10</v>
      </c>
      <c r="H3011" s="75" t="s">
        <v>10</v>
      </c>
      <c r="I3011" s="75">
        <v>19489</v>
      </c>
      <c r="K3011" s="75" t="str">
        <f>IFERROR(VLOOKUP(J3011,'NQ10'!$B$9:$C$145,2,0),"")</f>
        <v/>
      </c>
    </row>
    <row r="3012" spans="1:11" ht="15" customHeight="1" x14ac:dyDescent="0.25">
      <c r="A3012" s="75">
        <v>28</v>
      </c>
      <c r="B3012" s="75">
        <v>23</v>
      </c>
      <c r="C3012" s="75" t="s">
        <v>10</v>
      </c>
      <c r="D3012" s="75">
        <v>181</v>
      </c>
      <c r="F3012" s="75" t="s">
        <v>10</v>
      </c>
      <c r="H3012" s="75" t="s">
        <v>10</v>
      </c>
      <c r="I3012" s="75">
        <v>19489</v>
      </c>
      <c r="K3012" s="75" t="str">
        <f>IFERROR(VLOOKUP(J3012,'NQ10'!$B$9:$C$145,2,0),"")</f>
        <v/>
      </c>
    </row>
    <row r="3013" spans="1:11" ht="15" customHeight="1" x14ac:dyDescent="0.25">
      <c r="A3013" s="75">
        <v>28</v>
      </c>
      <c r="B3013" s="75">
        <v>24</v>
      </c>
      <c r="C3013" s="75" t="s">
        <v>10</v>
      </c>
      <c r="D3013" s="75">
        <v>14356</v>
      </c>
      <c r="F3013" s="75" t="s">
        <v>10</v>
      </c>
      <c r="H3013" s="75" t="s">
        <v>10</v>
      </c>
      <c r="I3013" s="75">
        <v>19489</v>
      </c>
      <c r="K3013" s="75" t="str">
        <f>IFERROR(VLOOKUP(J3013,'NQ10'!$B$9:$C$145,2,0),"")</f>
        <v/>
      </c>
    </row>
    <row r="3014" spans="1:11" ht="15" customHeight="1" x14ac:dyDescent="0.25">
      <c r="A3014" s="75">
        <v>28</v>
      </c>
      <c r="B3014" s="75">
        <v>25</v>
      </c>
      <c r="C3014" s="75" t="s">
        <v>10</v>
      </c>
      <c r="D3014" s="75">
        <v>139</v>
      </c>
      <c r="F3014" s="75" t="s">
        <v>10</v>
      </c>
      <c r="H3014" s="75" t="s">
        <v>10</v>
      </c>
      <c r="I3014" s="75">
        <v>19489</v>
      </c>
      <c r="K3014" s="75" t="str">
        <f>IFERROR(VLOOKUP(J3014,'NQ10'!$B$9:$C$145,2,0),"")</f>
        <v/>
      </c>
    </row>
    <row r="3015" spans="1:11" ht="15" customHeight="1" x14ac:dyDescent="0.25">
      <c r="A3015" s="75">
        <v>28</v>
      </c>
      <c r="B3015" s="75">
        <v>27</v>
      </c>
      <c r="C3015" s="75" t="s">
        <v>10</v>
      </c>
      <c r="D3015" s="75">
        <v>187</v>
      </c>
      <c r="F3015" s="75" t="s">
        <v>10</v>
      </c>
      <c r="H3015" s="75" t="s">
        <v>10</v>
      </c>
      <c r="I3015" s="75">
        <v>19489</v>
      </c>
      <c r="K3015" s="75" t="str">
        <f>IFERROR(VLOOKUP(J3015,'NQ10'!$B$9:$C$145,2,0),"")</f>
        <v/>
      </c>
    </row>
    <row r="3016" spans="1:11" ht="15" customHeight="1" x14ac:dyDescent="0.25">
      <c r="A3016" s="75">
        <v>28</v>
      </c>
      <c r="B3016" s="75">
        <v>28</v>
      </c>
      <c r="C3016" s="75" t="s">
        <v>10</v>
      </c>
      <c r="D3016" s="75">
        <v>23726</v>
      </c>
      <c r="F3016" s="75" t="s">
        <v>10</v>
      </c>
      <c r="H3016" s="75" t="s">
        <v>10</v>
      </c>
      <c r="I3016" s="75">
        <v>19489</v>
      </c>
      <c r="K3016" s="75" t="str">
        <f>IFERROR(VLOOKUP(J3016,'NQ10'!$B$9:$C$145,2,0),"")</f>
        <v/>
      </c>
    </row>
    <row r="3017" spans="1:11" ht="15" customHeight="1" x14ac:dyDescent="0.25">
      <c r="A3017" s="75">
        <v>28</v>
      </c>
      <c r="B3017" s="75">
        <v>29</v>
      </c>
      <c r="C3017" s="75" t="s">
        <v>10</v>
      </c>
      <c r="D3017" s="75">
        <v>660</v>
      </c>
      <c r="F3017" s="75" t="s">
        <v>10</v>
      </c>
      <c r="H3017" s="75" t="s">
        <v>10</v>
      </c>
      <c r="I3017" s="75">
        <v>19489</v>
      </c>
      <c r="K3017" s="75" t="str">
        <f>IFERROR(VLOOKUP(J3017,'NQ10'!$B$9:$C$145,2,0),"")</f>
        <v/>
      </c>
    </row>
    <row r="3018" spans="1:11" ht="15" customHeight="1" x14ac:dyDescent="0.25">
      <c r="A3018" s="75">
        <v>28</v>
      </c>
      <c r="B3018" s="75">
        <v>30</v>
      </c>
      <c r="C3018" s="75" t="s">
        <v>10</v>
      </c>
      <c r="D3018" s="75">
        <v>1658</v>
      </c>
      <c r="F3018" s="75" t="s">
        <v>10</v>
      </c>
      <c r="H3018" s="75" t="s">
        <v>10</v>
      </c>
      <c r="I3018" s="75">
        <v>19489</v>
      </c>
      <c r="K3018" s="75" t="str">
        <f>IFERROR(VLOOKUP(J3018,'NQ10'!$B$9:$C$145,2,0),"")</f>
        <v/>
      </c>
    </row>
    <row r="3019" spans="1:11" ht="15" customHeight="1" x14ac:dyDescent="0.25">
      <c r="A3019" s="75">
        <v>28</v>
      </c>
      <c r="B3019" s="75">
        <v>32</v>
      </c>
      <c r="C3019" s="75" t="s">
        <v>10</v>
      </c>
      <c r="D3019" s="75">
        <v>1733</v>
      </c>
      <c r="F3019" s="75" t="s">
        <v>10</v>
      </c>
      <c r="H3019" s="75" t="s">
        <v>10</v>
      </c>
      <c r="I3019" s="75">
        <v>19489</v>
      </c>
      <c r="K3019" s="75" t="str">
        <f>IFERROR(VLOOKUP(J3019,'NQ10'!$B$9:$C$145,2,0),"")</f>
        <v/>
      </c>
    </row>
    <row r="3020" spans="1:11" ht="15" customHeight="1" x14ac:dyDescent="0.25">
      <c r="A3020" s="75">
        <v>28</v>
      </c>
      <c r="B3020" s="75">
        <v>35</v>
      </c>
      <c r="C3020" s="75" t="s">
        <v>10</v>
      </c>
      <c r="D3020" s="75">
        <v>3460</v>
      </c>
      <c r="F3020" s="75" t="s">
        <v>10</v>
      </c>
      <c r="H3020" s="75" t="s">
        <v>10</v>
      </c>
      <c r="I3020" s="75">
        <v>19489</v>
      </c>
      <c r="K3020" s="75" t="str">
        <f>IFERROR(VLOOKUP(J3020,'NQ10'!$B$9:$C$145,2,0),"")</f>
        <v/>
      </c>
    </row>
    <row r="3021" spans="1:11" ht="15" customHeight="1" x14ac:dyDescent="0.25">
      <c r="A3021" s="75">
        <v>28</v>
      </c>
      <c r="B3021" s="75">
        <v>36</v>
      </c>
      <c r="C3021" s="75" t="s">
        <v>10</v>
      </c>
      <c r="D3021" s="75">
        <v>5640</v>
      </c>
      <c r="F3021" s="75" t="s">
        <v>10</v>
      </c>
      <c r="H3021" s="75" t="s">
        <v>10</v>
      </c>
      <c r="I3021" s="75">
        <v>19489</v>
      </c>
      <c r="K3021" s="75" t="str">
        <f>IFERROR(VLOOKUP(J3021,'NQ10'!$B$9:$C$145,2,0),"")</f>
        <v/>
      </c>
    </row>
    <row r="3022" spans="1:11" ht="15" customHeight="1" x14ac:dyDescent="0.25">
      <c r="A3022" s="75">
        <v>28</v>
      </c>
      <c r="B3022" s="75">
        <v>37</v>
      </c>
      <c r="C3022" s="75" t="s">
        <v>10</v>
      </c>
      <c r="D3022" s="75">
        <v>5016</v>
      </c>
      <c r="F3022" s="75" t="s">
        <v>10</v>
      </c>
      <c r="H3022" s="75" t="s">
        <v>10</v>
      </c>
      <c r="I3022" s="75">
        <v>19489</v>
      </c>
      <c r="K3022" s="75" t="str">
        <f>IFERROR(VLOOKUP(J3022,'NQ10'!$B$9:$C$145,2,0),"")</f>
        <v/>
      </c>
    </row>
    <row r="3023" spans="1:11" ht="15" customHeight="1" x14ac:dyDescent="0.25">
      <c r="A3023" s="75">
        <v>28</v>
      </c>
      <c r="B3023" s="75">
        <v>38</v>
      </c>
      <c r="C3023" s="75" t="s">
        <v>10</v>
      </c>
      <c r="D3023" s="75">
        <v>7824</v>
      </c>
      <c r="F3023" s="75" t="s">
        <v>10</v>
      </c>
      <c r="H3023" s="75" t="s">
        <v>10</v>
      </c>
      <c r="I3023" s="75">
        <v>19489</v>
      </c>
      <c r="K3023" s="75" t="str">
        <f>IFERROR(VLOOKUP(J3023,'NQ10'!$B$9:$C$145,2,0),"")</f>
        <v/>
      </c>
    </row>
    <row r="3024" spans="1:11" ht="15" customHeight="1" x14ac:dyDescent="0.25">
      <c r="A3024" s="75">
        <v>28</v>
      </c>
      <c r="B3024" s="75">
        <v>40</v>
      </c>
      <c r="C3024" s="75" t="s">
        <v>10</v>
      </c>
      <c r="D3024" s="75">
        <v>18069</v>
      </c>
      <c r="F3024" s="75" t="s">
        <v>10</v>
      </c>
      <c r="H3024" s="75" t="s">
        <v>10</v>
      </c>
      <c r="I3024" s="75">
        <v>19489</v>
      </c>
      <c r="K3024" s="75" t="str">
        <f>IFERROR(VLOOKUP(J3024,'NQ10'!$B$9:$C$145,2,0),"")</f>
        <v/>
      </c>
    </row>
    <row r="3025" spans="1:11" ht="15" customHeight="1" x14ac:dyDescent="0.25">
      <c r="A3025" s="75">
        <v>28</v>
      </c>
      <c r="B3025" s="75">
        <v>41</v>
      </c>
      <c r="C3025" s="75" t="s">
        <v>10</v>
      </c>
      <c r="D3025" s="75">
        <v>5190</v>
      </c>
      <c r="F3025" s="75" t="s">
        <v>10</v>
      </c>
      <c r="H3025" s="75" t="s">
        <v>10</v>
      </c>
      <c r="I3025" s="75">
        <v>19489</v>
      </c>
      <c r="K3025" s="75" t="str">
        <f>IFERROR(VLOOKUP(J3025,'NQ10'!$B$9:$C$145,2,0),"")</f>
        <v/>
      </c>
    </row>
    <row r="3026" spans="1:11" ht="15" customHeight="1" x14ac:dyDescent="0.25">
      <c r="A3026" s="75">
        <v>28</v>
      </c>
      <c r="B3026" s="75">
        <v>43</v>
      </c>
      <c r="C3026" s="75" t="s">
        <v>10</v>
      </c>
      <c r="D3026" s="75">
        <v>7059</v>
      </c>
      <c r="F3026" s="75" t="s">
        <v>10</v>
      </c>
      <c r="H3026" s="75" t="s">
        <v>10</v>
      </c>
      <c r="I3026" s="75">
        <v>19489</v>
      </c>
      <c r="K3026" s="75" t="str">
        <f>IFERROR(VLOOKUP(J3026,'NQ10'!$B$9:$C$145,2,0),"")</f>
        <v/>
      </c>
    </row>
    <row r="3027" spans="1:11" ht="15" customHeight="1" x14ac:dyDescent="0.25">
      <c r="A3027" s="75">
        <v>28</v>
      </c>
      <c r="B3027" s="75">
        <v>44</v>
      </c>
      <c r="C3027" s="75" t="s">
        <v>10</v>
      </c>
      <c r="D3027" s="75">
        <v>10192</v>
      </c>
      <c r="F3027" s="75" t="s">
        <v>10</v>
      </c>
      <c r="H3027" s="75" t="s">
        <v>10</v>
      </c>
      <c r="I3027" s="75">
        <v>19489</v>
      </c>
      <c r="K3027" s="75" t="str">
        <f>IFERROR(VLOOKUP(J3027,'NQ10'!$B$9:$C$145,2,0),"")</f>
        <v/>
      </c>
    </row>
    <row r="3028" spans="1:11" ht="15" customHeight="1" x14ac:dyDescent="0.25">
      <c r="A3028" s="75">
        <v>28</v>
      </c>
      <c r="B3028" s="75">
        <v>45</v>
      </c>
      <c r="C3028" s="75" t="s">
        <v>10</v>
      </c>
      <c r="D3028" s="75">
        <v>12139</v>
      </c>
      <c r="F3028" s="75" t="s">
        <v>10</v>
      </c>
      <c r="H3028" s="75" t="s">
        <v>10</v>
      </c>
      <c r="I3028" s="75">
        <v>19489</v>
      </c>
      <c r="K3028" s="75" t="str">
        <f>IFERROR(VLOOKUP(J3028,'NQ10'!$B$9:$C$145,2,0),"")</f>
        <v/>
      </c>
    </row>
    <row r="3029" spans="1:11" ht="15" customHeight="1" x14ac:dyDescent="0.25">
      <c r="A3029" s="75">
        <v>28</v>
      </c>
      <c r="B3029" s="75">
        <v>47</v>
      </c>
      <c r="C3029" s="75" t="s">
        <v>10</v>
      </c>
      <c r="D3029" s="75">
        <v>4059</v>
      </c>
      <c r="F3029" s="75" t="s">
        <v>10</v>
      </c>
      <c r="H3029" s="75" t="s">
        <v>10</v>
      </c>
      <c r="I3029" s="75">
        <v>19489</v>
      </c>
      <c r="K3029" s="75" t="str">
        <f>IFERROR(VLOOKUP(J3029,'NQ10'!$B$9:$C$145,2,0),"")</f>
        <v/>
      </c>
    </row>
    <row r="3030" spans="1:11" ht="15" customHeight="1" x14ac:dyDescent="0.25">
      <c r="A3030" s="75">
        <v>28</v>
      </c>
      <c r="B3030" s="75">
        <v>48</v>
      </c>
      <c r="C3030" s="75" t="s">
        <v>10</v>
      </c>
      <c r="D3030" s="75">
        <v>4499</v>
      </c>
      <c r="F3030" s="75" t="s">
        <v>10</v>
      </c>
      <c r="H3030" s="75" t="s">
        <v>10</v>
      </c>
      <c r="I3030" s="75">
        <v>19489</v>
      </c>
      <c r="K3030" s="75" t="str">
        <f>IFERROR(VLOOKUP(J3030,'NQ10'!$B$9:$C$145,2,0),"")</f>
        <v/>
      </c>
    </row>
    <row r="3031" spans="1:11" ht="15" customHeight="1" x14ac:dyDescent="0.25">
      <c r="A3031" s="75">
        <v>28</v>
      </c>
      <c r="B3031" s="75">
        <v>49</v>
      </c>
      <c r="C3031" s="75" t="s">
        <v>10</v>
      </c>
      <c r="D3031" s="75">
        <v>1871</v>
      </c>
      <c r="F3031" s="75" t="s">
        <v>10</v>
      </c>
      <c r="H3031" s="75" t="s">
        <v>10</v>
      </c>
      <c r="I3031" s="75">
        <v>19489</v>
      </c>
      <c r="K3031" s="75" t="str">
        <f>IFERROR(VLOOKUP(J3031,'NQ10'!$B$9:$C$145,2,0),"")</f>
        <v/>
      </c>
    </row>
    <row r="3032" spans="1:11" ht="15" customHeight="1" x14ac:dyDescent="0.25">
      <c r="A3032" s="75">
        <v>28</v>
      </c>
      <c r="B3032" s="75">
        <v>50</v>
      </c>
      <c r="C3032" s="75" t="s">
        <v>10</v>
      </c>
      <c r="D3032" s="75">
        <v>3503</v>
      </c>
      <c r="F3032" s="75" t="s">
        <v>10</v>
      </c>
      <c r="H3032" s="75" t="s">
        <v>10</v>
      </c>
      <c r="I3032" s="75">
        <v>19489</v>
      </c>
      <c r="K3032" s="75" t="str">
        <f>IFERROR(VLOOKUP(J3032,'NQ10'!$B$9:$C$145,2,0),"")</f>
        <v/>
      </c>
    </row>
    <row r="3033" spans="1:11" ht="15" customHeight="1" x14ac:dyDescent="0.25">
      <c r="A3033" s="75">
        <v>28</v>
      </c>
      <c r="B3033" s="75">
        <v>51</v>
      </c>
      <c r="C3033" s="75" t="s">
        <v>10</v>
      </c>
      <c r="D3033" s="75">
        <v>1367</v>
      </c>
      <c r="F3033" s="75" t="s">
        <v>10</v>
      </c>
      <c r="H3033" s="75" t="s">
        <v>10</v>
      </c>
      <c r="I3033" s="75">
        <v>19489</v>
      </c>
      <c r="K3033" s="75" t="str">
        <f>IFERROR(VLOOKUP(J3033,'NQ10'!$B$9:$C$145,2,0),"")</f>
        <v/>
      </c>
    </row>
    <row r="3034" spans="1:11" ht="15" customHeight="1" x14ac:dyDescent="0.25">
      <c r="A3034" s="75">
        <v>28</v>
      </c>
      <c r="B3034" s="75">
        <v>52</v>
      </c>
      <c r="C3034" s="75" t="s">
        <v>10</v>
      </c>
      <c r="D3034" s="75">
        <v>13037</v>
      </c>
      <c r="F3034" s="75" t="s">
        <v>10</v>
      </c>
      <c r="H3034" s="75" t="s">
        <v>10</v>
      </c>
      <c r="I3034" s="75">
        <v>19489</v>
      </c>
      <c r="K3034" s="75" t="str">
        <f>IFERROR(VLOOKUP(J3034,'NQ10'!$B$9:$C$145,2,0),"")</f>
        <v/>
      </c>
    </row>
    <row r="3035" spans="1:11" ht="15" customHeight="1" x14ac:dyDescent="0.25">
      <c r="A3035" s="75">
        <v>28</v>
      </c>
      <c r="B3035" s="75">
        <v>53</v>
      </c>
      <c r="C3035" s="75" t="s">
        <v>10</v>
      </c>
      <c r="D3035" s="75">
        <v>216</v>
      </c>
      <c r="F3035" s="75" t="s">
        <v>10</v>
      </c>
      <c r="H3035" s="75" t="s">
        <v>10</v>
      </c>
      <c r="I3035" s="75">
        <v>19489</v>
      </c>
      <c r="K3035" s="75" t="str">
        <f>IFERROR(VLOOKUP(J3035,'NQ10'!$B$9:$C$145,2,0),"")</f>
        <v/>
      </c>
    </row>
    <row r="3036" spans="1:11" ht="15" customHeight="1" x14ac:dyDescent="0.25">
      <c r="A3036" s="75">
        <v>28</v>
      </c>
      <c r="B3036" s="75">
        <v>55</v>
      </c>
      <c r="C3036" s="75" t="s">
        <v>10</v>
      </c>
      <c r="D3036" s="75">
        <v>414</v>
      </c>
      <c r="F3036" s="75" t="s">
        <v>10</v>
      </c>
      <c r="H3036" s="75" t="s">
        <v>10</v>
      </c>
      <c r="I3036" s="75">
        <v>19489</v>
      </c>
      <c r="K3036" s="75" t="str">
        <f>IFERROR(VLOOKUP(J3036,'NQ10'!$B$9:$C$145,2,0),"")</f>
        <v/>
      </c>
    </row>
    <row r="3037" spans="1:11" ht="15" customHeight="1" x14ac:dyDescent="0.25">
      <c r="A3037" s="75">
        <v>28</v>
      </c>
      <c r="B3037" s="75">
        <v>56</v>
      </c>
      <c r="C3037" s="75" t="s">
        <v>10</v>
      </c>
      <c r="D3037" s="75">
        <v>543</v>
      </c>
      <c r="F3037" s="75" t="s">
        <v>10</v>
      </c>
      <c r="H3037" s="75" t="s">
        <v>10</v>
      </c>
      <c r="I3037" s="75">
        <v>19489</v>
      </c>
      <c r="K3037" s="75" t="str">
        <f>IFERROR(VLOOKUP(J3037,'NQ10'!$B$9:$C$145,2,0),"")</f>
        <v/>
      </c>
    </row>
    <row r="3038" spans="1:11" ht="15" customHeight="1" x14ac:dyDescent="0.25">
      <c r="A3038" s="75">
        <v>28</v>
      </c>
      <c r="B3038" s="75">
        <v>57</v>
      </c>
      <c r="C3038" s="75" t="s">
        <v>10</v>
      </c>
      <c r="D3038" s="75">
        <v>136</v>
      </c>
      <c r="F3038" s="75" t="s">
        <v>10</v>
      </c>
      <c r="H3038" s="75" t="s">
        <v>10</v>
      </c>
      <c r="I3038" s="75">
        <v>19489</v>
      </c>
      <c r="K3038" s="75" t="str">
        <f>IFERROR(VLOOKUP(J3038,'NQ10'!$B$9:$C$145,2,0),"")</f>
        <v/>
      </c>
    </row>
    <row r="3039" spans="1:11" ht="15" customHeight="1" x14ac:dyDescent="0.25">
      <c r="A3039" s="75">
        <v>28</v>
      </c>
      <c r="B3039" s="75">
        <v>58</v>
      </c>
      <c r="C3039" s="75" t="s">
        <v>10</v>
      </c>
      <c r="D3039" s="75">
        <v>99</v>
      </c>
      <c r="F3039" s="75" t="s">
        <v>10</v>
      </c>
      <c r="H3039" s="75" t="s">
        <v>10</v>
      </c>
      <c r="I3039" s="75">
        <v>19489</v>
      </c>
      <c r="K3039" s="75" t="str">
        <f>IFERROR(VLOOKUP(J3039,'NQ10'!$B$9:$C$145,2,0),"")</f>
        <v/>
      </c>
    </row>
    <row r="3040" spans="1:11" ht="15" customHeight="1" x14ac:dyDescent="0.25">
      <c r="A3040" s="75">
        <v>28</v>
      </c>
      <c r="B3040" s="75">
        <v>59</v>
      </c>
      <c r="C3040" s="75" t="s">
        <v>10</v>
      </c>
      <c r="D3040" s="75">
        <v>716</v>
      </c>
      <c r="F3040" s="75" t="s">
        <v>10</v>
      </c>
      <c r="H3040" s="75" t="s">
        <v>10</v>
      </c>
      <c r="I3040" s="75">
        <v>19489</v>
      </c>
      <c r="K3040" s="75" t="str">
        <f>IFERROR(VLOOKUP(J3040,'NQ10'!$B$9:$C$145,2,0),"")</f>
        <v/>
      </c>
    </row>
    <row r="3041" spans="1:11" ht="15" customHeight="1" x14ac:dyDescent="0.25">
      <c r="A3041" s="75">
        <v>28</v>
      </c>
      <c r="B3041" s="75">
        <v>60</v>
      </c>
      <c r="C3041" s="75" t="s">
        <v>10</v>
      </c>
      <c r="D3041" s="75">
        <v>377</v>
      </c>
      <c r="F3041" s="75" t="s">
        <v>10</v>
      </c>
      <c r="H3041" s="75" t="s">
        <v>10</v>
      </c>
      <c r="I3041" s="75">
        <v>19489</v>
      </c>
      <c r="K3041" s="75" t="str">
        <f>IFERROR(VLOOKUP(J3041,'NQ10'!$B$9:$C$145,2,0),"")</f>
        <v/>
      </c>
    </row>
    <row r="3042" spans="1:11" ht="15" customHeight="1" x14ac:dyDescent="0.25">
      <c r="A3042" s="75">
        <v>28</v>
      </c>
      <c r="B3042" s="75">
        <v>61</v>
      </c>
      <c r="C3042" s="75" t="s">
        <v>10</v>
      </c>
      <c r="D3042" s="75">
        <v>423</v>
      </c>
      <c r="F3042" s="75" t="s">
        <v>10</v>
      </c>
      <c r="H3042" s="75" t="s">
        <v>10</v>
      </c>
      <c r="I3042" s="75">
        <v>19489</v>
      </c>
      <c r="K3042" s="75" t="str">
        <f>IFERROR(VLOOKUP(J3042,'NQ10'!$B$9:$C$145,2,0),"")</f>
        <v/>
      </c>
    </row>
    <row r="3043" spans="1:11" ht="15" customHeight="1" x14ac:dyDescent="0.25">
      <c r="A3043" s="75">
        <v>28</v>
      </c>
      <c r="B3043" s="75">
        <v>62</v>
      </c>
      <c r="C3043" s="75" t="s">
        <v>10</v>
      </c>
      <c r="D3043" s="75">
        <v>1502</v>
      </c>
      <c r="F3043" s="75" t="s">
        <v>10</v>
      </c>
      <c r="H3043" s="75" t="s">
        <v>10</v>
      </c>
      <c r="I3043" s="75">
        <v>19489</v>
      </c>
      <c r="K3043" s="75" t="str">
        <f>IFERROR(VLOOKUP(J3043,'NQ10'!$B$9:$C$145,2,0),"")</f>
        <v/>
      </c>
    </row>
    <row r="3044" spans="1:11" ht="15" customHeight="1" x14ac:dyDescent="0.25">
      <c r="A3044" s="75">
        <v>28</v>
      </c>
      <c r="B3044" s="75">
        <v>64</v>
      </c>
      <c r="C3044" s="75" t="s">
        <v>10</v>
      </c>
      <c r="D3044" s="75">
        <v>5371</v>
      </c>
      <c r="F3044" s="75" t="s">
        <v>10</v>
      </c>
      <c r="H3044" s="75" t="s">
        <v>10</v>
      </c>
      <c r="I3044" s="75">
        <v>19489</v>
      </c>
      <c r="K3044" s="75" t="str">
        <f>IFERROR(VLOOKUP(J3044,'NQ10'!$B$9:$C$145,2,0),"")</f>
        <v/>
      </c>
    </row>
    <row r="3045" spans="1:11" ht="15" customHeight="1" x14ac:dyDescent="0.25">
      <c r="A3045" s="75">
        <v>28</v>
      </c>
      <c r="B3045" s="75">
        <v>65</v>
      </c>
      <c r="C3045" s="75" t="s">
        <v>10</v>
      </c>
      <c r="D3045" s="75">
        <v>5083</v>
      </c>
      <c r="F3045" s="75" t="s">
        <v>10</v>
      </c>
      <c r="H3045" s="75" t="s">
        <v>10</v>
      </c>
      <c r="I3045" s="75">
        <v>19489</v>
      </c>
      <c r="K3045" s="75" t="str">
        <f>IFERROR(VLOOKUP(J3045,'NQ10'!$B$9:$C$145,2,0),"")</f>
        <v/>
      </c>
    </row>
    <row r="3046" spans="1:11" ht="15" customHeight="1" x14ac:dyDescent="0.25">
      <c r="A3046" s="75">
        <v>28</v>
      </c>
      <c r="B3046" s="75">
        <v>66</v>
      </c>
      <c r="C3046" s="75" t="s">
        <v>10</v>
      </c>
      <c r="D3046" s="75">
        <v>916</v>
      </c>
      <c r="F3046" s="75" t="s">
        <v>10</v>
      </c>
      <c r="H3046" s="75" t="s">
        <v>10</v>
      </c>
      <c r="I3046" s="75">
        <v>19489</v>
      </c>
      <c r="K3046" s="75" t="str">
        <f>IFERROR(VLOOKUP(J3046,'NQ10'!$B$9:$C$145,2,0),"")</f>
        <v/>
      </c>
    </row>
    <row r="3047" spans="1:11" ht="15" customHeight="1" x14ac:dyDescent="0.25">
      <c r="A3047" s="75">
        <v>28</v>
      </c>
      <c r="B3047" s="75">
        <v>67</v>
      </c>
      <c r="C3047" s="75" t="s">
        <v>10</v>
      </c>
      <c r="D3047" s="75">
        <v>506</v>
      </c>
      <c r="F3047" s="75" t="s">
        <v>10</v>
      </c>
      <c r="H3047" s="75" t="s">
        <v>10</v>
      </c>
      <c r="I3047" s="75">
        <v>19489</v>
      </c>
      <c r="K3047" s="75" t="str">
        <f>IFERROR(VLOOKUP(J3047,'NQ10'!$B$9:$C$145,2,0),"")</f>
        <v/>
      </c>
    </row>
    <row r="3048" spans="1:11" ht="15" customHeight="1" x14ac:dyDescent="0.25">
      <c r="A3048" s="75">
        <v>28</v>
      </c>
      <c r="B3048" s="75">
        <v>68</v>
      </c>
      <c r="C3048" s="75" t="s">
        <v>10</v>
      </c>
      <c r="D3048" s="75">
        <v>866</v>
      </c>
      <c r="F3048" s="75" t="s">
        <v>10</v>
      </c>
      <c r="H3048" s="75" t="s">
        <v>10</v>
      </c>
      <c r="I3048" s="75">
        <v>19489</v>
      </c>
      <c r="K3048" s="75" t="str">
        <f>IFERROR(VLOOKUP(J3048,'NQ10'!$B$9:$C$145,2,0),"")</f>
        <v/>
      </c>
    </row>
    <row r="3049" spans="1:11" ht="15" customHeight="1" x14ac:dyDescent="0.25">
      <c r="A3049" s="75">
        <v>28</v>
      </c>
      <c r="B3049" s="75">
        <v>69</v>
      </c>
      <c r="C3049" s="75" t="s">
        <v>10</v>
      </c>
      <c r="D3049" s="75">
        <v>1032</v>
      </c>
      <c r="F3049" s="75" t="s">
        <v>10</v>
      </c>
      <c r="H3049" s="75" t="s">
        <v>10</v>
      </c>
      <c r="I3049" s="75">
        <v>19489</v>
      </c>
      <c r="K3049" s="75" t="str">
        <f>IFERROR(VLOOKUP(J3049,'NQ10'!$B$9:$C$145,2,0),"")</f>
        <v/>
      </c>
    </row>
    <row r="3050" spans="1:11" ht="15" customHeight="1" x14ac:dyDescent="0.25">
      <c r="A3050" s="75">
        <v>28</v>
      </c>
      <c r="B3050" s="75">
        <v>71</v>
      </c>
      <c r="C3050" s="75" t="s">
        <v>10</v>
      </c>
      <c r="D3050" s="75">
        <v>236</v>
      </c>
      <c r="F3050" s="75" t="s">
        <v>10</v>
      </c>
      <c r="H3050" s="75" t="s">
        <v>10</v>
      </c>
      <c r="I3050" s="75">
        <v>19489</v>
      </c>
      <c r="K3050" s="75" t="str">
        <f>IFERROR(VLOOKUP(J3050,'NQ10'!$B$9:$C$145,2,0),"")</f>
        <v/>
      </c>
    </row>
    <row r="3051" spans="1:11" ht="15" customHeight="1" x14ac:dyDescent="0.25">
      <c r="A3051" s="75">
        <v>28</v>
      </c>
      <c r="B3051" s="75">
        <v>72</v>
      </c>
      <c r="C3051" s="75" t="s">
        <v>10</v>
      </c>
      <c r="D3051" s="75">
        <v>2999</v>
      </c>
      <c r="F3051" s="75" t="s">
        <v>10</v>
      </c>
      <c r="H3051" s="75" t="s">
        <v>10</v>
      </c>
      <c r="I3051" s="75">
        <v>19489</v>
      </c>
      <c r="K3051" s="75" t="str">
        <f>IFERROR(VLOOKUP(J3051,'NQ10'!$B$9:$C$145,2,0),"")</f>
        <v/>
      </c>
    </row>
    <row r="3052" spans="1:11" ht="15" customHeight="1" x14ac:dyDescent="0.25">
      <c r="A3052" s="75">
        <v>28</v>
      </c>
      <c r="B3052" s="75">
        <v>73</v>
      </c>
      <c r="C3052" s="75" t="s">
        <v>10</v>
      </c>
      <c r="D3052" s="75">
        <v>427</v>
      </c>
      <c r="F3052" s="75" t="s">
        <v>10</v>
      </c>
      <c r="H3052" s="75" t="s">
        <v>10</v>
      </c>
      <c r="I3052" s="75">
        <v>19489</v>
      </c>
      <c r="K3052" s="75" t="str">
        <f>IFERROR(VLOOKUP(J3052,'NQ10'!$B$9:$C$145,2,0),"")</f>
        <v/>
      </c>
    </row>
    <row r="3053" spans="1:11" ht="15" customHeight="1" x14ac:dyDescent="0.25">
      <c r="A3053" s="75">
        <v>28</v>
      </c>
      <c r="B3053" s="75">
        <v>74</v>
      </c>
      <c r="C3053" s="75" t="s">
        <v>10</v>
      </c>
      <c r="D3053" s="75">
        <v>660</v>
      </c>
      <c r="F3053" s="75" t="s">
        <v>10</v>
      </c>
      <c r="H3053" s="75" t="s">
        <v>10</v>
      </c>
      <c r="I3053" s="75">
        <v>19489</v>
      </c>
      <c r="K3053" s="75" t="str">
        <f>IFERROR(VLOOKUP(J3053,'NQ10'!$B$9:$C$145,2,0),"")</f>
        <v/>
      </c>
    </row>
    <row r="3054" spans="1:11" ht="15" customHeight="1" x14ac:dyDescent="0.25">
      <c r="A3054" s="75">
        <v>28</v>
      </c>
      <c r="B3054" s="75">
        <v>75</v>
      </c>
      <c r="C3054" s="75" t="s">
        <v>10</v>
      </c>
      <c r="D3054" s="75">
        <v>428</v>
      </c>
      <c r="F3054" s="75" t="s">
        <v>10</v>
      </c>
      <c r="H3054" s="75" t="s">
        <v>10</v>
      </c>
      <c r="I3054" s="75">
        <v>19489</v>
      </c>
      <c r="K3054" s="75" t="str">
        <f>IFERROR(VLOOKUP(J3054,'NQ10'!$B$9:$C$145,2,0),"")</f>
        <v/>
      </c>
    </row>
    <row r="3055" spans="1:11" ht="15" customHeight="1" x14ac:dyDescent="0.25">
      <c r="A3055" s="75">
        <v>28</v>
      </c>
      <c r="B3055" s="75">
        <v>76</v>
      </c>
      <c r="C3055" s="75" t="s">
        <v>10</v>
      </c>
      <c r="D3055" s="75">
        <v>3269</v>
      </c>
      <c r="F3055" s="75" t="s">
        <v>10</v>
      </c>
      <c r="H3055" s="75" t="s">
        <v>10</v>
      </c>
      <c r="I3055" s="75">
        <v>19489</v>
      </c>
      <c r="K3055" s="75" t="str">
        <f>IFERROR(VLOOKUP(J3055,'NQ10'!$B$9:$C$145,2,0),"")</f>
        <v/>
      </c>
    </row>
    <row r="3056" spans="1:11" ht="15" customHeight="1" x14ac:dyDescent="0.25">
      <c r="A3056" s="75">
        <v>28</v>
      </c>
      <c r="B3056" s="75">
        <v>78</v>
      </c>
      <c r="C3056" s="75" t="s">
        <v>10</v>
      </c>
      <c r="D3056" s="75">
        <v>264</v>
      </c>
      <c r="F3056" s="75" t="s">
        <v>10</v>
      </c>
      <c r="H3056" s="75" t="s">
        <v>10</v>
      </c>
      <c r="I3056" s="75">
        <v>19489</v>
      </c>
      <c r="K3056" s="75" t="str">
        <f>IFERROR(VLOOKUP(J3056,'NQ10'!$B$9:$C$145,2,0),"")</f>
        <v/>
      </c>
    </row>
    <row r="3057" spans="1:11" ht="15" customHeight="1" x14ac:dyDescent="0.25">
      <c r="A3057" s="75">
        <v>28</v>
      </c>
      <c r="B3057" s="75">
        <v>80</v>
      </c>
      <c r="C3057" s="75" t="s">
        <v>10</v>
      </c>
      <c r="D3057" s="75">
        <v>4368</v>
      </c>
      <c r="F3057" s="75" t="s">
        <v>10</v>
      </c>
      <c r="H3057" s="75" t="s">
        <v>10</v>
      </c>
      <c r="I3057" s="75">
        <v>19489</v>
      </c>
      <c r="K3057" s="75" t="str">
        <f>IFERROR(VLOOKUP(J3057,'NQ10'!$B$9:$C$145,2,0),"")</f>
        <v/>
      </c>
    </row>
    <row r="3058" spans="1:11" ht="15" customHeight="1" x14ac:dyDescent="0.25">
      <c r="A3058" s="75">
        <v>28</v>
      </c>
      <c r="B3058" s="75">
        <v>81</v>
      </c>
      <c r="C3058" s="75" t="s">
        <v>10</v>
      </c>
      <c r="D3058" s="75">
        <v>822</v>
      </c>
      <c r="F3058" s="75" t="s">
        <v>10</v>
      </c>
      <c r="H3058" s="75" t="s">
        <v>10</v>
      </c>
      <c r="I3058" s="75">
        <v>19489</v>
      </c>
      <c r="K3058" s="75" t="str">
        <f>IFERROR(VLOOKUP(J3058,'NQ10'!$B$9:$C$145,2,0),"")</f>
        <v/>
      </c>
    </row>
    <row r="3059" spans="1:11" ht="15" customHeight="1" x14ac:dyDescent="0.25">
      <c r="A3059" s="75">
        <v>28</v>
      </c>
      <c r="B3059" s="75">
        <v>82</v>
      </c>
      <c r="C3059" s="75" t="s">
        <v>10</v>
      </c>
      <c r="D3059" s="75">
        <v>253</v>
      </c>
      <c r="F3059" s="75" t="s">
        <v>10</v>
      </c>
      <c r="H3059" s="75" t="s">
        <v>10</v>
      </c>
      <c r="I3059" s="75">
        <v>19489</v>
      </c>
      <c r="K3059" s="75" t="str">
        <f>IFERROR(VLOOKUP(J3059,'NQ10'!$B$9:$C$145,2,0),"")</f>
        <v/>
      </c>
    </row>
    <row r="3060" spans="1:11" ht="15" customHeight="1" x14ac:dyDescent="0.25">
      <c r="A3060" s="75">
        <v>28</v>
      </c>
      <c r="B3060" s="75">
        <v>83</v>
      </c>
      <c r="C3060" s="75" t="s">
        <v>10</v>
      </c>
      <c r="D3060" s="75">
        <v>719</v>
      </c>
      <c r="F3060" s="75" t="s">
        <v>10</v>
      </c>
      <c r="H3060" s="75" t="s">
        <v>10</v>
      </c>
      <c r="I3060" s="75">
        <v>19489</v>
      </c>
      <c r="K3060" s="75" t="str">
        <f>IFERROR(VLOOKUP(J3060,'NQ10'!$B$9:$C$145,2,0),"")</f>
        <v/>
      </c>
    </row>
    <row r="3061" spans="1:11" ht="15" customHeight="1" x14ac:dyDescent="0.25">
      <c r="A3061" s="75">
        <v>28</v>
      </c>
      <c r="B3061" s="75">
        <v>84</v>
      </c>
      <c r="C3061" s="75" t="s">
        <v>10</v>
      </c>
      <c r="D3061" s="75">
        <v>481</v>
      </c>
      <c r="F3061" s="75" t="s">
        <v>10</v>
      </c>
      <c r="H3061" s="75" t="s">
        <v>10</v>
      </c>
      <c r="I3061" s="75">
        <v>19489</v>
      </c>
      <c r="K3061" s="75" t="str">
        <f>IFERROR(VLOOKUP(J3061,'NQ10'!$B$9:$C$145,2,0),"")</f>
        <v/>
      </c>
    </row>
    <row r="3062" spans="1:11" ht="15" customHeight="1" x14ac:dyDescent="0.25">
      <c r="A3062" s="75">
        <v>28</v>
      </c>
      <c r="B3062" s="75">
        <v>85</v>
      </c>
      <c r="C3062" s="75" t="s">
        <v>10</v>
      </c>
      <c r="D3062" s="75">
        <v>500</v>
      </c>
      <c r="F3062" s="75" t="s">
        <v>10</v>
      </c>
      <c r="H3062" s="75" t="s">
        <v>10</v>
      </c>
      <c r="I3062" s="75">
        <v>19489</v>
      </c>
      <c r="K3062" s="75" t="str">
        <f>IFERROR(VLOOKUP(J3062,'NQ10'!$B$9:$C$145,2,0),"")</f>
        <v/>
      </c>
    </row>
    <row r="3063" spans="1:11" ht="15" customHeight="1" x14ac:dyDescent="0.25">
      <c r="A3063" s="75">
        <v>28</v>
      </c>
      <c r="B3063" s="75">
        <v>86</v>
      </c>
      <c r="C3063" s="75" t="s">
        <v>10</v>
      </c>
      <c r="D3063" s="75">
        <v>378</v>
      </c>
      <c r="F3063" s="75" t="s">
        <v>10</v>
      </c>
      <c r="H3063" s="75" t="s">
        <v>10</v>
      </c>
      <c r="I3063" s="75">
        <v>19489</v>
      </c>
      <c r="K3063" s="75" t="str">
        <f>IFERROR(VLOOKUP(J3063,'NQ10'!$B$9:$C$145,2,0),"")</f>
        <v/>
      </c>
    </row>
    <row r="3064" spans="1:11" ht="15" customHeight="1" x14ac:dyDescent="0.25">
      <c r="A3064" s="75">
        <v>28</v>
      </c>
      <c r="B3064" s="75">
        <v>87</v>
      </c>
      <c r="C3064" s="75" t="s">
        <v>10</v>
      </c>
      <c r="D3064" s="75">
        <v>2914</v>
      </c>
      <c r="F3064" s="75" t="s">
        <v>10</v>
      </c>
      <c r="H3064" s="75" t="s">
        <v>10</v>
      </c>
      <c r="I3064" s="75">
        <v>19489</v>
      </c>
      <c r="K3064" s="75" t="str">
        <f>IFERROR(VLOOKUP(J3064,'NQ10'!$B$9:$C$145,2,0),"")</f>
        <v/>
      </c>
    </row>
    <row r="3065" spans="1:11" ht="15" customHeight="1" x14ac:dyDescent="0.25">
      <c r="A3065" s="75">
        <v>28</v>
      </c>
      <c r="B3065" s="75">
        <v>88</v>
      </c>
      <c r="C3065" s="75" t="s">
        <v>10</v>
      </c>
      <c r="D3065" s="75">
        <v>850</v>
      </c>
      <c r="F3065" s="75" t="s">
        <v>10</v>
      </c>
      <c r="H3065" s="75" t="s">
        <v>10</v>
      </c>
      <c r="I3065" s="75">
        <v>19489</v>
      </c>
      <c r="K3065" s="75" t="str">
        <f>IFERROR(VLOOKUP(J3065,'NQ10'!$B$9:$C$145,2,0),"")</f>
        <v/>
      </c>
    </row>
    <row r="3066" spans="1:11" ht="15" customHeight="1" x14ac:dyDescent="0.25">
      <c r="A3066" s="75">
        <v>28</v>
      </c>
      <c r="B3066" s="75">
        <v>89</v>
      </c>
      <c r="C3066" s="75" t="s">
        <v>10</v>
      </c>
      <c r="D3066" s="75">
        <v>1217</v>
      </c>
      <c r="F3066" s="75" t="s">
        <v>10</v>
      </c>
      <c r="H3066" s="75" t="s">
        <v>10</v>
      </c>
      <c r="I3066" s="75">
        <v>19489</v>
      </c>
      <c r="K3066" s="75" t="str">
        <f>IFERROR(VLOOKUP(J3066,'NQ10'!$B$9:$C$145,2,0),"")</f>
        <v/>
      </c>
    </row>
    <row r="3067" spans="1:11" ht="15" customHeight="1" x14ac:dyDescent="0.25">
      <c r="A3067" s="75">
        <v>28</v>
      </c>
      <c r="B3067" s="75">
        <v>90</v>
      </c>
      <c r="C3067" s="75" t="s">
        <v>10</v>
      </c>
      <c r="D3067" s="75">
        <v>664</v>
      </c>
      <c r="F3067" s="75" t="s">
        <v>10</v>
      </c>
      <c r="H3067" s="75" t="s">
        <v>10</v>
      </c>
      <c r="I3067" s="75">
        <v>19489</v>
      </c>
      <c r="K3067" s="75" t="str">
        <f>IFERROR(VLOOKUP(J3067,'NQ10'!$B$9:$C$145,2,0),"")</f>
        <v/>
      </c>
    </row>
    <row r="3068" spans="1:11" ht="15" customHeight="1" x14ac:dyDescent="0.25">
      <c r="A3068" s="75">
        <v>28</v>
      </c>
      <c r="B3068" s="75">
        <v>91</v>
      </c>
      <c r="C3068" s="75" t="s">
        <v>10</v>
      </c>
      <c r="D3068" s="75">
        <v>504</v>
      </c>
      <c r="F3068" s="75" t="s">
        <v>10</v>
      </c>
      <c r="H3068" s="75" t="s">
        <v>10</v>
      </c>
      <c r="I3068" s="75">
        <v>19489</v>
      </c>
      <c r="K3068" s="75" t="str">
        <f>IFERROR(VLOOKUP(J3068,'NQ10'!$B$9:$C$145,2,0),"")</f>
        <v/>
      </c>
    </row>
    <row r="3069" spans="1:11" ht="15" customHeight="1" x14ac:dyDescent="0.25">
      <c r="A3069" s="75">
        <v>28</v>
      </c>
      <c r="B3069" s="75">
        <v>92</v>
      </c>
      <c r="C3069" s="75" t="s">
        <v>10</v>
      </c>
      <c r="D3069" s="75">
        <v>282</v>
      </c>
      <c r="F3069" s="75" t="s">
        <v>10</v>
      </c>
      <c r="H3069" s="75" t="s">
        <v>10</v>
      </c>
      <c r="I3069" s="75">
        <v>19489</v>
      </c>
      <c r="K3069" s="75" t="str">
        <f>IFERROR(VLOOKUP(J3069,'NQ10'!$B$9:$C$145,2,0),"")</f>
        <v/>
      </c>
    </row>
    <row r="3070" spans="1:11" ht="15" customHeight="1" x14ac:dyDescent="0.25">
      <c r="A3070" s="75">
        <v>28</v>
      </c>
      <c r="B3070" s="75">
        <v>93</v>
      </c>
      <c r="C3070" s="75" t="s">
        <v>10</v>
      </c>
      <c r="D3070" s="75">
        <v>338</v>
      </c>
      <c r="F3070" s="75" t="s">
        <v>10</v>
      </c>
      <c r="H3070" s="75" t="s">
        <v>10</v>
      </c>
      <c r="I3070" s="75">
        <v>19489</v>
      </c>
      <c r="K3070" s="75" t="str">
        <f>IFERROR(VLOOKUP(J3070,'NQ10'!$B$9:$C$145,2,0),"")</f>
        <v/>
      </c>
    </row>
    <row r="3071" spans="1:11" ht="15" customHeight="1" x14ac:dyDescent="0.25">
      <c r="A3071" s="75">
        <v>28</v>
      </c>
      <c r="B3071" s="75">
        <v>94</v>
      </c>
      <c r="C3071" s="75" t="s">
        <v>10</v>
      </c>
      <c r="D3071" s="75">
        <v>2743</v>
      </c>
      <c r="F3071" s="75" t="s">
        <v>10</v>
      </c>
      <c r="H3071" s="75" t="s">
        <v>10</v>
      </c>
      <c r="I3071" s="75">
        <v>19489</v>
      </c>
      <c r="K3071" s="75" t="str">
        <f>IFERROR(VLOOKUP(J3071,'NQ10'!$B$9:$C$145,2,0),"")</f>
        <v/>
      </c>
    </row>
    <row r="3072" spans="1:11" ht="15" customHeight="1" x14ac:dyDescent="0.25">
      <c r="A3072" s="75">
        <v>28</v>
      </c>
      <c r="B3072" s="75">
        <v>95</v>
      </c>
      <c r="C3072" s="75" t="s">
        <v>10</v>
      </c>
      <c r="D3072" s="75">
        <v>2498</v>
      </c>
      <c r="F3072" s="75" t="s">
        <v>10</v>
      </c>
      <c r="H3072" s="75" t="s">
        <v>10</v>
      </c>
      <c r="I3072" s="75">
        <v>19489</v>
      </c>
      <c r="K3072" s="75" t="str">
        <f>IFERROR(VLOOKUP(J3072,'NQ10'!$B$9:$C$145,2,0),"")</f>
        <v/>
      </c>
    </row>
    <row r="3073" spans="1:11" ht="15" customHeight="1" x14ac:dyDescent="0.25">
      <c r="A3073" s="75">
        <v>28</v>
      </c>
      <c r="B3073" s="75">
        <v>97</v>
      </c>
      <c r="C3073" s="75" t="s">
        <v>10</v>
      </c>
      <c r="D3073" s="75">
        <v>3023</v>
      </c>
      <c r="F3073" s="75" t="s">
        <v>10</v>
      </c>
      <c r="H3073" s="75" t="s">
        <v>10</v>
      </c>
      <c r="I3073" s="75">
        <v>19489</v>
      </c>
      <c r="K3073" s="75" t="str">
        <f>IFERROR(VLOOKUP(J3073,'NQ10'!$B$9:$C$145,2,0),"")</f>
        <v/>
      </c>
    </row>
    <row r="3074" spans="1:11" ht="15" customHeight="1" x14ac:dyDescent="0.25">
      <c r="A3074" s="75">
        <v>28</v>
      </c>
      <c r="B3074" s="75">
        <v>98</v>
      </c>
      <c r="C3074" s="75" t="s">
        <v>10</v>
      </c>
      <c r="D3074" s="75">
        <v>4488</v>
      </c>
      <c r="F3074" s="75" t="s">
        <v>10</v>
      </c>
      <c r="H3074" s="75" t="s">
        <v>10</v>
      </c>
      <c r="I3074" s="75">
        <v>19489</v>
      </c>
      <c r="K3074" s="75" t="str">
        <f>IFERROR(VLOOKUP(J3074,'NQ10'!$B$9:$C$145,2,0),"")</f>
        <v/>
      </c>
    </row>
    <row r="3075" spans="1:11" ht="15" customHeight="1" x14ac:dyDescent="0.25">
      <c r="A3075" s="75">
        <v>28</v>
      </c>
      <c r="B3075" s="75">
        <v>99</v>
      </c>
      <c r="C3075" s="75" t="s">
        <v>10</v>
      </c>
      <c r="D3075" s="75">
        <v>24766</v>
      </c>
      <c r="F3075" s="75" t="s">
        <v>10</v>
      </c>
      <c r="H3075" s="75" t="s">
        <v>10</v>
      </c>
      <c r="I3075" s="75">
        <v>19489</v>
      </c>
      <c r="K3075" s="75" t="str">
        <f>IFERROR(VLOOKUP(J3075,'NQ10'!$B$9:$C$145,2,0),"")</f>
        <v/>
      </c>
    </row>
    <row r="3076" spans="1:11" ht="15" customHeight="1" x14ac:dyDescent="0.25">
      <c r="A3076" s="75">
        <v>28</v>
      </c>
      <c r="B3076" s="75">
        <v>100</v>
      </c>
      <c r="C3076" s="75" t="s">
        <v>10</v>
      </c>
      <c r="D3076" s="75">
        <v>4268</v>
      </c>
      <c r="F3076" s="75" t="s">
        <v>10</v>
      </c>
      <c r="H3076" s="75" t="s">
        <v>10</v>
      </c>
      <c r="I3076" s="75">
        <v>19489</v>
      </c>
      <c r="K3076" s="75" t="str">
        <f>IFERROR(VLOOKUP(J3076,'NQ10'!$B$9:$C$145,2,0),"")</f>
        <v/>
      </c>
    </row>
    <row r="3077" spans="1:11" ht="15" customHeight="1" x14ac:dyDescent="0.25">
      <c r="A3077" s="75">
        <v>28</v>
      </c>
      <c r="B3077" s="75">
        <v>101</v>
      </c>
      <c r="C3077" s="75" t="s">
        <v>10</v>
      </c>
      <c r="D3077" s="75">
        <v>845</v>
      </c>
      <c r="F3077" s="75" t="s">
        <v>10</v>
      </c>
      <c r="H3077" s="75" t="s">
        <v>10</v>
      </c>
      <c r="I3077" s="75">
        <v>19489</v>
      </c>
      <c r="K3077" s="75" t="str">
        <f>IFERROR(VLOOKUP(J3077,'NQ10'!$B$9:$C$145,2,0),"")</f>
        <v/>
      </c>
    </row>
    <row r="3078" spans="1:11" ht="15" customHeight="1" x14ac:dyDescent="0.25">
      <c r="A3078" s="75">
        <v>28</v>
      </c>
      <c r="B3078" s="75">
        <v>102</v>
      </c>
      <c r="C3078" s="75" t="s">
        <v>10</v>
      </c>
      <c r="D3078" s="75">
        <v>374</v>
      </c>
      <c r="F3078" s="75" t="s">
        <v>10</v>
      </c>
      <c r="H3078" s="75" t="s">
        <v>10</v>
      </c>
      <c r="I3078" s="75">
        <v>19489</v>
      </c>
      <c r="K3078" s="75" t="str">
        <f>IFERROR(VLOOKUP(J3078,'NQ10'!$B$9:$C$145,2,0),"")</f>
        <v/>
      </c>
    </row>
    <row r="3079" spans="1:11" ht="15" customHeight="1" x14ac:dyDescent="0.25">
      <c r="A3079" s="75">
        <v>28</v>
      </c>
      <c r="B3079" s="75">
        <v>104</v>
      </c>
      <c r="C3079" s="75" t="s">
        <v>10</v>
      </c>
      <c r="D3079" s="75">
        <v>835</v>
      </c>
      <c r="F3079" s="75" t="s">
        <v>10</v>
      </c>
      <c r="H3079" s="75" t="s">
        <v>10</v>
      </c>
      <c r="I3079" s="75">
        <v>19489</v>
      </c>
      <c r="K3079" s="75" t="str">
        <f>IFERROR(VLOOKUP(J3079,'NQ10'!$B$9:$C$145,2,0),"")</f>
        <v/>
      </c>
    </row>
    <row r="3080" spans="1:11" ht="15" customHeight="1" x14ac:dyDescent="0.25">
      <c r="A3080" s="75">
        <v>28</v>
      </c>
      <c r="B3080" s="75">
        <v>105</v>
      </c>
      <c r="C3080" s="75" t="s">
        <v>10</v>
      </c>
      <c r="D3080" s="75">
        <v>369</v>
      </c>
      <c r="F3080" s="75" t="s">
        <v>10</v>
      </c>
      <c r="H3080" s="75" t="s">
        <v>10</v>
      </c>
      <c r="I3080" s="75">
        <v>19489</v>
      </c>
      <c r="K3080" s="75" t="str">
        <f>IFERROR(VLOOKUP(J3080,'NQ10'!$B$9:$C$145,2,0),"")</f>
        <v/>
      </c>
    </row>
    <row r="3081" spans="1:11" ht="15" customHeight="1" x14ac:dyDescent="0.25">
      <c r="A3081" s="75">
        <v>28</v>
      </c>
      <c r="B3081" s="75">
        <v>106</v>
      </c>
      <c r="C3081" s="75" t="s">
        <v>10</v>
      </c>
      <c r="D3081" s="75">
        <v>569</v>
      </c>
      <c r="F3081" s="75" t="s">
        <v>10</v>
      </c>
      <c r="H3081" s="75" t="s">
        <v>10</v>
      </c>
      <c r="I3081" s="75">
        <v>19489</v>
      </c>
      <c r="K3081" s="75" t="str">
        <f>IFERROR(VLOOKUP(J3081,'NQ10'!$B$9:$C$145,2,0),"")</f>
        <v/>
      </c>
    </row>
    <row r="3082" spans="1:11" ht="15" customHeight="1" x14ac:dyDescent="0.25">
      <c r="A3082" s="75">
        <v>28</v>
      </c>
      <c r="B3082" s="75">
        <v>107</v>
      </c>
      <c r="C3082" s="75" t="s">
        <v>10</v>
      </c>
      <c r="D3082" s="75">
        <v>544</v>
      </c>
      <c r="F3082" s="75" t="s">
        <v>10</v>
      </c>
      <c r="H3082" s="75" t="s">
        <v>10</v>
      </c>
      <c r="I3082" s="75">
        <v>19489</v>
      </c>
      <c r="K3082" s="75" t="str">
        <f>IFERROR(VLOOKUP(J3082,'NQ10'!$B$9:$C$145,2,0),"")</f>
        <v/>
      </c>
    </row>
    <row r="3083" spans="1:11" ht="15" customHeight="1" x14ac:dyDescent="0.25">
      <c r="A3083" s="75">
        <v>28</v>
      </c>
      <c r="B3083" s="75">
        <v>108</v>
      </c>
      <c r="C3083" s="75" t="s">
        <v>10</v>
      </c>
      <c r="D3083" s="75">
        <v>861</v>
      </c>
      <c r="F3083" s="75" t="s">
        <v>10</v>
      </c>
      <c r="H3083" s="75" t="s">
        <v>10</v>
      </c>
      <c r="I3083" s="75">
        <v>19489</v>
      </c>
      <c r="K3083" s="75" t="str">
        <f>IFERROR(VLOOKUP(J3083,'NQ10'!$B$9:$C$145,2,0),"")</f>
        <v/>
      </c>
    </row>
    <row r="3084" spans="1:11" ht="15" customHeight="1" x14ac:dyDescent="0.25">
      <c r="A3084" s="75">
        <v>28</v>
      </c>
      <c r="B3084" s="75">
        <v>109</v>
      </c>
      <c r="C3084" s="75" t="s">
        <v>10</v>
      </c>
      <c r="D3084" s="75">
        <v>8263</v>
      </c>
      <c r="F3084" s="75" t="s">
        <v>10</v>
      </c>
      <c r="H3084" s="75" t="s">
        <v>10</v>
      </c>
      <c r="I3084" s="75">
        <v>19489</v>
      </c>
      <c r="K3084" s="75" t="str">
        <f>IFERROR(VLOOKUP(J3084,'NQ10'!$B$9:$C$145,2,0),"")</f>
        <v/>
      </c>
    </row>
    <row r="3085" spans="1:11" ht="15" customHeight="1" x14ac:dyDescent="0.25">
      <c r="A3085" s="75">
        <v>28</v>
      </c>
      <c r="B3085" s="75">
        <v>110</v>
      </c>
      <c r="C3085" s="75" t="s">
        <v>10</v>
      </c>
      <c r="D3085" s="75">
        <v>746</v>
      </c>
      <c r="F3085" s="75" t="s">
        <v>10</v>
      </c>
      <c r="H3085" s="75" t="s">
        <v>10</v>
      </c>
      <c r="I3085" s="75">
        <v>19489</v>
      </c>
      <c r="K3085" s="75" t="str">
        <f>IFERROR(VLOOKUP(J3085,'NQ10'!$B$9:$C$145,2,0),"")</f>
        <v/>
      </c>
    </row>
    <row r="3086" spans="1:11" ht="15" customHeight="1" x14ac:dyDescent="0.25">
      <c r="A3086" s="75">
        <v>28</v>
      </c>
      <c r="B3086" s="75">
        <v>111</v>
      </c>
      <c r="C3086" s="75" t="s">
        <v>10</v>
      </c>
      <c r="D3086" s="75">
        <v>1907</v>
      </c>
      <c r="F3086" s="75" t="s">
        <v>10</v>
      </c>
      <c r="H3086" s="75" t="s">
        <v>10</v>
      </c>
      <c r="I3086" s="75">
        <v>19489</v>
      </c>
      <c r="K3086" s="75" t="str">
        <f>IFERROR(VLOOKUP(J3086,'NQ10'!$B$9:$C$145,2,0),"")</f>
        <v/>
      </c>
    </row>
    <row r="3087" spans="1:11" ht="15" customHeight="1" x14ac:dyDescent="0.25">
      <c r="A3087" s="75">
        <v>28</v>
      </c>
      <c r="B3087" s="75">
        <v>112</v>
      </c>
      <c r="C3087" s="75" t="s">
        <v>10</v>
      </c>
      <c r="D3087" s="75">
        <v>187</v>
      </c>
      <c r="F3087" s="75" t="s">
        <v>10</v>
      </c>
      <c r="H3087" s="75" t="s">
        <v>10</v>
      </c>
      <c r="I3087" s="75">
        <v>19489</v>
      </c>
      <c r="K3087" s="75" t="str">
        <f>IFERROR(VLOOKUP(J3087,'NQ10'!$B$9:$C$145,2,0),"")</f>
        <v/>
      </c>
    </row>
    <row r="3088" spans="1:11" ht="15" customHeight="1" x14ac:dyDescent="0.25">
      <c r="A3088" s="75">
        <v>28</v>
      </c>
      <c r="B3088" s="75">
        <v>113</v>
      </c>
      <c r="C3088" s="75" t="s">
        <v>10</v>
      </c>
      <c r="D3088" s="75">
        <v>1766</v>
      </c>
      <c r="F3088" s="75" t="s">
        <v>10</v>
      </c>
      <c r="H3088" s="75" t="s">
        <v>10</v>
      </c>
      <c r="I3088" s="75">
        <v>19489</v>
      </c>
      <c r="K3088" s="75" t="str">
        <f>IFERROR(VLOOKUP(J3088,'NQ10'!$B$9:$C$145,2,0),"")</f>
        <v/>
      </c>
    </row>
    <row r="3089" spans="1:11" ht="15" customHeight="1" x14ac:dyDescent="0.25">
      <c r="A3089" s="75">
        <v>28</v>
      </c>
      <c r="B3089" s="75">
        <v>114</v>
      </c>
      <c r="C3089" s="75" t="s">
        <v>10</v>
      </c>
      <c r="D3089" s="75">
        <v>2267</v>
      </c>
      <c r="F3089" s="75" t="s">
        <v>10</v>
      </c>
      <c r="H3089" s="75" t="s">
        <v>10</v>
      </c>
      <c r="I3089" s="75">
        <v>19489</v>
      </c>
      <c r="K3089" s="75" t="str">
        <f>IFERROR(VLOOKUP(J3089,'NQ10'!$B$9:$C$145,2,0),"")</f>
        <v/>
      </c>
    </row>
    <row r="3090" spans="1:11" ht="15" customHeight="1" x14ac:dyDescent="0.25">
      <c r="A3090" s="75">
        <v>28</v>
      </c>
      <c r="B3090" s="75">
        <v>115</v>
      </c>
      <c r="C3090" s="75" t="s">
        <v>10</v>
      </c>
      <c r="D3090" s="75">
        <v>1950</v>
      </c>
      <c r="F3090" s="75" t="s">
        <v>10</v>
      </c>
      <c r="H3090" s="75" t="s">
        <v>10</v>
      </c>
      <c r="I3090" s="75">
        <v>19489</v>
      </c>
      <c r="K3090" s="75" t="str">
        <f>IFERROR(VLOOKUP(J3090,'NQ10'!$B$9:$C$145,2,0),"")</f>
        <v/>
      </c>
    </row>
    <row r="3091" spans="1:11" ht="15" customHeight="1" x14ac:dyDescent="0.25">
      <c r="A3091" s="75">
        <v>28</v>
      </c>
      <c r="B3091" s="75">
        <v>116</v>
      </c>
      <c r="C3091" s="75" t="s">
        <v>10</v>
      </c>
      <c r="D3091" s="75">
        <v>831</v>
      </c>
      <c r="F3091" s="75" t="s">
        <v>10</v>
      </c>
      <c r="H3091" s="75" t="s">
        <v>10</v>
      </c>
      <c r="I3091" s="75">
        <v>19489</v>
      </c>
      <c r="K3091" s="75" t="str">
        <f>IFERROR(VLOOKUP(J3091,'NQ10'!$B$9:$C$145,2,0),"")</f>
        <v/>
      </c>
    </row>
    <row r="3092" spans="1:11" ht="15" customHeight="1" x14ac:dyDescent="0.25">
      <c r="A3092" s="75">
        <v>28</v>
      </c>
      <c r="B3092" s="75">
        <v>117</v>
      </c>
      <c r="C3092" s="75" t="s">
        <v>10</v>
      </c>
      <c r="D3092" s="75">
        <v>4467</v>
      </c>
      <c r="F3092" s="75" t="s">
        <v>10</v>
      </c>
      <c r="H3092" s="75" t="s">
        <v>10</v>
      </c>
      <c r="I3092" s="75">
        <v>19489</v>
      </c>
      <c r="K3092" s="75" t="str">
        <f>IFERROR(VLOOKUP(J3092,'NQ10'!$B$9:$C$145,2,0),"")</f>
        <v/>
      </c>
    </row>
    <row r="3093" spans="1:11" ht="15" customHeight="1" x14ac:dyDescent="0.25">
      <c r="A3093" s="75">
        <v>28</v>
      </c>
      <c r="B3093" s="75">
        <v>119</v>
      </c>
      <c r="C3093" s="75" t="s">
        <v>10</v>
      </c>
      <c r="D3093" s="75">
        <v>2949</v>
      </c>
      <c r="F3093" s="75" t="s">
        <v>10</v>
      </c>
      <c r="H3093" s="75" t="s">
        <v>10</v>
      </c>
      <c r="I3093" s="75">
        <v>19489</v>
      </c>
      <c r="K3093" s="75" t="str">
        <f>IFERROR(VLOOKUP(J3093,'NQ10'!$B$9:$C$145,2,0),"")</f>
        <v/>
      </c>
    </row>
    <row r="3094" spans="1:11" ht="15" customHeight="1" x14ac:dyDescent="0.25">
      <c r="A3094" s="75">
        <v>28</v>
      </c>
      <c r="B3094" s="75">
        <v>120</v>
      </c>
      <c r="C3094" s="75" t="s">
        <v>10</v>
      </c>
      <c r="D3094" s="75">
        <v>1733</v>
      </c>
      <c r="F3094" s="75" t="s">
        <v>10</v>
      </c>
      <c r="H3094" s="75" t="s">
        <v>10</v>
      </c>
      <c r="I3094" s="75">
        <v>19489</v>
      </c>
      <c r="K3094" s="75" t="str">
        <f>IFERROR(VLOOKUP(J3094,'NQ10'!$B$9:$C$145,2,0),"")</f>
        <v/>
      </c>
    </row>
    <row r="3095" spans="1:11" ht="15" customHeight="1" x14ac:dyDescent="0.25">
      <c r="A3095" s="75">
        <v>28</v>
      </c>
      <c r="B3095" s="75">
        <v>121</v>
      </c>
      <c r="C3095" s="75" t="s">
        <v>10</v>
      </c>
      <c r="D3095" s="75">
        <v>3133</v>
      </c>
      <c r="F3095" s="75" t="s">
        <v>10</v>
      </c>
      <c r="H3095" s="75" t="s">
        <v>10</v>
      </c>
      <c r="I3095" s="75">
        <v>19489</v>
      </c>
      <c r="K3095" s="75" t="str">
        <f>IFERROR(VLOOKUP(J3095,'NQ10'!$B$9:$C$145,2,0),"")</f>
        <v/>
      </c>
    </row>
    <row r="3096" spans="1:11" ht="15" customHeight="1" x14ac:dyDescent="0.25">
      <c r="A3096" s="75">
        <v>28</v>
      </c>
      <c r="B3096" s="75">
        <v>122</v>
      </c>
      <c r="C3096" s="75" t="s">
        <v>10</v>
      </c>
      <c r="D3096" s="75">
        <v>5581</v>
      </c>
      <c r="F3096" s="75" t="s">
        <v>10</v>
      </c>
      <c r="H3096" s="75" t="s">
        <v>10</v>
      </c>
      <c r="I3096" s="75">
        <v>19489</v>
      </c>
      <c r="K3096" s="75" t="str">
        <f>IFERROR(VLOOKUP(J3096,'NQ10'!$B$9:$C$145,2,0),"")</f>
        <v/>
      </c>
    </row>
    <row r="3097" spans="1:11" ht="15" customHeight="1" x14ac:dyDescent="0.25">
      <c r="A3097" s="75">
        <v>28</v>
      </c>
      <c r="B3097" s="75">
        <v>123</v>
      </c>
      <c r="C3097" s="75" t="s">
        <v>10</v>
      </c>
      <c r="D3097" s="75">
        <v>876</v>
      </c>
      <c r="F3097" s="75" t="s">
        <v>10</v>
      </c>
      <c r="H3097" s="75" t="s">
        <v>10</v>
      </c>
      <c r="I3097" s="75">
        <v>19489</v>
      </c>
      <c r="K3097" s="75" t="str">
        <f>IFERROR(VLOOKUP(J3097,'NQ10'!$B$9:$C$145,2,0),"")</f>
        <v/>
      </c>
    </row>
    <row r="3098" spans="1:11" ht="15" customHeight="1" x14ac:dyDescent="0.25">
      <c r="A3098" s="75">
        <v>28</v>
      </c>
      <c r="B3098" s="75">
        <v>124</v>
      </c>
      <c r="C3098" s="75" t="s">
        <v>10</v>
      </c>
      <c r="D3098" s="75">
        <v>418</v>
      </c>
      <c r="F3098" s="75" t="s">
        <v>10</v>
      </c>
      <c r="H3098" s="75" t="s">
        <v>10</v>
      </c>
      <c r="I3098" s="75">
        <v>19489</v>
      </c>
      <c r="K3098" s="75" t="str">
        <f>IFERROR(VLOOKUP(J3098,'NQ10'!$B$9:$C$145,2,0),"")</f>
        <v/>
      </c>
    </row>
    <row r="3099" spans="1:11" ht="15" customHeight="1" x14ac:dyDescent="0.25">
      <c r="A3099" s="75">
        <v>28</v>
      </c>
      <c r="B3099" s="75">
        <v>125</v>
      </c>
      <c r="C3099" s="75" t="s">
        <v>10</v>
      </c>
      <c r="D3099" s="75">
        <v>197</v>
      </c>
      <c r="F3099" s="75" t="s">
        <v>10</v>
      </c>
      <c r="H3099" s="75" t="s">
        <v>10</v>
      </c>
      <c r="I3099" s="75">
        <v>19489</v>
      </c>
      <c r="K3099" s="75" t="str">
        <f>IFERROR(VLOOKUP(J3099,'NQ10'!$B$9:$C$145,2,0),"")</f>
        <v/>
      </c>
    </row>
    <row r="3100" spans="1:11" ht="15" customHeight="1" x14ac:dyDescent="0.25">
      <c r="A3100" s="75">
        <v>28</v>
      </c>
      <c r="B3100" s="75">
        <v>126</v>
      </c>
      <c r="C3100" s="75" t="s">
        <v>10</v>
      </c>
      <c r="D3100" s="75">
        <v>291</v>
      </c>
      <c r="F3100" s="75" t="s">
        <v>10</v>
      </c>
      <c r="H3100" s="75" t="s">
        <v>10</v>
      </c>
      <c r="I3100" s="75">
        <v>19489</v>
      </c>
      <c r="K3100" s="75" t="str">
        <f>IFERROR(VLOOKUP(J3100,'NQ10'!$B$9:$C$145,2,0),"")</f>
        <v/>
      </c>
    </row>
    <row r="3101" spans="1:11" ht="15" customHeight="1" x14ac:dyDescent="0.25">
      <c r="A3101" s="75">
        <v>28</v>
      </c>
      <c r="B3101" s="75">
        <v>127</v>
      </c>
      <c r="C3101" s="75" t="s">
        <v>10</v>
      </c>
      <c r="D3101" s="75">
        <v>418</v>
      </c>
      <c r="F3101" s="75" t="s">
        <v>10</v>
      </c>
      <c r="H3101" s="75" t="s">
        <v>10</v>
      </c>
      <c r="I3101" s="75">
        <v>19489</v>
      </c>
      <c r="K3101" s="75" t="str">
        <f>IFERROR(VLOOKUP(J3101,'NQ10'!$B$9:$C$145,2,0),"")</f>
        <v/>
      </c>
    </row>
    <row r="3102" spans="1:11" ht="15" customHeight="1" x14ac:dyDescent="0.25">
      <c r="A3102" s="75">
        <v>28</v>
      </c>
      <c r="B3102" s="75">
        <v>128</v>
      </c>
      <c r="C3102" s="75" t="s">
        <v>10</v>
      </c>
      <c r="D3102" s="75">
        <v>1341</v>
      </c>
      <c r="F3102" s="75" t="s">
        <v>10</v>
      </c>
      <c r="H3102" s="75" t="s">
        <v>10</v>
      </c>
      <c r="I3102" s="75">
        <v>19489</v>
      </c>
      <c r="K3102" s="75" t="str">
        <f>IFERROR(VLOOKUP(J3102,'NQ10'!$B$9:$C$145,2,0),"")</f>
        <v/>
      </c>
    </row>
    <row r="3103" spans="1:11" ht="15" customHeight="1" x14ac:dyDescent="0.25">
      <c r="A3103" s="75">
        <v>28</v>
      </c>
      <c r="B3103" s="75">
        <v>129</v>
      </c>
      <c r="C3103" s="75" t="s">
        <v>10</v>
      </c>
      <c r="D3103" s="75">
        <v>2021</v>
      </c>
      <c r="F3103" s="75" t="s">
        <v>10</v>
      </c>
      <c r="H3103" s="75" t="s">
        <v>10</v>
      </c>
      <c r="I3103" s="75">
        <v>19489</v>
      </c>
      <c r="K3103" s="75" t="str">
        <f>IFERROR(VLOOKUP(J3103,'NQ10'!$B$9:$C$145,2,0),"")</f>
        <v/>
      </c>
    </row>
    <row r="3104" spans="1:11" ht="15" customHeight="1" x14ac:dyDescent="0.25">
      <c r="A3104" s="75">
        <v>28</v>
      </c>
      <c r="B3104" s="75">
        <v>130</v>
      </c>
      <c r="C3104" s="75" t="s">
        <v>10</v>
      </c>
      <c r="D3104" s="75">
        <v>562</v>
      </c>
      <c r="F3104" s="75" t="s">
        <v>10</v>
      </c>
      <c r="H3104" s="75" t="s">
        <v>10</v>
      </c>
      <c r="I3104" s="75">
        <v>19489</v>
      </c>
      <c r="K3104" s="75" t="str">
        <f>IFERROR(VLOOKUP(J3104,'NQ10'!$B$9:$C$145,2,0),"")</f>
        <v/>
      </c>
    </row>
    <row r="3105" spans="1:11" ht="15" customHeight="1" x14ac:dyDescent="0.25">
      <c r="A3105" s="75">
        <v>28</v>
      </c>
      <c r="B3105" s="75">
        <v>131</v>
      </c>
      <c r="C3105" s="75" t="s">
        <v>10</v>
      </c>
      <c r="D3105" s="75">
        <v>2244</v>
      </c>
      <c r="F3105" s="75" t="s">
        <v>10</v>
      </c>
      <c r="H3105" s="75" t="s">
        <v>10</v>
      </c>
      <c r="I3105" s="75">
        <v>19489</v>
      </c>
      <c r="K3105" s="75" t="str">
        <f>IFERROR(VLOOKUP(J3105,'NQ10'!$B$9:$C$145,2,0),"")</f>
        <v/>
      </c>
    </row>
    <row r="3106" spans="1:11" ht="15" customHeight="1" x14ac:dyDescent="0.25">
      <c r="A3106" s="75">
        <v>28</v>
      </c>
      <c r="B3106" s="75">
        <v>132</v>
      </c>
      <c r="C3106" s="75" t="s">
        <v>10</v>
      </c>
      <c r="D3106" s="75">
        <v>5636</v>
      </c>
      <c r="F3106" s="75" t="s">
        <v>10</v>
      </c>
      <c r="H3106" s="75" t="s">
        <v>10</v>
      </c>
      <c r="I3106" s="75">
        <v>19489</v>
      </c>
      <c r="K3106" s="75" t="str">
        <f>IFERROR(VLOOKUP(J3106,'NQ10'!$B$9:$C$145,2,0),"")</f>
        <v/>
      </c>
    </row>
    <row r="3107" spans="1:11" ht="15" customHeight="1" x14ac:dyDescent="0.25">
      <c r="A3107" s="75">
        <v>28</v>
      </c>
      <c r="B3107" s="75">
        <v>134</v>
      </c>
      <c r="C3107" s="75" t="s">
        <v>10</v>
      </c>
      <c r="D3107" s="75">
        <v>5920</v>
      </c>
      <c r="F3107" s="75" t="s">
        <v>10</v>
      </c>
      <c r="H3107" s="75" t="s">
        <v>10</v>
      </c>
      <c r="I3107" s="75">
        <v>19489</v>
      </c>
      <c r="K3107" s="75" t="str">
        <f>IFERROR(VLOOKUP(J3107,'NQ10'!$B$9:$C$145,2,0),"")</f>
        <v/>
      </c>
    </row>
    <row r="3108" spans="1:11" ht="15" customHeight="1" x14ac:dyDescent="0.25">
      <c r="A3108" s="75">
        <v>28</v>
      </c>
      <c r="B3108" s="75">
        <v>135</v>
      </c>
      <c r="C3108" s="75" t="s">
        <v>10</v>
      </c>
      <c r="D3108" s="75">
        <v>774</v>
      </c>
      <c r="F3108" s="75" t="s">
        <v>10</v>
      </c>
      <c r="H3108" s="75" t="s">
        <v>10</v>
      </c>
      <c r="I3108" s="75">
        <v>19489</v>
      </c>
      <c r="K3108" s="75" t="str">
        <f>IFERROR(VLOOKUP(J3108,'NQ10'!$B$9:$C$145,2,0),"")</f>
        <v/>
      </c>
    </row>
    <row r="3109" spans="1:11" ht="15" customHeight="1" x14ac:dyDescent="0.25">
      <c r="A3109" s="75">
        <v>28</v>
      </c>
      <c r="B3109" s="75">
        <v>136</v>
      </c>
      <c r="C3109" s="75" t="s">
        <v>10</v>
      </c>
      <c r="D3109" s="75">
        <v>409</v>
      </c>
      <c r="F3109" s="75" t="s">
        <v>10</v>
      </c>
      <c r="H3109" s="75" t="s">
        <v>10</v>
      </c>
      <c r="I3109" s="75">
        <v>19489</v>
      </c>
      <c r="K3109" s="75" t="str">
        <f>IFERROR(VLOOKUP(J3109,'NQ10'!$B$9:$C$145,2,0),"")</f>
        <v/>
      </c>
    </row>
    <row r="3110" spans="1:11" ht="15" customHeight="1" x14ac:dyDescent="0.25">
      <c r="A3110" s="75">
        <v>28</v>
      </c>
      <c r="B3110" s="75">
        <v>138</v>
      </c>
      <c r="C3110" s="75" t="s">
        <v>10</v>
      </c>
      <c r="D3110" s="75">
        <v>442</v>
      </c>
      <c r="F3110" s="75" t="s">
        <v>10</v>
      </c>
      <c r="H3110" s="75" t="s">
        <v>10</v>
      </c>
      <c r="I3110" s="75">
        <v>19489</v>
      </c>
      <c r="K3110" s="75" t="str">
        <f>IFERROR(VLOOKUP(J3110,'NQ10'!$B$9:$C$145,2,0),"")</f>
        <v/>
      </c>
    </row>
    <row r="3111" spans="1:11" ht="15" customHeight="1" x14ac:dyDescent="0.25">
      <c r="A3111" s="75">
        <v>28</v>
      </c>
      <c r="B3111" s="75">
        <v>139</v>
      </c>
      <c r="C3111" s="75" t="s">
        <v>10</v>
      </c>
      <c r="D3111" s="75">
        <v>745</v>
      </c>
      <c r="F3111" s="75" t="s">
        <v>10</v>
      </c>
      <c r="H3111" s="75" t="s">
        <v>10</v>
      </c>
      <c r="I3111" s="75">
        <v>19489</v>
      </c>
      <c r="K3111" s="75" t="str">
        <f>IFERROR(VLOOKUP(J3111,'NQ10'!$B$9:$C$145,2,0),"")</f>
        <v/>
      </c>
    </row>
    <row r="3112" spans="1:11" ht="15" customHeight="1" x14ac:dyDescent="0.25">
      <c r="A3112" s="75">
        <v>28</v>
      </c>
      <c r="B3112" s="75">
        <v>140</v>
      </c>
      <c r="C3112" s="75" t="s">
        <v>10</v>
      </c>
      <c r="D3112" s="75">
        <v>985</v>
      </c>
      <c r="F3112" s="75" t="s">
        <v>10</v>
      </c>
      <c r="H3112" s="75" t="s">
        <v>10</v>
      </c>
      <c r="I3112" s="75">
        <v>19489</v>
      </c>
      <c r="K3112" s="75" t="str">
        <f>IFERROR(VLOOKUP(J3112,'NQ10'!$B$9:$C$145,2,0),"")</f>
        <v/>
      </c>
    </row>
    <row r="3113" spans="1:11" ht="15" customHeight="1" x14ac:dyDescent="0.25">
      <c r="A3113" s="75">
        <v>28</v>
      </c>
      <c r="B3113" s="75">
        <v>141</v>
      </c>
      <c r="C3113" s="75" t="s">
        <v>10</v>
      </c>
      <c r="D3113" s="75">
        <v>333</v>
      </c>
      <c r="F3113" s="75" t="s">
        <v>10</v>
      </c>
      <c r="H3113" s="75" t="s">
        <v>10</v>
      </c>
      <c r="I3113" s="75">
        <v>19489</v>
      </c>
      <c r="K3113" s="75" t="str">
        <f>IFERROR(VLOOKUP(J3113,'NQ10'!$B$9:$C$145,2,0),"")</f>
        <v/>
      </c>
    </row>
    <row r="3114" spans="1:11" ht="15" customHeight="1" x14ac:dyDescent="0.25">
      <c r="A3114" s="75">
        <v>28</v>
      </c>
      <c r="B3114" s="75">
        <v>142</v>
      </c>
      <c r="C3114" s="75" t="s">
        <v>10</v>
      </c>
      <c r="D3114" s="75">
        <v>3573</v>
      </c>
      <c r="F3114" s="75" t="s">
        <v>10</v>
      </c>
      <c r="H3114" s="75" t="s">
        <v>10</v>
      </c>
      <c r="I3114" s="75">
        <v>19489</v>
      </c>
      <c r="K3114" s="75" t="str">
        <f>IFERROR(VLOOKUP(J3114,'NQ10'!$B$9:$C$145,2,0),"")</f>
        <v/>
      </c>
    </row>
    <row r="3115" spans="1:11" ht="15" customHeight="1" x14ac:dyDescent="0.25">
      <c r="A3115" s="75">
        <v>28</v>
      </c>
      <c r="B3115" s="75">
        <v>143</v>
      </c>
      <c r="C3115" s="75" t="s">
        <v>10</v>
      </c>
      <c r="D3115" s="75">
        <v>571</v>
      </c>
      <c r="F3115" s="75" t="s">
        <v>10</v>
      </c>
      <c r="H3115" s="75" t="s">
        <v>10</v>
      </c>
      <c r="I3115" s="75">
        <v>19489</v>
      </c>
      <c r="K3115" s="75" t="str">
        <f>IFERROR(VLOOKUP(J3115,'NQ10'!$B$9:$C$145,2,0),"")</f>
        <v/>
      </c>
    </row>
    <row r="3116" spans="1:11" ht="15" customHeight="1" x14ac:dyDescent="0.25">
      <c r="A3116" s="75">
        <v>28</v>
      </c>
      <c r="B3116" s="75">
        <v>144</v>
      </c>
      <c r="C3116" s="75" t="s">
        <v>10</v>
      </c>
      <c r="D3116" s="75">
        <v>17371</v>
      </c>
      <c r="F3116" s="75" t="s">
        <v>10</v>
      </c>
      <c r="H3116" s="75" t="s">
        <v>10</v>
      </c>
      <c r="I3116" s="75">
        <v>19489</v>
      </c>
      <c r="K3116" s="75" t="str">
        <f>IFERROR(VLOOKUP(J3116,'NQ10'!$B$9:$C$145,2,0),"")</f>
        <v/>
      </c>
    </row>
    <row r="3117" spans="1:11" ht="15" customHeight="1" x14ac:dyDescent="0.25">
      <c r="A3117" s="75">
        <v>28</v>
      </c>
      <c r="B3117" s="75">
        <v>145</v>
      </c>
      <c r="C3117" s="75" t="s">
        <v>10</v>
      </c>
      <c r="D3117" s="75">
        <v>723</v>
      </c>
      <c r="F3117" s="75" t="s">
        <v>10</v>
      </c>
      <c r="H3117" s="75" t="s">
        <v>10</v>
      </c>
      <c r="I3117" s="75">
        <v>19489</v>
      </c>
      <c r="K3117" s="75" t="str">
        <f>IFERROR(VLOOKUP(J3117,'NQ10'!$B$9:$C$145,2,0),"")</f>
        <v/>
      </c>
    </row>
    <row r="3118" spans="1:11" ht="15" customHeight="1" x14ac:dyDescent="0.25">
      <c r="A3118" s="75">
        <v>28</v>
      </c>
      <c r="B3118" s="75">
        <v>146</v>
      </c>
      <c r="C3118" s="75" t="s">
        <v>10</v>
      </c>
      <c r="D3118" s="75">
        <v>2369</v>
      </c>
      <c r="F3118" s="75" t="s">
        <v>10</v>
      </c>
      <c r="H3118" s="75" t="s">
        <v>10</v>
      </c>
      <c r="I3118" s="75">
        <v>19489</v>
      </c>
      <c r="K3118" s="75" t="str">
        <f>IFERROR(VLOOKUP(J3118,'NQ10'!$B$9:$C$145,2,0),"")</f>
        <v/>
      </c>
    </row>
    <row r="3119" spans="1:11" ht="15" customHeight="1" x14ac:dyDescent="0.25">
      <c r="A3119" s="75">
        <v>28</v>
      </c>
      <c r="B3119" s="75">
        <v>147</v>
      </c>
      <c r="C3119" s="75" t="s">
        <v>10</v>
      </c>
      <c r="D3119" s="75">
        <v>5626</v>
      </c>
      <c r="F3119" s="75" t="s">
        <v>10</v>
      </c>
      <c r="H3119" s="75" t="s">
        <v>10</v>
      </c>
      <c r="I3119" s="75">
        <v>19489</v>
      </c>
      <c r="K3119" s="75" t="str">
        <f>IFERROR(VLOOKUP(J3119,'NQ10'!$B$9:$C$145,2,0),"")</f>
        <v/>
      </c>
    </row>
    <row r="3120" spans="1:11" ht="15" customHeight="1" x14ac:dyDescent="0.25">
      <c r="A3120" s="75">
        <v>28</v>
      </c>
      <c r="B3120" s="75">
        <v>801</v>
      </c>
      <c r="C3120" s="75" t="s">
        <v>10</v>
      </c>
      <c r="D3120" s="75">
        <v>1997</v>
      </c>
      <c r="F3120" s="75" t="s">
        <v>10</v>
      </c>
      <c r="H3120" s="75" t="s">
        <v>10</v>
      </c>
      <c r="I3120" s="75">
        <v>19489</v>
      </c>
      <c r="K3120" s="75" t="str">
        <f>IFERROR(VLOOKUP(J3120,'NQ10'!$B$9:$C$145,2,0),"")</f>
        <v/>
      </c>
    </row>
    <row r="3121" spans="1:11" ht="15" customHeight="1" x14ac:dyDescent="0.25">
      <c r="A3121" s="75">
        <v>28</v>
      </c>
      <c r="B3121" s="75">
        <v>803</v>
      </c>
      <c r="C3121" s="75" t="s">
        <v>10</v>
      </c>
      <c r="D3121" s="75">
        <v>1292</v>
      </c>
      <c r="F3121" s="75" t="s">
        <v>10</v>
      </c>
      <c r="H3121" s="75" t="s">
        <v>10</v>
      </c>
      <c r="I3121" s="75">
        <v>19489</v>
      </c>
      <c r="K3121" s="75" t="str">
        <f>IFERROR(VLOOKUP(J3121,'NQ10'!$B$9:$C$145,2,0),"")</f>
        <v/>
      </c>
    </row>
    <row r="3122" spans="1:11" ht="15" customHeight="1" x14ac:dyDescent="0.25">
      <c r="A3122" s="75">
        <v>28</v>
      </c>
      <c r="B3122" s="75">
        <v>804</v>
      </c>
      <c r="C3122" s="75" t="s">
        <v>10</v>
      </c>
      <c r="D3122" s="75">
        <v>7750</v>
      </c>
      <c r="F3122" s="75" t="s">
        <v>10</v>
      </c>
      <c r="H3122" s="75" t="s">
        <v>10</v>
      </c>
      <c r="I3122" s="75">
        <v>19489</v>
      </c>
      <c r="K3122" s="75" t="str">
        <f>IFERROR(VLOOKUP(J3122,'NQ10'!$B$9:$C$145,2,0),"")</f>
        <v/>
      </c>
    </row>
    <row r="3123" spans="1:11" ht="15" customHeight="1" x14ac:dyDescent="0.25">
      <c r="A3123" s="75">
        <v>28</v>
      </c>
      <c r="B3123" s="75">
        <v>805</v>
      </c>
      <c r="C3123" s="75" t="s">
        <v>10</v>
      </c>
      <c r="D3123" s="75">
        <v>2144</v>
      </c>
      <c r="F3123" s="75" t="s">
        <v>10</v>
      </c>
      <c r="H3123" s="75" t="s">
        <v>10</v>
      </c>
      <c r="I3123" s="75">
        <v>19489</v>
      </c>
      <c r="K3123" s="75" t="str">
        <f>IFERROR(VLOOKUP(J3123,'NQ10'!$B$9:$C$145,2,0),"")</f>
        <v/>
      </c>
    </row>
    <row r="3124" spans="1:11" ht="15" customHeight="1" x14ac:dyDescent="0.25">
      <c r="A3124" s="75">
        <v>28</v>
      </c>
      <c r="B3124" s="75">
        <v>807</v>
      </c>
      <c r="C3124" s="75" t="s">
        <v>10</v>
      </c>
      <c r="D3124" s="75">
        <v>4528</v>
      </c>
      <c r="F3124" s="75" t="s">
        <v>10</v>
      </c>
      <c r="H3124" s="75" t="s">
        <v>10</v>
      </c>
      <c r="I3124" s="75">
        <v>19489</v>
      </c>
      <c r="K3124" s="75" t="str">
        <f>IFERROR(VLOOKUP(J3124,'NQ10'!$B$9:$C$145,2,0),"")</f>
        <v/>
      </c>
    </row>
    <row r="3125" spans="1:11" ht="15" customHeight="1" x14ac:dyDescent="0.25">
      <c r="A3125" s="75">
        <v>28</v>
      </c>
      <c r="B3125" s="75">
        <v>811</v>
      </c>
      <c r="C3125" s="75" t="s">
        <v>10</v>
      </c>
      <c r="D3125" s="75">
        <v>33905</v>
      </c>
      <c r="F3125" s="75" t="s">
        <v>10</v>
      </c>
      <c r="H3125" s="75" t="s">
        <v>10</v>
      </c>
      <c r="I3125" s="75">
        <v>19489</v>
      </c>
      <c r="K3125" s="75" t="str">
        <f>IFERROR(VLOOKUP(J3125,'NQ10'!$B$9:$C$145,2,0),"")</f>
        <v/>
      </c>
    </row>
    <row r="3126" spans="1:11" ht="15" customHeight="1" x14ac:dyDescent="0.25">
      <c r="A3126" s="75">
        <v>28</v>
      </c>
      <c r="B3126" s="75">
        <v>812</v>
      </c>
      <c r="C3126" s="75" t="s">
        <v>10</v>
      </c>
      <c r="D3126" s="75">
        <v>217</v>
      </c>
      <c r="F3126" s="75" t="s">
        <v>10</v>
      </c>
      <c r="H3126" s="75" t="s">
        <v>10</v>
      </c>
      <c r="I3126" s="75">
        <v>19489</v>
      </c>
      <c r="K3126" s="75" t="str">
        <f>IFERROR(VLOOKUP(J3126,'NQ10'!$B$9:$C$145,2,0),"")</f>
        <v/>
      </c>
    </row>
    <row r="3127" spans="1:11" ht="15" customHeight="1" x14ac:dyDescent="0.25">
      <c r="A3127" s="75">
        <v>29</v>
      </c>
      <c r="C3127" s="75" t="s">
        <v>10</v>
      </c>
      <c r="D3127" s="75">
        <v>5037</v>
      </c>
      <c r="F3127" s="75" t="s">
        <v>10</v>
      </c>
      <c r="H3127" s="75" t="s">
        <v>10</v>
      </c>
      <c r="I3127" s="75">
        <v>19489</v>
      </c>
      <c r="K3127" s="75" t="str">
        <f>IFERROR(VLOOKUP(J3127,'NQ10'!$B$9:$C$145,2,0),"")</f>
        <v/>
      </c>
    </row>
    <row r="3128" spans="1:11" ht="15" customHeight="1" x14ac:dyDescent="0.25">
      <c r="A3128" s="75">
        <v>29</v>
      </c>
      <c r="C3128" s="75" t="s">
        <v>10</v>
      </c>
      <c r="D3128" s="75">
        <v>1552</v>
      </c>
      <c r="F3128" s="75" t="s">
        <v>10</v>
      </c>
      <c r="H3128" s="75" t="s">
        <v>10</v>
      </c>
      <c r="I3128" s="75">
        <v>19489</v>
      </c>
      <c r="K3128" s="75" t="str">
        <f>IFERROR(VLOOKUP(J3128,'NQ10'!$B$9:$C$145,2,0),"")</f>
        <v/>
      </c>
    </row>
    <row r="3129" spans="1:11" ht="15" customHeight="1" x14ac:dyDescent="0.25">
      <c r="A3129" s="75">
        <v>29</v>
      </c>
      <c r="C3129" s="75" t="s">
        <v>10</v>
      </c>
      <c r="D3129" s="75">
        <v>7086</v>
      </c>
      <c r="F3129" s="75" t="s">
        <v>10</v>
      </c>
      <c r="H3129" s="75" t="s">
        <v>10</v>
      </c>
      <c r="I3129" s="75">
        <v>19489</v>
      </c>
      <c r="K3129" s="75" t="str">
        <f>IFERROR(VLOOKUP(J3129,'NQ10'!$B$9:$C$145,2,0),"")</f>
        <v/>
      </c>
    </row>
    <row r="3130" spans="1:11" ht="15" customHeight="1" x14ac:dyDescent="0.25">
      <c r="A3130" s="75">
        <v>29</v>
      </c>
      <c r="C3130" s="75" t="s">
        <v>10</v>
      </c>
      <c r="D3130" s="75">
        <v>335</v>
      </c>
      <c r="F3130" s="75" t="s">
        <v>10</v>
      </c>
      <c r="H3130" s="75" t="s">
        <v>10</v>
      </c>
      <c r="I3130" s="75">
        <v>19489</v>
      </c>
      <c r="K3130" s="75" t="str">
        <f>IFERROR(VLOOKUP(J3130,'NQ10'!$B$9:$C$145,2,0),"")</f>
        <v/>
      </c>
    </row>
    <row r="3131" spans="1:11" ht="15" customHeight="1" x14ac:dyDescent="0.25">
      <c r="A3131" s="75">
        <v>29</v>
      </c>
      <c r="C3131" s="75" t="s">
        <v>10</v>
      </c>
      <c r="D3131" s="75">
        <v>252</v>
      </c>
      <c r="F3131" s="75" t="s">
        <v>10</v>
      </c>
      <c r="H3131" s="75" t="s">
        <v>10</v>
      </c>
      <c r="I3131" s="75">
        <v>19489</v>
      </c>
      <c r="K3131" s="75" t="str">
        <f>IFERROR(VLOOKUP(J3131,'NQ10'!$B$9:$C$145,2,0),"")</f>
        <v/>
      </c>
    </row>
    <row r="3132" spans="1:11" ht="15" customHeight="1" x14ac:dyDescent="0.25">
      <c r="A3132" s="75">
        <v>29</v>
      </c>
      <c r="C3132" s="75" t="s">
        <v>10</v>
      </c>
      <c r="D3132" s="75">
        <v>92</v>
      </c>
      <c r="F3132" s="75" t="s">
        <v>10</v>
      </c>
      <c r="H3132" s="75" t="s">
        <v>10</v>
      </c>
      <c r="I3132" s="75">
        <v>19489</v>
      </c>
      <c r="K3132" s="75" t="str">
        <f>IFERROR(VLOOKUP(J3132,'NQ10'!$B$9:$C$145,2,0),"")</f>
        <v/>
      </c>
    </row>
    <row r="3133" spans="1:11" ht="15" customHeight="1" x14ac:dyDescent="0.25">
      <c r="A3133" s="75">
        <v>29</v>
      </c>
      <c r="C3133" s="75" t="s">
        <v>10</v>
      </c>
      <c r="D3133" s="75">
        <v>0</v>
      </c>
      <c r="F3133" s="75" t="s">
        <v>10</v>
      </c>
      <c r="H3133" s="75" t="s">
        <v>10</v>
      </c>
      <c r="I3133" s="75">
        <v>19489</v>
      </c>
      <c r="K3133" s="75" t="str">
        <f>IFERROR(VLOOKUP(J3133,'NQ10'!$B$9:$C$145,2,0),"")</f>
        <v/>
      </c>
    </row>
    <row r="3134" spans="1:11" ht="15" customHeight="1" x14ac:dyDescent="0.25">
      <c r="A3134" s="75">
        <v>29</v>
      </c>
      <c r="B3134" s="75">
        <v>1</v>
      </c>
      <c r="C3134" s="75" t="s">
        <v>10</v>
      </c>
      <c r="D3134" s="75">
        <v>27219</v>
      </c>
      <c r="F3134" s="75" t="s">
        <v>10</v>
      </c>
      <c r="H3134" s="75" t="s">
        <v>10</v>
      </c>
      <c r="I3134" s="75">
        <v>19489</v>
      </c>
      <c r="K3134" s="75" t="str">
        <f>IFERROR(VLOOKUP(J3134,'NQ10'!$B$9:$C$145,2,0),"")</f>
        <v/>
      </c>
    </row>
    <row r="3135" spans="1:11" ht="15" customHeight="1" x14ac:dyDescent="0.25">
      <c r="A3135" s="75">
        <v>29</v>
      </c>
      <c r="B3135" s="75">
        <v>2</v>
      </c>
      <c r="C3135" s="75" t="s">
        <v>10</v>
      </c>
      <c r="D3135" s="75">
        <v>12329</v>
      </c>
      <c r="F3135" s="75" t="s">
        <v>10</v>
      </c>
      <c r="H3135" s="75" t="s">
        <v>10</v>
      </c>
      <c r="I3135" s="75">
        <v>19489</v>
      </c>
      <c r="K3135" s="75" t="str">
        <f>IFERROR(VLOOKUP(J3135,'NQ10'!$B$9:$C$145,2,0),"")</f>
        <v/>
      </c>
    </row>
    <row r="3136" spans="1:11" ht="15" customHeight="1" x14ac:dyDescent="0.25">
      <c r="A3136" s="75">
        <v>29</v>
      </c>
      <c r="B3136" s="75">
        <v>3</v>
      </c>
      <c r="C3136" s="75" t="s">
        <v>10</v>
      </c>
      <c r="D3136" s="75">
        <v>16714</v>
      </c>
      <c r="F3136" s="75" t="s">
        <v>10</v>
      </c>
      <c r="H3136" s="75" t="s">
        <v>10</v>
      </c>
      <c r="I3136" s="75">
        <v>19489</v>
      </c>
      <c r="K3136" s="75" t="str">
        <f>IFERROR(VLOOKUP(J3136,'NQ10'!$B$9:$C$145,2,0),"")</f>
        <v/>
      </c>
    </row>
    <row r="3137" spans="1:11" ht="15" customHeight="1" x14ac:dyDescent="0.25">
      <c r="A3137" s="75">
        <v>29</v>
      </c>
      <c r="B3137" s="75">
        <v>4</v>
      </c>
      <c r="C3137" s="75" t="s">
        <v>10</v>
      </c>
      <c r="D3137" s="75">
        <v>1719</v>
      </c>
      <c r="F3137" s="75" t="s">
        <v>10</v>
      </c>
      <c r="H3137" s="75" t="s">
        <v>10</v>
      </c>
      <c r="I3137" s="75">
        <v>19489</v>
      </c>
      <c r="K3137" s="75" t="str">
        <f>IFERROR(VLOOKUP(J3137,'NQ10'!$B$9:$C$145,2,0),"")</f>
        <v/>
      </c>
    </row>
    <row r="3138" spans="1:11" ht="15" customHeight="1" x14ac:dyDescent="0.25">
      <c r="A3138" s="75">
        <v>29</v>
      </c>
      <c r="B3138" s="75">
        <v>5</v>
      </c>
      <c r="C3138" s="75" t="s">
        <v>10</v>
      </c>
      <c r="D3138" s="75">
        <v>5745</v>
      </c>
      <c r="F3138" s="75" t="s">
        <v>10</v>
      </c>
      <c r="H3138" s="75" t="s">
        <v>10</v>
      </c>
      <c r="I3138" s="75">
        <v>19489</v>
      </c>
      <c r="K3138" s="75" t="str">
        <f>IFERROR(VLOOKUP(J3138,'NQ10'!$B$9:$C$145,2,0),"")</f>
        <v/>
      </c>
    </row>
    <row r="3139" spans="1:11" ht="15" customHeight="1" x14ac:dyDescent="0.25">
      <c r="A3139" s="75">
        <v>29</v>
      </c>
      <c r="B3139" s="75">
        <v>6</v>
      </c>
      <c r="C3139" s="75" t="s">
        <v>10</v>
      </c>
      <c r="D3139" s="75">
        <v>1278</v>
      </c>
      <c r="F3139" s="75" t="s">
        <v>10</v>
      </c>
      <c r="H3139" s="75" t="s">
        <v>10</v>
      </c>
      <c r="I3139" s="75">
        <v>19489</v>
      </c>
      <c r="K3139" s="75" t="str">
        <f>IFERROR(VLOOKUP(J3139,'NQ10'!$B$9:$C$145,2,0),"")</f>
        <v/>
      </c>
    </row>
    <row r="3140" spans="1:11" ht="15" customHeight="1" x14ac:dyDescent="0.25">
      <c r="A3140" s="75">
        <v>29</v>
      </c>
      <c r="B3140" s="75">
        <v>7</v>
      </c>
      <c r="C3140" s="75" t="s">
        <v>10</v>
      </c>
      <c r="D3140" s="75">
        <v>999</v>
      </c>
      <c r="F3140" s="75" t="s">
        <v>10</v>
      </c>
      <c r="H3140" s="75" t="s">
        <v>10</v>
      </c>
      <c r="I3140" s="75">
        <v>19489</v>
      </c>
      <c r="K3140" s="75" t="str">
        <f>IFERROR(VLOOKUP(J3140,'NQ10'!$B$9:$C$145,2,0),"")</f>
        <v/>
      </c>
    </row>
    <row r="3141" spans="1:11" ht="15" customHeight="1" x14ac:dyDescent="0.25">
      <c r="A3141" s="75">
        <v>29</v>
      </c>
      <c r="B3141" s="75">
        <v>8</v>
      </c>
      <c r="C3141" s="75" t="s">
        <v>10</v>
      </c>
      <c r="D3141" s="75">
        <v>1241</v>
      </c>
      <c r="F3141" s="75" t="s">
        <v>10</v>
      </c>
      <c r="H3141" s="75" t="s">
        <v>10</v>
      </c>
      <c r="I3141" s="75">
        <v>19489</v>
      </c>
      <c r="K3141" s="75" t="str">
        <f>IFERROR(VLOOKUP(J3141,'NQ10'!$B$9:$C$145,2,0),"")</f>
        <v/>
      </c>
    </row>
    <row r="3142" spans="1:11" ht="15" customHeight="1" x14ac:dyDescent="0.25">
      <c r="A3142" s="75">
        <v>29</v>
      </c>
      <c r="B3142" s="75">
        <v>9</v>
      </c>
      <c r="C3142" s="75" t="s">
        <v>10</v>
      </c>
      <c r="D3142" s="75">
        <v>2421</v>
      </c>
      <c r="F3142" s="75" t="s">
        <v>10</v>
      </c>
      <c r="H3142" s="75" t="s">
        <v>10</v>
      </c>
      <c r="I3142" s="75">
        <v>19489</v>
      </c>
      <c r="K3142" s="75" t="str">
        <f>IFERROR(VLOOKUP(J3142,'NQ10'!$B$9:$C$145,2,0),"")</f>
        <v/>
      </c>
    </row>
    <row r="3143" spans="1:11" ht="15" customHeight="1" x14ac:dyDescent="0.25">
      <c r="A3143" s="75">
        <v>29</v>
      </c>
      <c r="B3143" s="75">
        <v>10</v>
      </c>
      <c r="C3143" s="75" t="s">
        <v>10</v>
      </c>
      <c r="D3143" s="75">
        <v>7233</v>
      </c>
      <c r="F3143" s="75" t="s">
        <v>10</v>
      </c>
      <c r="H3143" s="75" t="s">
        <v>10</v>
      </c>
      <c r="I3143" s="75">
        <v>19489</v>
      </c>
      <c r="K3143" s="75" t="str">
        <f>IFERROR(VLOOKUP(J3143,'NQ10'!$B$9:$C$145,2,0),"")</f>
        <v/>
      </c>
    </row>
    <row r="3144" spans="1:11" ht="15" customHeight="1" x14ac:dyDescent="0.25">
      <c r="A3144" s="75">
        <v>29</v>
      </c>
      <c r="B3144" s="75">
        <v>11</v>
      </c>
      <c r="C3144" s="75" t="s">
        <v>10</v>
      </c>
      <c r="D3144" s="75">
        <v>16356</v>
      </c>
      <c r="F3144" s="75" t="s">
        <v>10</v>
      </c>
      <c r="H3144" s="75" t="s">
        <v>10</v>
      </c>
      <c r="I3144" s="75">
        <v>19489</v>
      </c>
      <c r="K3144" s="75" t="str">
        <f>IFERROR(VLOOKUP(J3144,'NQ10'!$B$9:$C$145,2,0),"")</f>
        <v/>
      </c>
    </row>
    <row r="3145" spans="1:11" ht="15" customHeight="1" x14ac:dyDescent="0.25">
      <c r="A3145" s="75">
        <v>29</v>
      </c>
      <c r="B3145" s="75">
        <v>12</v>
      </c>
      <c r="C3145" s="75" t="s">
        <v>10</v>
      </c>
      <c r="D3145" s="75">
        <v>18814</v>
      </c>
      <c r="F3145" s="75" t="s">
        <v>10</v>
      </c>
      <c r="H3145" s="75" t="s">
        <v>10</v>
      </c>
      <c r="I3145" s="75">
        <v>19489</v>
      </c>
      <c r="K3145" s="75" t="str">
        <f>IFERROR(VLOOKUP(J3145,'NQ10'!$B$9:$C$145,2,0),"")</f>
        <v/>
      </c>
    </row>
    <row r="3146" spans="1:11" ht="15" customHeight="1" x14ac:dyDescent="0.25">
      <c r="A3146" s="75">
        <v>29</v>
      </c>
      <c r="B3146" s="75">
        <v>13</v>
      </c>
      <c r="C3146" s="75" t="s">
        <v>10</v>
      </c>
      <c r="D3146" s="75">
        <v>6295</v>
      </c>
      <c r="F3146" s="75" t="s">
        <v>10</v>
      </c>
      <c r="H3146" s="75" t="s">
        <v>10</v>
      </c>
      <c r="I3146" s="75">
        <v>19489</v>
      </c>
      <c r="K3146" s="75" t="str">
        <f>IFERROR(VLOOKUP(J3146,'NQ10'!$B$9:$C$145,2,0),"")</f>
        <v/>
      </c>
    </row>
    <row r="3147" spans="1:11" ht="15" customHeight="1" x14ac:dyDescent="0.25">
      <c r="A3147" s="75">
        <v>29</v>
      </c>
      <c r="B3147" s="75">
        <v>15</v>
      </c>
      <c r="C3147" s="75" t="s">
        <v>10</v>
      </c>
      <c r="D3147" s="75">
        <v>5514</v>
      </c>
      <c r="F3147" s="75" t="s">
        <v>10</v>
      </c>
      <c r="H3147" s="75" t="s">
        <v>10</v>
      </c>
      <c r="I3147" s="75">
        <v>19489</v>
      </c>
      <c r="K3147" s="75" t="str">
        <f>IFERROR(VLOOKUP(J3147,'NQ10'!$B$9:$C$145,2,0),"")</f>
        <v/>
      </c>
    </row>
    <row r="3148" spans="1:11" ht="15" customHeight="1" x14ac:dyDescent="0.25">
      <c r="A3148" s="75">
        <v>29</v>
      </c>
      <c r="B3148" s="75">
        <v>17</v>
      </c>
      <c r="C3148" s="75" t="s">
        <v>10</v>
      </c>
      <c r="D3148" s="75">
        <v>2981</v>
      </c>
      <c r="F3148" s="75" t="s">
        <v>10</v>
      </c>
      <c r="H3148" s="75" t="s">
        <v>10</v>
      </c>
      <c r="I3148" s="75">
        <v>19489</v>
      </c>
      <c r="K3148" s="75" t="str">
        <f>IFERROR(VLOOKUP(J3148,'NQ10'!$B$9:$C$145,2,0),"")</f>
        <v/>
      </c>
    </row>
    <row r="3149" spans="1:11" ht="15" customHeight="1" x14ac:dyDescent="0.25">
      <c r="A3149" s="75">
        <v>29</v>
      </c>
      <c r="B3149" s="75">
        <v>18</v>
      </c>
      <c r="C3149" s="75" t="s">
        <v>10</v>
      </c>
      <c r="D3149" s="75">
        <v>29054</v>
      </c>
      <c r="F3149" s="75" t="s">
        <v>10</v>
      </c>
      <c r="H3149" s="75" t="s">
        <v>10</v>
      </c>
      <c r="I3149" s="75">
        <v>19489</v>
      </c>
      <c r="K3149" s="75" t="str">
        <f>IFERROR(VLOOKUP(J3149,'NQ10'!$B$9:$C$145,2,0),"")</f>
        <v/>
      </c>
    </row>
    <row r="3150" spans="1:11" ht="15" customHeight="1" x14ac:dyDescent="0.25">
      <c r="A3150" s="75">
        <v>29</v>
      </c>
      <c r="B3150" s="75">
        <v>19</v>
      </c>
      <c r="C3150" s="75" t="s">
        <v>10</v>
      </c>
      <c r="D3150" s="75">
        <v>2131</v>
      </c>
      <c r="F3150" s="75" t="s">
        <v>10</v>
      </c>
      <c r="H3150" s="75" t="s">
        <v>10</v>
      </c>
      <c r="I3150" s="75">
        <v>19489</v>
      </c>
      <c r="K3150" s="75" t="str">
        <f>IFERROR(VLOOKUP(J3150,'NQ10'!$B$9:$C$145,2,0),"")</f>
        <v/>
      </c>
    </row>
    <row r="3151" spans="1:11" ht="15" customHeight="1" x14ac:dyDescent="0.25">
      <c r="A3151" s="75">
        <v>29</v>
      </c>
      <c r="B3151" s="75">
        <v>20</v>
      </c>
      <c r="C3151" s="75" t="s">
        <v>10</v>
      </c>
      <c r="D3151" s="75">
        <v>833</v>
      </c>
      <c r="F3151" s="75" t="s">
        <v>10</v>
      </c>
      <c r="H3151" s="75" t="s">
        <v>10</v>
      </c>
      <c r="I3151" s="75">
        <v>19489</v>
      </c>
      <c r="K3151" s="75" t="str">
        <f>IFERROR(VLOOKUP(J3151,'NQ10'!$B$9:$C$145,2,0),"")</f>
        <v/>
      </c>
    </row>
    <row r="3152" spans="1:11" ht="15" customHeight="1" x14ac:dyDescent="0.25">
      <c r="A3152" s="75">
        <v>29</v>
      </c>
      <c r="B3152" s="75">
        <v>21</v>
      </c>
      <c r="C3152" s="75" t="s">
        <v>10</v>
      </c>
      <c r="D3152" s="75">
        <v>5596</v>
      </c>
      <c r="F3152" s="75" t="s">
        <v>10</v>
      </c>
      <c r="H3152" s="75" t="s">
        <v>10</v>
      </c>
      <c r="I3152" s="75">
        <v>19489</v>
      </c>
      <c r="K3152" s="75" t="str">
        <f>IFERROR(VLOOKUP(J3152,'NQ10'!$B$9:$C$145,2,0),"")</f>
        <v/>
      </c>
    </row>
    <row r="3153" spans="1:11" ht="15" customHeight="1" x14ac:dyDescent="0.25">
      <c r="A3153" s="75">
        <v>29</v>
      </c>
      <c r="B3153" s="75">
        <v>22</v>
      </c>
      <c r="C3153" s="75" t="s">
        <v>10</v>
      </c>
      <c r="D3153" s="75">
        <v>2884</v>
      </c>
      <c r="F3153" s="75" t="s">
        <v>10</v>
      </c>
      <c r="H3153" s="75" t="s">
        <v>10</v>
      </c>
      <c r="I3153" s="75">
        <v>19489</v>
      </c>
      <c r="K3153" s="75" t="str">
        <f>IFERROR(VLOOKUP(J3153,'NQ10'!$B$9:$C$145,2,0),"")</f>
        <v/>
      </c>
    </row>
    <row r="3154" spans="1:11" ht="15" customHeight="1" x14ac:dyDescent="0.25">
      <c r="A3154" s="75">
        <v>29</v>
      </c>
      <c r="B3154" s="75">
        <v>23</v>
      </c>
      <c r="C3154" s="75" t="s">
        <v>10</v>
      </c>
      <c r="D3154" s="75">
        <v>4056</v>
      </c>
      <c r="F3154" s="75" t="s">
        <v>10</v>
      </c>
      <c r="H3154" s="75" t="s">
        <v>10</v>
      </c>
      <c r="I3154" s="75">
        <v>19489</v>
      </c>
      <c r="K3154" s="75" t="str">
        <f>IFERROR(VLOOKUP(J3154,'NQ10'!$B$9:$C$145,2,0),"")</f>
        <v/>
      </c>
    </row>
    <row r="3155" spans="1:11" ht="15" customHeight="1" x14ac:dyDescent="0.25">
      <c r="A3155" s="75">
        <v>29</v>
      </c>
      <c r="B3155" s="75">
        <v>24</v>
      </c>
      <c r="C3155" s="75" t="s">
        <v>10</v>
      </c>
      <c r="D3155" s="75">
        <v>9982</v>
      </c>
      <c r="F3155" s="75" t="s">
        <v>10</v>
      </c>
      <c r="H3155" s="75" t="s">
        <v>10</v>
      </c>
      <c r="I3155" s="75">
        <v>19489</v>
      </c>
      <c r="K3155" s="75" t="str">
        <f>IFERROR(VLOOKUP(J3155,'NQ10'!$B$9:$C$145,2,0),"")</f>
        <v/>
      </c>
    </row>
    <row r="3156" spans="1:11" ht="15" customHeight="1" x14ac:dyDescent="0.25">
      <c r="A3156" s="75">
        <v>29</v>
      </c>
      <c r="B3156" s="75">
        <v>25</v>
      </c>
      <c r="C3156" s="75" t="s">
        <v>10</v>
      </c>
      <c r="D3156" s="75">
        <v>22272</v>
      </c>
      <c r="F3156" s="75" t="s">
        <v>10</v>
      </c>
      <c r="H3156" s="75" t="s">
        <v>10</v>
      </c>
      <c r="I3156" s="75">
        <v>19489</v>
      </c>
      <c r="K3156" s="75" t="str">
        <f>IFERROR(VLOOKUP(J3156,'NQ10'!$B$9:$C$145,2,0),"")</f>
        <v/>
      </c>
    </row>
    <row r="3157" spans="1:11" ht="15" customHeight="1" x14ac:dyDescent="0.25">
      <c r="A3157" s="75">
        <v>29</v>
      </c>
      <c r="B3157" s="75">
        <v>27</v>
      </c>
      <c r="C3157" s="75" t="s">
        <v>10</v>
      </c>
      <c r="D3157" s="75">
        <v>30108</v>
      </c>
      <c r="F3157" s="75" t="s">
        <v>10</v>
      </c>
      <c r="H3157" s="75" t="s">
        <v>10</v>
      </c>
      <c r="I3157" s="75">
        <v>19489</v>
      </c>
      <c r="K3157" s="75" t="str">
        <f>IFERROR(VLOOKUP(J3157,'NQ10'!$B$9:$C$145,2,0),"")</f>
        <v/>
      </c>
    </row>
    <row r="3158" spans="1:11" ht="15" customHeight="1" x14ac:dyDescent="0.25">
      <c r="A3158" s="75">
        <v>29</v>
      </c>
      <c r="B3158" s="75">
        <v>29</v>
      </c>
      <c r="C3158" s="75" t="s">
        <v>10</v>
      </c>
      <c r="D3158" s="75">
        <v>24568</v>
      </c>
      <c r="F3158" s="75" t="s">
        <v>10</v>
      </c>
      <c r="H3158" s="75" t="s">
        <v>10</v>
      </c>
      <c r="I3158" s="75">
        <v>19489</v>
      </c>
      <c r="K3158" s="75" t="str">
        <f>IFERROR(VLOOKUP(J3158,'NQ10'!$B$9:$C$145,2,0),"")</f>
        <v/>
      </c>
    </row>
    <row r="3159" spans="1:11" ht="15" customHeight="1" x14ac:dyDescent="0.25">
      <c r="A3159" s="75">
        <v>29</v>
      </c>
      <c r="B3159" s="75">
        <v>30</v>
      </c>
      <c r="C3159" s="75" t="s">
        <v>10</v>
      </c>
      <c r="D3159" s="75">
        <v>14563</v>
      </c>
      <c r="F3159" s="75" t="s">
        <v>10</v>
      </c>
      <c r="H3159" s="75" t="s">
        <v>10</v>
      </c>
      <c r="I3159" s="75">
        <v>19489</v>
      </c>
      <c r="K3159" s="75" t="str">
        <f>IFERROR(VLOOKUP(J3159,'NQ10'!$B$9:$C$145,2,0),"")</f>
        <v/>
      </c>
    </row>
    <row r="3160" spans="1:11" ht="15" customHeight="1" x14ac:dyDescent="0.25">
      <c r="A3160" s="75">
        <v>29</v>
      </c>
      <c r="B3160" s="75">
        <v>31</v>
      </c>
      <c r="C3160" s="75" t="s">
        <v>10</v>
      </c>
      <c r="D3160" s="75">
        <v>7971</v>
      </c>
      <c r="F3160" s="75" t="s">
        <v>10</v>
      </c>
      <c r="H3160" s="75" t="s">
        <v>10</v>
      </c>
      <c r="I3160" s="75">
        <v>19489</v>
      </c>
      <c r="K3160" s="75" t="str">
        <f>IFERROR(VLOOKUP(J3160,'NQ10'!$B$9:$C$145,2,0),"")</f>
        <v/>
      </c>
    </row>
    <row r="3161" spans="1:11" ht="15" customHeight="1" x14ac:dyDescent="0.25">
      <c r="A3161" s="75">
        <v>29</v>
      </c>
      <c r="B3161" s="75">
        <v>32</v>
      </c>
      <c r="C3161" s="75" t="s">
        <v>10</v>
      </c>
      <c r="D3161" s="75">
        <v>9135</v>
      </c>
      <c r="F3161" s="75" t="s">
        <v>10</v>
      </c>
      <c r="H3161" s="75" t="s">
        <v>10</v>
      </c>
      <c r="I3161" s="75">
        <v>19489</v>
      </c>
      <c r="K3161" s="75" t="str">
        <f>IFERROR(VLOOKUP(J3161,'NQ10'!$B$9:$C$145,2,0),"")</f>
        <v/>
      </c>
    </row>
    <row r="3162" spans="1:11" ht="15" customHeight="1" x14ac:dyDescent="0.25">
      <c r="A3162" s="75">
        <v>29</v>
      </c>
      <c r="B3162" s="75">
        <v>33</v>
      </c>
      <c r="C3162" s="75" t="s">
        <v>10</v>
      </c>
      <c r="D3162" s="75">
        <v>12641</v>
      </c>
      <c r="F3162" s="75" t="s">
        <v>10</v>
      </c>
      <c r="H3162" s="75" t="s">
        <v>10</v>
      </c>
      <c r="I3162" s="75">
        <v>19489</v>
      </c>
      <c r="K3162" s="75" t="str">
        <f>IFERROR(VLOOKUP(J3162,'NQ10'!$B$9:$C$145,2,0),"")</f>
        <v/>
      </c>
    </row>
    <row r="3163" spans="1:11" ht="15" customHeight="1" x14ac:dyDescent="0.25">
      <c r="A3163" s="75">
        <v>29</v>
      </c>
      <c r="B3163" s="75">
        <v>35</v>
      </c>
      <c r="C3163" s="75" t="s">
        <v>10</v>
      </c>
      <c r="D3163" s="75">
        <v>971</v>
      </c>
      <c r="F3163" s="75" t="s">
        <v>10</v>
      </c>
      <c r="H3163" s="75" t="s">
        <v>10</v>
      </c>
      <c r="I3163" s="75">
        <v>19489</v>
      </c>
      <c r="K3163" s="75" t="str">
        <f>IFERROR(VLOOKUP(J3163,'NQ10'!$B$9:$C$145,2,0),"")</f>
        <v/>
      </c>
    </row>
    <row r="3164" spans="1:11" ht="15" customHeight="1" x14ac:dyDescent="0.25">
      <c r="A3164" s="75">
        <v>29</v>
      </c>
      <c r="B3164" s="75">
        <v>36</v>
      </c>
      <c r="C3164" s="75" t="s">
        <v>10</v>
      </c>
      <c r="D3164" s="75">
        <v>2580</v>
      </c>
      <c r="F3164" s="75" t="s">
        <v>10</v>
      </c>
      <c r="H3164" s="75" t="s">
        <v>10</v>
      </c>
      <c r="I3164" s="75">
        <v>19489</v>
      </c>
      <c r="K3164" s="75" t="str">
        <f>IFERROR(VLOOKUP(J3164,'NQ10'!$B$9:$C$145,2,0),"")</f>
        <v/>
      </c>
    </row>
    <row r="3165" spans="1:11" ht="15" customHeight="1" x14ac:dyDescent="0.25">
      <c r="A3165" s="75">
        <v>29</v>
      </c>
      <c r="B3165" s="75">
        <v>37</v>
      </c>
      <c r="C3165" s="75" t="s">
        <v>10</v>
      </c>
      <c r="D3165" s="75">
        <v>4778</v>
      </c>
      <c r="F3165" s="75" t="s">
        <v>10</v>
      </c>
      <c r="H3165" s="75" t="s">
        <v>10</v>
      </c>
      <c r="I3165" s="75">
        <v>19489</v>
      </c>
      <c r="K3165" s="75" t="str">
        <f>IFERROR(VLOOKUP(J3165,'NQ10'!$B$9:$C$145,2,0),"")</f>
        <v/>
      </c>
    </row>
    <row r="3166" spans="1:11" ht="15" customHeight="1" x14ac:dyDescent="0.25">
      <c r="A3166" s="75">
        <v>29</v>
      </c>
      <c r="B3166" s="75">
        <v>38</v>
      </c>
      <c r="C3166" s="75" t="s">
        <v>10</v>
      </c>
      <c r="D3166" s="75">
        <v>2910</v>
      </c>
      <c r="F3166" s="75" t="s">
        <v>10</v>
      </c>
      <c r="H3166" s="75" t="s">
        <v>10</v>
      </c>
      <c r="I3166" s="75">
        <v>19489</v>
      </c>
      <c r="K3166" s="75" t="str">
        <f>IFERROR(VLOOKUP(J3166,'NQ10'!$B$9:$C$145,2,0),"")</f>
        <v/>
      </c>
    </row>
    <row r="3167" spans="1:11" ht="15" customHeight="1" x14ac:dyDescent="0.25">
      <c r="A3167" s="75">
        <v>29</v>
      </c>
      <c r="B3167" s="75">
        <v>39</v>
      </c>
      <c r="C3167" s="75" t="s">
        <v>10</v>
      </c>
      <c r="D3167" s="75">
        <v>2270</v>
      </c>
      <c r="F3167" s="75" t="s">
        <v>10</v>
      </c>
      <c r="H3167" s="75" t="s">
        <v>10</v>
      </c>
      <c r="I3167" s="75">
        <v>19489</v>
      </c>
      <c r="K3167" s="75" t="str">
        <f>IFERROR(VLOOKUP(J3167,'NQ10'!$B$9:$C$145,2,0),"")</f>
        <v/>
      </c>
    </row>
    <row r="3168" spans="1:11" ht="15" customHeight="1" x14ac:dyDescent="0.25">
      <c r="A3168" s="75">
        <v>29</v>
      </c>
      <c r="B3168" s="75">
        <v>40</v>
      </c>
      <c r="C3168" s="75" t="s">
        <v>10</v>
      </c>
      <c r="D3168" s="75">
        <v>4048</v>
      </c>
      <c r="F3168" s="75" t="s">
        <v>10</v>
      </c>
      <c r="H3168" s="75" t="s">
        <v>10</v>
      </c>
      <c r="I3168" s="75">
        <v>19489</v>
      </c>
      <c r="K3168" s="75" t="str">
        <f>IFERROR(VLOOKUP(J3168,'NQ10'!$B$9:$C$145,2,0),"")</f>
        <v/>
      </c>
    </row>
    <row r="3169" spans="1:11" ht="15" customHeight="1" x14ac:dyDescent="0.25">
      <c r="A3169" s="75">
        <v>29</v>
      </c>
      <c r="B3169" s="75">
        <v>41</v>
      </c>
      <c r="C3169" s="75" t="s">
        <v>10</v>
      </c>
      <c r="D3169" s="75">
        <v>1028</v>
      </c>
      <c r="F3169" s="75" t="s">
        <v>10</v>
      </c>
      <c r="H3169" s="75" t="s">
        <v>10</v>
      </c>
      <c r="I3169" s="75">
        <v>19489</v>
      </c>
      <c r="K3169" s="75" t="str">
        <f>IFERROR(VLOOKUP(J3169,'NQ10'!$B$9:$C$145,2,0),"")</f>
        <v/>
      </c>
    </row>
    <row r="3170" spans="1:11" ht="15" customHeight="1" x14ac:dyDescent="0.25">
      <c r="A3170" s="75">
        <v>29</v>
      </c>
      <c r="B3170" s="75">
        <v>42</v>
      </c>
      <c r="C3170" s="75" t="s">
        <v>10</v>
      </c>
      <c r="D3170" s="75">
        <v>3797</v>
      </c>
      <c r="F3170" s="75" t="s">
        <v>10</v>
      </c>
      <c r="H3170" s="75" t="s">
        <v>10</v>
      </c>
      <c r="I3170" s="75">
        <v>19489</v>
      </c>
      <c r="K3170" s="75" t="str">
        <f>IFERROR(VLOOKUP(J3170,'NQ10'!$B$9:$C$145,2,0),"")</f>
        <v/>
      </c>
    </row>
    <row r="3171" spans="1:11" ht="15" customHeight="1" x14ac:dyDescent="0.25">
      <c r="A3171" s="75">
        <v>30</v>
      </c>
      <c r="C3171" s="75" t="s">
        <v>10</v>
      </c>
      <c r="D3171" s="75">
        <v>10308</v>
      </c>
      <c r="F3171" s="75" t="s">
        <v>10</v>
      </c>
      <c r="H3171" s="75" t="s">
        <v>10</v>
      </c>
      <c r="I3171" s="75">
        <v>19489</v>
      </c>
      <c r="K3171" s="75" t="str">
        <f>IFERROR(VLOOKUP(J3171,'NQ10'!$B$9:$C$145,2,0),"")</f>
        <v/>
      </c>
    </row>
    <row r="3172" spans="1:11" ht="15" customHeight="1" x14ac:dyDescent="0.25">
      <c r="A3172" s="75">
        <v>30</v>
      </c>
      <c r="C3172" s="75" t="s">
        <v>10</v>
      </c>
      <c r="D3172" s="75">
        <v>2621</v>
      </c>
      <c r="F3172" s="75" t="s">
        <v>10</v>
      </c>
      <c r="H3172" s="75" t="s">
        <v>10</v>
      </c>
      <c r="I3172" s="75">
        <v>19489</v>
      </c>
      <c r="K3172" s="75" t="str">
        <f>IFERROR(VLOOKUP(J3172,'NQ10'!$B$9:$C$145,2,0),"")</f>
        <v/>
      </c>
    </row>
    <row r="3173" spans="1:11" ht="15" customHeight="1" x14ac:dyDescent="0.25">
      <c r="A3173" s="75">
        <v>30</v>
      </c>
      <c r="C3173" s="75" t="s">
        <v>10</v>
      </c>
      <c r="D3173" s="75">
        <v>4476</v>
      </c>
      <c r="F3173" s="75" t="s">
        <v>10</v>
      </c>
      <c r="H3173" s="75" t="s">
        <v>10</v>
      </c>
      <c r="I3173" s="75">
        <v>19489</v>
      </c>
      <c r="K3173" s="75" t="str">
        <f>IFERROR(VLOOKUP(J3173,'NQ10'!$B$9:$C$145,2,0),"")</f>
        <v/>
      </c>
    </row>
    <row r="3174" spans="1:11" ht="15" customHeight="1" x14ac:dyDescent="0.25">
      <c r="A3174" s="75">
        <v>30</v>
      </c>
      <c r="C3174" s="75" t="s">
        <v>10</v>
      </c>
      <c r="D3174" s="75">
        <v>6161</v>
      </c>
      <c r="F3174" s="75" t="s">
        <v>10</v>
      </c>
      <c r="H3174" s="75" t="s">
        <v>10</v>
      </c>
      <c r="I3174" s="75">
        <v>19489</v>
      </c>
      <c r="K3174" s="75" t="str">
        <f>IFERROR(VLOOKUP(J3174,'NQ10'!$B$9:$C$145,2,0),"")</f>
        <v/>
      </c>
    </row>
    <row r="3175" spans="1:11" ht="15" customHeight="1" x14ac:dyDescent="0.25">
      <c r="A3175" s="75">
        <v>30</v>
      </c>
      <c r="C3175" s="75" t="s">
        <v>10</v>
      </c>
      <c r="D3175" s="75">
        <v>487</v>
      </c>
      <c r="F3175" s="75" t="s">
        <v>10</v>
      </c>
      <c r="H3175" s="75" t="s">
        <v>10</v>
      </c>
      <c r="I3175" s="75">
        <v>19489</v>
      </c>
      <c r="K3175" s="75" t="str">
        <f>IFERROR(VLOOKUP(J3175,'NQ10'!$B$9:$C$145,2,0),"")</f>
        <v/>
      </c>
    </row>
    <row r="3176" spans="1:11" ht="15" customHeight="1" x14ac:dyDescent="0.25">
      <c r="A3176" s="75">
        <v>30</v>
      </c>
      <c r="C3176" s="75" t="s">
        <v>10</v>
      </c>
      <c r="D3176" s="75">
        <v>11247</v>
      </c>
      <c r="F3176" s="75" t="s">
        <v>10</v>
      </c>
      <c r="H3176" s="75" t="s">
        <v>10</v>
      </c>
      <c r="I3176" s="75">
        <v>19489</v>
      </c>
      <c r="K3176" s="75" t="str">
        <f>IFERROR(VLOOKUP(J3176,'NQ10'!$B$9:$C$145,2,0),"")</f>
        <v/>
      </c>
    </row>
    <row r="3177" spans="1:11" ht="15" customHeight="1" x14ac:dyDescent="0.25">
      <c r="A3177" s="75">
        <v>30</v>
      </c>
      <c r="C3177" s="75" t="s">
        <v>10</v>
      </c>
      <c r="D3177" s="75">
        <v>169</v>
      </c>
      <c r="F3177" s="75" t="s">
        <v>10</v>
      </c>
      <c r="H3177" s="75" t="s">
        <v>10</v>
      </c>
      <c r="I3177" s="75">
        <v>19489</v>
      </c>
      <c r="K3177" s="75" t="str">
        <f>IFERROR(VLOOKUP(J3177,'NQ10'!$B$9:$C$145,2,0),"")</f>
        <v/>
      </c>
    </row>
    <row r="3178" spans="1:11" ht="15" customHeight="1" x14ac:dyDescent="0.25">
      <c r="A3178" s="75">
        <v>30</v>
      </c>
      <c r="C3178" s="75" t="s">
        <v>10</v>
      </c>
      <c r="D3178" s="75">
        <v>406</v>
      </c>
      <c r="F3178" s="75" t="s">
        <v>10</v>
      </c>
      <c r="H3178" s="75" t="s">
        <v>10</v>
      </c>
      <c r="I3178" s="75">
        <v>19489</v>
      </c>
      <c r="K3178" s="75" t="str">
        <f>IFERROR(VLOOKUP(J3178,'NQ10'!$B$9:$C$145,2,0),"")</f>
        <v/>
      </c>
    </row>
    <row r="3179" spans="1:11" ht="15" customHeight="1" x14ac:dyDescent="0.25">
      <c r="A3179" s="75">
        <v>30</v>
      </c>
      <c r="C3179" s="75" t="s">
        <v>10</v>
      </c>
      <c r="D3179" s="75">
        <v>6156</v>
      </c>
      <c r="F3179" s="75" t="s">
        <v>10</v>
      </c>
      <c r="H3179" s="75" t="s">
        <v>10</v>
      </c>
      <c r="I3179" s="75">
        <v>19489</v>
      </c>
      <c r="K3179" s="75" t="str">
        <f>IFERROR(VLOOKUP(J3179,'NQ10'!$B$9:$C$145,2,0),"")</f>
        <v/>
      </c>
    </row>
    <row r="3180" spans="1:11" ht="15" customHeight="1" x14ac:dyDescent="0.25">
      <c r="A3180" s="75">
        <v>30</v>
      </c>
      <c r="C3180" s="75" t="s">
        <v>10</v>
      </c>
      <c r="D3180" s="75">
        <v>9951</v>
      </c>
      <c r="F3180" s="75" t="s">
        <v>10</v>
      </c>
      <c r="H3180" s="75" t="s">
        <v>10</v>
      </c>
      <c r="I3180" s="75">
        <v>19489</v>
      </c>
      <c r="K3180" s="75" t="str">
        <f>IFERROR(VLOOKUP(J3180,'NQ10'!$B$9:$C$145,2,0),"")</f>
        <v/>
      </c>
    </row>
    <row r="3181" spans="1:11" ht="15" customHeight="1" x14ac:dyDescent="0.25">
      <c r="A3181" s="75">
        <v>30</v>
      </c>
      <c r="C3181" s="75" t="s">
        <v>10</v>
      </c>
      <c r="D3181" s="75">
        <v>2694</v>
      </c>
      <c r="F3181" s="75" t="s">
        <v>10</v>
      </c>
      <c r="H3181" s="75" t="s">
        <v>10</v>
      </c>
      <c r="I3181" s="75">
        <v>19489</v>
      </c>
      <c r="K3181" s="75" t="str">
        <f>IFERROR(VLOOKUP(J3181,'NQ10'!$B$9:$C$145,2,0),"")</f>
        <v/>
      </c>
    </row>
    <row r="3182" spans="1:11" ht="15" customHeight="1" x14ac:dyDescent="0.25">
      <c r="A3182" s="75">
        <v>30</v>
      </c>
      <c r="C3182" s="75" t="s">
        <v>10</v>
      </c>
      <c r="D3182" s="75">
        <v>198</v>
      </c>
      <c r="F3182" s="75" t="s">
        <v>10</v>
      </c>
      <c r="H3182" s="75" t="s">
        <v>10</v>
      </c>
      <c r="I3182" s="75">
        <v>19489</v>
      </c>
      <c r="K3182" s="75" t="str">
        <f>IFERROR(VLOOKUP(J3182,'NQ10'!$B$9:$C$145,2,0),"")</f>
        <v/>
      </c>
    </row>
    <row r="3183" spans="1:11" ht="15" customHeight="1" x14ac:dyDescent="0.25">
      <c r="A3183" s="75">
        <v>30</v>
      </c>
      <c r="C3183" s="75" t="s">
        <v>10</v>
      </c>
      <c r="D3183" s="75">
        <v>2252</v>
      </c>
      <c r="F3183" s="75" t="s">
        <v>10</v>
      </c>
      <c r="H3183" s="75" t="s">
        <v>10</v>
      </c>
      <c r="I3183" s="75">
        <v>19489</v>
      </c>
      <c r="K3183" s="75" t="str">
        <f>IFERROR(VLOOKUP(J3183,'NQ10'!$B$9:$C$145,2,0),"")</f>
        <v/>
      </c>
    </row>
    <row r="3184" spans="1:11" ht="15" customHeight="1" x14ac:dyDescent="0.25">
      <c r="A3184" s="75">
        <v>30</v>
      </c>
      <c r="C3184" s="75" t="s">
        <v>10</v>
      </c>
      <c r="D3184" s="75">
        <v>370</v>
      </c>
      <c r="F3184" s="75" t="s">
        <v>10</v>
      </c>
      <c r="H3184" s="75" t="s">
        <v>10</v>
      </c>
      <c r="I3184" s="75">
        <v>19489</v>
      </c>
      <c r="K3184" s="75" t="str">
        <f>IFERROR(VLOOKUP(J3184,'NQ10'!$B$9:$C$145,2,0),"")</f>
        <v/>
      </c>
    </row>
    <row r="3185" spans="1:11" ht="15" customHeight="1" x14ac:dyDescent="0.25">
      <c r="A3185" s="75">
        <v>30</v>
      </c>
      <c r="C3185" s="75" t="s">
        <v>10</v>
      </c>
      <c r="D3185" s="75">
        <v>104</v>
      </c>
      <c r="F3185" s="75" t="s">
        <v>10</v>
      </c>
      <c r="H3185" s="75" t="s">
        <v>10</v>
      </c>
      <c r="I3185" s="75">
        <v>19489</v>
      </c>
      <c r="K3185" s="75" t="str">
        <f>IFERROR(VLOOKUP(J3185,'NQ10'!$B$9:$C$145,2,0),"")</f>
        <v/>
      </c>
    </row>
    <row r="3186" spans="1:11" ht="15" customHeight="1" x14ac:dyDescent="0.25">
      <c r="A3186" s="75">
        <v>30</v>
      </c>
      <c r="C3186" s="75" t="s">
        <v>10</v>
      </c>
      <c r="D3186" s="75">
        <v>14886</v>
      </c>
      <c r="F3186" s="75" t="s">
        <v>10</v>
      </c>
      <c r="H3186" s="75" t="s">
        <v>10</v>
      </c>
      <c r="I3186" s="75">
        <v>19489</v>
      </c>
      <c r="K3186" s="75" t="str">
        <f>IFERROR(VLOOKUP(J3186,'NQ10'!$B$9:$C$145,2,0),"")</f>
        <v/>
      </c>
    </row>
    <row r="3187" spans="1:11" ht="15" customHeight="1" x14ac:dyDescent="0.25">
      <c r="A3187" s="75">
        <v>30</v>
      </c>
      <c r="C3187" s="75" t="s">
        <v>10</v>
      </c>
      <c r="D3187" s="75">
        <v>101</v>
      </c>
      <c r="F3187" s="75" t="s">
        <v>10</v>
      </c>
      <c r="H3187" s="75" t="s">
        <v>10</v>
      </c>
      <c r="I3187" s="75">
        <v>19489</v>
      </c>
      <c r="K3187" s="75" t="str">
        <f>IFERROR(VLOOKUP(J3187,'NQ10'!$B$9:$C$145,2,0),"")</f>
        <v/>
      </c>
    </row>
    <row r="3188" spans="1:11" ht="15" customHeight="1" x14ac:dyDescent="0.25">
      <c r="A3188" s="75">
        <v>30</v>
      </c>
      <c r="C3188" s="75" t="s">
        <v>10</v>
      </c>
      <c r="D3188" s="75">
        <v>6267</v>
      </c>
      <c r="F3188" s="75" t="s">
        <v>10</v>
      </c>
      <c r="H3188" s="75" t="s">
        <v>10</v>
      </c>
      <c r="I3188" s="75">
        <v>19489</v>
      </c>
      <c r="K3188" s="75" t="str">
        <f>IFERROR(VLOOKUP(J3188,'NQ10'!$B$9:$C$145,2,0),"")</f>
        <v/>
      </c>
    </row>
    <row r="3189" spans="1:11" ht="15" customHeight="1" x14ac:dyDescent="0.25">
      <c r="A3189" s="75">
        <v>30</v>
      </c>
      <c r="C3189" s="75" t="s">
        <v>10</v>
      </c>
      <c r="D3189" s="75">
        <v>152</v>
      </c>
      <c r="F3189" s="75" t="s">
        <v>10</v>
      </c>
      <c r="H3189" s="75" t="s">
        <v>10</v>
      </c>
      <c r="I3189" s="75">
        <v>19489</v>
      </c>
      <c r="K3189" s="75" t="str">
        <f>IFERROR(VLOOKUP(J3189,'NQ10'!$B$9:$C$145,2,0),"")</f>
        <v/>
      </c>
    </row>
    <row r="3190" spans="1:11" ht="15" customHeight="1" x14ac:dyDescent="0.25">
      <c r="A3190" s="75">
        <v>30</v>
      </c>
      <c r="C3190" s="75" t="s">
        <v>10</v>
      </c>
      <c r="D3190" s="75">
        <v>149</v>
      </c>
      <c r="F3190" s="75" t="s">
        <v>10</v>
      </c>
      <c r="H3190" s="75" t="s">
        <v>10</v>
      </c>
      <c r="I3190" s="75">
        <v>19489</v>
      </c>
      <c r="K3190" s="75" t="str">
        <f>IFERROR(VLOOKUP(J3190,'NQ10'!$B$9:$C$145,2,0),"")</f>
        <v/>
      </c>
    </row>
    <row r="3191" spans="1:11" ht="15" customHeight="1" x14ac:dyDescent="0.25">
      <c r="A3191" s="75">
        <v>30</v>
      </c>
      <c r="C3191" s="75" t="s">
        <v>10</v>
      </c>
      <c r="D3191" s="75">
        <v>94</v>
      </c>
      <c r="F3191" s="75" t="s">
        <v>10</v>
      </c>
      <c r="H3191" s="75" t="s">
        <v>10</v>
      </c>
      <c r="I3191" s="75">
        <v>19489</v>
      </c>
      <c r="K3191" s="75" t="str">
        <f>IFERROR(VLOOKUP(J3191,'NQ10'!$B$9:$C$145,2,0),"")</f>
        <v/>
      </c>
    </row>
    <row r="3192" spans="1:11" ht="15" customHeight="1" x14ac:dyDescent="0.25">
      <c r="A3192" s="75">
        <v>30</v>
      </c>
      <c r="B3192" s="75">
        <v>1</v>
      </c>
      <c r="C3192" s="75" t="s">
        <v>10</v>
      </c>
      <c r="D3192" s="75">
        <v>9753</v>
      </c>
      <c r="F3192" s="75" t="s">
        <v>10</v>
      </c>
      <c r="H3192" s="75" t="s">
        <v>10</v>
      </c>
      <c r="I3192" s="75">
        <v>19489</v>
      </c>
      <c r="K3192" s="75" t="str">
        <f>IFERROR(VLOOKUP(J3192,'NQ10'!$B$9:$C$145,2,0),"")</f>
        <v/>
      </c>
    </row>
    <row r="3193" spans="1:11" ht="15" customHeight="1" x14ac:dyDescent="0.25">
      <c r="A3193" s="75">
        <v>30</v>
      </c>
      <c r="B3193" s="75">
        <v>2</v>
      </c>
      <c r="C3193" s="75" t="s">
        <v>10</v>
      </c>
      <c r="D3193" s="75">
        <v>4964</v>
      </c>
      <c r="F3193" s="75" t="s">
        <v>10</v>
      </c>
      <c r="H3193" s="75" t="s">
        <v>10</v>
      </c>
      <c r="I3193" s="75">
        <v>19489</v>
      </c>
      <c r="K3193" s="75" t="str">
        <f>IFERROR(VLOOKUP(J3193,'NQ10'!$B$9:$C$145,2,0),"")</f>
        <v/>
      </c>
    </row>
    <row r="3194" spans="1:11" ht="15" customHeight="1" x14ac:dyDescent="0.25">
      <c r="A3194" s="75">
        <v>30</v>
      </c>
      <c r="B3194" s="75">
        <v>4</v>
      </c>
      <c r="C3194" s="75" t="s">
        <v>10</v>
      </c>
      <c r="D3194" s="75">
        <v>9514</v>
      </c>
      <c r="F3194" s="75" t="s">
        <v>10</v>
      </c>
      <c r="H3194" s="75" t="s">
        <v>10</v>
      </c>
      <c r="I3194" s="75">
        <v>19489</v>
      </c>
      <c r="K3194" s="75" t="str">
        <f>IFERROR(VLOOKUP(J3194,'NQ10'!$B$9:$C$145,2,0),"")</f>
        <v/>
      </c>
    </row>
    <row r="3195" spans="1:11" ht="15" customHeight="1" x14ac:dyDescent="0.25">
      <c r="A3195" s="75">
        <v>30</v>
      </c>
      <c r="B3195" s="75">
        <v>5</v>
      </c>
      <c r="C3195" s="75" t="s">
        <v>10</v>
      </c>
      <c r="D3195" s="75">
        <v>9782</v>
      </c>
      <c r="F3195" s="75" t="s">
        <v>10</v>
      </c>
      <c r="H3195" s="75" t="s">
        <v>10</v>
      </c>
      <c r="I3195" s="75">
        <v>19489</v>
      </c>
      <c r="K3195" s="75" t="str">
        <f>IFERROR(VLOOKUP(J3195,'NQ10'!$B$9:$C$145,2,0),"")</f>
        <v/>
      </c>
    </row>
    <row r="3196" spans="1:11" ht="15" customHeight="1" x14ac:dyDescent="0.25">
      <c r="A3196" s="75">
        <v>30</v>
      </c>
      <c r="B3196" s="75">
        <v>8</v>
      </c>
      <c r="C3196" s="75" t="s">
        <v>10</v>
      </c>
      <c r="D3196" s="75">
        <v>11415</v>
      </c>
      <c r="F3196" s="75" t="s">
        <v>10</v>
      </c>
      <c r="H3196" s="75" t="s">
        <v>10</v>
      </c>
      <c r="I3196" s="75">
        <v>19489</v>
      </c>
      <c r="K3196" s="75" t="str">
        <f>IFERROR(VLOOKUP(J3196,'NQ10'!$B$9:$C$145,2,0),"")</f>
        <v/>
      </c>
    </row>
    <row r="3197" spans="1:11" ht="15" customHeight="1" x14ac:dyDescent="0.25">
      <c r="A3197" s="75">
        <v>30</v>
      </c>
      <c r="B3197" s="75">
        <v>10</v>
      </c>
      <c r="C3197" s="75" t="s">
        <v>10</v>
      </c>
      <c r="D3197" s="75">
        <v>1417</v>
      </c>
      <c r="F3197" s="75" t="s">
        <v>10</v>
      </c>
      <c r="H3197" s="75" t="s">
        <v>10</v>
      </c>
      <c r="I3197" s="75">
        <v>19489</v>
      </c>
      <c r="K3197" s="75" t="str">
        <f>IFERROR(VLOOKUP(J3197,'NQ10'!$B$9:$C$145,2,0),"")</f>
        <v/>
      </c>
    </row>
    <row r="3198" spans="1:11" ht="15" customHeight="1" x14ac:dyDescent="0.25">
      <c r="A3198" s="75">
        <v>30</v>
      </c>
      <c r="B3198" s="75">
        <v>11</v>
      </c>
      <c r="C3198" s="75" t="s">
        <v>10</v>
      </c>
      <c r="D3198" s="75">
        <v>440</v>
      </c>
      <c r="F3198" s="75" t="s">
        <v>10</v>
      </c>
      <c r="H3198" s="75" t="s">
        <v>10</v>
      </c>
      <c r="I3198" s="75">
        <v>19489</v>
      </c>
      <c r="K3198" s="75" t="str">
        <f>IFERROR(VLOOKUP(J3198,'NQ10'!$B$9:$C$145,2,0),"")</f>
        <v/>
      </c>
    </row>
    <row r="3199" spans="1:11" ht="15" customHeight="1" x14ac:dyDescent="0.25">
      <c r="A3199" s="75">
        <v>30</v>
      </c>
      <c r="B3199" s="75">
        <v>13</v>
      </c>
      <c r="C3199" s="75" t="s">
        <v>10</v>
      </c>
      <c r="D3199" s="75">
        <v>251</v>
      </c>
      <c r="F3199" s="75" t="s">
        <v>10</v>
      </c>
      <c r="H3199" s="75" t="s">
        <v>10</v>
      </c>
      <c r="I3199" s="75">
        <v>19489</v>
      </c>
      <c r="K3199" s="75" t="str">
        <f>IFERROR(VLOOKUP(J3199,'NQ10'!$B$9:$C$145,2,0),"")</f>
        <v/>
      </c>
    </row>
    <row r="3200" spans="1:11" ht="15" customHeight="1" x14ac:dyDescent="0.25">
      <c r="A3200" s="75">
        <v>30</v>
      </c>
      <c r="B3200" s="75">
        <v>14</v>
      </c>
      <c r="C3200" s="75" t="s">
        <v>10</v>
      </c>
      <c r="D3200" s="75">
        <v>225</v>
      </c>
      <c r="F3200" s="75" t="s">
        <v>10</v>
      </c>
      <c r="H3200" s="75" t="s">
        <v>10</v>
      </c>
      <c r="I3200" s="75">
        <v>19489</v>
      </c>
      <c r="K3200" s="75" t="str">
        <f>IFERROR(VLOOKUP(J3200,'NQ10'!$B$9:$C$145,2,0),"")</f>
        <v/>
      </c>
    </row>
    <row r="3201" spans="1:11" ht="15" customHeight="1" x14ac:dyDescent="0.25">
      <c r="A3201" s="75">
        <v>30</v>
      </c>
      <c r="B3201" s="75">
        <v>15</v>
      </c>
      <c r="C3201" s="75" t="s">
        <v>10</v>
      </c>
      <c r="D3201" s="75">
        <v>4540</v>
      </c>
      <c r="F3201" s="75" t="s">
        <v>10</v>
      </c>
      <c r="H3201" s="75" t="s">
        <v>10</v>
      </c>
      <c r="I3201" s="75">
        <v>19489</v>
      </c>
      <c r="K3201" s="75" t="str">
        <f>IFERROR(VLOOKUP(J3201,'NQ10'!$B$9:$C$145,2,0),"")</f>
        <v/>
      </c>
    </row>
    <row r="3202" spans="1:11" ht="15" customHeight="1" x14ac:dyDescent="0.25">
      <c r="A3202" s="75">
        <v>30</v>
      </c>
      <c r="B3202" s="75">
        <v>19</v>
      </c>
      <c r="C3202" s="75" t="s">
        <v>10</v>
      </c>
      <c r="D3202" s="75">
        <v>531</v>
      </c>
      <c r="F3202" s="75" t="s">
        <v>10</v>
      </c>
      <c r="H3202" s="75" t="s">
        <v>10</v>
      </c>
      <c r="I3202" s="75">
        <v>19489</v>
      </c>
      <c r="K3202" s="75" t="str">
        <f>IFERROR(VLOOKUP(J3202,'NQ10'!$B$9:$C$145,2,0),"")</f>
        <v/>
      </c>
    </row>
    <row r="3203" spans="1:11" ht="15" customHeight="1" x14ac:dyDescent="0.25">
      <c r="A3203" s="75">
        <v>30</v>
      </c>
      <c r="B3203" s="75">
        <v>21</v>
      </c>
      <c r="C3203" s="75" t="s">
        <v>10</v>
      </c>
      <c r="D3203" s="75">
        <v>161</v>
      </c>
      <c r="F3203" s="75" t="s">
        <v>10</v>
      </c>
      <c r="H3203" s="75" t="s">
        <v>10</v>
      </c>
      <c r="I3203" s="75">
        <v>19489</v>
      </c>
      <c r="K3203" s="75" t="str">
        <f>IFERROR(VLOOKUP(J3203,'NQ10'!$B$9:$C$145,2,0),"")</f>
        <v/>
      </c>
    </row>
    <row r="3204" spans="1:11" ht="15" customHeight="1" x14ac:dyDescent="0.25">
      <c r="A3204" s="75">
        <v>30</v>
      </c>
      <c r="B3204" s="75">
        <v>23</v>
      </c>
      <c r="C3204" s="75" t="s">
        <v>10</v>
      </c>
      <c r="D3204" s="75">
        <v>78</v>
      </c>
      <c r="F3204" s="75" t="s">
        <v>10</v>
      </c>
      <c r="H3204" s="75" t="s">
        <v>10</v>
      </c>
      <c r="I3204" s="75">
        <v>19489</v>
      </c>
      <c r="K3204" s="75" t="str">
        <f>IFERROR(VLOOKUP(J3204,'NQ10'!$B$9:$C$145,2,0),"")</f>
        <v/>
      </c>
    </row>
    <row r="3205" spans="1:11" ht="15" customHeight="1" x14ac:dyDescent="0.25">
      <c r="A3205" s="75">
        <v>30</v>
      </c>
      <c r="B3205" s="75">
        <v>24</v>
      </c>
      <c r="C3205" s="75" t="s">
        <v>10</v>
      </c>
      <c r="D3205" s="75">
        <v>93</v>
      </c>
      <c r="F3205" s="75" t="s">
        <v>10</v>
      </c>
      <c r="H3205" s="75" t="s">
        <v>10</v>
      </c>
      <c r="I3205" s="75">
        <v>19489</v>
      </c>
      <c r="K3205" s="75" t="str">
        <f>IFERROR(VLOOKUP(J3205,'NQ10'!$B$9:$C$145,2,0),"")</f>
        <v/>
      </c>
    </row>
    <row r="3206" spans="1:11" ht="15" customHeight="1" x14ac:dyDescent="0.25">
      <c r="A3206" s="75">
        <v>30</v>
      </c>
      <c r="B3206" s="75">
        <v>25</v>
      </c>
      <c r="C3206" s="75" t="s">
        <v>10</v>
      </c>
      <c r="D3206" s="75">
        <v>162</v>
      </c>
      <c r="F3206" s="75" t="s">
        <v>10</v>
      </c>
      <c r="H3206" s="75" t="s">
        <v>10</v>
      </c>
      <c r="I3206" s="75">
        <v>19489</v>
      </c>
      <c r="K3206" s="75" t="str">
        <f>IFERROR(VLOOKUP(J3206,'NQ10'!$B$9:$C$145,2,0),"")</f>
        <v/>
      </c>
    </row>
    <row r="3207" spans="1:11" ht="15" customHeight="1" x14ac:dyDescent="0.25">
      <c r="A3207" s="75">
        <v>30</v>
      </c>
      <c r="B3207" s="75">
        <v>26</v>
      </c>
      <c r="C3207" s="75" t="s">
        <v>10</v>
      </c>
      <c r="D3207" s="75">
        <v>127</v>
      </c>
      <c r="F3207" s="75" t="s">
        <v>10</v>
      </c>
      <c r="H3207" s="75" t="s">
        <v>10</v>
      </c>
      <c r="I3207" s="75">
        <v>19489</v>
      </c>
      <c r="K3207" s="75" t="str">
        <f>IFERROR(VLOOKUP(J3207,'NQ10'!$B$9:$C$145,2,0),"")</f>
        <v/>
      </c>
    </row>
    <row r="3208" spans="1:11" ht="15" customHeight="1" x14ac:dyDescent="0.25">
      <c r="A3208" s="75">
        <v>30</v>
      </c>
      <c r="B3208" s="75">
        <v>27</v>
      </c>
      <c r="C3208" s="75" t="s">
        <v>10</v>
      </c>
      <c r="D3208" s="75">
        <v>77</v>
      </c>
      <c r="F3208" s="75" t="s">
        <v>10</v>
      </c>
      <c r="H3208" s="75" t="s">
        <v>10</v>
      </c>
      <c r="I3208" s="75">
        <v>19489</v>
      </c>
      <c r="K3208" s="75" t="str">
        <f>IFERROR(VLOOKUP(J3208,'NQ10'!$B$9:$C$145,2,0),"")</f>
        <v/>
      </c>
    </row>
    <row r="3209" spans="1:11" ht="15" customHeight="1" x14ac:dyDescent="0.25">
      <c r="A3209" s="75">
        <v>30</v>
      </c>
      <c r="B3209" s="75">
        <v>31</v>
      </c>
      <c r="C3209" s="75" t="s">
        <v>10</v>
      </c>
      <c r="D3209" s="75">
        <v>2767</v>
      </c>
      <c r="F3209" s="75" t="s">
        <v>10</v>
      </c>
      <c r="H3209" s="75" t="s">
        <v>10</v>
      </c>
      <c r="I3209" s="75">
        <v>19489</v>
      </c>
      <c r="K3209" s="75" t="str">
        <f>IFERROR(VLOOKUP(J3209,'NQ10'!$B$9:$C$145,2,0),"")</f>
        <v/>
      </c>
    </row>
    <row r="3210" spans="1:11" ht="15" customHeight="1" x14ac:dyDescent="0.25">
      <c r="A3210" s="75">
        <v>30</v>
      </c>
      <c r="B3210" s="75">
        <v>32</v>
      </c>
      <c r="C3210" s="75" t="s">
        <v>10</v>
      </c>
      <c r="D3210" s="75">
        <v>892</v>
      </c>
      <c r="F3210" s="75" t="s">
        <v>10</v>
      </c>
      <c r="H3210" s="75" t="s">
        <v>10</v>
      </c>
      <c r="I3210" s="75">
        <v>19489</v>
      </c>
      <c r="K3210" s="75" t="str">
        <f>IFERROR(VLOOKUP(J3210,'NQ10'!$B$9:$C$145,2,0),"")</f>
        <v/>
      </c>
    </row>
    <row r="3211" spans="1:11" ht="15" customHeight="1" x14ac:dyDescent="0.25">
      <c r="A3211" s="75">
        <v>30</v>
      </c>
      <c r="B3211" s="75">
        <v>34</v>
      </c>
      <c r="C3211" s="75" t="s">
        <v>10</v>
      </c>
      <c r="D3211" s="75">
        <v>140</v>
      </c>
      <c r="F3211" s="75" t="s">
        <v>10</v>
      </c>
      <c r="H3211" s="75" t="s">
        <v>10</v>
      </c>
      <c r="I3211" s="75">
        <v>19489</v>
      </c>
      <c r="K3211" s="75" t="str">
        <f>IFERROR(VLOOKUP(J3211,'NQ10'!$B$9:$C$145,2,0),"")</f>
        <v/>
      </c>
    </row>
    <row r="3212" spans="1:11" ht="15" customHeight="1" x14ac:dyDescent="0.25">
      <c r="A3212" s="75">
        <v>30</v>
      </c>
      <c r="B3212" s="75">
        <v>35</v>
      </c>
      <c r="C3212" s="75" t="s">
        <v>10</v>
      </c>
      <c r="D3212" s="75">
        <v>251</v>
      </c>
      <c r="F3212" s="75" t="s">
        <v>10</v>
      </c>
      <c r="H3212" s="75" t="s">
        <v>10</v>
      </c>
      <c r="I3212" s="75">
        <v>19489</v>
      </c>
      <c r="K3212" s="75" t="str">
        <f>IFERROR(VLOOKUP(J3212,'NQ10'!$B$9:$C$145,2,0),"")</f>
        <v/>
      </c>
    </row>
    <row r="3213" spans="1:11" ht="15" customHeight="1" x14ac:dyDescent="0.25">
      <c r="A3213" s="75">
        <v>30</v>
      </c>
      <c r="B3213" s="75">
        <v>36</v>
      </c>
      <c r="C3213" s="75" t="s">
        <v>10</v>
      </c>
      <c r="D3213" s="75">
        <v>2471</v>
      </c>
      <c r="F3213" s="75" t="s">
        <v>10</v>
      </c>
      <c r="H3213" s="75" t="s">
        <v>10</v>
      </c>
      <c r="I3213" s="75">
        <v>19489</v>
      </c>
      <c r="K3213" s="75" t="str">
        <f>IFERROR(VLOOKUP(J3213,'NQ10'!$B$9:$C$145,2,0),"")</f>
        <v/>
      </c>
    </row>
    <row r="3214" spans="1:11" ht="15" customHeight="1" x14ac:dyDescent="0.25">
      <c r="A3214" s="75">
        <v>30</v>
      </c>
      <c r="B3214" s="75">
        <v>37</v>
      </c>
      <c r="C3214" s="75" t="s">
        <v>10</v>
      </c>
      <c r="D3214" s="75">
        <v>2072</v>
      </c>
      <c r="F3214" s="75" t="s">
        <v>10</v>
      </c>
      <c r="H3214" s="75" t="s">
        <v>10</v>
      </c>
      <c r="I3214" s="75">
        <v>19489</v>
      </c>
      <c r="K3214" s="75" t="str">
        <f>IFERROR(VLOOKUP(J3214,'NQ10'!$B$9:$C$145,2,0),"")</f>
        <v/>
      </c>
    </row>
    <row r="3215" spans="1:11" ht="15" customHeight="1" x14ac:dyDescent="0.25">
      <c r="A3215" s="75">
        <v>30</v>
      </c>
      <c r="B3215" s="75">
        <v>38</v>
      </c>
      <c r="C3215" s="75" t="s">
        <v>10</v>
      </c>
      <c r="D3215" s="75">
        <v>3488</v>
      </c>
      <c r="F3215" s="75" t="s">
        <v>10</v>
      </c>
      <c r="H3215" s="75" t="s">
        <v>10</v>
      </c>
      <c r="I3215" s="75">
        <v>19489</v>
      </c>
      <c r="K3215" s="75" t="str">
        <f>IFERROR(VLOOKUP(J3215,'NQ10'!$B$9:$C$145,2,0),"")</f>
        <v/>
      </c>
    </row>
    <row r="3216" spans="1:11" ht="15" customHeight="1" x14ac:dyDescent="0.25">
      <c r="A3216" s="75">
        <v>30</v>
      </c>
      <c r="B3216" s="75">
        <v>40</v>
      </c>
      <c r="C3216" s="75" t="s">
        <v>10</v>
      </c>
      <c r="D3216" s="75">
        <v>217</v>
      </c>
      <c r="F3216" s="75" t="s">
        <v>10</v>
      </c>
      <c r="H3216" s="75" t="s">
        <v>10</v>
      </c>
      <c r="I3216" s="75">
        <v>19489</v>
      </c>
      <c r="K3216" s="75" t="str">
        <f>IFERROR(VLOOKUP(J3216,'NQ10'!$B$9:$C$145,2,0),"")</f>
        <v/>
      </c>
    </row>
    <row r="3217" spans="1:11" ht="15" customHeight="1" x14ac:dyDescent="0.25">
      <c r="A3217" s="75">
        <v>30</v>
      </c>
      <c r="B3217" s="75">
        <v>41</v>
      </c>
      <c r="C3217" s="75" t="s">
        <v>10</v>
      </c>
      <c r="D3217" s="75">
        <v>122</v>
      </c>
      <c r="F3217" s="75" t="s">
        <v>10</v>
      </c>
      <c r="H3217" s="75" t="s">
        <v>10</v>
      </c>
      <c r="I3217" s="75">
        <v>19489</v>
      </c>
      <c r="K3217" s="75" t="str">
        <f>IFERROR(VLOOKUP(J3217,'NQ10'!$B$9:$C$145,2,0),"")</f>
        <v/>
      </c>
    </row>
    <row r="3218" spans="1:11" ht="15" customHeight="1" x14ac:dyDescent="0.25">
      <c r="A3218" s="75">
        <v>30</v>
      </c>
      <c r="B3218" s="75">
        <v>42</v>
      </c>
      <c r="C3218" s="75" t="s">
        <v>10</v>
      </c>
      <c r="D3218" s="75">
        <v>1188</v>
      </c>
      <c r="F3218" s="75" t="s">
        <v>10</v>
      </c>
      <c r="H3218" s="75" t="s">
        <v>10</v>
      </c>
      <c r="I3218" s="75">
        <v>19489</v>
      </c>
      <c r="K3218" s="75" t="str">
        <f>IFERROR(VLOOKUP(J3218,'NQ10'!$B$9:$C$145,2,0),"")</f>
        <v/>
      </c>
    </row>
    <row r="3219" spans="1:11" ht="15" customHeight="1" x14ac:dyDescent="0.25">
      <c r="A3219" s="75">
        <v>30</v>
      </c>
      <c r="B3219" s="75">
        <v>43</v>
      </c>
      <c r="C3219" s="75" t="s">
        <v>10</v>
      </c>
      <c r="D3219" s="75">
        <v>1392</v>
      </c>
      <c r="F3219" s="75" t="s">
        <v>10</v>
      </c>
      <c r="H3219" s="75" t="s">
        <v>10</v>
      </c>
      <c r="I3219" s="75">
        <v>19489</v>
      </c>
      <c r="K3219" s="75" t="str">
        <f>IFERROR(VLOOKUP(J3219,'NQ10'!$B$9:$C$145,2,0),"")</f>
        <v/>
      </c>
    </row>
    <row r="3220" spans="1:11" ht="15" customHeight="1" x14ac:dyDescent="0.25">
      <c r="A3220" s="75">
        <v>30</v>
      </c>
      <c r="B3220" s="75">
        <v>45</v>
      </c>
      <c r="C3220" s="75" t="s">
        <v>10</v>
      </c>
      <c r="D3220" s="75">
        <v>3069</v>
      </c>
      <c r="F3220" s="75" t="s">
        <v>10</v>
      </c>
      <c r="H3220" s="75" t="s">
        <v>10</v>
      </c>
      <c r="I3220" s="75">
        <v>19489</v>
      </c>
      <c r="K3220" s="75" t="str">
        <f>IFERROR(VLOOKUP(J3220,'NQ10'!$B$9:$C$145,2,0),"")</f>
        <v/>
      </c>
    </row>
    <row r="3221" spans="1:11" ht="15" customHeight="1" x14ac:dyDescent="0.25">
      <c r="A3221" s="75">
        <v>30</v>
      </c>
      <c r="B3221" s="75">
        <v>48</v>
      </c>
      <c r="C3221" s="75" t="s">
        <v>10</v>
      </c>
      <c r="D3221" s="75">
        <v>108</v>
      </c>
      <c r="F3221" s="75" t="s">
        <v>10</v>
      </c>
      <c r="H3221" s="75" t="s">
        <v>10</v>
      </c>
      <c r="I3221" s="75">
        <v>19489</v>
      </c>
      <c r="K3221" s="75" t="str">
        <f>IFERROR(VLOOKUP(J3221,'NQ10'!$B$9:$C$145,2,0),"")</f>
        <v/>
      </c>
    </row>
    <row r="3222" spans="1:11" ht="15" customHeight="1" x14ac:dyDescent="0.25">
      <c r="A3222" s="75">
        <v>30</v>
      </c>
      <c r="B3222" s="75">
        <v>49</v>
      </c>
      <c r="C3222" s="75" t="s">
        <v>10</v>
      </c>
      <c r="D3222" s="75">
        <v>87</v>
      </c>
      <c r="F3222" s="75" t="s">
        <v>10</v>
      </c>
      <c r="H3222" s="75" t="s">
        <v>10</v>
      </c>
      <c r="I3222" s="75">
        <v>19489</v>
      </c>
      <c r="K3222" s="75" t="str">
        <f>IFERROR(VLOOKUP(J3222,'NQ10'!$B$9:$C$145,2,0),"")</f>
        <v/>
      </c>
    </row>
    <row r="3223" spans="1:11" ht="15" customHeight="1" x14ac:dyDescent="0.25">
      <c r="A3223" s="75">
        <v>30</v>
      </c>
      <c r="B3223" s="75">
        <v>53</v>
      </c>
      <c r="C3223" s="75" t="s">
        <v>10</v>
      </c>
      <c r="D3223" s="75">
        <v>255</v>
      </c>
      <c r="F3223" s="75" t="s">
        <v>10</v>
      </c>
      <c r="H3223" s="75" t="s">
        <v>10</v>
      </c>
      <c r="I3223" s="75">
        <v>19489</v>
      </c>
      <c r="K3223" s="75" t="str">
        <f>IFERROR(VLOOKUP(J3223,'NQ10'!$B$9:$C$145,2,0),"")</f>
        <v/>
      </c>
    </row>
    <row r="3224" spans="1:11" ht="15" customHeight="1" x14ac:dyDescent="0.25">
      <c r="A3224" s="75">
        <v>30</v>
      </c>
      <c r="B3224" s="75">
        <v>54</v>
      </c>
      <c r="C3224" s="75" t="s">
        <v>10</v>
      </c>
      <c r="D3224" s="75">
        <v>5470</v>
      </c>
      <c r="F3224" s="75" t="s">
        <v>10</v>
      </c>
      <c r="H3224" s="75" t="s">
        <v>10</v>
      </c>
      <c r="I3224" s="75">
        <v>19489</v>
      </c>
      <c r="K3224" s="75" t="str">
        <f>IFERROR(VLOOKUP(J3224,'NQ10'!$B$9:$C$145,2,0),"")</f>
        <v/>
      </c>
    </row>
    <row r="3225" spans="1:11" ht="15" customHeight="1" x14ac:dyDescent="0.25">
      <c r="A3225" s="75">
        <v>30</v>
      </c>
      <c r="B3225" s="75">
        <v>55</v>
      </c>
      <c r="C3225" s="75" t="s">
        <v>10</v>
      </c>
      <c r="D3225" s="75">
        <v>116</v>
      </c>
      <c r="F3225" s="75" t="s">
        <v>10</v>
      </c>
      <c r="H3225" s="75" t="s">
        <v>10</v>
      </c>
      <c r="I3225" s="75">
        <v>19489</v>
      </c>
      <c r="K3225" s="75" t="str">
        <f>IFERROR(VLOOKUP(J3225,'NQ10'!$B$9:$C$145,2,0),"")</f>
        <v/>
      </c>
    </row>
    <row r="3226" spans="1:11" ht="15" customHeight="1" x14ac:dyDescent="0.25">
      <c r="A3226" s="75">
        <v>30</v>
      </c>
      <c r="B3226" s="75">
        <v>57</v>
      </c>
      <c r="C3226" s="75" t="s">
        <v>10</v>
      </c>
      <c r="D3226" s="75">
        <v>4062</v>
      </c>
      <c r="F3226" s="75" t="s">
        <v>10</v>
      </c>
      <c r="H3226" s="75" t="s">
        <v>10</v>
      </c>
      <c r="I3226" s="75">
        <v>19489</v>
      </c>
      <c r="K3226" s="75" t="str">
        <f>IFERROR(VLOOKUP(J3226,'NQ10'!$B$9:$C$145,2,0),"")</f>
        <v/>
      </c>
    </row>
    <row r="3227" spans="1:11" ht="15" customHeight="1" x14ac:dyDescent="0.25">
      <c r="A3227" s="75">
        <v>30</v>
      </c>
      <c r="B3227" s="75">
        <v>59</v>
      </c>
      <c r="C3227" s="75" t="s">
        <v>10</v>
      </c>
      <c r="D3227" s="75">
        <v>789</v>
      </c>
      <c r="F3227" s="75" t="s">
        <v>10</v>
      </c>
      <c r="H3227" s="75" t="s">
        <v>10</v>
      </c>
      <c r="I3227" s="75">
        <v>19489</v>
      </c>
      <c r="K3227" s="75" t="str">
        <f>IFERROR(VLOOKUP(J3227,'NQ10'!$B$9:$C$145,2,0),"")</f>
        <v/>
      </c>
    </row>
    <row r="3228" spans="1:11" ht="15" customHeight="1" x14ac:dyDescent="0.25">
      <c r="A3228" s="75">
        <v>30</v>
      </c>
      <c r="B3228" s="75">
        <v>60</v>
      </c>
      <c r="C3228" s="75" t="s">
        <v>10</v>
      </c>
      <c r="D3228" s="75">
        <v>315</v>
      </c>
      <c r="F3228" s="75" t="s">
        <v>10</v>
      </c>
      <c r="H3228" s="75" t="s">
        <v>10</v>
      </c>
      <c r="I3228" s="75">
        <v>19489</v>
      </c>
      <c r="K3228" s="75" t="str">
        <f>IFERROR(VLOOKUP(J3228,'NQ10'!$B$9:$C$145,2,0),"")</f>
        <v/>
      </c>
    </row>
    <row r="3229" spans="1:11" ht="15" customHeight="1" x14ac:dyDescent="0.25">
      <c r="A3229" s="75">
        <v>30</v>
      </c>
      <c r="B3229" s="75">
        <v>61</v>
      </c>
      <c r="C3229" s="75" t="s">
        <v>10</v>
      </c>
      <c r="D3229" s="75">
        <v>87</v>
      </c>
      <c r="F3229" s="75" t="s">
        <v>10</v>
      </c>
      <c r="H3229" s="75" t="s">
        <v>10</v>
      </c>
      <c r="I3229" s="75">
        <v>19489</v>
      </c>
      <c r="K3229" s="75" t="str">
        <f>IFERROR(VLOOKUP(J3229,'NQ10'!$B$9:$C$145,2,0),"")</f>
        <v/>
      </c>
    </row>
    <row r="3230" spans="1:11" ht="15" customHeight="1" x14ac:dyDescent="0.25">
      <c r="A3230" s="75">
        <v>30</v>
      </c>
      <c r="B3230" s="75">
        <v>70</v>
      </c>
      <c r="C3230" s="75" t="s">
        <v>10</v>
      </c>
      <c r="D3230" s="75">
        <v>5820</v>
      </c>
      <c r="F3230" s="75" t="s">
        <v>10</v>
      </c>
      <c r="H3230" s="75" t="s">
        <v>10</v>
      </c>
      <c r="I3230" s="75">
        <v>19489</v>
      </c>
      <c r="K3230" s="75" t="str">
        <f>IFERROR(VLOOKUP(J3230,'NQ10'!$B$9:$C$145,2,0),"")</f>
        <v/>
      </c>
    </row>
    <row r="3231" spans="1:11" ht="15" customHeight="1" x14ac:dyDescent="0.25">
      <c r="A3231" s="75">
        <v>30</v>
      </c>
      <c r="B3231" s="75">
        <v>71</v>
      </c>
      <c r="C3231" s="75" t="s">
        <v>10</v>
      </c>
      <c r="D3231" s="75">
        <v>125</v>
      </c>
      <c r="F3231" s="75" t="s">
        <v>10</v>
      </c>
      <c r="H3231" s="75" t="s">
        <v>10</v>
      </c>
      <c r="I3231" s="75">
        <v>19489</v>
      </c>
      <c r="K3231" s="75" t="str">
        <f>IFERROR(VLOOKUP(J3231,'NQ10'!$B$9:$C$145,2,0),"")</f>
        <v/>
      </c>
    </row>
    <row r="3232" spans="1:11" ht="15" customHeight="1" x14ac:dyDescent="0.25">
      <c r="A3232" s="75">
        <v>30</v>
      </c>
      <c r="B3232" s="75">
        <v>72</v>
      </c>
      <c r="C3232" s="75" t="s">
        <v>10</v>
      </c>
      <c r="D3232" s="75">
        <v>266</v>
      </c>
      <c r="F3232" s="75" t="s">
        <v>10</v>
      </c>
      <c r="H3232" s="75" t="s">
        <v>10</v>
      </c>
      <c r="I3232" s="75">
        <v>19489</v>
      </c>
      <c r="K3232" s="75" t="str">
        <f>IFERROR(VLOOKUP(J3232,'NQ10'!$B$9:$C$145,2,0),"")</f>
        <v/>
      </c>
    </row>
    <row r="3233" spans="1:11" ht="15" customHeight="1" x14ac:dyDescent="0.25">
      <c r="A3233" s="75">
        <v>30</v>
      </c>
      <c r="B3233" s="75">
        <v>73</v>
      </c>
      <c r="C3233" s="75" t="s">
        <v>10</v>
      </c>
      <c r="D3233" s="75">
        <v>4232</v>
      </c>
      <c r="F3233" s="75" t="s">
        <v>10</v>
      </c>
      <c r="H3233" s="75" t="s">
        <v>10</v>
      </c>
      <c r="I3233" s="75">
        <v>19489</v>
      </c>
      <c r="K3233" s="75" t="str">
        <f>IFERROR(VLOOKUP(J3233,'NQ10'!$B$9:$C$145,2,0),"")</f>
        <v/>
      </c>
    </row>
    <row r="3234" spans="1:11" ht="15" customHeight="1" x14ac:dyDescent="0.25">
      <c r="A3234" s="75">
        <v>30</v>
      </c>
      <c r="B3234" s="75">
        <v>74</v>
      </c>
      <c r="C3234" s="75" t="s">
        <v>10</v>
      </c>
      <c r="D3234" s="75">
        <v>3809</v>
      </c>
      <c r="F3234" s="75" t="s">
        <v>10</v>
      </c>
      <c r="H3234" s="75" t="s">
        <v>10</v>
      </c>
      <c r="I3234" s="75">
        <v>19489</v>
      </c>
      <c r="K3234" s="75" t="str">
        <f>IFERROR(VLOOKUP(J3234,'NQ10'!$B$9:$C$145,2,0),"")</f>
        <v/>
      </c>
    </row>
    <row r="3235" spans="1:11" ht="15" customHeight="1" x14ac:dyDescent="0.25">
      <c r="A3235" s="75">
        <v>30</v>
      </c>
      <c r="B3235" s="75">
        <v>76</v>
      </c>
      <c r="C3235" s="75" t="s">
        <v>10</v>
      </c>
      <c r="D3235" s="75">
        <v>130</v>
      </c>
      <c r="F3235" s="75" t="s">
        <v>10</v>
      </c>
      <c r="H3235" s="75" t="s">
        <v>10</v>
      </c>
      <c r="I3235" s="75">
        <v>19489</v>
      </c>
      <c r="K3235" s="75" t="str">
        <f>IFERROR(VLOOKUP(J3235,'NQ10'!$B$9:$C$145,2,0),"")</f>
        <v/>
      </c>
    </row>
    <row r="3236" spans="1:11" ht="15" customHeight="1" x14ac:dyDescent="0.25">
      <c r="A3236" s="75">
        <v>30</v>
      </c>
      <c r="B3236" s="75">
        <v>77</v>
      </c>
      <c r="C3236" s="75" t="s">
        <v>10</v>
      </c>
      <c r="D3236" s="75">
        <v>12631</v>
      </c>
      <c r="F3236" s="75" t="s">
        <v>10</v>
      </c>
      <c r="H3236" s="75" t="s">
        <v>10</v>
      </c>
      <c r="I3236" s="75">
        <v>19489</v>
      </c>
      <c r="K3236" s="75" t="str">
        <f>IFERROR(VLOOKUP(J3236,'NQ10'!$B$9:$C$145,2,0),"")</f>
        <v/>
      </c>
    </row>
    <row r="3237" spans="1:11" ht="15" customHeight="1" x14ac:dyDescent="0.25">
      <c r="A3237" s="75">
        <v>30</v>
      </c>
      <c r="B3237" s="75">
        <v>83</v>
      </c>
      <c r="C3237" s="75" t="s">
        <v>10</v>
      </c>
      <c r="D3237" s="75">
        <v>8879</v>
      </c>
      <c r="F3237" s="75" t="s">
        <v>10</v>
      </c>
      <c r="H3237" s="75" t="s">
        <v>10</v>
      </c>
      <c r="I3237" s="75">
        <v>19489</v>
      </c>
      <c r="K3237" s="75" t="str">
        <f>IFERROR(VLOOKUP(J3237,'NQ10'!$B$9:$C$145,2,0),"")</f>
        <v/>
      </c>
    </row>
    <row r="3238" spans="1:11" ht="15" customHeight="1" x14ac:dyDescent="0.25">
      <c r="A3238" s="75">
        <v>30</v>
      </c>
      <c r="B3238" s="75">
        <v>85</v>
      </c>
      <c r="C3238" s="75" t="s">
        <v>10</v>
      </c>
      <c r="D3238" s="75">
        <v>2993</v>
      </c>
      <c r="F3238" s="75" t="s">
        <v>10</v>
      </c>
      <c r="H3238" s="75" t="s">
        <v>10</v>
      </c>
      <c r="I3238" s="75">
        <v>19489</v>
      </c>
      <c r="K3238" s="75" t="str">
        <f>IFERROR(VLOOKUP(J3238,'NQ10'!$B$9:$C$145,2,0),"")</f>
        <v/>
      </c>
    </row>
    <row r="3239" spans="1:11" ht="15" customHeight="1" x14ac:dyDescent="0.25">
      <c r="A3239" s="75">
        <v>30</v>
      </c>
      <c r="B3239" s="75">
        <v>86</v>
      </c>
      <c r="C3239" s="75" t="s">
        <v>10</v>
      </c>
      <c r="D3239" s="75">
        <v>1287</v>
      </c>
      <c r="F3239" s="75" t="s">
        <v>10</v>
      </c>
      <c r="H3239" s="75" t="s">
        <v>10</v>
      </c>
      <c r="I3239" s="75">
        <v>19489</v>
      </c>
      <c r="K3239" s="75" t="str">
        <f>IFERROR(VLOOKUP(J3239,'NQ10'!$B$9:$C$145,2,0),"")</f>
        <v/>
      </c>
    </row>
    <row r="3240" spans="1:11" ht="15" customHeight="1" x14ac:dyDescent="0.25">
      <c r="A3240" s="75">
        <v>30</v>
      </c>
      <c r="B3240" s="75">
        <v>87</v>
      </c>
      <c r="C3240" s="75" t="s">
        <v>10</v>
      </c>
      <c r="D3240" s="75">
        <v>261</v>
      </c>
      <c r="F3240" s="75" t="s">
        <v>10</v>
      </c>
      <c r="H3240" s="75" t="s">
        <v>10</v>
      </c>
      <c r="I3240" s="75">
        <v>19489</v>
      </c>
      <c r="K3240" s="75" t="str">
        <f>IFERROR(VLOOKUP(J3240,'NQ10'!$B$9:$C$145,2,0),"")</f>
        <v/>
      </c>
    </row>
    <row r="3241" spans="1:11" ht="15" customHeight="1" x14ac:dyDescent="0.25">
      <c r="A3241" s="75">
        <v>30</v>
      </c>
      <c r="B3241" s="75">
        <v>88</v>
      </c>
      <c r="C3241" s="75" t="s">
        <v>10</v>
      </c>
      <c r="D3241" s="75">
        <v>5558</v>
      </c>
      <c r="F3241" s="75" t="s">
        <v>10</v>
      </c>
      <c r="H3241" s="75" t="s">
        <v>10</v>
      </c>
      <c r="I3241" s="75">
        <v>19489</v>
      </c>
      <c r="K3241" s="75" t="str">
        <f>IFERROR(VLOOKUP(J3241,'NQ10'!$B$9:$C$145,2,0),"")</f>
        <v/>
      </c>
    </row>
    <row r="3242" spans="1:11" ht="15" customHeight="1" x14ac:dyDescent="0.25">
      <c r="A3242" s="75">
        <v>30</v>
      </c>
      <c r="B3242" s="75">
        <v>90</v>
      </c>
      <c r="C3242" s="75" t="s">
        <v>10</v>
      </c>
      <c r="D3242" s="75">
        <v>1475</v>
      </c>
      <c r="F3242" s="75" t="s">
        <v>10</v>
      </c>
      <c r="H3242" s="75" t="s">
        <v>10</v>
      </c>
      <c r="I3242" s="75">
        <v>19489</v>
      </c>
      <c r="K3242" s="75" t="str">
        <f>IFERROR(VLOOKUP(J3242,'NQ10'!$B$9:$C$145,2,0),"")</f>
        <v/>
      </c>
    </row>
    <row r="3243" spans="1:11" ht="15" customHeight="1" x14ac:dyDescent="0.25">
      <c r="A3243" s="75">
        <v>30</v>
      </c>
      <c r="B3243" s="75">
        <v>91</v>
      </c>
      <c r="C3243" s="75" t="s">
        <v>10</v>
      </c>
      <c r="D3243" s="75">
        <v>6423</v>
      </c>
      <c r="F3243" s="75" t="s">
        <v>10</v>
      </c>
      <c r="H3243" s="75" t="s">
        <v>10</v>
      </c>
      <c r="I3243" s="75">
        <v>19489</v>
      </c>
      <c r="K3243" s="75" t="str">
        <f>IFERROR(VLOOKUP(J3243,'NQ10'!$B$9:$C$145,2,0),"")</f>
        <v/>
      </c>
    </row>
    <row r="3244" spans="1:11" ht="15" customHeight="1" x14ac:dyDescent="0.25">
      <c r="A3244" s="75">
        <v>30</v>
      </c>
      <c r="B3244" s="75">
        <v>92</v>
      </c>
      <c r="C3244" s="75" t="s">
        <v>10</v>
      </c>
      <c r="D3244" s="75">
        <v>1135</v>
      </c>
      <c r="F3244" s="75" t="s">
        <v>10</v>
      </c>
      <c r="H3244" s="75" t="s">
        <v>10</v>
      </c>
      <c r="I3244" s="75">
        <v>19489</v>
      </c>
      <c r="K3244" s="75" t="str">
        <f>IFERROR(VLOOKUP(J3244,'NQ10'!$B$9:$C$145,2,0),"")</f>
        <v/>
      </c>
    </row>
    <row r="3245" spans="1:11" ht="15" customHeight="1" x14ac:dyDescent="0.25">
      <c r="A3245" s="75">
        <v>30</v>
      </c>
      <c r="B3245" s="75">
        <v>95</v>
      </c>
      <c r="C3245" s="75" t="s">
        <v>10</v>
      </c>
      <c r="D3245" s="75">
        <v>5171</v>
      </c>
      <c r="F3245" s="75" t="s">
        <v>10</v>
      </c>
      <c r="H3245" s="75" t="s">
        <v>10</v>
      </c>
      <c r="I3245" s="75">
        <v>19489</v>
      </c>
      <c r="K3245" s="75" t="str">
        <f>IFERROR(VLOOKUP(J3245,'NQ10'!$B$9:$C$145,2,0),"")</f>
        <v/>
      </c>
    </row>
    <row r="3246" spans="1:11" ht="15" customHeight="1" x14ac:dyDescent="0.25">
      <c r="A3246" s="75">
        <v>30</v>
      </c>
      <c r="B3246" s="75">
        <v>96</v>
      </c>
      <c r="C3246" s="75" t="s">
        <v>10</v>
      </c>
      <c r="D3246" s="75">
        <v>310</v>
      </c>
      <c r="F3246" s="75" t="s">
        <v>10</v>
      </c>
      <c r="H3246" s="75" t="s">
        <v>10</v>
      </c>
      <c r="I3246" s="75">
        <v>19489</v>
      </c>
      <c r="K3246" s="75" t="str">
        <f>IFERROR(VLOOKUP(J3246,'NQ10'!$B$9:$C$145,2,0),"")</f>
        <v/>
      </c>
    </row>
    <row r="3247" spans="1:11" ht="15" customHeight="1" x14ac:dyDescent="0.25">
      <c r="A3247" s="75">
        <v>30</v>
      </c>
      <c r="B3247" s="75">
        <v>99</v>
      </c>
      <c r="C3247" s="75" t="s">
        <v>10</v>
      </c>
      <c r="D3247" s="75">
        <v>13651</v>
      </c>
      <c r="F3247" s="75" t="s">
        <v>10</v>
      </c>
      <c r="H3247" s="75" t="s">
        <v>10</v>
      </c>
      <c r="I3247" s="75">
        <v>19489</v>
      </c>
      <c r="K3247" s="75" t="str">
        <f>IFERROR(VLOOKUP(J3247,'NQ10'!$B$9:$C$145,2,0),"")</f>
        <v/>
      </c>
    </row>
    <row r="3248" spans="1:11" ht="15" customHeight="1" x14ac:dyDescent="0.25">
      <c r="A3248" s="75">
        <v>30</v>
      </c>
      <c r="B3248" s="75">
        <v>100</v>
      </c>
      <c r="C3248" s="75" t="s">
        <v>10</v>
      </c>
      <c r="D3248" s="75">
        <v>236</v>
      </c>
      <c r="F3248" s="75" t="s">
        <v>10</v>
      </c>
      <c r="H3248" s="75" t="s">
        <v>10</v>
      </c>
      <c r="I3248" s="75">
        <v>19489</v>
      </c>
      <c r="K3248" s="75" t="str">
        <f>IFERROR(VLOOKUP(J3248,'NQ10'!$B$9:$C$145,2,0),"")</f>
        <v/>
      </c>
    </row>
    <row r="3249" spans="1:11" ht="15" customHeight="1" x14ac:dyDescent="0.25">
      <c r="A3249" s="75">
        <v>30</v>
      </c>
      <c r="B3249" s="75">
        <v>101</v>
      </c>
      <c r="C3249" s="75" t="s">
        <v>10</v>
      </c>
      <c r="D3249" s="75">
        <v>166</v>
      </c>
      <c r="F3249" s="75" t="s">
        <v>10</v>
      </c>
      <c r="H3249" s="75" t="s">
        <v>10</v>
      </c>
      <c r="I3249" s="75">
        <v>19489</v>
      </c>
      <c r="K3249" s="75" t="str">
        <f>IFERROR(VLOOKUP(J3249,'NQ10'!$B$9:$C$145,2,0),"")</f>
        <v/>
      </c>
    </row>
    <row r="3250" spans="1:11" ht="15" customHeight="1" x14ac:dyDescent="0.25">
      <c r="A3250" s="75">
        <v>30</v>
      </c>
      <c r="B3250" s="75">
        <v>102</v>
      </c>
      <c r="C3250" s="75" t="s">
        <v>10</v>
      </c>
      <c r="D3250" s="75">
        <v>167</v>
      </c>
      <c r="F3250" s="75" t="s">
        <v>10</v>
      </c>
      <c r="H3250" s="75" t="s">
        <v>10</v>
      </c>
      <c r="I3250" s="75">
        <v>19489</v>
      </c>
      <c r="K3250" s="75" t="str">
        <f>IFERROR(VLOOKUP(J3250,'NQ10'!$B$9:$C$145,2,0),"")</f>
        <v/>
      </c>
    </row>
    <row r="3251" spans="1:11" ht="15" customHeight="1" x14ac:dyDescent="0.25">
      <c r="A3251" s="75">
        <v>30</v>
      </c>
      <c r="B3251" s="75">
        <v>103</v>
      </c>
      <c r="C3251" s="75" t="s">
        <v>10</v>
      </c>
      <c r="D3251" s="75">
        <v>12586</v>
      </c>
      <c r="F3251" s="75" t="s">
        <v>10</v>
      </c>
      <c r="H3251" s="75" t="s">
        <v>10</v>
      </c>
      <c r="I3251" s="75">
        <v>19489</v>
      </c>
      <c r="K3251" s="75" t="str">
        <f>IFERROR(VLOOKUP(J3251,'NQ10'!$B$9:$C$145,2,0),"")</f>
        <v/>
      </c>
    </row>
    <row r="3252" spans="1:11" ht="15" customHeight="1" x14ac:dyDescent="0.25">
      <c r="A3252" s="75">
        <v>30</v>
      </c>
      <c r="B3252" s="75">
        <v>106</v>
      </c>
      <c r="C3252" s="75" t="s">
        <v>10</v>
      </c>
      <c r="D3252" s="75">
        <v>10461</v>
      </c>
      <c r="F3252" s="75" t="s">
        <v>10</v>
      </c>
      <c r="H3252" s="75" t="s">
        <v>10</v>
      </c>
      <c r="I3252" s="75">
        <v>19489</v>
      </c>
      <c r="K3252" s="75" t="str">
        <f>IFERROR(VLOOKUP(J3252,'NQ10'!$B$9:$C$145,2,0),"")</f>
        <v/>
      </c>
    </row>
    <row r="3253" spans="1:11" ht="15" customHeight="1" x14ac:dyDescent="0.25">
      <c r="A3253" s="75">
        <v>30</v>
      </c>
      <c r="B3253" s="75">
        <v>801</v>
      </c>
      <c r="C3253" s="75" t="s">
        <v>10</v>
      </c>
      <c r="D3253" s="75">
        <v>131</v>
      </c>
      <c r="F3253" s="75" t="s">
        <v>10</v>
      </c>
      <c r="H3253" s="75" t="s">
        <v>10</v>
      </c>
      <c r="I3253" s="75">
        <v>19489</v>
      </c>
      <c r="K3253" s="75" t="str">
        <f>IFERROR(VLOOKUP(J3253,'NQ10'!$B$9:$C$145,2,0),"")</f>
        <v/>
      </c>
    </row>
    <row r="3254" spans="1:11" ht="15" customHeight="1" x14ac:dyDescent="0.25">
      <c r="A3254" s="75">
        <v>30</v>
      </c>
      <c r="B3254" s="75">
        <v>802</v>
      </c>
      <c r="C3254" s="75" t="s">
        <v>10</v>
      </c>
      <c r="D3254" s="75">
        <v>179</v>
      </c>
      <c r="F3254" s="75" t="s">
        <v>10</v>
      </c>
      <c r="H3254" s="75" t="s">
        <v>10</v>
      </c>
      <c r="I3254" s="75">
        <v>19489</v>
      </c>
      <c r="K3254" s="75" t="str">
        <f>IFERROR(VLOOKUP(J3254,'NQ10'!$B$9:$C$145,2,0),"")</f>
        <v/>
      </c>
    </row>
    <row r="3255" spans="1:11" ht="15" customHeight="1" x14ac:dyDescent="0.25">
      <c r="A3255" s="75">
        <v>30</v>
      </c>
      <c r="B3255" s="75">
        <v>803</v>
      </c>
      <c r="C3255" s="75" t="s">
        <v>10</v>
      </c>
      <c r="D3255" s="75">
        <v>5749</v>
      </c>
      <c r="F3255" s="75" t="s">
        <v>10</v>
      </c>
      <c r="H3255" s="75" t="s">
        <v>10</v>
      </c>
      <c r="I3255" s="75">
        <v>19489</v>
      </c>
      <c r="K3255" s="75" t="str">
        <f>IFERROR(VLOOKUP(J3255,'NQ10'!$B$9:$C$145,2,0),"")</f>
        <v/>
      </c>
    </row>
    <row r="3256" spans="1:11" ht="15" customHeight="1" x14ac:dyDescent="0.25">
      <c r="A3256" s="75">
        <v>30</v>
      </c>
      <c r="B3256" s="75">
        <v>805</v>
      </c>
      <c r="C3256" s="75" t="s">
        <v>10</v>
      </c>
      <c r="D3256" s="75">
        <v>114</v>
      </c>
      <c r="F3256" s="75" t="s">
        <v>10</v>
      </c>
      <c r="H3256" s="75" t="s">
        <v>10</v>
      </c>
      <c r="I3256" s="75">
        <v>19489</v>
      </c>
      <c r="K3256" s="75" t="str">
        <f>IFERROR(VLOOKUP(J3256,'NQ10'!$B$9:$C$145,2,0),"")</f>
        <v/>
      </c>
    </row>
    <row r="3257" spans="1:11" ht="15" customHeight="1" x14ac:dyDescent="0.25">
      <c r="A3257" s="75">
        <v>30</v>
      </c>
      <c r="B3257" s="75">
        <v>806</v>
      </c>
      <c r="C3257" s="75" t="s">
        <v>10</v>
      </c>
      <c r="D3257" s="75">
        <v>167</v>
      </c>
      <c r="F3257" s="75" t="s">
        <v>10</v>
      </c>
      <c r="H3257" s="75" t="s">
        <v>10</v>
      </c>
      <c r="I3257" s="75">
        <v>19489</v>
      </c>
      <c r="K3257" s="75" t="str">
        <f>IFERROR(VLOOKUP(J3257,'NQ10'!$B$9:$C$145,2,0),"")</f>
        <v/>
      </c>
    </row>
    <row r="3258" spans="1:11" ht="15" customHeight="1" x14ac:dyDescent="0.25">
      <c r="A3258" s="75">
        <v>30</v>
      </c>
      <c r="B3258" s="75">
        <v>807</v>
      </c>
      <c r="C3258" s="75" t="s">
        <v>10</v>
      </c>
      <c r="D3258" s="75">
        <v>821</v>
      </c>
      <c r="F3258" s="75" t="s">
        <v>10</v>
      </c>
      <c r="H3258" s="75" t="s">
        <v>10</v>
      </c>
      <c r="I3258" s="75">
        <v>19489</v>
      </c>
      <c r="K3258" s="75" t="str">
        <f>IFERROR(VLOOKUP(J3258,'NQ10'!$B$9:$C$145,2,0),"")</f>
        <v/>
      </c>
    </row>
    <row r="3259" spans="1:11" ht="15" customHeight="1" x14ac:dyDescent="0.25">
      <c r="A3259" s="75">
        <v>30</v>
      </c>
      <c r="B3259" s="75">
        <v>808</v>
      </c>
      <c r="C3259" s="75" t="s">
        <v>10</v>
      </c>
      <c r="D3259" s="75">
        <v>200</v>
      </c>
      <c r="F3259" s="75" t="s">
        <v>10</v>
      </c>
      <c r="H3259" s="75" t="s">
        <v>10</v>
      </c>
      <c r="I3259" s="75">
        <v>19489</v>
      </c>
      <c r="K3259" s="75" t="str">
        <f>IFERROR(VLOOKUP(J3259,'NQ10'!$B$9:$C$145,2,0),"")</f>
        <v/>
      </c>
    </row>
    <row r="3260" spans="1:11" ht="15" customHeight="1" x14ac:dyDescent="0.25">
      <c r="A3260" s="75">
        <v>30</v>
      </c>
      <c r="B3260" s="75">
        <v>809</v>
      </c>
      <c r="C3260" s="75" t="s">
        <v>10</v>
      </c>
      <c r="D3260" s="75">
        <v>366</v>
      </c>
      <c r="F3260" s="75" t="s">
        <v>10</v>
      </c>
      <c r="H3260" s="75" t="s">
        <v>10</v>
      </c>
      <c r="I3260" s="75">
        <v>19489</v>
      </c>
      <c r="K3260" s="75" t="str">
        <f>IFERROR(VLOOKUP(J3260,'NQ10'!$B$9:$C$145,2,0),"")</f>
        <v/>
      </c>
    </row>
    <row r="3261" spans="1:11" ht="15" customHeight="1" x14ac:dyDescent="0.25">
      <c r="A3261" s="75">
        <v>30</v>
      </c>
      <c r="B3261" s="75">
        <v>811</v>
      </c>
      <c r="C3261" s="75" t="s">
        <v>10</v>
      </c>
      <c r="D3261" s="75">
        <v>509</v>
      </c>
      <c r="F3261" s="75" t="s">
        <v>10</v>
      </c>
      <c r="H3261" s="75" t="s">
        <v>10</v>
      </c>
      <c r="I3261" s="75">
        <v>19489</v>
      </c>
      <c r="K3261" s="75" t="str">
        <f>IFERROR(VLOOKUP(J3261,'NQ10'!$B$9:$C$145,2,0),"")</f>
        <v/>
      </c>
    </row>
    <row r="3262" spans="1:11" ht="15" customHeight="1" x14ac:dyDescent="0.25">
      <c r="A3262" s="75">
        <v>31</v>
      </c>
      <c r="C3262" s="75" t="s">
        <v>10</v>
      </c>
      <c r="D3262" s="75">
        <v>155</v>
      </c>
      <c r="F3262" s="75" t="s">
        <v>10</v>
      </c>
      <c r="H3262" s="75" t="s">
        <v>10</v>
      </c>
      <c r="I3262" s="75">
        <v>19489</v>
      </c>
      <c r="K3262" s="75" t="str">
        <f>IFERROR(VLOOKUP(J3262,'NQ10'!$B$9:$C$145,2,0),"")</f>
        <v/>
      </c>
    </row>
    <row r="3263" spans="1:11" ht="15" customHeight="1" x14ac:dyDescent="0.25">
      <c r="A3263" s="75">
        <v>31</v>
      </c>
      <c r="C3263" s="75" t="s">
        <v>10</v>
      </c>
      <c r="D3263" s="75">
        <v>319</v>
      </c>
      <c r="F3263" s="75" t="s">
        <v>10</v>
      </c>
      <c r="H3263" s="75" t="s">
        <v>10</v>
      </c>
      <c r="I3263" s="75">
        <v>19489</v>
      </c>
      <c r="K3263" s="75" t="str">
        <f>IFERROR(VLOOKUP(J3263,'NQ10'!$B$9:$C$145,2,0),"")</f>
        <v/>
      </c>
    </row>
    <row r="3264" spans="1:11" ht="15" customHeight="1" x14ac:dyDescent="0.25">
      <c r="A3264" s="75">
        <v>31</v>
      </c>
      <c r="C3264" s="75" t="s">
        <v>10</v>
      </c>
      <c r="D3264" s="75">
        <v>89</v>
      </c>
      <c r="F3264" s="75" t="s">
        <v>10</v>
      </c>
      <c r="H3264" s="75" t="s">
        <v>10</v>
      </c>
      <c r="I3264" s="75">
        <v>19489</v>
      </c>
      <c r="K3264" s="75" t="str">
        <f>IFERROR(VLOOKUP(J3264,'NQ10'!$B$9:$C$145,2,0),"")</f>
        <v/>
      </c>
    </row>
    <row r="3265" spans="1:11" ht="15" customHeight="1" x14ac:dyDescent="0.25">
      <c r="A3265" s="75">
        <v>31</v>
      </c>
      <c r="C3265" s="75" t="s">
        <v>10</v>
      </c>
      <c r="D3265" s="75">
        <v>20079</v>
      </c>
      <c r="F3265" s="75" t="s">
        <v>10</v>
      </c>
      <c r="H3265" s="75" t="s">
        <v>10</v>
      </c>
      <c r="I3265" s="75">
        <v>19489</v>
      </c>
      <c r="K3265" s="75" t="str">
        <f>IFERROR(VLOOKUP(J3265,'NQ10'!$B$9:$C$145,2,0),"")</f>
        <v/>
      </c>
    </row>
    <row r="3266" spans="1:11" ht="15" customHeight="1" x14ac:dyDescent="0.25">
      <c r="A3266" s="75">
        <v>31</v>
      </c>
      <c r="C3266" s="75" t="s">
        <v>10</v>
      </c>
      <c r="D3266" s="75">
        <v>13305</v>
      </c>
      <c r="F3266" s="75" t="s">
        <v>10</v>
      </c>
      <c r="H3266" s="75" t="s">
        <v>10</v>
      </c>
      <c r="I3266" s="75">
        <v>19489</v>
      </c>
      <c r="K3266" s="75" t="str">
        <f>IFERROR(VLOOKUP(J3266,'NQ10'!$B$9:$C$145,2,0),"")</f>
        <v/>
      </c>
    </row>
    <row r="3267" spans="1:11" ht="15" customHeight="1" x14ac:dyDescent="0.25">
      <c r="A3267" s="75">
        <v>31</v>
      </c>
      <c r="C3267" s="75" t="s">
        <v>10</v>
      </c>
      <c r="D3267" s="75">
        <v>675</v>
      </c>
      <c r="F3267" s="75" t="s">
        <v>10</v>
      </c>
      <c r="H3267" s="75" t="s">
        <v>10</v>
      </c>
      <c r="I3267" s="75">
        <v>19489</v>
      </c>
      <c r="K3267" s="75" t="str">
        <f>IFERROR(VLOOKUP(J3267,'NQ10'!$B$9:$C$145,2,0),"")</f>
        <v/>
      </c>
    </row>
    <row r="3268" spans="1:11" ht="15" customHeight="1" x14ac:dyDescent="0.25">
      <c r="A3268" s="75">
        <v>31</v>
      </c>
      <c r="C3268" s="75" t="s">
        <v>10</v>
      </c>
      <c r="D3268" s="75">
        <v>3359</v>
      </c>
      <c r="F3268" s="75" t="s">
        <v>10</v>
      </c>
      <c r="H3268" s="75" t="s">
        <v>10</v>
      </c>
      <c r="I3268" s="75">
        <v>19489</v>
      </c>
      <c r="K3268" s="75" t="str">
        <f>IFERROR(VLOOKUP(J3268,'NQ10'!$B$9:$C$145,2,0),"")</f>
        <v/>
      </c>
    </row>
    <row r="3269" spans="1:11" ht="15" customHeight="1" x14ac:dyDescent="0.25">
      <c r="A3269" s="75">
        <v>31</v>
      </c>
      <c r="C3269" s="75" t="s">
        <v>10</v>
      </c>
      <c r="D3269" s="75">
        <v>1786</v>
      </c>
      <c r="F3269" s="75" t="s">
        <v>10</v>
      </c>
      <c r="H3269" s="75" t="s">
        <v>10</v>
      </c>
      <c r="I3269" s="75">
        <v>19489</v>
      </c>
      <c r="K3269" s="75" t="str">
        <f>IFERROR(VLOOKUP(J3269,'NQ10'!$B$9:$C$145,2,0),"")</f>
        <v/>
      </c>
    </row>
    <row r="3270" spans="1:11" ht="15" customHeight="1" x14ac:dyDescent="0.25">
      <c r="A3270" s="75">
        <v>31</v>
      </c>
      <c r="C3270" s="75" t="s">
        <v>10</v>
      </c>
      <c r="D3270" s="75">
        <v>245</v>
      </c>
      <c r="F3270" s="75" t="s">
        <v>10</v>
      </c>
      <c r="H3270" s="75" t="s">
        <v>10</v>
      </c>
      <c r="I3270" s="75">
        <v>19489</v>
      </c>
      <c r="K3270" s="75" t="str">
        <f>IFERROR(VLOOKUP(J3270,'NQ10'!$B$9:$C$145,2,0),"")</f>
        <v/>
      </c>
    </row>
    <row r="3271" spans="1:11" ht="15" customHeight="1" x14ac:dyDescent="0.25">
      <c r="A3271" s="75">
        <v>31</v>
      </c>
      <c r="C3271" s="75" t="s">
        <v>10</v>
      </c>
      <c r="D3271" s="75">
        <v>2762</v>
      </c>
      <c r="F3271" s="75" t="s">
        <v>10</v>
      </c>
      <c r="H3271" s="75" t="s">
        <v>10</v>
      </c>
      <c r="I3271" s="75">
        <v>19489</v>
      </c>
      <c r="K3271" s="75" t="str">
        <f>IFERROR(VLOOKUP(J3271,'NQ10'!$B$9:$C$145,2,0),"")</f>
        <v/>
      </c>
    </row>
    <row r="3272" spans="1:11" ht="15" customHeight="1" x14ac:dyDescent="0.25">
      <c r="A3272" s="75">
        <v>31</v>
      </c>
      <c r="C3272" s="75" t="s">
        <v>10</v>
      </c>
      <c r="D3272" s="75">
        <v>1252</v>
      </c>
      <c r="F3272" s="75" t="s">
        <v>10</v>
      </c>
      <c r="H3272" s="75" t="s">
        <v>10</v>
      </c>
      <c r="I3272" s="75">
        <v>19489</v>
      </c>
      <c r="K3272" s="75" t="str">
        <f>IFERROR(VLOOKUP(J3272,'NQ10'!$B$9:$C$145,2,0),"")</f>
        <v/>
      </c>
    </row>
    <row r="3273" spans="1:11" ht="15" customHeight="1" x14ac:dyDescent="0.25">
      <c r="A3273" s="75">
        <v>31</v>
      </c>
      <c r="C3273" s="75" t="s">
        <v>10</v>
      </c>
      <c r="D3273" s="75">
        <v>2671</v>
      </c>
      <c r="F3273" s="75" t="s">
        <v>10</v>
      </c>
      <c r="H3273" s="75" t="s">
        <v>10</v>
      </c>
      <c r="I3273" s="75">
        <v>19489</v>
      </c>
      <c r="K3273" s="75" t="str">
        <f>IFERROR(VLOOKUP(J3273,'NQ10'!$B$9:$C$145,2,0),"")</f>
        <v/>
      </c>
    </row>
    <row r="3274" spans="1:11" ht="15" customHeight="1" x14ac:dyDescent="0.25">
      <c r="A3274" s="75">
        <v>31</v>
      </c>
      <c r="C3274" s="75" t="s">
        <v>10</v>
      </c>
      <c r="D3274" s="75">
        <v>3021</v>
      </c>
      <c r="F3274" s="75" t="s">
        <v>10</v>
      </c>
      <c r="H3274" s="75" t="s">
        <v>10</v>
      </c>
      <c r="I3274" s="75">
        <v>19489</v>
      </c>
      <c r="K3274" s="75" t="str">
        <f>IFERROR(VLOOKUP(J3274,'NQ10'!$B$9:$C$145,2,0),"")</f>
        <v/>
      </c>
    </row>
    <row r="3275" spans="1:11" ht="15" customHeight="1" x14ac:dyDescent="0.25">
      <c r="A3275" s="75">
        <v>31</v>
      </c>
      <c r="C3275" s="75" t="s">
        <v>10</v>
      </c>
      <c r="D3275" s="75">
        <v>3370</v>
      </c>
      <c r="F3275" s="75" t="s">
        <v>10</v>
      </c>
      <c r="H3275" s="75" t="s">
        <v>10</v>
      </c>
      <c r="I3275" s="75">
        <v>19489</v>
      </c>
      <c r="K3275" s="75" t="str">
        <f>IFERROR(VLOOKUP(J3275,'NQ10'!$B$9:$C$145,2,0),"")</f>
        <v/>
      </c>
    </row>
    <row r="3276" spans="1:11" ht="15" customHeight="1" x14ac:dyDescent="0.25">
      <c r="A3276" s="75">
        <v>31</v>
      </c>
      <c r="C3276" s="75" t="s">
        <v>10</v>
      </c>
      <c r="D3276" s="75">
        <v>1739</v>
      </c>
      <c r="F3276" s="75" t="s">
        <v>10</v>
      </c>
      <c r="H3276" s="75" t="s">
        <v>10</v>
      </c>
      <c r="I3276" s="75">
        <v>19489</v>
      </c>
      <c r="K3276" s="75" t="str">
        <f>IFERROR(VLOOKUP(J3276,'NQ10'!$B$9:$C$145,2,0),"")</f>
        <v/>
      </c>
    </row>
    <row r="3277" spans="1:11" ht="15" customHeight="1" x14ac:dyDescent="0.25">
      <c r="A3277" s="75">
        <v>31</v>
      </c>
      <c r="C3277" s="75" t="s">
        <v>10</v>
      </c>
      <c r="D3277" s="75">
        <v>3234</v>
      </c>
      <c r="F3277" s="75" t="s">
        <v>10</v>
      </c>
      <c r="H3277" s="75" t="s">
        <v>10</v>
      </c>
      <c r="I3277" s="75">
        <v>19489</v>
      </c>
      <c r="K3277" s="75" t="str">
        <f>IFERROR(VLOOKUP(J3277,'NQ10'!$B$9:$C$145,2,0),"")</f>
        <v/>
      </c>
    </row>
    <row r="3278" spans="1:11" ht="15" customHeight="1" x14ac:dyDescent="0.25">
      <c r="A3278" s="75">
        <v>31</v>
      </c>
      <c r="C3278" s="75" t="s">
        <v>10</v>
      </c>
      <c r="D3278" s="75">
        <v>1583</v>
      </c>
      <c r="F3278" s="75" t="s">
        <v>10</v>
      </c>
      <c r="H3278" s="75" t="s">
        <v>10</v>
      </c>
      <c r="I3278" s="75">
        <v>19489</v>
      </c>
      <c r="K3278" s="75" t="str">
        <f>IFERROR(VLOOKUP(J3278,'NQ10'!$B$9:$C$145,2,0),"")</f>
        <v/>
      </c>
    </row>
    <row r="3279" spans="1:11" ht="15" customHeight="1" x14ac:dyDescent="0.25">
      <c r="A3279" s="75">
        <v>31</v>
      </c>
      <c r="C3279" s="75" t="s">
        <v>10</v>
      </c>
      <c r="D3279" s="75">
        <v>3243</v>
      </c>
      <c r="F3279" s="75" t="s">
        <v>10</v>
      </c>
      <c r="H3279" s="75" t="s">
        <v>10</v>
      </c>
      <c r="I3279" s="75">
        <v>19489</v>
      </c>
      <c r="K3279" s="75" t="str">
        <f>IFERROR(VLOOKUP(J3279,'NQ10'!$B$9:$C$145,2,0),"")</f>
        <v/>
      </c>
    </row>
    <row r="3280" spans="1:11" ht="15" customHeight="1" x14ac:dyDescent="0.25">
      <c r="A3280" s="75">
        <v>31</v>
      </c>
      <c r="C3280" s="75" t="s">
        <v>10</v>
      </c>
      <c r="D3280" s="75">
        <v>7335</v>
      </c>
      <c r="F3280" s="75" t="s">
        <v>10</v>
      </c>
      <c r="H3280" s="75" t="s">
        <v>10</v>
      </c>
      <c r="I3280" s="75">
        <v>19489</v>
      </c>
      <c r="K3280" s="75" t="str">
        <f>IFERROR(VLOOKUP(J3280,'NQ10'!$B$9:$C$145,2,0),"")</f>
        <v/>
      </c>
    </row>
    <row r="3281" spans="1:11" ht="15" customHeight="1" x14ac:dyDescent="0.25">
      <c r="A3281" s="75">
        <v>31</v>
      </c>
      <c r="C3281" s="75" t="s">
        <v>10</v>
      </c>
      <c r="D3281" s="75">
        <v>242</v>
      </c>
      <c r="F3281" s="75" t="s">
        <v>10</v>
      </c>
      <c r="H3281" s="75" t="s">
        <v>10</v>
      </c>
      <c r="I3281" s="75">
        <v>19489</v>
      </c>
      <c r="K3281" s="75" t="str">
        <f>IFERROR(VLOOKUP(J3281,'NQ10'!$B$9:$C$145,2,0),"")</f>
        <v/>
      </c>
    </row>
    <row r="3282" spans="1:11" ht="15" customHeight="1" x14ac:dyDescent="0.25">
      <c r="A3282" s="75">
        <v>31</v>
      </c>
      <c r="C3282" s="75" t="s">
        <v>10</v>
      </c>
      <c r="D3282" s="75">
        <v>2244</v>
      </c>
      <c r="F3282" s="75" t="s">
        <v>10</v>
      </c>
      <c r="H3282" s="75" t="s">
        <v>10</v>
      </c>
      <c r="I3282" s="75">
        <v>19489</v>
      </c>
      <c r="K3282" s="75" t="str">
        <f>IFERROR(VLOOKUP(J3282,'NQ10'!$B$9:$C$145,2,0),"")</f>
        <v/>
      </c>
    </row>
    <row r="3283" spans="1:11" ht="15" customHeight="1" x14ac:dyDescent="0.25">
      <c r="A3283" s="75">
        <v>31</v>
      </c>
      <c r="C3283" s="75" t="s">
        <v>10</v>
      </c>
      <c r="D3283" s="75">
        <v>5167</v>
      </c>
      <c r="F3283" s="75" t="s">
        <v>10</v>
      </c>
      <c r="H3283" s="75" t="s">
        <v>10</v>
      </c>
      <c r="I3283" s="75">
        <v>19489</v>
      </c>
      <c r="K3283" s="75" t="str">
        <f>IFERROR(VLOOKUP(J3283,'NQ10'!$B$9:$C$145,2,0),"")</f>
        <v/>
      </c>
    </row>
    <row r="3284" spans="1:11" ht="15" customHeight="1" x14ac:dyDescent="0.25">
      <c r="A3284" s="75">
        <v>31</v>
      </c>
      <c r="C3284" s="75" t="s">
        <v>10</v>
      </c>
      <c r="D3284" s="75">
        <v>2731</v>
      </c>
      <c r="F3284" s="75" t="s">
        <v>10</v>
      </c>
      <c r="H3284" s="75" t="s">
        <v>10</v>
      </c>
      <c r="I3284" s="75">
        <v>19489</v>
      </c>
      <c r="K3284" s="75" t="str">
        <f>IFERROR(VLOOKUP(J3284,'NQ10'!$B$9:$C$145,2,0),"")</f>
        <v/>
      </c>
    </row>
    <row r="3285" spans="1:11" ht="15" customHeight="1" x14ac:dyDescent="0.25">
      <c r="A3285" s="75">
        <v>31</v>
      </c>
      <c r="C3285" s="75" t="s">
        <v>10</v>
      </c>
      <c r="D3285" s="75">
        <v>2065</v>
      </c>
      <c r="F3285" s="75" t="s">
        <v>10</v>
      </c>
      <c r="H3285" s="75" t="s">
        <v>10</v>
      </c>
      <c r="I3285" s="75">
        <v>19489</v>
      </c>
      <c r="K3285" s="75" t="str">
        <f>IFERROR(VLOOKUP(J3285,'NQ10'!$B$9:$C$145,2,0),"")</f>
        <v/>
      </c>
    </row>
    <row r="3286" spans="1:11" ht="15" customHeight="1" x14ac:dyDescent="0.25">
      <c r="A3286" s="75">
        <v>31</v>
      </c>
      <c r="C3286" s="75" t="s">
        <v>10</v>
      </c>
      <c r="D3286" s="75">
        <v>6817</v>
      </c>
      <c r="F3286" s="75" t="s">
        <v>10</v>
      </c>
      <c r="H3286" s="75" t="s">
        <v>10</v>
      </c>
      <c r="I3286" s="75">
        <v>19489</v>
      </c>
      <c r="K3286" s="75" t="str">
        <f>IFERROR(VLOOKUP(J3286,'NQ10'!$B$9:$C$145,2,0),"")</f>
        <v/>
      </c>
    </row>
    <row r="3287" spans="1:11" ht="15" customHeight="1" x14ac:dyDescent="0.25">
      <c r="A3287" s="75">
        <v>31</v>
      </c>
      <c r="C3287" s="75" t="s">
        <v>10</v>
      </c>
      <c r="D3287" s="75">
        <v>1219</v>
      </c>
      <c r="F3287" s="75" t="s">
        <v>10</v>
      </c>
      <c r="H3287" s="75" t="s">
        <v>10</v>
      </c>
      <c r="I3287" s="75">
        <v>19489</v>
      </c>
      <c r="K3287" s="75" t="str">
        <f>IFERROR(VLOOKUP(J3287,'NQ10'!$B$9:$C$145,2,0),"")</f>
        <v/>
      </c>
    </row>
    <row r="3288" spans="1:11" ht="15" customHeight="1" x14ac:dyDescent="0.25">
      <c r="A3288" s="75">
        <v>31</v>
      </c>
      <c r="C3288" s="75" t="s">
        <v>10</v>
      </c>
      <c r="D3288" s="75">
        <v>410</v>
      </c>
      <c r="F3288" s="75" t="s">
        <v>10</v>
      </c>
      <c r="H3288" s="75" t="s">
        <v>10</v>
      </c>
      <c r="I3288" s="75">
        <v>19489</v>
      </c>
      <c r="K3288" s="75" t="str">
        <f>IFERROR(VLOOKUP(J3288,'NQ10'!$B$9:$C$145,2,0),"")</f>
        <v/>
      </c>
    </row>
    <row r="3289" spans="1:11" ht="15" customHeight="1" x14ac:dyDescent="0.25">
      <c r="A3289" s="75">
        <v>31</v>
      </c>
      <c r="C3289" s="75" t="s">
        <v>10</v>
      </c>
      <c r="D3289" s="75">
        <v>145</v>
      </c>
      <c r="F3289" s="75" t="s">
        <v>10</v>
      </c>
      <c r="H3289" s="75" t="s">
        <v>10</v>
      </c>
      <c r="I3289" s="75">
        <v>19489</v>
      </c>
      <c r="K3289" s="75" t="str">
        <f>IFERROR(VLOOKUP(J3289,'NQ10'!$B$9:$C$145,2,0),"")</f>
        <v/>
      </c>
    </row>
    <row r="3290" spans="1:11" ht="15" customHeight="1" x14ac:dyDescent="0.25">
      <c r="A3290" s="75">
        <v>31</v>
      </c>
      <c r="B3290" s="75">
        <v>1</v>
      </c>
      <c r="C3290" s="75" t="s">
        <v>10</v>
      </c>
      <c r="D3290" s="75">
        <v>3281</v>
      </c>
      <c r="F3290" s="75" t="s">
        <v>10</v>
      </c>
      <c r="H3290" s="75" t="s">
        <v>10</v>
      </c>
      <c r="I3290" s="75">
        <v>19489</v>
      </c>
      <c r="K3290" s="75" t="str">
        <f>IFERROR(VLOOKUP(J3290,'NQ10'!$B$9:$C$145,2,0),"")</f>
        <v/>
      </c>
    </row>
    <row r="3291" spans="1:11" ht="15" customHeight="1" x14ac:dyDescent="0.25">
      <c r="A3291" s="75">
        <v>31</v>
      </c>
      <c r="B3291" s="75">
        <v>2</v>
      </c>
      <c r="C3291" s="75" t="s">
        <v>10</v>
      </c>
      <c r="D3291" s="75">
        <v>5578</v>
      </c>
      <c r="F3291" s="75" t="s">
        <v>10</v>
      </c>
      <c r="H3291" s="75" t="s">
        <v>10</v>
      </c>
      <c r="I3291" s="75">
        <v>19489</v>
      </c>
      <c r="K3291" s="75" t="str">
        <f>IFERROR(VLOOKUP(J3291,'NQ10'!$B$9:$C$145,2,0),"")</f>
        <v/>
      </c>
    </row>
    <row r="3292" spans="1:11" ht="15" customHeight="1" x14ac:dyDescent="0.25">
      <c r="A3292" s="75">
        <v>31</v>
      </c>
      <c r="B3292" s="75">
        <v>3</v>
      </c>
      <c r="C3292" s="75" t="s">
        <v>10</v>
      </c>
      <c r="D3292" s="75">
        <v>908</v>
      </c>
      <c r="F3292" s="75" t="s">
        <v>10</v>
      </c>
      <c r="H3292" s="75" t="s">
        <v>10</v>
      </c>
      <c r="I3292" s="75">
        <v>19489</v>
      </c>
      <c r="K3292" s="75" t="str">
        <f>IFERROR(VLOOKUP(J3292,'NQ10'!$B$9:$C$145,2,0),"")</f>
        <v/>
      </c>
    </row>
    <row r="3293" spans="1:11" ht="15" customHeight="1" x14ac:dyDescent="0.25">
      <c r="A3293" s="75">
        <v>31</v>
      </c>
      <c r="B3293" s="75">
        <v>4</v>
      </c>
      <c r="C3293" s="75" t="s">
        <v>10</v>
      </c>
      <c r="D3293" s="75">
        <v>1794</v>
      </c>
      <c r="F3293" s="75" t="s">
        <v>10</v>
      </c>
      <c r="H3293" s="75" t="s">
        <v>10</v>
      </c>
      <c r="I3293" s="75">
        <v>19489</v>
      </c>
      <c r="K3293" s="75" t="str">
        <f>IFERROR(VLOOKUP(J3293,'NQ10'!$B$9:$C$145,2,0),"")</f>
        <v/>
      </c>
    </row>
    <row r="3294" spans="1:11" ht="15" customHeight="1" x14ac:dyDescent="0.25">
      <c r="A3294" s="75">
        <v>31</v>
      </c>
      <c r="B3294" s="75">
        <v>5</v>
      </c>
      <c r="C3294" s="75" t="s">
        <v>10</v>
      </c>
      <c r="D3294" s="75">
        <v>2973</v>
      </c>
      <c r="F3294" s="75" t="s">
        <v>10</v>
      </c>
      <c r="H3294" s="75" t="s">
        <v>10</v>
      </c>
      <c r="I3294" s="75">
        <v>19489</v>
      </c>
      <c r="K3294" s="75" t="str">
        <f>IFERROR(VLOOKUP(J3294,'NQ10'!$B$9:$C$145,2,0),"")</f>
        <v/>
      </c>
    </row>
    <row r="3295" spans="1:11" ht="15" customHeight="1" x14ac:dyDescent="0.25">
      <c r="A3295" s="75">
        <v>31</v>
      </c>
      <c r="B3295" s="75">
        <v>6</v>
      </c>
      <c r="C3295" s="75" t="s">
        <v>10</v>
      </c>
      <c r="D3295" s="75">
        <v>6569</v>
      </c>
      <c r="F3295" s="75" t="s">
        <v>10</v>
      </c>
      <c r="H3295" s="75" t="s">
        <v>10</v>
      </c>
      <c r="I3295" s="75">
        <v>19489</v>
      </c>
      <c r="K3295" s="75" t="str">
        <f>IFERROR(VLOOKUP(J3295,'NQ10'!$B$9:$C$145,2,0),"")</f>
        <v/>
      </c>
    </row>
    <row r="3296" spans="1:11" ht="15" customHeight="1" x14ac:dyDescent="0.25">
      <c r="A3296" s="75">
        <v>31</v>
      </c>
      <c r="B3296" s="75">
        <v>7</v>
      </c>
      <c r="C3296" s="75" t="s">
        <v>10</v>
      </c>
      <c r="D3296" s="75">
        <v>2273</v>
      </c>
      <c r="F3296" s="75" t="s">
        <v>10</v>
      </c>
      <c r="H3296" s="75" t="s">
        <v>10</v>
      </c>
      <c r="I3296" s="75">
        <v>19489</v>
      </c>
      <c r="K3296" s="75" t="str">
        <f>IFERROR(VLOOKUP(J3296,'NQ10'!$B$9:$C$145,2,0),"")</f>
        <v/>
      </c>
    </row>
    <row r="3297" spans="1:11" ht="15" customHeight="1" x14ac:dyDescent="0.25">
      <c r="A3297" s="75">
        <v>31</v>
      </c>
      <c r="B3297" s="75">
        <v>8</v>
      </c>
      <c r="C3297" s="75" t="s">
        <v>10</v>
      </c>
      <c r="D3297" s="75">
        <v>4365</v>
      </c>
      <c r="F3297" s="75" t="s">
        <v>10</v>
      </c>
      <c r="H3297" s="75" t="s">
        <v>10</v>
      </c>
      <c r="I3297" s="75">
        <v>19489</v>
      </c>
      <c r="K3297" s="75" t="str">
        <f>IFERROR(VLOOKUP(J3297,'NQ10'!$B$9:$C$145,2,0),"")</f>
        <v/>
      </c>
    </row>
    <row r="3298" spans="1:11" ht="15" customHeight="1" x14ac:dyDescent="0.25">
      <c r="A3298" s="75">
        <v>31</v>
      </c>
      <c r="B3298" s="75">
        <v>9</v>
      </c>
      <c r="C3298" s="75" t="s">
        <v>10</v>
      </c>
      <c r="D3298" s="75">
        <v>999</v>
      </c>
      <c r="F3298" s="75" t="s">
        <v>10</v>
      </c>
      <c r="H3298" s="75" t="s">
        <v>10</v>
      </c>
      <c r="I3298" s="75">
        <v>19489</v>
      </c>
      <c r="K3298" s="75" t="str">
        <f>IFERROR(VLOOKUP(J3298,'NQ10'!$B$9:$C$145,2,0),"")</f>
        <v/>
      </c>
    </row>
    <row r="3299" spans="1:11" ht="15" customHeight="1" x14ac:dyDescent="0.25">
      <c r="A3299" s="75">
        <v>31</v>
      </c>
      <c r="B3299" s="75">
        <v>10</v>
      </c>
      <c r="C3299" s="75" t="s">
        <v>10</v>
      </c>
      <c r="D3299" s="75">
        <v>2533</v>
      </c>
      <c r="F3299" s="75" t="s">
        <v>10</v>
      </c>
      <c r="H3299" s="75" t="s">
        <v>10</v>
      </c>
      <c r="I3299" s="75">
        <v>19489</v>
      </c>
      <c r="K3299" s="75" t="str">
        <f>IFERROR(VLOOKUP(J3299,'NQ10'!$B$9:$C$145,2,0),"")</f>
        <v/>
      </c>
    </row>
    <row r="3300" spans="1:11" ht="15" customHeight="1" x14ac:dyDescent="0.25">
      <c r="A3300" s="75">
        <v>31</v>
      </c>
      <c r="B3300" s="75">
        <v>11</v>
      </c>
      <c r="C3300" s="75" t="s">
        <v>10</v>
      </c>
      <c r="D3300" s="75">
        <v>489</v>
      </c>
      <c r="F3300" s="75" t="s">
        <v>10</v>
      </c>
      <c r="H3300" s="75" t="s">
        <v>10</v>
      </c>
      <c r="I3300" s="75">
        <v>19489</v>
      </c>
      <c r="K3300" s="75" t="str">
        <f>IFERROR(VLOOKUP(J3300,'NQ10'!$B$9:$C$145,2,0),"")</f>
        <v/>
      </c>
    </row>
    <row r="3301" spans="1:11" ht="15" customHeight="1" x14ac:dyDescent="0.25">
      <c r="A3301" s="75">
        <v>31</v>
      </c>
      <c r="B3301" s="75">
        <v>13</v>
      </c>
      <c r="C3301" s="75" t="s">
        <v>10</v>
      </c>
      <c r="D3301" s="75">
        <v>6979</v>
      </c>
      <c r="F3301" s="75" t="s">
        <v>10</v>
      </c>
      <c r="H3301" s="75" t="s">
        <v>10</v>
      </c>
      <c r="I3301" s="75">
        <v>19489</v>
      </c>
      <c r="K3301" s="75" t="str">
        <f>IFERROR(VLOOKUP(J3301,'NQ10'!$B$9:$C$145,2,0),"")</f>
        <v/>
      </c>
    </row>
    <row r="3302" spans="1:11" ht="15" customHeight="1" x14ac:dyDescent="0.25">
      <c r="A3302" s="75">
        <v>31</v>
      </c>
      <c r="B3302" s="75">
        <v>14</v>
      </c>
      <c r="C3302" s="75" t="s">
        <v>10</v>
      </c>
      <c r="D3302" s="75">
        <v>3581</v>
      </c>
      <c r="F3302" s="75" t="s">
        <v>10</v>
      </c>
      <c r="H3302" s="75" t="s">
        <v>10</v>
      </c>
      <c r="I3302" s="75">
        <v>19489</v>
      </c>
      <c r="K3302" s="75" t="str">
        <f>IFERROR(VLOOKUP(J3302,'NQ10'!$B$9:$C$145,2,0),"")</f>
        <v/>
      </c>
    </row>
    <row r="3303" spans="1:11" ht="15" customHeight="1" x14ac:dyDescent="0.25">
      <c r="A3303" s="75">
        <v>31</v>
      </c>
      <c r="B3303" s="75">
        <v>15</v>
      </c>
      <c r="C3303" s="75" t="s">
        <v>10</v>
      </c>
      <c r="D3303" s="75">
        <v>178</v>
      </c>
      <c r="F3303" s="75" t="s">
        <v>10</v>
      </c>
      <c r="H3303" s="75" t="s">
        <v>10</v>
      </c>
      <c r="I3303" s="75">
        <v>19489</v>
      </c>
      <c r="K3303" s="75" t="str">
        <f>IFERROR(VLOOKUP(J3303,'NQ10'!$B$9:$C$145,2,0),"")</f>
        <v/>
      </c>
    </row>
    <row r="3304" spans="1:11" ht="15" customHeight="1" x14ac:dyDescent="0.25">
      <c r="A3304" s="75">
        <v>31</v>
      </c>
      <c r="B3304" s="75">
        <v>16</v>
      </c>
      <c r="C3304" s="75" t="s">
        <v>10</v>
      </c>
      <c r="D3304" s="75">
        <v>484</v>
      </c>
      <c r="F3304" s="75" t="s">
        <v>10</v>
      </c>
      <c r="H3304" s="75" t="s">
        <v>10</v>
      </c>
      <c r="I3304" s="75">
        <v>19489</v>
      </c>
      <c r="K3304" s="75" t="str">
        <f>IFERROR(VLOOKUP(J3304,'NQ10'!$B$9:$C$145,2,0),"")</f>
        <v/>
      </c>
    </row>
    <row r="3305" spans="1:11" ht="15" customHeight="1" x14ac:dyDescent="0.25">
      <c r="A3305" s="75">
        <v>31</v>
      </c>
      <c r="B3305" s="75">
        <v>17</v>
      </c>
      <c r="C3305" s="75" t="s">
        <v>10</v>
      </c>
      <c r="D3305" s="75">
        <v>3265</v>
      </c>
      <c r="F3305" s="75" t="s">
        <v>10</v>
      </c>
      <c r="H3305" s="75" t="s">
        <v>10</v>
      </c>
      <c r="I3305" s="75">
        <v>19489</v>
      </c>
      <c r="K3305" s="75" t="str">
        <f>IFERROR(VLOOKUP(J3305,'NQ10'!$B$9:$C$145,2,0),"")</f>
        <v/>
      </c>
    </row>
    <row r="3306" spans="1:11" ht="15" customHeight="1" x14ac:dyDescent="0.25">
      <c r="A3306" s="75">
        <v>31</v>
      </c>
      <c r="B3306" s="75">
        <v>18</v>
      </c>
      <c r="C3306" s="75" t="s">
        <v>10</v>
      </c>
      <c r="D3306" s="75">
        <v>651</v>
      </c>
      <c r="F3306" s="75" t="s">
        <v>10</v>
      </c>
      <c r="H3306" s="75" t="s">
        <v>10</v>
      </c>
      <c r="I3306" s="75">
        <v>19489</v>
      </c>
      <c r="K3306" s="75" t="str">
        <f>IFERROR(VLOOKUP(J3306,'NQ10'!$B$9:$C$145,2,0),"")</f>
        <v/>
      </c>
    </row>
    <row r="3307" spans="1:11" ht="15" customHeight="1" x14ac:dyDescent="0.25">
      <c r="A3307" s="75">
        <v>31</v>
      </c>
      <c r="B3307" s="75">
        <v>19</v>
      </c>
      <c r="C3307" s="75" t="s">
        <v>10</v>
      </c>
      <c r="D3307" s="75">
        <v>4873</v>
      </c>
      <c r="F3307" s="75" t="s">
        <v>10</v>
      </c>
      <c r="H3307" s="75" t="s">
        <v>10</v>
      </c>
      <c r="I3307" s="75">
        <v>19489</v>
      </c>
      <c r="K3307" s="75" t="str">
        <f>IFERROR(VLOOKUP(J3307,'NQ10'!$B$9:$C$145,2,0),"")</f>
        <v/>
      </c>
    </row>
    <row r="3308" spans="1:11" ht="15" customHeight="1" x14ac:dyDescent="0.25">
      <c r="A3308" s="75">
        <v>31</v>
      </c>
      <c r="B3308" s="75">
        <v>20</v>
      </c>
      <c r="C3308" s="75" t="s">
        <v>10</v>
      </c>
      <c r="D3308" s="75">
        <v>3127</v>
      </c>
      <c r="F3308" s="75" t="s">
        <v>10</v>
      </c>
      <c r="H3308" s="75" t="s">
        <v>10</v>
      </c>
      <c r="I3308" s="75">
        <v>19489</v>
      </c>
      <c r="K3308" s="75" t="str">
        <f>IFERROR(VLOOKUP(J3308,'NQ10'!$B$9:$C$145,2,0),"")</f>
        <v/>
      </c>
    </row>
    <row r="3309" spans="1:11" ht="15" customHeight="1" x14ac:dyDescent="0.25">
      <c r="A3309" s="75">
        <v>31</v>
      </c>
      <c r="B3309" s="75">
        <v>21</v>
      </c>
      <c r="C3309" s="75" t="s">
        <v>10</v>
      </c>
      <c r="D3309" s="75">
        <v>1813</v>
      </c>
      <c r="F3309" s="75" t="s">
        <v>10</v>
      </c>
      <c r="H3309" s="75" t="s">
        <v>10</v>
      </c>
      <c r="I3309" s="75">
        <v>19489</v>
      </c>
      <c r="K3309" s="75" t="str">
        <f>IFERROR(VLOOKUP(J3309,'NQ10'!$B$9:$C$145,2,0),"")</f>
        <v/>
      </c>
    </row>
    <row r="3310" spans="1:11" ht="15" customHeight="1" x14ac:dyDescent="0.25">
      <c r="A3310" s="75">
        <v>31</v>
      </c>
      <c r="B3310" s="75">
        <v>22</v>
      </c>
      <c r="C3310" s="75" t="s">
        <v>10</v>
      </c>
      <c r="D3310" s="75">
        <v>7553</v>
      </c>
      <c r="F3310" s="75" t="s">
        <v>10</v>
      </c>
      <c r="H3310" s="75" t="s">
        <v>10</v>
      </c>
      <c r="I3310" s="75">
        <v>19489</v>
      </c>
      <c r="K3310" s="75" t="str">
        <f>IFERROR(VLOOKUP(J3310,'NQ10'!$B$9:$C$145,2,0),"")</f>
        <v/>
      </c>
    </row>
    <row r="3311" spans="1:11" ht="15" customHeight="1" x14ac:dyDescent="0.25">
      <c r="A3311" s="75">
        <v>31</v>
      </c>
      <c r="B3311" s="75">
        <v>23</v>
      </c>
      <c r="C3311" s="75" t="s">
        <v>10</v>
      </c>
      <c r="D3311" s="75">
        <v>15872</v>
      </c>
      <c r="F3311" s="75" t="s">
        <v>10</v>
      </c>
      <c r="H3311" s="75" t="s">
        <v>10</v>
      </c>
      <c r="I3311" s="75">
        <v>19489</v>
      </c>
      <c r="K3311" s="75" t="str">
        <f>IFERROR(VLOOKUP(J3311,'NQ10'!$B$9:$C$145,2,0),"")</f>
        <v/>
      </c>
    </row>
    <row r="3312" spans="1:11" ht="15" customHeight="1" x14ac:dyDescent="0.25">
      <c r="A3312" s="75">
        <v>31</v>
      </c>
      <c r="B3312" s="75">
        <v>24</v>
      </c>
      <c r="C3312" s="75" t="s">
        <v>10</v>
      </c>
      <c r="D3312" s="75">
        <v>400</v>
      </c>
      <c r="F3312" s="75" t="s">
        <v>10</v>
      </c>
      <c r="H3312" s="75" t="s">
        <v>10</v>
      </c>
      <c r="I3312" s="75">
        <v>19489</v>
      </c>
      <c r="K3312" s="75" t="str">
        <f>IFERROR(VLOOKUP(J3312,'NQ10'!$B$9:$C$145,2,0),"")</f>
        <v/>
      </c>
    </row>
    <row r="3313" spans="1:11" ht="15" customHeight="1" x14ac:dyDescent="0.25">
      <c r="A3313" s="75">
        <v>31</v>
      </c>
      <c r="B3313" s="75">
        <v>25</v>
      </c>
      <c r="C3313" s="75" t="s">
        <v>10</v>
      </c>
      <c r="D3313" s="75">
        <v>1079</v>
      </c>
      <c r="F3313" s="75" t="s">
        <v>10</v>
      </c>
      <c r="H3313" s="75" t="s">
        <v>10</v>
      </c>
      <c r="I3313" s="75">
        <v>19489</v>
      </c>
      <c r="K3313" s="75" t="str">
        <f>IFERROR(VLOOKUP(J3313,'NQ10'!$B$9:$C$145,2,0),"")</f>
        <v/>
      </c>
    </row>
    <row r="3314" spans="1:11" ht="15" customHeight="1" x14ac:dyDescent="0.25">
      <c r="A3314" s="75">
        <v>31</v>
      </c>
      <c r="B3314" s="75">
        <v>26</v>
      </c>
      <c r="C3314" s="75" t="s">
        <v>10</v>
      </c>
      <c r="D3314" s="75">
        <v>3562</v>
      </c>
      <c r="F3314" s="75" t="s">
        <v>10</v>
      </c>
      <c r="H3314" s="75" t="s">
        <v>10</v>
      </c>
      <c r="I3314" s="75">
        <v>19489</v>
      </c>
      <c r="K3314" s="75" t="str">
        <f>IFERROR(VLOOKUP(J3314,'NQ10'!$B$9:$C$145,2,0),"")</f>
        <v/>
      </c>
    </row>
    <row r="3315" spans="1:11" ht="15" customHeight="1" x14ac:dyDescent="0.25">
      <c r="A3315" s="75">
        <v>31</v>
      </c>
      <c r="B3315" s="75">
        <v>27</v>
      </c>
      <c r="C3315" s="75" t="s">
        <v>10</v>
      </c>
      <c r="D3315" s="75">
        <v>7399</v>
      </c>
      <c r="F3315" s="75" t="s">
        <v>10</v>
      </c>
      <c r="H3315" s="75" t="s">
        <v>10</v>
      </c>
      <c r="I3315" s="75">
        <v>19489</v>
      </c>
      <c r="K3315" s="75" t="str">
        <f>IFERROR(VLOOKUP(J3315,'NQ10'!$B$9:$C$145,2,0),"")</f>
        <v/>
      </c>
    </row>
    <row r="3316" spans="1:11" ht="15" customHeight="1" x14ac:dyDescent="0.25">
      <c r="A3316" s="75">
        <v>31</v>
      </c>
      <c r="B3316" s="75">
        <v>30</v>
      </c>
      <c r="C3316" s="75" t="s">
        <v>10</v>
      </c>
      <c r="D3316" s="75">
        <v>4821</v>
      </c>
      <c r="F3316" s="75" t="s">
        <v>10</v>
      </c>
      <c r="H3316" s="75" t="s">
        <v>10</v>
      </c>
      <c r="I3316" s="75">
        <v>19489</v>
      </c>
      <c r="K3316" s="75" t="str">
        <f>IFERROR(VLOOKUP(J3316,'NQ10'!$B$9:$C$145,2,0),"")</f>
        <v/>
      </c>
    </row>
    <row r="3317" spans="1:11" ht="15" customHeight="1" x14ac:dyDescent="0.25">
      <c r="A3317" s="75">
        <v>31</v>
      </c>
      <c r="B3317" s="75">
        <v>32</v>
      </c>
      <c r="C3317" s="75" t="s">
        <v>10</v>
      </c>
      <c r="D3317" s="75">
        <v>3724</v>
      </c>
      <c r="F3317" s="75" t="s">
        <v>10</v>
      </c>
      <c r="H3317" s="75" t="s">
        <v>10</v>
      </c>
      <c r="I3317" s="75">
        <v>19489</v>
      </c>
      <c r="K3317" s="75" t="str">
        <f>IFERROR(VLOOKUP(J3317,'NQ10'!$B$9:$C$145,2,0),"")</f>
        <v/>
      </c>
    </row>
    <row r="3318" spans="1:11" ht="15" customHeight="1" x14ac:dyDescent="0.25">
      <c r="A3318" s="75">
        <v>31</v>
      </c>
      <c r="B3318" s="75">
        <v>33</v>
      </c>
      <c r="C3318" s="75" t="s">
        <v>10</v>
      </c>
      <c r="D3318" s="75">
        <v>8069</v>
      </c>
      <c r="F3318" s="75" t="s">
        <v>10</v>
      </c>
      <c r="H3318" s="75" t="s">
        <v>10</v>
      </c>
      <c r="I3318" s="75">
        <v>19489</v>
      </c>
      <c r="K3318" s="75" t="str">
        <f>IFERROR(VLOOKUP(J3318,'NQ10'!$B$9:$C$145,2,0),"")</f>
        <v/>
      </c>
    </row>
    <row r="3319" spans="1:11" ht="15" customHeight="1" x14ac:dyDescent="0.25">
      <c r="A3319" s="75">
        <v>31</v>
      </c>
      <c r="B3319" s="75">
        <v>34</v>
      </c>
      <c r="C3319" s="75" t="s">
        <v>10</v>
      </c>
      <c r="D3319" s="75">
        <v>10479</v>
      </c>
      <c r="F3319" s="75" t="s">
        <v>10</v>
      </c>
      <c r="H3319" s="75" t="s">
        <v>10</v>
      </c>
      <c r="I3319" s="75">
        <v>19489</v>
      </c>
      <c r="K3319" s="75" t="str">
        <f>IFERROR(VLOOKUP(J3319,'NQ10'!$B$9:$C$145,2,0),"")</f>
        <v/>
      </c>
    </row>
    <row r="3320" spans="1:11" ht="15" customHeight="1" x14ac:dyDescent="0.25">
      <c r="A3320" s="75">
        <v>31</v>
      </c>
      <c r="B3320" s="75">
        <v>35</v>
      </c>
      <c r="C3320" s="75" t="s">
        <v>10</v>
      </c>
      <c r="D3320" s="75">
        <v>281</v>
      </c>
      <c r="F3320" s="75" t="s">
        <v>10</v>
      </c>
      <c r="H3320" s="75" t="s">
        <v>10</v>
      </c>
      <c r="I3320" s="75">
        <v>19489</v>
      </c>
      <c r="K3320" s="75" t="str">
        <f>IFERROR(VLOOKUP(J3320,'NQ10'!$B$9:$C$145,2,0),"")</f>
        <v/>
      </c>
    </row>
    <row r="3321" spans="1:11" ht="15" customHeight="1" x14ac:dyDescent="0.25">
      <c r="A3321" s="75">
        <v>31</v>
      </c>
      <c r="B3321" s="75">
        <v>37</v>
      </c>
      <c r="C3321" s="75" t="s">
        <v>10</v>
      </c>
      <c r="D3321" s="75">
        <v>1985</v>
      </c>
      <c r="F3321" s="75" t="s">
        <v>10</v>
      </c>
      <c r="H3321" s="75" t="s">
        <v>10</v>
      </c>
      <c r="I3321" s="75">
        <v>19489</v>
      </c>
      <c r="K3321" s="75" t="str">
        <f>IFERROR(VLOOKUP(J3321,'NQ10'!$B$9:$C$145,2,0),"")</f>
        <v/>
      </c>
    </row>
    <row r="3322" spans="1:11" ht="15" customHeight="1" x14ac:dyDescent="0.25">
      <c r="A3322" s="75">
        <v>31</v>
      </c>
      <c r="B3322" s="75">
        <v>39</v>
      </c>
      <c r="C3322" s="75" t="s">
        <v>10</v>
      </c>
      <c r="D3322" s="75">
        <v>216</v>
      </c>
      <c r="F3322" s="75" t="s">
        <v>10</v>
      </c>
      <c r="H3322" s="75" t="s">
        <v>10</v>
      </c>
      <c r="I3322" s="75">
        <v>19489</v>
      </c>
      <c r="K3322" s="75" t="str">
        <f>IFERROR(VLOOKUP(J3322,'NQ10'!$B$9:$C$145,2,0),"")</f>
        <v/>
      </c>
    </row>
    <row r="3323" spans="1:11" ht="15" customHeight="1" x14ac:dyDescent="0.25">
      <c r="A3323" s="75">
        <v>31</v>
      </c>
      <c r="B3323" s="75">
        <v>40</v>
      </c>
      <c r="C3323" s="75" t="s">
        <v>10</v>
      </c>
      <c r="D3323" s="75">
        <v>427</v>
      </c>
      <c r="F3323" s="75" t="s">
        <v>10</v>
      </c>
      <c r="H3323" s="75" t="s">
        <v>10</v>
      </c>
      <c r="I3323" s="75">
        <v>19489</v>
      </c>
      <c r="K3323" s="75" t="str">
        <f>IFERROR(VLOOKUP(J3323,'NQ10'!$B$9:$C$145,2,0),"")</f>
        <v/>
      </c>
    </row>
    <row r="3324" spans="1:11" ht="15" customHeight="1" x14ac:dyDescent="0.25">
      <c r="A3324" s="75">
        <v>31</v>
      </c>
      <c r="B3324" s="75">
        <v>44</v>
      </c>
      <c r="C3324" s="75" t="s">
        <v>10</v>
      </c>
      <c r="D3324" s="75">
        <v>578</v>
      </c>
      <c r="F3324" s="75" t="s">
        <v>10</v>
      </c>
      <c r="H3324" s="75" t="s">
        <v>10</v>
      </c>
      <c r="I3324" s="75">
        <v>19489</v>
      </c>
      <c r="K3324" s="75" t="str">
        <f>IFERROR(VLOOKUP(J3324,'NQ10'!$B$9:$C$145,2,0),"")</f>
        <v/>
      </c>
    </row>
    <row r="3325" spans="1:11" ht="15" customHeight="1" x14ac:dyDescent="0.25">
      <c r="A3325" s="75">
        <v>31</v>
      </c>
      <c r="B3325" s="75">
        <v>45</v>
      </c>
      <c r="C3325" s="75" t="s">
        <v>10</v>
      </c>
      <c r="D3325" s="75">
        <v>391</v>
      </c>
      <c r="F3325" s="75" t="s">
        <v>10</v>
      </c>
      <c r="H3325" s="75" t="s">
        <v>10</v>
      </c>
      <c r="I3325" s="75">
        <v>19489</v>
      </c>
      <c r="K3325" s="75" t="str">
        <f>IFERROR(VLOOKUP(J3325,'NQ10'!$B$9:$C$145,2,0),"")</f>
        <v/>
      </c>
    </row>
    <row r="3326" spans="1:11" ht="15" customHeight="1" x14ac:dyDescent="0.25">
      <c r="A3326" s="75">
        <v>31</v>
      </c>
      <c r="B3326" s="75">
        <v>46</v>
      </c>
      <c r="C3326" s="75" t="s">
        <v>10</v>
      </c>
      <c r="D3326" s="75">
        <v>115</v>
      </c>
      <c r="F3326" s="75" t="s">
        <v>10</v>
      </c>
      <c r="H3326" s="75" t="s">
        <v>10</v>
      </c>
      <c r="I3326" s="75">
        <v>19489</v>
      </c>
      <c r="K3326" s="75" t="str">
        <f>IFERROR(VLOOKUP(J3326,'NQ10'!$B$9:$C$145,2,0),"")</f>
        <v/>
      </c>
    </row>
    <row r="3327" spans="1:11" ht="15" customHeight="1" x14ac:dyDescent="0.25">
      <c r="A3327" s="75">
        <v>31</v>
      </c>
      <c r="B3327" s="75">
        <v>47</v>
      </c>
      <c r="C3327" s="75" t="s">
        <v>10</v>
      </c>
      <c r="D3327" s="75">
        <v>2154</v>
      </c>
      <c r="F3327" s="75" t="s">
        <v>10</v>
      </c>
      <c r="H3327" s="75" t="s">
        <v>10</v>
      </c>
      <c r="I3327" s="75">
        <v>19489</v>
      </c>
      <c r="K3327" s="75" t="str">
        <f>IFERROR(VLOOKUP(J3327,'NQ10'!$B$9:$C$145,2,0),"")</f>
        <v/>
      </c>
    </row>
    <row r="3328" spans="1:11" ht="15" customHeight="1" x14ac:dyDescent="0.25">
      <c r="A3328" s="75">
        <v>31</v>
      </c>
      <c r="B3328" s="75">
        <v>48</v>
      </c>
      <c r="C3328" s="75" t="s">
        <v>10</v>
      </c>
      <c r="D3328" s="75">
        <v>967</v>
      </c>
      <c r="F3328" s="75" t="s">
        <v>10</v>
      </c>
      <c r="H3328" s="75" t="s">
        <v>10</v>
      </c>
      <c r="I3328" s="75">
        <v>19489</v>
      </c>
      <c r="K3328" s="75" t="str">
        <f>IFERROR(VLOOKUP(J3328,'NQ10'!$B$9:$C$145,2,0),"")</f>
        <v/>
      </c>
    </row>
    <row r="3329" spans="1:11" ht="15" customHeight="1" x14ac:dyDescent="0.25">
      <c r="A3329" s="75">
        <v>31</v>
      </c>
      <c r="B3329" s="75">
        <v>49</v>
      </c>
      <c r="C3329" s="75" t="s">
        <v>10</v>
      </c>
      <c r="D3329" s="75">
        <v>29825</v>
      </c>
      <c r="F3329" s="75" t="s">
        <v>10</v>
      </c>
      <c r="H3329" s="75" t="s">
        <v>10</v>
      </c>
      <c r="I3329" s="75">
        <v>19489</v>
      </c>
      <c r="K3329" s="75" t="str">
        <f>IFERROR(VLOOKUP(J3329,'NQ10'!$B$9:$C$145,2,0),"")</f>
        <v/>
      </c>
    </row>
    <row r="3330" spans="1:11" ht="15" customHeight="1" x14ac:dyDescent="0.25">
      <c r="A3330" s="75">
        <v>31</v>
      </c>
      <c r="B3330" s="75">
        <v>50</v>
      </c>
      <c r="C3330" s="75" t="s">
        <v>10</v>
      </c>
      <c r="D3330" s="75">
        <v>135</v>
      </c>
      <c r="F3330" s="75" t="s">
        <v>10</v>
      </c>
      <c r="H3330" s="75" t="s">
        <v>10</v>
      </c>
      <c r="I3330" s="75">
        <v>19489</v>
      </c>
      <c r="K3330" s="75" t="str">
        <f>IFERROR(VLOOKUP(J3330,'NQ10'!$B$9:$C$145,2,0),"")</f>
        <v/>
      </c>
    </row>
    <row r="3331" spans="1:11" ht="15" customHeight="1" x14ac:dyDescent="0.25">
      <c r="A3331" s="75">
        <v>31</v>
      </c>
      <c r="B3331" s="75">
        <v>51</v>
      </c>
      <c r="C3331" s="75" t="s">
        <v>10</v>
      </c>
      <c r="D3331" s="75">
        <v>2930</v>
      </c>
      <c r="F3331" s="75" t="s">
        <v>10</v>
      </c>
      <c r="H3331" s="75" t="s">
        <v>10</v>
      </c>
      <c r="I3331" s="75">
        <v>19489</v>
      </c>
      <c r="K3331" s="75" t="str">
        <f>IFERROR(VLOOKUP(J3331,'NQ10'!$B$9:$C$145,2,0),"")</f>
        <v/>
      </c>
    </row>
    <row r="3332" spans="1:11" ht="15" customHeight="1" x14ac:dyDescent="0.25">
      <c r="A3332" s="75">
        <v>31</v>
      </c>
      <c r="B3332" s="75">
        <v>52</v>
      </c>
      <c r="C3332" s="75" t="s">
        <v>10</v>
      </c>
      <c r="D3332" s="75">
        <v>5663</v>
      </c>
      <c r="F3332" s="75" t="s">
        <v>10</v>
      </c>
      <c r="H3332" s="75" t="s">
        <v>10</v>
      </c>
      <c r="I3332" s="75">
        <v>19489</v>
      </c>
      <c r="K3332" s="75" t="str">
        <f>IFERROR(VLOOKUP(J3332,'NQ10'!$B$9:$C$145,2,0),"")</f>
        <v/>
      </c>
    </row>
    <row r="3333" spans="1:11" ht="15" customHeight="1" x14ac:dyDescent="0.25">
      <c r="A3333" s="75">
        <v>31</v>
      </c>
      <c r="B3333" s="75">
        <v>53</v>
      </c>
      <c r="C3333" s="75" t="s">
        <v>10</v>
      </c>
      <c r="D3333" s="75">
        <v>10514</v>
      </c>
      <c r="F3333" s="75" t="s">
        <v>10</v>
      </c>
      <c r="H3333" s="75" t="s">
        <v>10</v>
      </c>
      <c r="I3333" s="75">
        <v>19489</v>
      </c>
      <c r="K3333" s="75" t="str">
        <f>IFERROR(VLOOKUP(J3333,'NQ10'!$B$9:$C$145,2,0),"")</f>
        <v/>
      </c>
    </row>
    <row r="3334" spans="1:11" ht="15" customHeight="1" x14ac:dyDescent="0.25">
      <c r="A3334" s="75">
        <v>31</v>
      </c>
      <c r="B3334" s="75">
        <v>54</v>
      </c>
      <c r="C3334" s="75" t="s">
        <v>10</v>
      </c>
      <c r="D3334" s="75">
        <v>5120</v>
      </c>
      <c r="F3334" s="75" t="s">
        <v>10</v>
      </c>
      <c r="H3334" s="75" t="s">
        <v>10</v>
      </c>
      <c r="I3334" s="75">
        <v>19489</v>
      </c>
      <c r="K3334" s="75" t="str">
        <f>IFERROR(VLOOKUP(J3334,'NQ10'!$B$9:$C$145,2,0),"")</f>
        <v/>
      </c>
    </row>
    <row r="3335" spans="1:11" ht="15" customHeight="1" x14ac:dyDescent="0.25">
      <c r="A3335" s="75">
        <v>31</v>
      </c>
      <c r="B3335" s="75">
        <v>57</v>
      </c>
      <c r="C3335" s="75" t="s">
        <v>10</v>
      </c>
      <c r="D3335" s="75">
        <v>1189</v>
      </c>
      <c r="F3335" s="75" t="s">
        <v>10</v>
      </c>
      <c r="H3335" s="75" t="s">
        <v>10</v>
      </c>
      <c r="I3335" s="75">
        <v>19489</v>
      </c>
      <c r="K3335" s="75" t="str">
        <f>IFERROR(VLOOKUP(J3335,'NQ10'!$B$9:$C$145,2,0),"")</f>
        <v/>
      </c>
    </row>
    <row r="3336" spans="1:11" ht="15" customHeight="1" x14ac:dyDescent="0.25">
      <c r="A3336" s="75">
        <v>31</v>
      </c>
      <c r="B3336" s="75">
        <v>58</v>
      </c>
      <c r="C3336" s="75" t="s">
        <v>10</v>
      </c>
      <c r="D3336" s="75">
        <v>1946</v>
      </c>
      <c r="F3336" s="75" t="s">
        <v>10</v>
      </c>
      <c r="H3336" s="75" t="s">
        <v>10</v>
      </c>
      <c r="I3336" s="75">
        <v>19489</v>
      </c>
      <c r="K3336" s="75" t="str">
        <f>IFERROR(VLOOKUP(J3336,'NQ10'!$B$9:$C$145,2,0),"")</f>
        <v/>
      </c>
    </row>
    <row r="3337" spans="1:11" ht="15" customHeight="1" x14ac:dyDescent="0.25">
      <c r="A3337" s="75">
        <v>31</v>
      </c>
      <c r="B3337" s="75">
        <v>59</v>
      </c>
      <c r="C3337" s="75" t="s">
        <v>10</v>
      </c>
      <c r="D3337" s="75">
        <v>7414</v>
      </c>
      <c r="F3337" s="75" t="s">
        <v>10</v>
      </c>
      <c r="H3337" s="75" t="s">
        <v>10</v>
      </c>
      <c r="I3337" s="75">
        <v>19489</v>
      </c>
      <c r="K3337" s="75" t="str">
        <f>IFERROR(VLOOKUP(J3337,'NQ10'!$B$9:$C$145,2,0),"")</f>
        <v/>
      </c>
    </row>
    <row r="3338" spans="1:11" ht="15" customHeight="1" x14ac:dyDescent="0.25">
      <c r="A3338" s="75">
        <v>31</v>
      </c>
      <c r="B3338" s="75">
        <v>60</v>
      </c>
      <c r="C3338" s="75" t="s">
        <v>10</v>
      </c>
      <c r="D3338" s="75">
        <v>1148</v>
      </c>
      <c r="F3338" s="75" t="s">
        <v>10</v>
      </c>
      <c r="H3338" s="75" t="s">
        <v>10</v>
      </c>
      <c r="I3338" s="75">
        <v>19489</v>
      </c>
      <c r="K3338" s="75" t="str">
        <f>IFERROR(VLOOKUP(J3338,'NQ10'!$B$9:$C$145,2,0),"")</f>
        <v/>
      </c>
    </row>
    <row r="3339" spans="1:11" ht="15" customHeight="1" x14ac:dyDescent="0.25">
      <c r="A3339" s="75">
        <v>31</v>
      </c>
      <c r="B3339" s="75">
        <v>61</v>
      </c>
      <c r="C3339" s="75" t="s">
        <v>10</v>
      </c>
      <c r="D3339" s="75">
        <v>10258</v>
      </c>
      <c r="F3339" s="75" t="s">
        <v>10</v>
      </c>
      <c r="H3339" s="75" t="s">
        <v>10</v>
      </c>
      <c r="I3339" s="75">
        <v>19489</v>
      </c>
      <c r="K3339" s="75" t="str">
        <f>IFERROR(VLOOKUP(J3339,'NQ10'!$B$9:$C$145,2,0),"")</f>
        <v/>
      </c>
    </row>
    <row r="3340" spans="1:11" ht="15" customHeight="1" x14ac:dyDescent="0.25">
      <c r="A3340" s="75">
        <v>31</v>
      </c>
      <c r="B3340" s="75">
        <v>62</v>
      </c>
      <c r="C3340" s="75" t="s">
        <v>10</v>
      </c>
      <c r="D3340" s="75">
        <v>7207</v>
      </c>
      <c r="F3340" s="75" t="s">
        <v>10</v>
      </c>
      <c r="H3340" s="75" t="s">
        <v>10</v>
      </c>
      <c r="I3340" s="75">
        <v>19489</v>
      </c>
      <c r="K3340" s="75" t="str">
        <f>IFERROR(VLOOKUP(J3340,'NQ10'!$B$9:$C$145,2,0),"")</f>
        <v/>
      </c>
    </row>
    <row r="3341" spans="1:11" ht="15" customHeight="1" x14ac:dyDescent="0.25">
      <c r="A3341" s="75">
        <v>31</v>
      </c>
      <c r="B3341" s="75">
        <v>63</v>
      </c>
      <c r="C3341" s="75" t="s">
        <v>10</v>
      </c>
      <c r="D3341" s="75">
        <v>4473</v>
      </c>
      <c r="F3341" s="75" t="s">
        <v>10</v>
      </c>
      <c r="H3341" s="75" t="s">
        <v>10</v>
      </c>
      <c r="I3341" s="75">
        <v>19489</v>
      </c>
      <c r="K3341" s="75" t="str">
        <f>IFERROR(VLOOKUP(J3341,'NQ10'!$B$9:$C$145,2,0),"")</f>
        <v/>
      </c>
    </row>
    <row r="3342" spans="1:11" ht="15" customHeight="1" x14ac:dyDescent="0.25">
      <c r="A3342" s="75">
        <v>31</v>
      </c>
      <c r="B3342" s="75">
        <v>64</v>
      </c>
      <c r="C3342" s="75" t="s">
        <v>10</v>
      </c>
      <c r="D3342" s="75">
        <v>3282</v>
      </c>
      <c r="F3342" s="75" t="s">
        <v>10</v>
      </c>
      <c r="H3342" s="75" t="s">
        <v>10</v>
      </c>
      <c r="I3342" s="75">
        <v>19489</v>
      </c>
      <c r="K3342" s="75" t="str">
        <f>IFERROR(VLOOKUP(J3342,'NQ10'!$B$9:$C$145,2,0),"")</f>
        <v/>
      </c>
    </row>
    <row r="3343" spans="1:11" ht="15" customHeight="1" x14ac:dyDescent="0.25">
      <c r="A3343" s="75">
        <v>31</v>
      </c>
      <c r="B3343" s="75">
        <v>65</v>
      </c>
      <c r="C3343" s="75" t="s">
        <v>10</v>
      </c>
      <c r="D3343" s="75">
        <v>1764</v>
      </c>
      <c r="F3343" s="75" t="s">
        <v>10</v>
      </c>
      <c r="H3343" s="75" t="s">
        <v>10</v>
      </c>
      <c r="I3343" s="75">
        <v>19489</v>
      </c>
      <c r="K3343" s="75" t="str">
        <f>IFERROR(VLOOKUP(J3343,'NQ10'!$B$9:$C$145,2,0),"")</f>
        <v/>
      </c>
    </row>
    <row r="3344" spans="1:11" ht="15" customHeight="1" x14ac:dyDescent="0.25">
      <c r="A3344" s="75">
        <v>31</v>
      </c>
      <c r="B3344" s="75">
        <v>66</v>
      </c>
      <c r="C3344" s="75" t="s">
        <v>10</v>
      </c>
      <c r="D3344" s="75">
        <v>3127</v>
      </c>
      <c r="F3344" s="75" t="s">
        <v>10</v>
      </c>
      <c r="H3344" s="75" t="s">
        <v>10</v>
      </c>
      <c r="I3344" s="75">
        <v>19489</v>
      </c>
      <c r="K3344" s="75" t="str">
        <f>IFERROR(VLOOKUP(J3344,'NQ10'!$B$9:$C$145,2,0),"")</f>
        <v/>
      </c>
    </row>
    <row r="3345" spans="1:11" ht="15" customHeight="1" x14ac:dyDescent="0.25">
      <c r="A3345" s="75">
        <v>31</v>
      </c>
      <c r="B3345" s="75">
        <v>67</v>
      </c>
      <c r="C3345" s="75" t="s">
        <v>10</v>
      </c>
      <c r="D3345" s="75">
        <v>1811</v>
      </c>
      <c r="F3345" s="75" t="s">
        <v>10</v>
      </c>
      <c r="H3345" s="75" t="s">
        <v>10</v>
      </c>
      <c r="I3345" s="75">
        <v>19489</v>
      </c>
      <c r="K3345" s="75" t="str">
        <f>IFERROR(VLOOKUP(J3345,'NQ10'!$B$9:$C$145,2,0),"")</f>
        <v/>
      </c>
    </row>
    <row r="3346" spans="1:11" ht="15" customHeight="1" x14ac:dyDescent="0.25">
      <c r="A3346" s="75">
        <v>31</v>
      </c>
      <c r="B3346" s="75">
        <v>68</v>
      </c>
      <c r="C3346" s="75" t="s">
        <v>10</v>
      </c>
      <c r="D3346" s="75">
        <v>1745</v>
      </c>
      <c r="F3346" s="75" t="s">
        <v>10</v>
      </c>
      <c r="H3346" s="75" t="s">
        <v>10</v>
      </c>
      <c r="I3346" s="75">
        <v>19489</v>
      </c>
      <c r="K3346" s="75" t="str">
        <f>IFERROR(VLOOKUP(J3346,'NQ10'!$B$9:$C$145,2,0),"")</f>
        <v/>
      </c>
    </row>
    <row r="3347" spans="1:11" ht="15" customHeight="1" x14ac:dyDescent="0.25">
      <c r="A3347" s="75">
        <v>31</v>
      </c>
      <c r="B3347" s="75">
        <v>69</v>
      </c>
      <c r="C3347" s="75" t="s">
        <v>10</v>
      </c>
      <c r="D3347" s="75">
        <v>4814</v>
      </c>
      <c r="F3347" s="75" t="s">
        <v>10</v>
      </c>
      <c r="H3347" s="75" t="s">
        <v>10</v>
      </c>
      <c r="I3347" s="75">
        <v>19489</v>
      </c>
      <c r="K3347" s="75" t="str">
        <f>IFERROR(VLOOKUP(J3347,'NQ10'!$B$9:$C$145,2,0),"")</f>
        <v/>
      </c>
    </row>
    <row r="3348" spans="1:11" ht="15" customHeight="1" x14ac:dyDescent="0.25">
      <c r="A3348" s="75">
        <v>31</v>
      </c>
      <c r="B3348" s="75">
        <v>70</v>
      </c>
      <c r="C3348" s="75" t="s">
        <v>10</v>
      </c>
      <c r="D3348" s="75">
        <v>20095</v>
      </c>
      <c r="F3348" s="75" t="s">
        <v>10</v>
      </c>
      <c r="H3348" s="75" t="s">
        <v>10</v>
      </c>
      <c r="I3348" s="75">
        <v>19489</v>
      </c>
      <c r="K3348" s="75" t="str">
        <f>IFERROR(VLOOKUP(J3348,'NQ10'!$B$9:$C$145,2,0),"")</f>
        <v/>
      </c>
    </row>
    <row r="3349" spans="1:11" ht="15" customHeight="1" x14ac:dyDescent="0.25">
      <c r="A3349" s="75">
        <v>31</v>
      </c>
      <c r="B3349" s="75">
        <v>71</v>
      </c>
      <c r="C3349" s="75" t="s">
        <v>10</v>
      </c>
      <c r="D3349" s="75">
        <v>6394</v>
      </c>
      <c r="F3349" s="75" t="s">
        <v>10</v>
      </c>
      <c r="H3349" s="75" t="s">
        <v>10</v>
      </c>
      <c r="I3349" s="75">
        <v>19489</v>
      </c>
      <c r="K3349" s="75" t="str">
        <f>IFERROR(VLOOKUP(J3349,'NQ10'!$B$9:$C$145,2,0),"")</f>
        <v/>
      </c>
    </row>
    <row r="3350" spans="1:11" ht="15" customHeight="1" x14ac:dyDescent="0.25">
      <c r="A3350" s="75">
        <v>31</v>
      </c>
      <c r="B3350" s="75">
        <v>72</v>
      </c>
      <c r="C3350" s="75" t="s">
        <v>10</v>
      </c>
      <c r="D3350" s="75">
        <v>1722</v>
      </c>
      <c r="F3350" s="75" t="s">
        <v>10</v>
      </c>
      <c r="H3350" s="75" t="s">
        <v>10</v>
      </c>
      <c r="I3350" s="75">
        <v>19489</v>
      </c>
      <c r="K3350" s="75" t="str">
        <f>IFERROR(VLOOKUP(J3350,'NQ10'!$B$9:$C$145,2,0),"")</f>
        <v/>
      </c>
    </row>
    <row r="3351" spans="1:11" ht="15" customHeight="1" x14ac:dyDescent="0.25">
      <c r="A3351" s="75">
        <v>31</v>
      </c>
      <c r="B3351" s="75">
        <v>73</v>
      </c>
      <c r="C3351" s="75" t="s">
        <v>10</v>
      </c>
      <c r="D3351" s="75">
        <v>706</v>
      </c>
      <c r="F3351" s="75" t="s">
        <v>10</v>
      </c>
      <c r="H3351" s="75" t="s">
        <v>10</v>
      </c>
      <c r="I3351" s="75">
        <v>19489</v>
      </c>
      <c r="K3351" s="75" t="str">
        <f>IFERROR(VLOOKUP(J3351,'NQ10'!$B$9:$C$145,2,0),"")</f>
        <v/>
      </c>
    </row>
    <row r="3352" spans="1:11" ht="15" customHeight="1" x14ac:dyDescent="0.25">
      <c r="A3352" s="75">
        <v>31</v>
      </c>
      <c r="B3352" s="75">
        <v>74</v>
      </c>
      <c r="C3352" s="75" t="s">
        <v>10</v>
      </c>
      <c r="D3352" s="75">
        <v>1889</v>
      </c>
      <c r="F3352" s="75" t="s">
        <v>10</v>
      </c>
      <c r="H3352" s="75" t="s">
        <v>10</v>
      </c>
      <c r="I3352" s="75">
        <v>19489</v>
      </c>
      <c r="K3352" s="75" t="str">
        <f>IFERROR(VLOOKUP(J3352,'NQ10'!$B$9:$C$145,2,0),"")</f>
        <v/>
      </c>
    </row>
    <row r="3353" spans="1:11" ht="15" customHeight="1" x14ac:dyDescent="0.25">
      <c r="A3353" s="75">
        <v>31</v>
      </c>
      <c r="B3353" s="75">
        <v>75</v>
      </c>
      <c r="C3353" s="75" t="s">
        <v>10</v>
      </c>
      <c r="D3353" s="75">
        <v>6813</v>
      </c>
      <c r="F3353" s="75" t="s">
        <v>10</v>
      </c>
      <c r="H3353" s="75" t="s">
        <v>10</v>
      </c>
      <c r="I3353" s="75">
        <v>19489</v>
      </c>
      <c r="K3353" s="75" t="str">
        <f>IFERROR(VLOOKUP(J3353,'NQ10'!$B$9:$C$145,2,0),"")</f>
        <v/>
      </c>
    </row>
    <row r="3354" spans="1:11" ht="15" customHeight="1" x14ac:dyDescent="0.25">
      <c r="A3354" s="75">
        <v>31</v>
      </c>
      <c r="B3354" s="75">
        <v>76</v>
      </c>
      <c r="C3354" s="75" t="s">
        <v>10</v>
      </c>
      <c r="D3354" s="75">
        <v>4510</v>
      </c>
      <c r="F3354" s="75" t="s">
        <v>10</v>
      </c>
      <c r="H3354" s="75" t="s">
        <v>10</v>
      </c>
      <c r="I3354" s="75">
        <v>19489</v>
      </c>
      <c r="K3354" s="75" t="str">
        <f>IFERROR(VLOOKUP(J3354,'NQ10'!$B$9:$C$145,2,0),"")</f>
        <v/>
      </c>
    </row>
    <row r="3355" spans="1:11" ht="15" customHeight="1" x14ac:dyDescent="0.25">
      <c r="A3355" s="75">
        <v>31</v>
      </c>
      <c r="B3355" s="75">
        <v>77</v>
      </c>
      <c r="C3355" s="75" t="s">
        <v>10</v>
      </c>
      <c r="D3355" s="75">
        <v>3156</v>
      </c>
      <c r="F3355" s="75" t="s">
        <v>10</v>
      </c>
      <c r="H3355" s="75" t="s">
        <v>10</v>
      </c>
      <c r="I3355" s="75">
        <v>19489</v>
      </c>
      <c r="K3355" s="75" t="str">
        <f>IFERROR(VLOOKUP(J3355,'NQ10'!$B$9:$C$145,2,0),"")</f>
        <v/>
      </c>
    </row>
    <row r="3356" spans="1:11" ht="15" customHeight="1" x14ac:dyDescent="0.25">
      <c r="A3356" s="75">
        <v>31</v>
      </c>
      <c r="B3356" s="75">
        <v>78</v>
      </c>
      <c r="C3356" s="75" t="s">
        <v>10</v>
      </c>
      <c r="D3356" s="75">
        <v>3260</v>
      </c>
      <c r="F3356" s="75" t="s">
        <v>10</v>
      </c>
      <c r="H3356" s="75" t="s">
        <v>10</v>
      </c>
      <c r="I3356" s="75">
        <v>19489</v>
      </c>
      <c r="K3356" s="75" t="str">
        <f>IFERROR(VLOOKUP(J3356,'NQ10'!$B$9:$C$145,2,0),"")</f>
        <v/>
      </c>
    </row>
    <row r="3357" spans="1:11" ht="15" customHeight="1" x14ac:dyDescent="0.25">
      <c r="A3357" s="75">
        <v>31</v>
      </c>
      <c r="B3357" s="75">
        <v>79</v>
      </c>
      <c r="C3357" s="75" t="s">
        <v>10</v>
      </c>
      <c r="D3357" s="75">
        <v>2758</v>
      </c>
      <c r="F3357" s="75" t="s">
        <v>10</v>
      </c>
      <c r="H3357" s="75" t="s">
        <v>10</v>
      </c>
      <c r="I3357" s="75">
        <v>19489</v>
      </c>
      <c r="K3357" s="75" t="str">
        <f>IFERROR(VLOOKUP(J3357,'NQ10'!$B$9:$C$145,2,0),"")</f>
        <v/>
      </c>
    </row>
    <row r="3358" spans="1:11" ht="15" customHeight="1" x14ac:dyDescent="0.25">
      <c r="A3358" s="75">
        <v>31</v>
      </c>
      <c r="B3358" s="75">
        <v>82</v>
      </c>
      <c r="C3358" s="75" t="s">
        <v>10</v>
      </c>
      <c r="D3358" s="75">
        <v>1345</v>
      </c>
      <c r="F3358" s="75" t="s">
        <v>10</v>
      </c>
      <c r="H3358" s="75" t="s">
        <v>10</v>
      </c>
      <c r="I3358" s="75">
        <v>19489</v>
      </c>
      <c r="K3358" s="75" t="str">
        <f>IFERROR(VLOOKUP(J3358,'NQ10'!$B$9:$C$145,2,0),"")</f>
        <v/>
      </c>
    </row>
    <row r="3359" spans="1:11" ht="15" customHeight="1" x14ac:dyDescent="0.25">
      <c r="A3359" s="75">
        <v>31</v>
      </c>
      <c r="B3359" s="75">
        <v>83</v>
      </c>
      <c r="C3359" s="75" t="s">
        <v>10</v>
      </c>
      <c r="D3359" s="75">
        <v>2753</v>
      </c>
      <c r="F3359" s="75" t="s">
        <v>10</v>
      </c>
      <c r="H3359" s="75" t="s">
        <v>10</v>
      </c>
      <c r="I3359" s="75">
        <v>19489</v>
      </c>
      <c r="K3359" s="75" t="str">
        <f>IFERROR(VLOOKUP(J3359,'NQ10'!$B$9:$C$145,2,0),"")</f>
        <v/>
      </c>
    </row>
    <row r="3360" spans="1:11" ht="15" customHeight="1" x14ac:dyDescent="0.25">
      <c r="A3360" s="75">
        <v>31</v>
      </c>
      <c r="B3360" s="75">
        <v>84</v>
      </c>
      <c r="C3360" s="75" t="s">
        <v>10</v>
      </c>
      <c r="D3360" s="75">
        <v>8604</v>
      </c>
      <c r="F3360" s="75" t="s">
        <v>10</v>
      </c>
      <c r="H3360" s="75" t="s">
        <v>10</v>
      </c>
      <c r="I3360" s="75">
        <v>19489</v>
      </c>
      <c r="K3360" s="75" t="str">
        <f>IFERROR(VLOOKUP(J3360,'NQ10'!$B$9:$C$145,2,0),"")</f>
        <v/>
      </c>
    </row>
    <row r="3361" spans="1:11" ht="15" customHeight="1" x14ac:dyDescent="0.25">
      <c r="A3361" s="75">
        <v>31</v>
      </c>
      <c r="B3361" s="75">
        <v>85</v>
      </c>
      <c r="C3361" s="75" t="s">
        <v>10</v>
      </c>
      <c r="D3361" s="75">
        <v>5240</v>
      </c>
      <c r="F3361" s="75" t="s">
        <v>10</v>
      </c>
      <c r="H3361" s="75" t="s">
        <v>10</v>
      </c>
      <c r="I3361" s="75">
        <v>19489</v>
      </c>
      <c r="K3361" s="75" t="str">
        <f>IFERROR(VLOOKUP(J3361,'NQ10'!$B$9:$C$145,2,0),"")</f>
        <v/>
      </c>
    </row>
    <row r="3362" spans="1:11" ht="15" customHeight="1" x14ac:dyDescent="0.25">
      <c r="A3362" s="75">
        <v>31</v>
      </c>
      <c r="B3362" s="75">
        <v>86</v>
      </c>
      <c r="C3362" s="75" t="s">
        <v>10</v>
      </c>
      <c r="D3362" s="75">
        <v>6688</v>
      </c>
      <c r="F3362" s="75" t="s">
        <v>10</v>
      </c>
      <c r="H3362" s="75" t="s">
        <v>10</v>
      </c>
      <c r="I3362" s="75">
        <v>19489</v>
      </c>
      <c r="K3362" s="75" t="str">
        <f>IFERROR(VLOOKUP(J3362,'NQ10'!$B$9:$C$145,2,0),"")</f>
        <v/>
      </c>
    </row>
    <row r="3363" spans="1:11" ht="15" customHeight="1" x14ac:dyDescent="0.25">
      <c r="A3363" s="75">
        <v>31</v>
      </c>
      <c r="B3363" s="75">
        <v>87</v>
      </c>
      <c r="C3363" s="75" t="s">
        <v>10</v>
      </c>
      <c r="D3363" s="75">
        <v>1337</v>
      </c>
      <c r="F3363" s="75" t="s">
        <v>10</v>
      </c>
      <c r="H3363" s="75" t="s">
        <v>10</v>
      </c>
      <c r="I3363" s="75">
        <v>19489</v>
      </c>
      <c r="K3363" s="75" t="str">
        <f>IFERROR(VLOOKUP(J3363,'NQ10'!$B$9:$C$145,2,0),"")</f>
        <v/>
      </c>
    </row>
    <row r="3364" spans="1:11" ht="15" customHeight="1" x14ac:dyDescent="0.25">
      <c r="A3364" s="75">
        <v>31</v>
      </c>
      <c r="B3364" s="75">
        <v>88</v>
      </c>
      <c r="C3364" s="75" t="s">
        <v>10</v>
      </c>
      <c r="D3364" s="75">
        <v>915</v>
      </c>
      <c r="F3364" s="75" t="s">
        <v>10</v>
      </c>
      <c r="H3364" s="75" t="s">
        <v>10</v>
      </c>
      <c r="I3364" s="75">
        <v>19489</v>
      </c>
      <c r="K3364" s="75" t="str">
        <f>IFERROR(VLOOKUP(J3364,'NQ10'!$B$9:$C$145,2,0),"")</f>
        <v/>
      </c>
    </row>
    <row r="3365" spans="1:11" ht="15" customHeight="1" x14ac:dyDescent="0.25">
      <c r="A3365" s="75">
        <v>31</v>
      </c>
      <c r="B3365" s="75">
        <v>89</v>
      </c>
      <c r="C3365" s="75" t="s">
        <v>10</v>
      </c>
      <c r="D3365" s="75">
        <v>680</v>
      </c>
      <c r="F3365" s="75" t="s">
        <v>10</v>
      </c>
      <c r="H3365" s="75" t="s">
        <v>10</v>
      </c>
      <c r="I3365" s="75">
        <v>19489</v>
      </c>
      <c r="K3365" s="75" t="str">
        <f>IFERROR(VLOOKUP(J3365,'NQ10'!$B$9:$C$145,2,0),"")</f>
        <v/>
      </c>
    </row>
    <row r="3366" spans="1:11" ht="15" customHeight="1" x14ac:dyDescent="0.25">
      <c r="A3366" s="75">
        <v>31</v>
      </c>
      <c r="B3366" s="75">
        <v>90</v>
      </c>
      <c r="C3366" s="75" t="s">
        <v>10</v>
      </c>
      <c r="D3366" s="75">
        <v>750</v>
      </c>
      <c r="F3366" s="75" t="s">
        <v>10</v>
      </c>
      <c r="H3366" s="75" t="s">
        <v>10</v>
      </c>
      <c r="I3366" s="75">
        <v>19489</v>
      </c>
      <c r="K3366" s="75" t="str">
        <f>IFERROR(VLOOKUP(J3366,'NQ10'!$B$9:$C$145,2,0),"")</f>
        <v/>
      </c>
    </row>
    <row r="3367" spans="1:11" ht="15" customHeight="1" x14ac:dyDescent="0.25">
      <c r="A3367" s="75">
        <v>31</v>
      </c>
      <c r="B3367" s="75">
        <v>91</v>
      </c>
      <c r="C3367" s="75" t="s">
        <v>10</v>
      </c>
      <c r="D3367" s="75">
        <v>864</v>
      </c>
      <c r="F3367" s="75" t="s">
        <v>10</v>
      </c>
      <c r="H3367" s="75" t="s">
        <v>10</v>
      </c>
      <c r="I3367" s="75">
        <v>19489</v>
      </c>
      <c r="K3367" s="75" t="str">
        <f>IFERROR(VLOOKUP(J3367,'NQ10'!$B$9:$C$145,2,0),"")</f>
        <v/>
      </c>
    </row>
    <row r="3368" spans="1:11" ht="15" customHeight="1" x14ac:dyDescent="0.25">
      <c r="A3368" s="75">
        <v>31</v>
      </c>
      <c r="B3368" s="75">
        <v>92</v>
      </c>
      <c r="C3368" s="75" t="s">
        <v>10</v>
      </c>
      <c r="D3368" s="75">
        <v>764</v>
      </c>
      <c r="F3368" s="75" t="s">
        <v>10</v>
      </c>
      <c r="H3368" s="75" t="s">
        <v>10</v>
      </c>
      <c r="I3368" s="75">
        <v>19489</v>
      </c>
      <c r="K3368" s="75" t="str">
        <f>IFERROR(VLOOKUP(J3368,'NQ10'!$B$9:$C$145,2,0),"")</f>
        <v/>
      </c>
    </row>
    <row r="3369" spans="1:11" ht="15" customHeight="1" x14ac:dyDescent="0.25">
      <c r="A3369" s="75">
        <v>31</v>
      </c>
      <c r="B3369" s="75">
        <v>93</v>
      </c>
      <c r="C3369" s="75" t="s">
        <v>10</v>
      </c>
      <c r="D3369" s="75">
        <v>89</v>
      </c>
      <c r="F3369" s="75" t="s">
        <v>10</v>
      </c>
      <c r="H3369" s="75" t="s">
        <v>10</v>
      </c>
      <c r="I3369" s="75">
        <v>19489</v>
      </c>
      <c r="K3369" s="75" t="str">
        <f>IFERROR(VLOOKUP(J3369,'NQ10'!$B$9:$C$145,2,0),"")</f>
        <v/>
      </c>
    </row>
    <row r="3370" spans="1:11" ht="15" customHeight="1" x14ac:dyDescent="0.25">
      <c r="A3370" s="75">
        <v>31</v>
      </c>
      <c r="B3370" s="75">
        <v>94</v>
      </c>
      <c r="C3370" s="75" t="s">
        <v>10</v>
      </c>
      <c r="D3370" s="75">
        <v>275</v>
      </c>
      <c r="F3370" s="75" t="s">
        <v>10</v>
      </c>
      <c r="H3370" s="75" t="s">
        <v>10</v>
      </c>
      <c r="I3370" s="75">
        <v>19489</v>
      </c>
      <c r="K3370" s="75" t="str">
        <f>IFERROR(VLOOKUP(J3370,'NQ10'!$B$9:$C$145,2,0),"")</f>
        <v/>
      </c>
    </row>
    <row r="3371" spans="1:11" ht="15" customHeight="1" x14ac:dyDescent="0.25">
      <c r="A3371" s="75">
        <v>31</v>
      </c>
      <c r="B3371" s="75">
        <v>95</v>
      </c>
      <c r="C3371" s="75" t="s">
        <v>10</v>
      </c>
      <c r="D3371" s="75">
        <v>3998</v>
      </c>
      <c r="F3371" s="75" t="s">
        <v>10</v>
      </c>
      <c r="H3371" s="75" t="s">
        <v>10</v>
      </c>
      <c r="I3371" s="75">
        <v>19489</v>
      </c>
      <c r="K3371" s="75" t="str">
        <f>IFERROR(VLOOKUP(J3371,'NQ10'!$B$9:$C$145,2,0),"")</f>
        <v/>
      </c>
    </row>
    <row r="3372" spans="1:11" ht="15" customHeight="1" x14ac:dyDescent="0.25">
      <c r="A3372" s="75">
        <v>31</v>
      </c>
      <c r="B3372" s="75">
        <v>96</v>
      </c>
      <c r="C3372" s="75" t="s">
        <v>10</v>
      </c>
      <c r="D3372" s="75">
        <v>1269</v>
      </c>
      <c r="F3372" s="75" t="s">
        <v>10</v>
      </c>
      <c r="H3372" s="75" t="s">
        <v>10</v>
      </c>
      <c r="I3372" s="75">
        <v>19489</v>
      </c>
      <c r="K3372" s="75" t="str">
        <f>IFERROR(VLOOKUP(J3372,'NQ10'!$B$9:$C$145,2,0),"")</f>
        <v/>
      </c>
    </row>
    <row r="3373" spans="1:11" ht="15" customHeight="1" x14ac:dyDescent="0.25">
      <c r="A3373" s="75">
        <v>31</v>
      </c>
      <c r="B3373" s="75">
        <v>97</v>
      </c>
      <c r="C3373" s="75" t="s">
        <v>10</v>
      </c>
      <c r="D3373" s="75">
        <v>2100</v>
      </c>
      <c r="F3373" s="75" t="s">
        <v>10</v>
      </c>
      <c r="H3373" s="75" t="s">
        <v>10</v>
      </c>
      <c r="I3373" s="75">
        <v>19489</v>
      </c>
      <c r="K3373" s="75" t="str">
        <f>IFERROR(VLOOKUP(J3373,'NQ10'!$B$9:$C$145,2,0),"")</f>
        <v/>
      </c>
    </row>
    <row r="3374" spans="1:11" ht="15" customHeight="1" x14ac:dyDescent="0.25">
      <c r="A3374" s="75">
        <v>31</v>
      </c>
      <c r="B3374" s="75">
        <v>98</v>
      </c>
      <c r="C3374" s="75" t="s">
        <v>10</v>
      </c>
      <c r="D3374" s="75">
        <v>3722</v>
      </c>
      <c r="F3374" s="75" t="s">
        <v>10</v>
      </c>
      <c r="H3374" s="75" t="s">
        <v>10</v>
      </c>
      <c r="I3374" s="75">
        <v>19489</v>
      </c>
      <c r="K3374" s="75" t="str">
        <f>IFERROR(VLOOKUP(J3374,'NQ10'!$B$9:$C$145,2,0),"")</f>
        <v/>
      </c>
    </row>
    <row r="3375" spans="1:11" ht="15" customHeight="1" x14ac:dyDescent="0.25">
      <c r="A3375" s="75">
        <v>31</v>
      </c>
      <c r="B3375" s="75">
        <v>99</v>
      </c>
      <c r="C3375" s="75" t="s">
        <v>10</v>
      </c>
      <c r="D3375" s="75">
        <v>3333</v>
      </c>
      <c r="F3375" s="75" t="s">
        <v>10</v>
      </c>
      <c r="H3375" s="75" t="s">
        <v>10</v>
      </c>
      <c r="I3375" s="75">
        <v>19489</v>
      </c>
      <c r="K3375" s="75" t="str">
        <f>IFERROR(VLOOKUP(J3375,'NQ10'!$B$9:$C$145,2,0),"")</f>
        <v/>
      </c>
    </row>
    <row r="3376" spans="1:11" ht="15" customHeight="1" x14ac:dyDescent="0.25">
      <c r="A3376" s="75">
        <v>31</v>
      </c>
      <c r="B3376" s="75">
        <v>100</v>
      </c>
      <c r="C3376" s="75" t="s">
        <v>10</v>
      </c>
      <c r="D3376" s="75">
        <v>1673</v>
      </c>
      <c r="F3376" s="75" t="s">
        <v>10</v>
      </c>
      <c r="H3376" s="75" t="s">
        <v>10</v>
      </c>
      <c r="I3376" s="75">
        <v>19489</v>
      </c>
      <c r="K3376" s="75" t="str">
        <f>IFERROR(VLOOKUP(J3376,'NQ10'!$B$9:$C$145,2,0),"")</f>
        <v/>
      </c>
    </row>
    <row r="3377" spans="1:11" ht="15" customHeight="1" x14ac:dyDescent="0.25">
      <c r="A3377" s="75">
        <v>31</v>
      </c>
      <c r="B3377" s="75">
        <v>101</v>
      </c>
      <c r="C3377" s="75" t="s">
        <v>10</v>
      </c>
      <c r="D3377" s="75">
        <v>1779</v>
      </c>
      <c r="F3377" s="75" t="s">
        <v>10</v>
      </c>
      <c r="H3377" s="75" t="s">
        <v>10</v>
      </c>
      <c r="I3377" s="75">
        <v>19489</v>
      </c>
      <c r="K3377" s="75" t="str">
        <f>IFERROR(VLOOKUP(J3377,'NQ10'!$B$9:$C$145,2,0),"")</f>
        <v/>
      </c>
    </row>
    <row r="3378" spans="1:11" ht="15" customHeight="1" x14ac:dyDescent="0.25">
      <c r="A3378" s="75">
        <v>31</v>
      </c>
      <c r="B3378" s="75">
        <v>102</v>
      </c>
      <c r="C3378" s="75" t="s">
        <v>10</v>
      </c>
      <c r="D3378" s="75">
        <v>963</v>
      </c>
      <c r="F3378" s="75" t="s">
        <v>10</v>
      </c>
      <c r="H3378" s="75" t="s">
        <v>10</v>
      </c>
      <c r="I3378" s="75">
        <v>19489</v>
      </c>
      <c r="K3378" s="75" t="str">
        <f>IFERROR(VLOOKUP(J3378,'NQ10'!$B$9:$C$145,2,0),"")</f>
        <v/>
      </c>
    </row>
    <row r="3379" spans="1:11" ht="15" customHeight="1" x14ac:dyDescent="0.25">
      <c r="A3379" s="75">
        <v>31</v>
      </c>
      <c r="B3379" s="75">
        <v>103</v>
      </c>
      <c r="C3379" s="75" t="s">
        <v>10</v>
      </c>
      <c r="D3379" s="75">
        <v>198</v>
      </c>
      <c r="F3379" s="75" t="s">
        <v>10</v>
      </c>
      <c r="H3379" s="75" t="s">
        <v>10</v>
      </c>
      <c r="I3379" s="75">
        <v>19489</v>
      </c>
      <c r="K3379" s="75" t="str">
        <f>IFERROR(VLOOKUP(J3379,'NQ10'!$B$9:$C$145,2,0),"")</f>
        <v/>
      </c>
    </row>
    <row r="3380" spans="1:11" ht="15" customHeight="1" x14ac:dyDescent="0.25">
      <c r="A3380" s="75">
        <v>31</v>
      </c>
      <c r="B3380" s="75">
        <v>104</v>
      </c>
      <c r="C3380" s="75" t="s">
        <v>10</v>
      </c>
      <c r="D3380" s="75">
        <v>10203</v>
      </c>
      <c r="F3380" s="75" t="s">
        <v>10</v>
      </c>
      <c r="H3380" s="75" t="s">
        <v>10</v>
      </c>
      <c r="I3380" s="75">
        <v>19489</v>
      </c>
      <c r="K3380" s="75" t="str">
        <f>IFERROR(VLOOKUP(J3380,'NQ10'!$B$9:$C$145,2,0),"")</f>
        <v/>
      </c>
    </row>
    <row r="3381" spans="1:11" ht="15" customHeight="1" x14ac:dyDescent="0.25">
      <c r="A3381" s="75">
        <v>31</v>
      </c>
      <c r="B3381" s="75">
        <v>105</v>
      </c>
      <c r="C3381" s="75" t="s">
        <v>10</v>
      </c>
      <c r="D3381" s="75">
        <v>3647</v>
      </c>
      <c r="F3381" s="75" t="s">
        <v>10</v>
      </c>
      <c r="H3381" s="75" t="s">
        <v>10</v>
      </c>
      <c r="I3381" s="75">
        <v>19489</v>
      </c>
      <c r="K3381" s="75" t="str">
        <f>IFERROR(VLOOKUP(J3381,'NQ10'!$B$9:$C$145,2,0),"")</f>
        <v/>
      </c>
    </row>
    <row r="3382" spans="1:11" ht="15" customHeight="1" x14ac:dyDescent="0.25">
      <c r="A3382" s="75">
        <v>31</v>
      </c>
      <c r="B3382" s="75">
        <v>106</v>
      </c>
      <c r="C3382" s="75" t="s">
        <v>10</v>
      </c>
      <c r="D3382" s="75">
        <v>1897</v>
      </c>
      <c r="F3382" s="75" t="s">
        <v>10</v>
      </c>
      <c r="H3382" s="75" t="s">
        <v>10</v>
      </c>
      <c r="I3382" s="75">
        <v>19489</v>
      </c>
      <c r="K3382" s="75" t="str">
        <f>IFERROR(VLOOKUP(J3382,'NQ10'!$B$9:$C$145,2,0),"")</f>
        <v/>
      </c>
    </row>
    <row r="3383" spans="1:11" ht="15" customHeight="1" x14ac:dyDescent="0.25">
      <c r="A3383" s="75">
        <v>31</v>
      </c>
      <c r="B3383" s="75">
        <v>107</v>
      </c>
      <c r="C3383" s="75" t="s">
        <v>10</v>
      </c>
      <c r="D3383" s="75">
        <v>462</v>
      </c>
      <c r="F3383" s="75" t="s">
        <v>10</v>
      </c>
      <c r="H3383" s="75" t="s">
        <v>10</v>
      </c>
      <c r="I3383" s="75">
        <v>19489</v>
      </c>
      <c r="K3383" s="75" t="str">
        <f>IFERROR(VLOOKUP(J3383,'NQ10'!$B$9:$C$145,2,0),"")</f>
        <v/>
      </c>
    </row>
    <row r="3384" spans="1:11" ht="15" customHeight="1" x14ac:dyDescent="0.25">
      <c r="A3384" s="75">
        <v>31</v>
      </c>
      <c r="B3384" s="75">
        <v>109</v>
      </c>
      <c r="C3384" s="75" t="s">
        <v>10</v>
      </c>
      <c r="D3384" s="75">
        <v>1071</v>
      </c>
      <c r="F3384" s="75" t="s">
        <v>10</v>
      </c>
      <c r="H3384" s="75" t="s">
        <v>10</v>
      </c>
      <c r="I3384" s="75">
        <v>19489</v>
      </c>
      <c r="K3384" s="75" t="str">
        <f>IFERROR(VLOOKUP(J3384,'NQ10'!$B$9:$C$145,2,0),"")</f>
        <v/>
      </c>
    </row>
    <row r="3385" spans="1:11" ht="15" customHeight="1" x14ac:dyDescent="0.25">
      <c r="A3385" s="75">
        <v>31</v>
      </c>
      <c r="B3385" s="75">
        <v>110</v>
      </c>
      <c r="C3385" s="75" t="s">
        <v>10</v>
      </c>
      <c r="D3385" s="75">
        <v>1957</v>
      </c>
      <c r="F3385" s="75" t="s">
        <v>10</v>
      </c>
      <c r="H3385" s="75" t="s">
        <v>10</v>
      </c>
      <c r="I3385" s="75">
        <v>19489</v>
      </c>
      <c r="K3385" s="75" t="str">
        <f>IFERROR(VLOOKUP(J3385,'NQ10'!$B$9:$C$145,2,0),"")</f>
        <v/>
      </c>
    </row>
    <row r="3386" spans="1:11" ht="15" customHeight="1" x14ac:dyDescent="0.25">
      <c r="A3386" s="75">
        <v>31</v>
      </c>
      <c r="B3386" s="75">
        <v>111</v>
      </c>
      <c r="C3386" s="75" t="s">
        <v>10</v>
      </c>
      <c r="D3386" s="75">
        <v>1669</v>
      </c>
      <c r="F3386" s="75" t="s">
        <v>10</v>
      </c>
      <c r="H3386" s="75" t="s">
        <v>10</v>
      </c>
      <c r="I3386" s="75">
        <v>19489</v>
      </c>
      <c r="K3386" s="75" t="str">
        <f>IFERROR(VLOOKUP(J3386,'NQ10'!$B$9:$C$145,2,0),"")</f>
        <v/>
      </c>
    </row>
    <row r="3387" spans="1:11" ht="15" customHeight="1" x14ac:dyDescent="0.25">
      <c r="A3387" s="75">
        <v>31</v>
      </c>
      <c r="B3387" s="75">
        <v>114</v>
      </c>
      <c r="C3387" s="75" t="s">
        <v>10</v>
      </c>
      <c r="D3387" s="75">
        <v>2959</v>
      </c>
      <c r="F3387" s="75" t="s">
        <v>10</v>
      </c>
      <c r="H3387" s="75" t="s">
        <v>10</v>
      </c>
      <c r="I3387" s="75">
        <v>19489</v>
      </c>
      <c r="K3387" s="75" t="str">
        <f>IFERROR(VLOOKUP(J3387,'NQ10'!$B$9:$C$145,2,0),"")</f>
        <v/>
      </c>
    </row>
    <row r="3388" spans="1:11" ht="15" customHeight="1" x14ac:dyDescent="0.25">
      <c r="A3388" s="75">
        <v>31</v>
      </c>
      <c r="B3388" s="75">
        <v>115</v>
      </c>
      <c r="C3388" s="75" t="s">
        <v>10</v>
      </c>
      <c r="D3388" s="75">
        <v>5893</v>
      </c>
      <c r="F3388" s="75" t="s">
        <v>10</v>
      </c>
      <c r="H3388" s="75" t="s">
        <v>10</v>
      </c>
      <c r="I3388" s="75">
        <v>19489</v>
      </c>
      <c r="K3388" s="75" t="str">
        <f>IFERROR(VLOOKUP(J3388,'NQ10'!$B$9:$C$145,2,0),"")</f>
        <v/>
      </c>
    </row>
    <row r="3389" spans="1:11" ht="15" customHeight="1" x14ac:dyDescent="0.25">
      <c r="A3389" s="75">
        <v>31</v>
      </c>
      <c r="B3389" s="75">
        <v>116</v>
      </c>
      <c r="C3389" s="75" t="s">
        <v>10</v>
      </c>
      <c r="D3389" s="75">
        <v>1603</v>
      </c>
      <c r="F3389" s="75" t="s">
        <v>10</v>
      </c>
      <c r="H3389" s="75" t="s">
        <v>10</v>
      </c>
      <c r="I3389" s="75">
        <v>19489</v>
      </c>
      <c r="K3389" s="75" t="str">
        <f>IFERROR(VLOOKUP(J3389,'NQ10'!$B$9:$C$145,2,0),"")</f>
        <v/>
      </c>
    </row>
    <row r="3390" spans="1:11" ht="15" customHeight="1" x14ac:dyDescent="0.25">
      <c r="A3390" s="75">
        <v>31</v>
      </c>
      <c r="B3390" s="75">
        <v>117</v>
      </c>
      <c r="C3390" s="75" t="s">
        <v>10</v>
      </c>
      <c r="D3390" s="75">
        <v>6086</v>
      </c>
      <c r="F3390" s="75" t="s">
        <v>10</v>
      </c>
      <c r="H3390" s="75" t="s">
        <v>10</v>
      </c>
      <c r="I3390" s="75">
        <v>19489</v>
      </c>
      <c r="K3390" s="75" t="str">
        <f>IFERROR(VLOOKUP(J3390,'NQ10'!$B$9:$C$145,2,0),"")</f>
        <v/>
      </c>
    </row>
    <row r="3391" spans="1:11" ht="15" customHeight="1" x14ac:dyDescent="0.25">
      <c r="A3391" s="75">
        <v>31</v>
      </c>
      <c r="B3391" s="75">
        <v>118</v>
      </c>
      <c r="C3391" s="75" t="s">
        <v>10</v>
      </c>
      <c r="D3391" s="75">
        <v>1085</v>
      </c>
      <c r="F3391" s="75" t="s">
        <v>10</v>
      </c>
      <c r="H3391" s="75" t="s">
        <v>10</v>
      </c>
      <c r="I3391" s="75">
        <v>19489</v>
      </c>
      <c r="K3391" s="75" t="str">
        <f>IFERROR(VLOOKUP(J3391,'NQ10'!$B$9:$C$145,2,0),"")</f>
        <v/>
      </c>
    </row>
    <row r="3392" spans="1:11" ht="15" customHeight="1" x14ac:dyDescent="0.25">
      <c r="A3392" s="75">
        <v>31</v>
      </c>
      <c r="B3392" s="75">
        <v>119</v>
      </c>
      <c r="C3392" s="75" t="s">
        <v>10</v>
      </c>
      <c r="D3392" s="75">
        <v>683</v>
      </c>
      <c r="F3392" s="75" t="s">
        <v>10</v>
      </c>
      <c r="H3392" s="75" t="s">
        <v>10</v>
      </c>
      <c r="I3392" s="75">
        <v>19489</v>
      </c>
      <c r="K3392" s="75" t="str">
        <f>IFERROR(VLOOKUP(J3392,'NQ10'!$B$9:$C$145,2,0),"")</f>
        <v/>
      </c>
    </row>
    <row r="3393" spans="1:11" ht="15" customHeight="1" x14ac:dyDescent="0.25">
      <c r="A3393" s="75">
        <v>31</v>
      </c>
      <c r="B3393" s="75">
        <v>125</v>
      </c>
      <c r="C3393" s="75" t="s">
        <v>10</v>
      </c>
      <c r="D3393" s="75">
        <v>283</v>
      </c>
      <c r="F3393" s="75" t="s">
        <v>10</v>
      </c>
      <c r="H3393" s="75" t="s">
        <v>10</v>
      </c>
      <c r="I3393" s="75">
        <v>19489</v>
      </c>
      <c r="K3393" s="75" t="str">
        <f>IFERROR(VLOOKUP(J3393,'NQ10'!$B$9:$C$145,2,0),"")</f>
        <v/>
      </c>
    </row>
    <row r="3394" spans="1:11" ht="15" customHeight="1" x14ac:dyDescent="0.25">
      <c r="A3394" s="75">
        <v>31</v>
      </c>
      <c r="B3394" s="75">
        <v>126</v>
      </c>
      <c r="C3394" s="75" t="s">
        <v>10</v>
      </c>
      <c r="D3394" s="75">
        <v>432</v>
      </c>
      <c r="F3394" s="75" t="s">
        <v>10</v>
      </c>
      <c r="H3394" s="75" t="s">
        <v>10</v>
      </c>
      <c r="I3394" s="75">
        <v>19489</v>
      </c>
      <c r="K3394" s="75" t="str">
        <f>IFERROR(VLOOKUP(J3394,'NQ10'!$B$9:$C$145,2,0),"")</f>
        <v/>
      </c>
    </row>
    <row r="3395" spans="1:11" ht="15" customHeight="1" x14ac:dyDescent="0.25">
      <c r="A3395" s="75">
        <v>31</v>
      </c>
      <c r="B3395" s="75">
        <v>128</v>
      </c>
      <c r="C3395" s="75" t="s">
        <v>10</v>
      </c>
      <c r="D3395" s="75">
        <v>472</v>
      </c>
      <c r="F3395" s="75" t="s">
        <v>10</v>
      </c>
      <c r="H3395" s="75" t="s">
        <v>10</v>
      </c>
      <c r="I3395" s="75">
        <v>19489</v>
      </c>
      <c r="K3395" s="75" t="str">
        <f>IFERROR(VLOOKUP(J3395,'NQ10'!$B$9:$C$145,2,0),"")</f>
        <v/>
      </c>
    </row>
    <row r="3396" spans="1:11" ht="15" customHeight="1" x14ac:dyDescent="0.25">
      <c r="A3396" s="75">
        <v>31</v>
      </c>
      <c r="B3396" s="75">
        <v>129</v>
      </c>
      <c r="C3396" s="75" t="s">
        <v>10</v>
      </c>
      <c r="D3396" s="75">
        <v>1130</v>
      </c>
      <c r="F3396" s="75" t="s">
        <v>10</v>
      </c>
      <c r="H3396" s="75" t="s">
        <v>10</v>
      </c>
      <c r="I3396" s="75">
        <v>19489</v>
      </c>
      <c r="K3396" s="75" t="str">
        <f>IFERROR(VLOOKUP(J3396,'NQ10'!$B$9:$C$145,2,0),"")</f>
        <v/>
      </c>
    </row>
    <row r="3397" spans="1:11" ht="15" customHeight="1" x14ac:dyDescent="0.25">
      <c r="A3397" s="75">
        <v>31</v>
      </c>
      <c r="B3397" s="75">
        <v>130</v>
      </c>
      <c r="C3397" s="75" t="s">
        <v>10</v>
      </c>
      <c r="D3397" s="75">
        <v>320</v>
      </c>
      <c r="F3397" s="75" t="s">
        <v>10</v>
      </c>
      <c r="H3397" s="75" t="s">
        <v>10</v>
      </c>
      <c r="I3397" s="75">
        <v>19489</v>
      </c>
      <c r="K3397" s="75" t="str">
        <f>IFERROR(VLOOKUP(J3397,'NQ10'!$B$9:$C$145,2,0),"")</f>
        <v/>
      </c>
    </row>
    <row r="3398" spans="1:11" ht="15" customHeight="1" x14ac:dyDescent="0.25">
      <c r="A3398" s="75">
        <v>31</v>
      </c>
      <c r="B3398" s="75">
        <v>131</v>
      </c>
      <c r="C3398" s="75" t="s">
        <v>10</v>
      </c>
      <c r="D3398" s="75">
        <v>297</v>
      </c>
      <c r="F3398" s="75" t="s">
        <v>10</v>
      </c>
      <c r="H3398" s="75" t="s">
        <v>10</v>
      </c>
      <c r="I3398" s="75">
        <v>19489</v>
      </c>
      <c r="K3398" s="75" t="str">
        <f>IFERROR(VLOOKUP(J3398,'NQ10'!$B$9:$C$145,2,0),"")</f>
        <v/>
      </c>
    </row>
    <row r="3399" spans="1:11" ht="15" customHeight="1" x14ac:dyDescent="0.25">
      <c r="A3399" s="75">
        <v>31</v>
      </c>
      <c r="B3399" s="75">
        <v>133</v>
      </c>
      <c r="C3399" s="75" t="s">
        <v>10</v>
      </c>
      <c r="D3399" s="75">
        <v>3064</v>
      </c>
      <c r="F3399" s="75" t="s">
        <v>10</v>
      </c>
      <c r="H3399" s="75" t="s">
        <v>10</v>
      </c>
      <c r="I3399" s="75">
        <v>19489</v>
      </c>
      <c r="K3399" s="75" t="str">
        <f>IFERROR(VLOOKUP(J3399,'NQ10'!$B$9:$C$145,2,0),"")</f>
        <v/>
      </c>
    </row>
    <row r="3400" spans="1:11" ht="15" customHeight="1" x14ac:dyDescent="0.25">
      <c r="A3400" s="75">
        <v>31</v>
      </c>
      <c r="B3400" s="75">
        <v>136</v>
      </c>
      <c r="C3400" s="75" t="s">
        <v>10</v>
      </c>
      <c r="D3400" s="75">
        <v>278</v>
      </c>
      <c r="F3400" s="75" t="s">
        <v>10</v>
      </c>
      <c r="H3400" s="75" t="s">
        <v>10</v>
      </c>
      <c r="I3400" s="75">
        <v>19489</v>
      </c>
      <c r="K3400" s="75" t="str">
        <f>IFERROR(VLOOKUP(J3400,'NQ10'!$B$9:$C$145,2,0),"")</f>
        <v/>
      </c>
    </row>
    <row r="3401" spans="1:11" ht="15" customHeight="1" x14ac:dyDescent="0.25">
      <c r="A3401" s="75">
        <v>31</v>
      </c>
      <c r="B3401" s="75">
        <v>137</v>
      </c>
      <c r="C3401" s="75" t="s">
        <v>10</v>
      </c>
      <c r="D3401" s="75">
        <v>266</v>
      </c>
      <c r="F3401" s="75" t="s">
        <v>10</v>
      </c>
      <c r="H3401" s="75" t="s">
        <v>10</v>
      </c>
      <c r="I3401" s="75">
        <v>19489</v>
      </c>
      <c r="K3401" s="75" t="str">
        <f>IFERROR(VLOOKUP(J3401,'NQ10'!$B$9:$C$145,2,0),"")</f>
        <v/>
      </c>
    </row>
    <row r="3402" spans="1:11" ht="15" customHeight="1" x14ac:dyDescent="0.25">
      <c r="A3402" s="75">
        <v>31</v>
      </c>
      <c r="B3402" s="75">
        <v>138</v>
      </c>
      <c r="C3402" s="75" t="s">
        <v>10</v>
      </c>
      <c r="D3402" s="75">
        <v>989</v>
      </c>
      <c r="F3402" s="75" t="s">
        <v>10</v>
      </c>
      <c r="H3402" s="75" t="s">
        <v>10</v>
      </c>
      <c r="I3402" s="75">
        <v>19489</v>
      </c>
      <c r="K3402" s="75" t="str">
        <f>IFERROR(VLOOKUP(J3402,'NQ10'!$B$9:$C$145,2,0),"")</f>
        <v/>
      </c>
    </row>
    <row r="3403" spans="1:11" ht="15" customHeight="1" x14ac:dyDescent="0.25">
      <c r="A3403" s="75">
        <v>31</v>
      </c>
      <c r="B3403" s="75">
        <v>139</v>
      </c>
      <c r="C3403" s="75" t="s">
        <v>10</v>
      </c>
      <c r="D3403" s="75">
        <v>1122</v>
      </c>
      <c r="F3403" s="75" t="s">
        <v>10</v>
      </c>
      <c r="H3403" s="75" t="s">
        <v>10</v>
      </c>
      <c r="I3403" s="75">
        <v>19489</v>
      </c>
      <c r="K3403" s="75" t="str">
        <f>IFERROR(VLOOKUP(J3403,'NQ10'!$B$9:$C$145,2,0),"")</f>
        <v/>
      </c>
    </row>
    <row r="3404" spans="1:11" ht="15" customHeight="1" x14ac:dyDescent="0.25">
      <c r="A3404" s="75">
        <v>31</v>
      </c>
      <c r="B3404" s="75">
        <v>140</v>
      </c>
      <c r="C3404" s="75" t="s">
        <v>10</v>
      </c>
      <c r="D3404" s="75">
        <v>1326</v>
      </c>
      <c r="F3404" s="75" t="s">
        <v>10</v>
      </c>
      <c r="H3404" s="75" t="s">
        <v>10</v>
      </c>
      <c r="I3404" s="75">
        <v>19489</v>
      </c>
      <c r="K3404" s="75" t="str">
        <f>IFERROR(VLOOKUP(J3404,'NQ10'!$B$9:$C$145,2,0),"")</f>
        <v/>
      </c>
    </row>
    <row r="3405" spans="1:11" ht="15" customHeight="1" x14ac:dyDescent="0.25">
      <c r="A3405" s="75">
        <v>31</v>
      </c>
      <c r="B3405" s="75">
        <v>141</v>
      </c>
      <c r="C3405" s="75" t="s">
        <v>10</v>
      </c>
      <c r="D3405" s="75">
        <v>1129</v>
      </c>
      <c r="F3405" s="75" t="s">
        <v>10</v>
      </c>
      <c r="H3405" s="75" t="s">
        <v>10</v>
      </c>
      <c r="I3405" s="75">
        <v>19489</v>
      </c>
      <c r="K3405" s="75" t="str">
        <f>IFERROR(VLOOKUP(J3405,'NQ10'!$B$9:$C$145,2,0),"")</f>
        <v/>
      </c>
    </row>
    <row r="3406" spans="1:11" ht="15" customHeight="1" x14ac:dyDescent="0.25">
      <c r="A3406" s="75">
        <v>31</v>
      </c>
      <c r="B3406" s="75">
        <v>144</v>
      </c>
      <c r="C3406" s="75" t="s">
        <v>10</v>
      </c>
      <c r="D3406" s="75">
        <v>3412</v>
      </c>
      <c r="F3406" s="75" t="s">
        <v>10</v>
      </c>
      <c r="H3406" s="75" t="s">
        <v>10</v>
      </c>
      <c r="I3406" s="75">
        <v>19489</v>
      </c>
      <c r="K3406" s="75" t="str">
        <f>IFERROR(VLOOKUP(J3406,'NQ10'!$B$9:$C$145,2,0),"")</f>
        <v/>
      </c>
    </row>
    <row r="3407" spans="1:11" ht="15" customHeight="1" x14ac:dyDescent="0.25">
      <c r="A3407" s="75">
        <v>31</v>
      </c>
      <c r="B3407" s="75">
        <v>145</v>
      </c>
      <c r="C3407" s="75" t="s">
        <v>10</v>
      </c>
      <c r="D3407" s="75">
        <v>3830</v>
      </c>
      <c r="F3407" s="75" t="s">
        <v>10</v>
      </c>
      <c r="H3407" s="75" t="s">
        <v>10</v>
      </c>
      <c r="I3407" s="75">
        <v>19489</v>
      </c>
      <c r="K3407" s="75" t="str">
        <f>IFERROR(VLOOKUP(J3407,'NQ10'!$B$9:$C$145,2,0),"")</f>
        <v/>
      </c>
    </row>
    <row r="3408" spans="1:11" ht="15" customHeight="1" x14ac:dyDescent="0.25">
      <c r="A3408" s="75">
        <v>31</v>
      </c>
      <c r="B3408" s="75">
        <v>146</v>
      </c>
      <c r="C3408" s="75" t="s">
        <v>10</v>
      </c>
      <c r="D3408" s="75">
        <v>129</v>
      </c>
      <c r="F3408" s="75" t="s">
        <v>10</v>
      </c>
      <c r="H3408" s="75" t="s">
        <v>10</v>
      </c>
      <c r="I3408" s="75">
        <v>19489</v>
      </c>
      <c r="K3408" s="75" t="str">
        <f>IFERROR(VLOOKUP(J3408,'NQ10'!$B$9:$C$145,2,0),"")</f>
        <v/>
      </c>
    </row>
    <row r="3409" spans="1:11" ht="15" customHeight="1" x14ac:dyDescent="0.25">
      <c r="A3409" s="75">
        <v>31</v>
      </c>
      <c r="B3409" s="75">
        <v>147</v>
      </c>
      <c r="C3409" s="75" t="s">
        <v>10</v>
      </c>
      <c r="D3409" s="75">
        <v>279</v>
      </c>
      <c r="F3409" s="75" t="s">
        <v>10</v>
      </c>
      <c r="H3409" s="75" t="s">
        <v>10</v>
      </c>
      <c r="I3409" s="75">
        <v>19489</v>
      </c>
      <c r="K3409" s="75" t="str">
        <f>IFERROR(VLOOKUP(J3409,'NQ10'!$B$9:$C$145,2,0),"")</f>
        <v/>
      </c>
    </row>
    <row r="3410" spans="1:11" ht="15" customHeight="1" x14ac:dyDescent="0.25">
      <c r="A3410" s="75">
        <v>31</v>
      </c>
      <c r="B3410" s="75">
        <v>148</v>
      </c>
      <c r="C3410" s="75" t="s">
        <v>10</v>
      </c>
      <c r="D3410" s="75">
        <v>1291</v>
      </c>
      <c r="F3410" s="75" t="s">
        <v>10</v>
      </c>
      <c r="H3410" s="75" t="s">
        <v>10</v>
      </c>
      <c r="I3410" s="75">
        <v>19489</v>
      </c>
      <c r="K3410" s="75" t="str">
        <f>IFERROR(VLOOKUP(J3410,'NQ10'!$B$9:$C$145,2,0),"")</f>
        <v/>
      </c>
    </row>
    <row r="3411" spans="1:11" ht="15" customHeight="1" x14ac:dyDescent="0.25">
      <c r="A3411" s="75">
        <v>31</v>
      </c>
      <c r="B3411" s="75">
        <v>149</v>
      </c>
      <c r="C3411" s="75" t="s">
        <v>10</v>
      </c>
      <c r="D3411" s="75">
        <v>744</v>
      </c>
      <c r="F3411" s="75" t="s">
        <v>10</v>
      </c>
      <c r="H3411" s="75" t="s">
        <v>10</v>
      </c>
      <c r="I3411" s="75">
        <v>19489</v>
      </c>
      <c r="K3411" s="75" t="str">
        <f>IFERROR(VLOOKUP(J3411,'NQ10'!$B$9:$C$145,2,0),"")</f>
        <v/>
      </c>
    </row>
    <row r="3412" spans="1:11" ht="15" customHeight="1" x14ac:dyDescent="0.25">
      <c r="A3412" s="75">
        <v>31</v>
      </c>
      <c r="B3412" s="75">
        <v>150</v>
      </c>
      <c r="C3412" s="75" t="s">
        <v>10</v>
      </c>
      <c r="D3412" s="75">
        <v>4873</v>
      </c>
      <c r="F3412" s="75" t="s">
        <v>10</v>
      </c>
      <c r="H3412" s="75" t="s">
        <v>10</v>
      </c>
      <c r="I3412" s="75">
        <v>19489</v>
      </c>
      <c r="K3412" s="75" t="str">
        <f>IFERROR(VLOOKUP(J3412,'NQ10'!$B$9:$C$145,2,0),"")</f>
        <v/>
      </c>
    </row>
    <row r="3413" spans="1:11" ht="15" customHeight="1" x14ac:dyDescent="0.25">
      <c r="A3413" s="75">
        <v>31</v>
      </c>
      <c r="B3413" s="75">
        <v>151</v>
      </c>
      <c r="C3413" s="75" t="s">
        <v>10</v>
      </c>
      <c r="D3413" s="75">
        <v>121</v>
      </c>
      <c r="F3413" s="75" t="s">
        <v>10</v>
      </c>
      <c r="H3413" s="75" t="s">
        <v>10</v>
      </c>
      <c r="I3413" s="75">
        <v>19489</v>
      </c>
      <c r="K3413" s="75" t="str">
        <f>IFERROR(VLOOKUP(J3413,'NQ10'!$B$9:$C$145,2,0),"")</f>
        <v/>
      </c>
    </row>
    <row r="3414" spans="1:11" ht="15" customHeight="1" x14ac:dyDescent="0.25">
      <c r="A3414" s="75">
        <v>31</v>
      </c>
      <c r="B3414" s="75">
        <v>152</v>
      </c>
      <c r="C3414" s="75" t="s">
        <v>10</v>
      </c>
      <c r="D3414" s="75">
        <v>242</v>
      </c>
      <c r="F3414" s="75" t="s">
        <v>10</v>
      </c>
      <c r="H3414" s="75" t="s">
        <v>10</v>
      </c>
      <c r="I3414" s="75">
        <v>19489</v>
      </c>
      <c r="K3414" s="75" t="str">
        <f>IFERROR(VLOOKUP(J3414,'NQ10'!$B$9:$C$145,2,0),"")</f>
        <v/>
      </c>
    </row>
    <row r="3415" spans="1:11" ht="15" customHeight="1" x14ac:dyDescent="0.25">
      <c r="A3415" s="75">
        <v>31</v>
      </c>
      <c r="B3415" s="75">
        <v>153</v>
      </c>
      <c r="C3415" s="75" t="s">
        <v>10</v>
      </c>
      <c r="D3415" s="75">
        <v>7021</v>
      </c>
      <c r="F3415" s="75" t="s">
        <v>10</v>
      </c>
      <c r="H3415" s="75" t="s">
        <v>10</v>
      </c>
      <c r="I3415" s="75">
        <v>19489</v>
      </c>
      <c r="K3415" s="75" t="str">
        <f>IFERROR(VLOOKUP(J3415,'NQ10'!$B$9:$C$145,2,0),"")</f>
        <v/>
      </c>
    </row>
    <row r="3416" spans="1:11" ht="15" customHeight="1" x14ac:dyDescent="0.25">
      <c r="A3416" s="75">
        <v>31</v>
      </c>
      <c r="B3416" s="75">
        <v>154</v>
      </c>
      <c r="C3416" s="75" t="s">
        <v>10</v>
      </c>
      <c r="D3416" s="75">
        <v>287</v>
      </c>
      <c r="F3416" s="75" t="s">
        <v>10</v>
      </c>
      <c r="H3416" s="75" t="s">
        <v>10</v>
      </c>
      <c r="I3416" s="75">
        <v>19489</v>
      </c>
      <c r="K3416" s="75" t="str">
        <f>IFERROR(VLOOKUP(J3416,'NQ10'!$B$9:$C$145,2,0),"")</f>
        <v/>
      </c>
    </row>
    <row r="3417" spans="1:11" ht="15" customHeight="1" x14ac:dyDescent="0.25">
      <c r="A3417" s="75">
        <v>31</v>
      </c>
      <c r="B3417" s="75">
        <v>155</v>
      </c>
      <c r="C3417" s="75" t="s">
        <v>10</v>
      </c>
      <c r="D3417" s="75">
        <v>390</v>
      </c>
      <c r="F3417" s="75" t="s">
        <v>10</v>
      </c>
      <c r="H3417" s="75" t="s">
        <v>10</v>
      </c>
      <c r="I3417" s="75">
        <v>19489</v>
      </c>
      <c r="K3417" s="75" t="str">
        <f>IFERROR(VLOOKUP(J3417,'NQ10'!$B$9:$C$145,2,0),"")</f>
        <v/>
      </c>
    </row>
    <row r="3418" spans="1:11" ht="15" customHeight="1" x14ac:dyDescent="0.25">
      <c r="A3418" s="75">
        <v>31</v>
      </c>
      <c r="B3418" s="75">
        <v>156</v>
      </c>
      <c r="C3418" s="75" t="s">
        <v>10</v>
      </c>
      <c r="D3418" s="75">
        <v>977</v>
      </c>
      <c r="F3418" s="75" t="s">
        <v>10</v>
      </c>
      <c r="H3418" s="75" t="s">
        <v>10</v>
      </c>
      <c r="I3418" s="75">
        <v>19489</v>
      </c>
      <c r="K3418" s="75" t="str">
        <f>IFERROR(VLOOKUP(J3418,'NQ10'!$B$9:$C$145,2,0),"")</f>
        <v/>
      </c>
    </row>
    <row r="3419" spans="1:11" ht="15" customHeight="1" x14ac:dyDescent="0.25">
      <c r="A3419" s="75">
        <v>31</v>
      </c>
      <c r="B3419" s="75">
        <v>157</v>
      </c>
      <c r="C3419" s="75" t="s">
        <v>10</v>
      </c>
      <c r="D3419" s="75">
        <v>1405</v>
      </c>
      <c r="F3419" s="75" t="s">
        <v>10</v>
      </c>
      <c r="H3419" s="75" t="s">
        <v>10</v>
      </c>
      <c r="I3419" s="75">
        <v>19489</v>
      </c>
      <c r="K3419" s="75" t="str">
        <f>IFERROR(VLOOKUP(J3419,'NQ10'!$B$9:$C$145,2,0),"")</f>
        <v/>
      </c>
    </row>
    <row r="3420" spans="1:11" ht="15" customHeight="1" x14ac:dyDescent="0.25">
      <c r="A3420" s="75">
        <v>31</v>
      </c>
      <c r="B3420" s="75">
        <v>158</v>
      </c>
      <c r="C3420" s="75" t="s">
        <v>10</v>
      </c>
      <c r="D3420" s="75">
        <v>886</v>
      </c>
      <c r="F3420" s="75" t="s">
        <v>10</v>
      </c>
      <c r="H3420" s="75" t="s">
        <v>10</v>
      </c>
      <c r="I3420" s="75">
        <v>19489</v>
      </c>
      <c r="K3420" s="75" t="str">
        <f>IFERROR(VLOOKUP(J3420,'NQ10'!$B$9:$C$145,2,0),"")</f>
        <v/>
      </c>
    </row>
    <row r="3421" spans="1:11" ht="15" customHeight="1" x14ac:dyDescent="0.25">
      <c r="A3421" s="75">
        <v>31</v>
      </c>
      <c r="B3421" s="75">
        <v>159</v>
      </c>
      <c r="C3421" s="75" t="s">
        <v>10</v>
      </c>
      <c r="D3421" s="75">
        <v>342</v>
      </c>
      <c r="F3421" s="75" t="s">
        <v>10</v>
      </c>
      <c r="H3421" s="75" t="s">
        <v>10</v>
      </c>
      <c r="I3421" s="75">
        <v>19489</v>
      </c>
      <c r="K3421" s="75" t="str">
        <f>IFERROR(VLOOKUP(J3421,'NQ10'!$B$9:$C$145,2,0),"")</f>
        <v/>
      </c>
    </row>
    <row r="3422" spans="1:11" ht="15" customHeight="1" x14ac:dyDescent="0.25">
      <c r="A3422" s="75">
        <v>31</v>
      </c>
      <c r="B3422" s="75">
        <v>160</v>
      </c>
      <c r="C3422" s="75" t="s">
        <v>10</v>
      </c>
      <c r="D3422" s="75">
        <v>959</v>
      </c>
      <c r="F3422" s="75" t="s">
        <v>10</v>
      </c>
      <c r="H3422" s="75" t="s">
        <v>10</v>
      </c>
      <c r="I3422" s="75">
        <v>19489</v>
      </c>
      <c r="K3422" s="75" t="str">
        <f>IFERROR(VLOOKUP(J3422,'NQ10'!$B$9:$C$145,2,0),"")</f>
        <v/>
      </c>
    </row>
    <row r="3423" spans="1:11" ht="15" customHeight="1" x14ac:dyDescent="0.25">
      <c r="A3423" s="75">
        <v>31</v>
      </c>
      <c r="B3423" s="75">
        <v>161</v>
      </c>
      <c r="C3423" s="75" t="s">
        <v>10</v>
      </c>
      <c r="D3423" s="75">
        <v>5397</v>
      </c>
      <c r="F3423" s="75" t="s">
        <v>10</v>
      </c>
      <c r="H3423" s="75" t="s">
        <v>10</v>
      </c>
      <c r="I3423" s="75">
        <v>19489</v>
      </c>
      <c r="K3423" s="75" t="str">
        <f>IFERROR(VLOOKUP(J3423,'NQ10'!$B$9:$C$145,2,0),"")</f>
        <v/>
      </c>
    </row>
    <row r="3424" spans="1:11" ht="15" customHeight="1" x14ac:dyDescent="0.25">
      <c r="A3424" s="75">
        <v>31</v>
      </c>
      <c r="B3424" s="75">
        <v>162</v>
      </c>
      <c r="C3424" s="75" t="s">
        <v>10</v>
      </c>
      <c r="D3424" s="75">
        <v>5323</v>
      </c>
      <c r="F3424" s="75" t="s">
        <v>10</v>
      </c>
      <c r="H3424" s="75" t="s">
        <v>10</v>
      </c>
      <c r="I3424" s="75">
        <v>19489</v>
      </c>
      <c r="K3424" s="75" t="str">
        <f>IFERROR(VLOOKUP(J3424,'NQ10'!$B$9:$C$145,2,0),"")</f>
        <v/>
      </c>
    </row>
    <row r="3425" spans="1:11" ht="15" customHeight="1" x14ac:dyDescent="0.25">
      <c r="A3425" s="75">
        <v>31</v>
      </c>
      <c r="B3425" s="75">
        <v>163</v>
      </c>
      <c r="C3425" s="75" t="s">
        <v>10</v>
      </c>
      <c r="D3425" s="75">
        <v>907</v>
      </c>
      <c r="F3425" s="75" t="s">
        <v>10</v>
      </c>
      <c r="H3425" s="75" t="s">
        <v>10</v>
      </c>
      <c r="I3425" s="75">
        <v>19489</v>
      </c>
      <c r="K3425" s="75" t="str">
        <f>IFERROR(VLOOKUP(J3425,'NQ10'!$B$9:$C$145,2,0),"")</f>
        <v/>
      </c>
    </row>
    <row r="3426" spans="1:11" ht="15" customHeight="1" x14ac:dyDescent="0.25">
      <c r="A3426" s="75">
        <v>31</v>
      </c>
      <c r="B3426" s="75">
        <v>164</v>
      </c>
      <c r="C3426" s="75" t="s">
        <v>10</v>
      </c>
      <c r="D3426" s="75">
        <v>223</v>
      </c>
      <c r="F3426" s="75" t="s">
        <v>10</v>
      </c>
      <c r="H3426" s="75" t="s">
        <v>10</v>
      </c>
      <c r="I3426" s="75">
        <v>19489</v>
      </c>
      <c r="K3426" s="75" t="str">
        <f>IFERROR(VLOOKUP(J3426,'NQ10'!$B$9:$C$145,2,0),"")</f>
        <v/>
      </c>
    </row>
    <row r="3427" spans="1:11" ht="15" customHeight="1" x14ac:dyDescent="0.25">
      <c r="A3427" s="75">
        <v>31</v>
      </c>
      <c r="B3427" s="75">
        <v>165</v>
      </c>
      <c r="C3427" s="75" t="s">
        <v>10</v>
      </c>
      <c r="D3427" s="75">
        <v>180</v>
      </c>
      <c r="F3427" s="75" t="s">
        <v>10</v>
      </c>
      <c r="H3427" s="75" t="s">
        <v>10</v>
      </c>
      <c r="I3427" s="75">
        <v>19489</v>
      </c>
      <c r="K3427" s="75" t="str">
        <f>IFERROR(VLOOKUP(J3427,'NQ10'!$B$9:$C$145,2,0),"")</f>
        <v/>
      </c>
    </row>
    <row r="3428" spans="1:11" ht="15" customHeight="1" x14ac:dyDescent="0.25">
      <c r="A3428" s="75">
        <v>31</v>
      </c>
      <c r="B3428" s="75">
        <v>166</v>
      </c>
      <c r="C3428" s="75" t="s">
        <v>10</v>
      </c>
      <c r="D3428" s="75">
        <v>87</v>
      </c>
      <c r="F3428" s="75" t="s">
        <v>10</v>
      </c>
      <c r="H3428" s="75" t="s">
        <v>10</v>
      </c>
      <c r="I3428" s="75">
        <v>19489</v>
      </c>
      <c r="K3428" s="75" t="str">
        <f>IFERROR(VLOOKUP(J3428,'NQ10'!$B$9:$C$145,2,0),"")</f>
        <v/>
      </c>
    </row>
    <row r="3429" spans="1:11" ht="15" customHeight="1" x14ac:dyDescent="0.25">
      <c r="A3429" s="75">
        <v>31</v>
      </c>
      <c r="B3429" s="75">
        <v>167</v>
      </c>
      <c r="C3429" s="75" t="s">
        <v>10</v>
      </c>
      <c r="D3429" s="75">
        <v>164</v>
      </c>
      <c r="F3429" s="75" t="s">
        <v>10</v>
      </c>
      <c r="H3429" s="75" t="s">
        <v>10</v>
      </c>
      <c r="I3429" s="75">
        <v>19489</v>
      </c>
      <c r="K3429" s="75" t="str">
        <f>IFERROR(VLOOKUP(J3429,'NQ10'!$B$9:$C$145,2,0),"")</f>
        <v/>
      </c>
    </row>
    <row r="3430" spans="1:11" ht="15" customHeight="1" x14ac:dyDescent="0.25">
      <c r="A3430" s="75">
        <v>31</v>
      </c>
      <c r="B3430" s="75">
        <v>168</v>
      </c>
      <c r="C3430" s="75" t="s">
        <v>10</v>
      </c>
      <c r="D3430" s="75">
        <v>210</v>
      </c>
      <c r="F3430" s="75" t="s">
        <v>10</v>
      </c>
      <c r="H3430" s="75" t="s">
        <v>10</v>
      </c>
      <c r="I3430" s="75">
        <v>19489</v>
      </c>
      <c r="K3430" s="75" t="str">
        <f>IFERROR(VLOOKUP(J3430,'NQ10'!$B$9:$C$145,2,0),"")</f>
        <v/>
      </c>
    </row>
    <row r="3431" spans="1:11" ht="15" customHeight="1" x14ac:dyDescent="0.25">
      <c r="A3431" s="75">
        <v>31</v>
      </c>
      <c r="B3431" s="75">
        <v>169</v>
      </c>
      <c r="C3431" s="75" t="s">
        <v>10</v>
      </c>
      <c r="D3431" s="75">
        <v>145</v>
      </c>
      <c r="F3431" s="75" t="s">
        <v>10</v>
      </c>
      <c r="H3431" s="75" t="s">
        <v>10</v>
      </c>
      <c r="I3431" s="75">
        <v>19489</v>
      </c>
      <c r="K3431" s="75" t="str">
        <f>IFERROR(VLOOKUP(J3431,'NQ10'!$B$9:$C$145,2,0),"")</f>
        <v/>
      </c>
    </row>
    <row r="3432" spans="1:11" ht="15" customHeight="1" x14ac:dyDescent="0.25">
      <c r="A3432" s="75">
        <v>31</v>
      </c>
      <c r="B3432" s="75">
        <v>170</v>
      </c>
      <c r="C3432" s="75" t="s">
        <v>10</v>
      </c>
      <c r="D3432" s="75">
        <v>1213</v>
      </c>
      <c r="F3432" s="75" t="s">
        <v>10</v>
      </c>
      <c r="H3432" s="75" t="s">
        <v>10</v>
      </c>
      <c r="I3432" s="75">
        <v>19489</v>
      </c>
      <c r="K3432" s="75" t="str">
        <f>IFERROR(VLOOKUP(J3432,'NQ10'!$B$9:$C$145,2,0),"")</f>
        <v/>
      </c>
    </row>
    <row r="3433" spans="1:11" ht="15" customHeight="1" x14ac:dyDescent="0.25">
      <c r="A3433" s="75">
        <v>31</v>
      </c>
      <c r="B3433" s="75">
        <v>171</v>
      </c>
      <c r="C3433" s="75" t="s">
        <v>10</v>
      </c>
      <c r="D3433" s="75">
        <v>302</v>
      </c>
      <c r="F3433" s="75" t="s">
        <v>10</v>
      </c>
      <c r="H3433" s="75" t="s">
        <v>10</v>
      </c>
      <c r="I3433" s="75">
        <v>19489</v>
      </c>
      <c r="K3433" s="75" t="str">
        <f>IFERROR(VLOOKUP(J3433,'NQ10'!$B$9:$C$145,2,0),"")</f>
        <v/>
      </c>
    </row>
    <row r="3434" spans="1:11" ht="15" customHeight="1" x14ac:dyDescent="0.25">
      <c r="A3434" s="75">
        <v>31</v>
      </c>
      <c r="B3434" s="75">
        <v>173</v>
      </c>
      <c r="C3434" s="75" t="s">
        <v>10</v>
      </c>
      <c r="D3434" s="75">
        <v>455</v>
      </c>
      <c r="F3434" s="75" t="s">
        <v>10</v>
      </c>
      <c r="H3434" s="75" t="s">
        <v>10</v>
      </c>
      <c r="I3434" s="75">
        <v>19489</v>
      </c>
      <c r="K3434" s="75" t="str">
        <f>IFERROR(VLOOKUP(J3434,'NQ10'!$B$9:$C$145,2,0),"")</f>
        <v/>
      </c>
    </row>
    <row r="3435" spans="1:11" ht="15" customHeight="1" x14ac:dyDescent="0.25">
      <c r="A3435" s="75">
        <v>31</v>
      </c>
      <c r="B3435" s="75">
        <v>174</v>
      </c>
      <c r="C3435" s="75" t="s">
        <v>10</v>
      </c>
      <c r="D3435" s="75">
        <v>155</v>
      </c>
      <c r="F3435" s="75" t="s">
        <v>10</v>
      </c>
      <c r="H3435" s="75" t="s">
        <v>10</v>
      </c>
      <c r="I3435" s="75">
        <v>19489</v>
      </c>
      <c r="K3435" s="75" t="str">
        <f>IFERROR(VLOOKUP(J3435,'NQ10'!$B$9:$C$145,2,0),"")</f>
        <v/>
      </c>
    </row>
    <row r="3436" spans="1:11" ht="15" customHeight="1" x14ac:dyDescent="0.25">
      <c r="A3436" s="75">
        <v>31</v>
      </c>
      <c r="B3436" s="75">
        <v>175</v>
      </c>
      <c r="C3436" s="75" t="s">
        <v>10</v>
      </c>
      <c r="D3436" s="75">
        <v>140</v>
      </c>
      <c r="F3436" s="75" t="s">
        <v>10</v>
      </c>
      <c r="H3436" s="75" t="s">
        <v>10</v>
      </c>
      <c r="I3436" s="75">
        <v>19489</v>
      </c>
      <c r="K3436" s="75" t="str">
        <f>IFERROR(VLOOKUP(J3436,'NQ10'!$B$9:$C$145,2,0),"")</f>
        <v/>
      </c>
    </row>
    <row r="3437" spans="1:11" ht="15" customHeight="1" x14ac:dyDescent="0.25">
      <c r="A3437" s="75">
        <v>31</v>
      </c>
      <c r="B3437" s="75">
        <v>177</v>
      </c>
      <c r="C3437" s="75" t="s">
        <v>10</v>
      </c>
      <c r="D3437" s="75">
        <v>225</v>
      </c>
      <c r="F3437" s="75" t="s">
        <v>10</v>
      </c>
      <c r="H3437" s="75" t="s">
        <v>10</v>
      </c>
      <c r="I3437" s="75">
        <v>19489</v>
      </c>
      <c r="K3437" s="75" t="str">
        <f>IFERROR(VLOOKUP(J3437,'NQ10'!$B$9:$C$145,2,0),"")</f>
        <v/>
      </c>
    </row>
    <row r="3438" spans="1:11" ht="15" customHeight="1" x14ac:dyDescent="0.25">
      <c r="A3438" s="75">
        <v>31</v>
      </c>
      <c r="B3438" s="75">
        <v>178</v>
      </c>
      <c r="C3438" s="75" t="s">
        <v>10</v>
      </c>
      <c r="D3438" s="75">
        <v>144</v>
      </c>
      <c r="F3438" s="75" t="s">
        <v>10</v>
      </c>
      <c r="H3438" s="75" t="s">
        <v>10</v>
      </c>
      <c r="I3438" s="75">
        <v>19489</v>
      </c>
      <c r="K3438" s="75" t="str">
        <f>IFERROR(VLOOKUP(J3438,'NQ10'!$B$9:$C$145,2,0),"")</f>
        <v/>
      </c>
    </row>
    <row r="3439" spans="1:11" ht="15" customHeight="1" x14ac:dyDescent="0.25">
      <c r="A3439" s="75">
        <v>31</v>
      </c>
      <c r="B3439" s="75">
        <v>179</v>
      </c>
      <c r="C3439" s="75" t="s">
        <v>10</v>
      </c>
      <c r="D3439" s="75">
        <v>152</v>
      </c>
      <c r="F3439" s="75" t="s">
        <v>10</v>
      </c>
      <c r="H3439" s="75" t="s">
        <v>10</v>
      </c>
      <c r="I3439" s="75">
        <v>19489</v>
      </c>
      <c r="K3439" s="75" t="str">
        <f>IFERROR(VLOOKUP(J3439,'NQ10'!$B$9:$C$145,2,0),"")</f>
        <v/>
      </c>
    </row>
    <row r="3440" spans="1:11" ht="15" customHeight="1" x14ac:dyDescent="0.25">
      <c r="A3440" s="75">
        <v>31</v>
      </c>
      <c r="B3440" s="75">
        <v>181</v>
      </c>
      <c r="C3440" s="75" t="s">
        <v>10</v>
      </c>
      <c r="D3440" s="75">
        <v>115</v>
      </c>
      <c r="F3440" s="75" t="s">
        <v>10</v>
      </c>
      <c r="H3440" s="75" t="s">
        <v>10</v>
      </c>
      <c r="I3440" s="75">
        <v>19489</v>
      </c>
      <c r="K3440" s="75" t="str">
        <f>IFERROR(VLOOKUP(J3440,'NQ10'!$B$9:$C$145,2,0),"")</f>
        <v/>
      </c>
    </row>
    <row r="3441" spans="1:11" ht="15" customHeight="1" x14ac:dyDescent="0.25">
      <c r="A3441" s="75">
        <v>31</v>
      </c>
      <c r="B3441" s="75">
        <v>182</v>
      </c>
      <c r="C3441" s="75" t="s">
        <v>10</v>
      </c>
      <c r="D3441" s="75">
        <v>318</v>
      </c>
      <c r="F3441" s="75" t="s">
        <v>10</v>
      </c>
      <c r="H3441" s="75" t="s">
        <v>10</v>
      </c>
      <c r="I3441" s="75">
        <v>19489</v>
      </c>
      <c r="K3441" s="75" t="str">
        <f>IFERROR(VLOOKUP(J3441,'NQ10'!$B$9:$C$145,2,0),"")</f>
        <v/>
      </c>
    </row>
    <row r="3442" spans="1:11" ht="15" customHeight="1" x14ac:dyDescent="0.25">
      <c r="A3442" s="75">
        <v>31</v>
      </c>
      <c r="B3442" s="75">
        <v>183</v>
      </c>
      <c r="C3442" s="75" t="s">
        <v>10</v>
      </c>
      <c r="D3442" s="75">
        <v>318</v>
      </c>
      <c r="F3442" s="75" t="s">
        <v>10</v>
      </c>
      <c r="H3442" s="75" t="s">
        <v>10</v>
      </c>
      <c r="I3442" s="75">
        <v>19489</v>
      </c>
      <c r="K3442" s="75" t="str">
        <f>IFERROR(VLOOKUP(J3442,'NQ10'!$B$9:$C$145,2,0),"")</f>
        <v/>
      </c>
    </row>
    <row r="3443" spans="1:11" ht="15" customHeight="1" x14ac:dyDescent="0.25">
      <c r="A3443" s="75">
        <v>31</v>
      </c>
      <c r="B3443" s="75">
        <v>184</v>
      </c>
      <c r="C3443" s="75" t="s">
        <v>10</v>
      </c>
      <c r="D3443" s="75">
        <v>1382</v>
      </c>
      <c r="F3443" s="75" t="s">
        <v>10</v>
      </c>
      <c r="H3443" s="75" t="s">
        <v>10</v>
      </c>
      <c r="I3443" s="75">
        <v>19489</v>
      </c>
      <c r="K3443" s="75" t="str">
        <f>IFERROR(VLOOKUP(J3443,'NQ10'!$B$9:$C$145,2,0),"")</f>
        <v/>
      </c>
    </row>
    <row r="3444" spans="1:11" ht="15" customHeight="1" x14ac:dyDescent="0.25">
      <c r="A3444" s="75">
        <v>31</v>
      </c>
      <c r="B3444" s="75">
        <v>186</v>
      </c>
      <c r="C3444" s="75" t="s">
        <v>10</v>
      </c>
      <c r="D3444" s="75">
        <v>89</v>
      </c>
      <c r="F3444" s="75" t="s">
        <v>10</v>
      </c>
      <c r="H3444" s="75" t="s">
        <v>10</v>
      </c>
      <c r="I3444" s="75">
        <v>19489</v>
      </c>
      <c r="K3444" s="75" t="str">
        <f>IFERROR(VLOOKUP(J3444,'NQ10'!$B$9:$C$145,2,0),"")</f>
        <v/>
      </c>
    </row>
    <row r="3445" spans="1:11" ht="15" customHeight="1" x14ac:dyDescent="0.25">
      <c r="A3445" s="75">
        <v>31</v>
      </c>
      <c r="B3445" s="75">
        <v>187</v>
      </c>
      <c r="C3445" s="75" t="s">
        <v>10</v>
      </c>
      <c r="D3445" s="75">
        <v>679</v>
      </c>
      <c r="F3445" s="75" t="s">
        <v>10</v>
      </c>
      <c r="H3445" s="75" t="s">
        <v>10</v>
      </c>
      <c r="I3445" s="75">
        <v>19489</v>
      </c>
      <c r="K3445" s="75" t="str">
        <f>IFERROR(VLOOKUP(J3445,'NQ10'!$B$9:$C$145,2,0),"")</f>
        <v/>
      </c>
    </row>
    <row r="3446" spans="1:11" ht="15" customHeight="1" x14ac:dyDescent="0.25">
      <c r="A3446" s="75">
        <v>31</v>
      </c>
      <c r="B3446" s="75">
        <v>188</v>
      </c>
      <c r="C3446" s="75" t="s">
        <v>10</v>
      </c>
      <c r="D3446" s="75">
        <v>234</v>
      </c>
      <c r="F3446" s="75" t="s">
        <v>10</v>
      </c>
      <c r="H3446" s="75" t="s">
        <v>10</v>
      </c>
      <c r="I3446" s="75">
        <v>19489</v>
      </c>
      <c r="K3446" s="75" t="str">
        <f>IFERROR(VLOOKUP(J3446,'NQ10'!$B$9:$C$145,2,0),"")</f>
        <v/>
      </c>
    </row>
    <row r="3447" spans="1:11" ht="15" customHeight="1" x14ac:dyDescent="0.25">
      <c r="A3447" s="75">
        <v>31</v>
      </c>
      <c r="B3447" s="75">
        <v>189</v>
      </c>
      <c r="C3447" s="75" t="s">
        <v>10</v>
      </c>
      <c r="D3447" s="75">
        <v>1259</v>
      </c>
      <c r="F3447" s="75" t="s">
        <v>10</v>
      </c>
      <c r="H3447" s="75" t="s">
        <v>10</v>
      </c>
      <c r="I3447" s="75">
        <v>19489</v>
      </c>
      <c r="K3447" s="75" t="str">
        <f>IFERROR(VLOOKUP(J3447,'NQ10'!$B$9:$C$145,2,0),"")</f>
        <v/>
      </c>
    </row>
    <row r="3448" spans="1:11" ht="15" customHeight="1" x14ac:dyDescent="0.25">
      <c r="A3448" s="75">
        <v>31</v>
      </c>
      <c r="B3448" s="75">
        <v>191</v>
      </c>
      <c r="C3448" s="75" t="s">
        <v>10</v>
      </c>
      <c r="D3448" s="75">
        <v>6929</v>
      </c>
      <c r="F3448" s="75" t="s">
        <v>10</v>
      </c>
      <c r="H3448" s="75" t="s">
        <v>10</v>
      </c>
      <c r="I3448" s="75">
        <v>19489</v>
      </c>
      <c r="K3448" s="75" t="str">
        <f>IFERROR(VLOOKUP(J3448,'NQ10'!$B$9:$C$145,2,0),"")</f>
        <v/>
      </c>
    </row>
    <row r="3449" spans="1:11" ht="15" customHeight="1" x14ac:dyDescent="0.25">
      <c r="A3449" s="75">
        <v>31</v>
      </c>
      <c r="B3449" s="75">
        <v>193</v>
      </c>
      <c r="C3449" s="75" t="s">
        <v>10</v>
      </c>
      <c r="D3449" s="75">
        <v>1759</v>
      </c>
      <c r="F3449" s="75" t="s">
        <v>10</v>
      </c>
      <c r="H3449" s="75" t="s">
        <v>10</v>
      </c>
      <c r="I3449" s="75">
        <v>19489</v>
      </c>
      <c r="K3449" s="75" t="str">
        <f>IFERROR(VLOOKUP(J3449,'NQ10'!$B$9:$C$145,2,0),"")</f>
        <v/>
      </c>
    </row>
    <row r="3450" spans="1:11" ht="15" customHeight="1" x14ac:dyDescent="0.25">
      <c r="A3450" s="75">
        <v>31</v>
      </c>
      <c r="B3450" s="75">
        <v>194</v>
      </c>
      <c r="C3450" s="75" t="s">
        <v>10</v>
      </c>
      <c r="D3450" s="75">
        <v>1069</v>
      </c>
      <c r="F3450" s="75" t="s">
        <v>10</v>
      </c>
      <c r="H3450" s="75" t="s">
        <v>10</v>
      </c>
      <c r="I3450" s="75">
        <v>19489</v>
      </c>
      <c r="K3450" s="75" t="str">
        <f>IFERROR(VLOOKUP(J3450,'NQ10'!$B$9:$C$145,2,0),"")</f>
        <v/>
      </c>
    </row>
    <row r="3451" spans="1:11" ht="15" customHeight="1" x14ac:dyDescent="0.25">
      <c r="A3451" s="75">
        <v>31</v>
      </c>
      <c r="B3451" s="75">
        <v>195</v>
      </c>
      <c r="C3451" s="75" t="s">
        <v>10</v>
      </c>
      <c r="D3451" s="75">
        <v>1215</v>
      </c>
      <c r="F3451" s="75" t="s">
        <v>10</v>
      </c>
      <c r="H3451" s="75" t="s">
        <v>10</v>
      </c>
      <c r="I3451" s="75">
        <v>19489</v>
      </c>
      <c r="K3451" s="75" t="str">
        <f>IFERROR(VLOOKUP(J3451,'NQ10'!$B$9:$C$145,2,0),"")</f>
        <v/>
      </c>
    </row>
    <row r="3452" spans="1:11" ht="15" customHeight="1" x14ac:dyDescent="0.25">
      <c r="A3452" s="75">
        <v>31</v>
      </c>
      <c r="B3452" s="75">
        <v>197</v>
      </c>
      <c r="C3452" s="75" t="s">
        <v>10</v>
      </c>
      <c r="D3452" s="75">
        <v>4303</v>
      </c>
      <c r="F3452" s="75" t="s">
        <v>10</v>
      </c>
      <c r="H3452" s="75" t="s">
        <v>10</v>
      </c>
      <c r="I3452" s="75">
        <v>19489</v>
      </c>
      <c r="K3452" s="75" t="str">
        <f>IFERROR(VLOOKUP(J3452,'NQ10'!$B$9:$C$145,2,0),"")</f>
        <v/>
      </c>
    </row>
    <row r="3453" spans="1:11" ht="15" customHeight="1" x14ac:dyDescent="0.25">
      <c r="A3453" s="75">
        <v>31</v>
      </c>
      <c r="B3453" s="75">
        <v>198</v>
      </c>
      <c r="C3453" s="75" t="s">
        <v>10</v>
      </c>
      <c r="D3453" s="75">
        <v>3161</v>
      </c>
      <c r="F3453" s="75" t="s">
        <v>10</v>
      </c>
      <c r="H3453" s="75" t="s">
        <v>10</v>
      </c>
      <c r="I3453" s="75">
        <v>19489</v>
      </c>
      <c r="K3453" s="75" t="str">
        <f>IFERROR(VLOOKUP(J3453,'NQ10'!$B$9:$C$145,2,0),"")</f>
        <v/>
      </c>
    </row>
    <row r="3454" spans="1:11" ht="15" customHeight="1" x14ac:dyDescent="0.25">
      <c r="A3454" s="75">
        <v>31</v>
      </c>
      <c r="B3454" s="75">
        <v>200</v>
      </c>
      <c r="C3454" s="75" t="s">
        <v>10</v>
      </c>
      <c r="D3454" s="75">
        <v>1653</v>
      </c>
      <c r="F3454" s="75" t="s">
        <v>10</v>
      </c>
      <c r="H3454" s="75" t="s">
        <v>10</v>
      </c>
      <c r="I3454" s="75">
        <v>19489</v>
      </c>
      <c r="K3454" s="75" t="str">
        <f>IFERROR(VLOOKUP(J3454,'NQ10'!$B$9:$C$145,2,0),"")</f>
        <v/>
      </c>
    </row>
    <row r="3455" spans="1:11" ht="15" customHeight="1" x14ac:dyDescent="0.25">
      <c r="A3455" s="75">
        <v>31</v>
      </c>
      <c r="B3455" s="75">
        <v>201</v>
      </c>
      <c r="C3455" s="75" t="s">
        <v>10</v>
      </c>
      <c r="D3455" s="75">
        <v>132</v>
      </c>
      <c r="F3455" s="75" t="s">
        <v>10</v>
      </c>
      <c r="H3455" s="75" t="s">
        <v>10</v>
      </c>
      <c r="I3455" s="75">
        <v>19489</v>
      </c>
      <c r="K3455" s="75" t="str">
        <f>IFERROR(VLOOKUP(J3455,'NQ10'!$B$9:$C$145,2,0),"")</f>
        <v/>
      </c>
    </row>
    <row r="3456" spans="1:11" ht="15" customHeight="1" x14ac:dyDescent="0.25">
      <c r="A3456" s="75">
        <v>31</v>
      </c>
      <c r="B3456" s="75">
        <v>202</v>
      </c>
      <c r="C3456" s="75" t="s">
        <v>10</v>
      </c>
      <c r="D3456" s="75">
        <v>4304</v>
      </c>
      <c r="F3456" s="75" t="s">
        <v>10</v>
      </c>
      <c r="H3456" s="75" t="s">
        <v>10</v>
      </c>
      <c r="I3456" s="75">
        <v>19489</v>
      </c>
      <c r="K3456" s="75" t="str">
        <f>IFERROR(VLOOKUP(J3456,'NQ10'!$B$9:$C$145,2,0),"")</f>
        <v/>
      </c>
    </row>
    <row r="3457" spans="1:11" ht="15" customHeight="1" x14ac:dyDescent="0.25">
      <c r="A3457" s="75">
        <v>31</v>
      </c>
      <c r="B3457" s="75">
        <v>204</v>
      </c>
      <c r="C3457" s="75" t="s">
        <v>10</v>
      </c>
      <c r="D3457" s="75">
        <v>759</v>
      </c>
      <c r="F3457" s="75" t="s">
        <v>10</v>
      </c>
      <c r="H3457" s="75" t="s">
        <v>10</v>
      </c>
      <c r="I3457" s="75">
        <v>19489</v>
      </c>
      <c r="K3457" s="75" t="str">
        <f>IFERROR(VLOOKUP(J3457,'NQ10'!$B$9:$C$145,2,0),"")</f>
        <v/>
      </c>
    </row>
    <row r="3458" spans="1:11" ht="15" customHeight="1" x14ac:dyDescent="0.25">
      <c r="A3458" s="75">
        <v>31</v>
      </c>
      <c r="B3458" s="75">
        <v>205</v>
      </c>
      <c r="C3458" s="75" t="s">
        <v>10</v>
      </c>
      <c r="D3458" s="75">
        <v>1755</v>
      </c>
      <c r="F3458" s="75" t="s">
        <v>10</v>
      </c>
      <c r="H3458" s="75" t="s">
        <v>10</v>
      </c>
      <c r="I3458" s="75">
        <v>19489</v>
      </c>
      <c r="K3458" s="75" t="str">
        <f>IFERROR(VLOOKUP(J3458,'NQ10'!$B$9:$C$145,2,0),"")</f>
        <v/>
      </c>
    </row>
    <row r="3459" spans="1:11" ht="15" customHeight="1" x14ac:dyDescent="0.25">
      <c r="A3459" s="75">
        <v>31</v>
      </c>
      <c r="B3459" s="75">
        <v>206</v>
      </c>
      <c r="C3459" s="75" t="s">
        <v>10</v>
      </c>
      <c r="D3459" s="75">
        <v>3643</v>
      </c>
      <c r="F3459" s="75" t="s">
        <v>10</v>
      </c>
      <c r="H3459" s="75" t="s">
        <v>10</v>
      </c>
      <c r="I3459" s="75">
        <v>19489</v>
      </c>
      <c r="K3459" s="75" t="str">
        <f>IFERROR(VLOOKUP(J3459,'NQ10'!$B$9:$C$145,2,0),"")</f>
        <v/>
      </c>
    </row>
    <row r="3460" spans="1:11" ht="15" customHeight="1" x14ac:dyDescent="0.25">
      <c r="A3460" s="75">
        <v>31</v>
      </c>
      <c r="B3460" s="75">
        <v>208</v>
      </c>
      <c r="C3460" s="75" t="s">
        <v>10</v>
      </c>
      <c r="D3460" s="75">
        <v>131</v>
      </c>
      <c r="F3460" s="75" t="s">
        <v>10</v>
      </c>
      <c r="H3460" s="75" t="s">
        <v>10</v>
      </c>
      <c r="I3460" s="75">
        <v>19489</v>
      </c>
      <c r="K3460" s="75" t="str">
        <f>IFERROR(VLOOKUP(J3460,'NQ10'!$B$9:$C$145,2,0),"")</f>
        <v/>
      </c>
    </row>
    <row r="3461" spans="1:11" ht="15" customHeight="1" x14ac:dyDescent="0.25">
      <c r="A3461" s="75">
        <v>31</v>
      </c>
      <c r="B3461" s="75">
        <v>209</v>
      </c>
      <c r="C3461" s="75" t="s">
        <v>10</v>
      </c>
      <c r="D3461" s="75">
        <v>2950</v>
      </c>
      <c r="F3461" s="75" t="s">
        <v>10</v>
      </c>
      <c r="H3461" s="75" t="s">
        <v>10</v>
      </c>
      <c r="I3461" s="75">
        <v>19489</v>
      </c>
      <c r="K3461" s="75" t="str">
        <f>IFERROR(VLOOKUP(J3461,'NQ10'!$B$9:$C$145,2,0),"")</f>
        <v/>
      </c>
    </row>
    <row r="3462" spans="1:11" ht="15" customHeight="1" x14ac:dyDescent="0.25">
      <c r="A3462" s="75">
        <v>31</v>
      </c>
      <c r="B3462" s="75">
        <v>210</v>
      </c>
      <c r="C3462" s="75" t="s">
        <v>10</v>
      </c>
      <c r="D3462" s="75">
        <v>2209</v>
      </c>
      <c r="F3462" s="75" t="s">
        <v>10</v>
      </c>
      <c r="H3462" s="75" t="s">
        <v>10</v>
      </c>
      <c r="I3462" s="75">
        <v>19489</v>
      </c>
      <c r="K3462" s="75" t="str">
        <f>IFERROR(VLOOKUP(J3462,'NQ10'!$B$9:$C$145,2,0),"")</f>
        <v/>
      </c>
    </row>
    <row r="3463" spans="1:11" ht="15" customHeight="1" x14ac:dyDescent="0.25">
      <c r="A3463" s="75">
        <v>31</v>
      </c>
      <c r="B3463" s="75">
        <v>211</v>
      </c>
      <c r="C3463" s="75" t="s">
        <v>10</v>
      </c>
      <c r="D3463" s="75">
        <v>2708</v>
      </c>
      <c r="F3463" s="75" t="s">
        <v>10</v>
      </c>
      <c r="H3463" s="75" t="s">
        <v>10</v>
      </c>
      <c r="I3463" s="75">
        <v>19489</v>
      </c>
      <c r="K3463" s="75" t="str">
        <f>IFERROR(VLOOKUP(J3463,'NQ10'!$B$9:$C$145,2,0),"")</f>
        <v/>
      </c>
    </row>
    <row r="3464" spans="1:11" ht="15" customHeight="1" x14ac:dyDescent="0.25">
      <c r="A3464" s="75">
        <v>31</v>
      </c>
      <c r="B3464" s="75">
        <v>213</v>
      </c>
      <c r="C3464" s="75" t="s">
        <v>10</v>
      </c>
      <c r="D3464" s="75">
        <v>1290</v>
      </c>
      <c r="F3464" s="75" t="s">
        <v>10</v>
      </c>
      <c r="H3464" s="75" t="s">
        <v>10</v>
      </c>
      <c r="I3464" s="75">
        <v>19489</v>
      </c>
      <c r="K3464" s="75" t="str">
        <f>IFERROR(VLOOKUP(J3464,'NQ10'!$B$9:$C$145,2,0),"")</f>
        <v/>
      </c>
    </row>
    <row r="3465" spans="1:11" ht="15" customHeight="1" x14ac:dyDescent="0.25">
      <c r="A3465" s="75">
        <v>31</v>
      </c>
      <c r="B3465" s="75">
        <v>214</v>
      </c>
      <c r="C3465" s="75" t="s">
        <v>10</v>
      </c>
      <c r="D3465" s="75">
        <v>4742</v>
      </c>
      <c r="F3465" s="75" t="s">
        <v>10</v>
      </c>
      <c r="H3465" s="75" t="s">
        <v>10</v>
      </c>
      <c r="I3465" s="75">
        <v>19489</v>
      </c>
      <c r="K3465" s="75" t="str">
        <f>IFERROR(VLOOKUP(J3465,'NQ10'!$B$9:$C$145,2,0),"")</f>
        <v/>
      </c>
    </row>
    <row r="3466" spans="1:11" ht="15" customHeight="1" x14ac:dyDescent="0.25">
      <c r="A3466" s="75">
        <v>31</v>
      </c>
      <c r="B3466" s="75">
        <v>215</v>
      </c>
      <c r="C3466" s="75" t="s">
        <v>10</v>
      </c>
      <c r="D3466" s="75">
        <v>3159</v>
      </c>
      <c r="F3466" s="75" t="s">
        <v>10</v>
      </c>
      <c r="H3466" s="75" t="s">
        <v>10</v>
      </c>
      <c r="I3466" s="75">
        <v>19489</v>
      </c>
      <c r="K3466" s="75" t="str">
        <f>IFERROR(VLOOKUP(J3466,'NQ10'!$B$9:$C$145,2,0),"")</f>
        <v/>
      </c>
    </row>
    <row r="3467" spans="1:11" ht="15" customHeight="1" x14ac:dyDescent="0.25">
      <c r="A3467" s="75">
        <v>31</v>
      </c>
      <c r="B3467" s="75">
        <v>216</v>
      </c>
      <c r="C3467" s="75" t="s">
        <v>10</v>
      </c>
      <c r="D3467" s="75">
        <v>3221</v>
      </c>
      <c r="F3467" s="75" t="s">
        <v>10</v>
      </c>
      <c r="H3467" s="75" t="s">
        <v>10</v>
      </c>
      <c r="I3467" s="75">
        <v>19489</v>
      </c>
      <c r="K3467" s="75" t="str">
        <f>IFERROR(VLOOKUP(J3467,'NQ10'!$B$9:$C$145,2,0),"")</f>
        <v/>
      </c>
    </row>
    <row r="3468" spans="1:11" ht="15" customHeight="1" x14ac:dyDescent="0.25">
      <c r="A3468" s="75">
        <v>31</v>
      </c>
      <c r="B3468" s="75">
        <v>217</v>
      </c>
      <c r="C3468" s="75" t="s">
        <v>10</v>
      </c>
      <c r="D3468" s="75">
        <v>320</v>
      </c>
      <c r="F3468" s="75" t="s">
        <v>10</v>
      </c>
      <c r="H3468" s="75" t="s">
        <v>10</v>
      </c>
      <c r="I3468" s="75">
        <v>19489</v>
      </c>
      <c r="K3468" s="75" t="str">
        <f>IFERROR(VLOOKUP(J3468,'NQ10'!$B$9:$C$145,2,0),"")</f>
        <v/>
      </c>
    </row>
    <row r="3469" spans="1:11" ht="15" customHeight="1" x14ac:dyDescent="0.25">
      <c r="A3469" s="75">
        <v>31</v>
      </c>
      <c r="B3469" s="75">
        <v>218</v>
      </c>
      <c r="C3469" s="75" t="s">
        <v>10</v>
      </c>
      <c r="D3469" s="75">
        <v>2314</v>
      </c>
      <c r="F3469" s="75" t="s">
        <v>10</v>
      </c>
      <c r="H3469" s="75" t="s">
        <v>10</v>
      </c>
      <c r="I3469" s="75">
        <v>19489</v>
      </c>
      <c r="K3469" s="75" t="str">
        <f>IFERROR(VLOOKUP(J3469,'NQ10'!$B$9:$C$145,2,0),"")</f>
        <v/>
      </c>
    </row>
    <row r="3470" spans="1:11" ht="15" customHeight="1" x14ac:dyDescent="0.25">
      <c r="A3470" s="75">
        <v>31</v>
      </c>
      <c r="B3470" s="75">
        <v>219</v>
      </c>
      <c r="C3470" s="75" t="s">
        <v>10</v>
      </c>
      <c r="D3470" s="75">
        <v>145</v>
      </c>
      <c r="F3470" s="75" t="s">
        <v>10</v>
      </c>
      <c r="H3470" s="75" t="s">
        <v>10</v>
      </c>
      <c r="I3470" s="75">
        <v>19489</v>
      </c>
      <c r="K3470" s="75" t="str">
        <f>IFERROR(VLOOKUP(J3470,'NQ10'!$B$9:$C$145,2,0),"")</f>
        <v/>
      </c>
    </row>
    <row r="3471" spans="1:11" ht="15" customHeight="1" x14ac:dyDescent="0.25">
      <c r="A3471" s="75">
        <v>31</v>
      </c>
      <c r="B3471" s="75">
        <v>222</v>
      </c>
      <c r="C3471" s="75" t="s">
        <v>10</v>
      </c>
      <c r="D3471" s="75">
        <v>80</v>
      </c>
      <c r="F3471" s="75" t="s">
        <v>10</v>
      </c>
      <c r="H3471" s="75" t="s">
        <v>10</v>
      </c>
      <c r="I3471" s="75">
        <v>19489</v>
      </c>
      <c r="K3471" s="75" t="str">
        <f>IFERROR(VLOOKUP(J3471,'NQ10'!$B$9:$C$145,2,0),"")</f>
        <v/>
      </c>
    </row>
    <row r="3472" spans="1:11" ht="15" customHeight="1" x14ac:dyDescent="0.25">
      <c r="A3472" s="75">
        <v>31</v>
      </c>
      <c r="B3472" s="75">
        <v>223</v>
      </c>
      <c r="C3472" s="75" t="s">
        <v>10</v>
      </c>
      <c r="D3472" s="75">
        <v>183</v>
      </c>
      <c r="F3472" s="75" t="s">
        <v>10</v>
      </c>
      <c r="H3472" s="75" t="s">
        <v>10</v>
      </c>
      <c r="I3472" s="75">
        <v>19489</v>
      </c>
      <c r="K3472" s="75" t="str">
        <f>IFERROR(VLOOKUP(J3472,'NQ10'!$B$9:$C$145,2,0),"")</f>
        <v/>
      </c>
    </row>
    <row r="3473" spans="1:11" ht="15" customHeight="1" x14ac:dyDescent="0.25">
      <c r="A3473" s="75">
        <v>31</v>
      </c>
      <c r="B3473" s="75">
        <v>224</v>
      </c>
      <c r="C3473" s="75" t="s">
        <v>10</v>
      </c>
      <c r="D3473" s="75">
        <v>247</v>
      </c>
      <c r="F3473" s="75" t="s">
        <v>10</v>
      </c>
      <c r="H3473" s="75" t="s">
        <v>10</v>
      </c>
      <c r="I3473" s="75">
        <v>19489</v>
      </c>
      <c r="K3473" s="75" t="str">
        <f>IFERROR(VLOOKUP(J3473,'NQ10'!$B$9:$C$145,2,0),"")</f>
        <v/>
      </c>
    </row>
    <row r="3474" spans="1:11" ht="15" customHeight="1" x14ac:dyDescent="0.25">
      <c r="A3474" s="75">
        <v>31</v>
      </c>
      <c r="B3474" s="75">
        <v>225</v>
      </c>
      <c r="C3474" s="75" t="s">
        <v>10</v>
      </c>
      <c r="D3474" s="75">
        <v>297</v>
      </c>
      <c r="F3474" s="75" t="s">
        <v>10</v>
      </c>
      <c r="H3474" s="75" t="s">
        <v>10</v>
      </c>
      <c r="I3474" s="75">
        <v>19489</v>
      </c>
      <c r="K3474" s="75" t="str">
        <f>IFERROR(VLOOKUP(J3474,'NQ10'!$B$9:$C$145,2,0),"")</f>
        <v/>
      </c>
    </row>
    <row r="3475" spans="1:11" ht="15" customHeight="1" x14ac:dyDescent="0.25">
      <c r="A3475" s="75">
        <v>31</v>
      </c>
      <c r="B3475" s="75">
        <v>227</v>
      </c>
      <c r="C3475" s="75" t="s">
        <v>10</v>
      </c>
      <c r="D3475" s="75">
        <v>734</v>
      </c>
      <c r="F3475" s="75" t="s">
        <v>10</v>
      </c>
      <c r="H3475" s="75" t="s">
        <v>10</v>
      </c>
      <c r="I3475" s="75">
        <v>19489</v>
      </c>
      <c r="K3475" s="75" t="str">
        <f>IFERROR(VLOOKUP(J3475,'NQ10'!$B$9:$C$145,2,0),"")</f>
        <v/>
      </c>
    </row>
    <row r="3476" spans="1:11" ht="15" customHeight="1" x14ac:dyDescent="0.25">
      <c r="A3476" s="75">
        <v>31</v>
      </c>
      <c r="B3476" s="75">
        <v>228</v>
      </c>
      <c r="C3476" s="75" t="s">
        <v>10</v>
      </c>
      <c r="D3476" s="75">
        <v>177</v>
      </c>
      <c r="F3476" s="75" t="s">
        <v>10</v>
      </c>
      <c r="H3476" s="75" t="s">
        <v>10</v>
      </c>
      <c r="I3476" s="75">
        <v>19489</v>
      </c>
      <c r="K3476" s="75" t="str">
        <f>IFERROR(VLOOKUP(J3476,'NQ10'!$B$9:$C$145,2,0),"")</f>
        <v/>
      </c>
    </row>
    <row r="3477" spans="1:11" ht="15" customHeight="1" x14ac:dyDescent="0.25">
      <c r="A3477" s="75">
        <v>31</v>
      </c>
      <c r="B3477" s="75">
        <v>229</v>
      </c>
      <c r="C3477" s="75" t="s">
        <v>10</v>
      </c>
      <c r="D3477" s="75">
        <v>2612</v>
      </c>
      <c r="F3477" s="75" t="s">
        <v>10</v>
      </c>
      <c r="H3477" s="75" t="s">
        <v>10</v>
      </c>
      <c r="I3477" s="75">
        <v>19489</v>
      </c>
      <c r="K3477" s="75" t="str">
        <f>IFERROR(VLOOKUP(J3477,'NQ10'!$B$9:$C$145,2,0),"")</f>
        <v/>
      </c>
    </row>
    <row r="3478" spans="1:11" ht="15" customHeight="1" x14ac:dyDescent="0.25">
      <c r="A3478" s="75">
        <v>31</v>
      </c>
      <c r="B3478" s="75">
        <v>230</v>
      </c>
      <c r="C3478" s="75" t="s">
        <v>10</v>
      </c>
      <c r="D3478" s="75">
        <v>113</v>
      </c>
      <c r="F3478" s="75" t="s">
        <v>10</v>
      </c>
      <c r="H3478" s="75" t="s">
        <v>10</v>
      </c>
      <c r="I3478" s="75">
        <v>19489</v>
      </c>
      <c r="K3478" s="75" t="str">
        <f>IFERROR(VLOOKUP(J3478,'NQ10'!$B$9:$C$145,2,0),"")</f>
        <v/>
      </c>
    </row>
    <row r="3479" spans="1:11" ht="15" customHeight="1" x14ac:dyDescent="0.25">
      <c r="A3479" s="75">
        <v>31</v>
      </c>
      <c r="B3479" s="75">
        <v>231</v>
      </c>
      <c r="C3479" s="75" t="s">
        <v>10</v>
      </c>
      <c r="D3479" s="75">
        <v>214</v>
      </c>
      <c r="F3479" s="75" t="s">
        <v>10</v>
      </c>
      <c r="H3479" s="75" t="s">
        <v>10</v>
      </c>
      <c r="I3479" s="75">
        <v>19489</v>
      </c>
      <c r="K3479" s="75" t="str">
        <f>IFERROR(VLOOKUP(J3479,'NQ10'!$B$9:$C$145,2,0),"")</f>
        <v/>
      </c>
    </row>
    <row r="3480" spans="1:11" ht="15" customHeight="1" x14ac:dyDescent="0.25">
      <c r="A3480" s="75">
        <v>31</v>
      </c>
      <c r="B3480" s="75">
        <v>232</v>
      </c>
      <c r="C3480" s="75" t="s">
        <v>10</v>
      </c>
      <c r="D3480" s="75">
        <v>8525</v>
      </c>
      <c r="F3480" s="75" t="s">
        <v>10</v>
      </c>
      <c r="H3480" s="75" t="s">
        <v>10</v>
      </c>
      <c r="I3480" s="75">
        <v>19489</v>
      </c>
      <c r="K3480" s="75" t="str">
        <f>IFERROR(VLOOKUP(J3480,'NQ10'!$B$9:$C$145,2,0),"")</f>
        <v/>
      </c>
    </row>
    <row r="3481" spans="1:11" ht="15" customHeight="1" x14ac:dyDescent="0.25">
      <c r="A3481" s="75">
        <v>31</v>
      </c>
      <c r="B3481" s="75">
        <v>233</v>
      </c>
      <c r="C3481" s="75" t="s">
        <v>10</v>
      </c>
      <c r="D3481" s="75">
        <v>3532</v>
      </c>
      <c r="F3481" s="75" t="s">
        <v>10</v>
      </c>
      <c r="H3481" s="75" t="s">
        <v>10</v>
      </c>
      <c r="I3481" s="75">
        <v>19489</v>
      </c>
      <c r="K3481" s="75" t="str">
        <f>IFERROR(VLOOKUP(J3481,'NQ10'!$B$9:$C$145,2,0),"")</f>
        <v/>
      </c>
    </row>
    <row r="3482" spans="1:11" ht="15" customHeight="1" x14ac:dyDescent="0.25">
      <c r="A3482" s="75">
        <v>31</v>
      </c>
      <c r="B3482" s="75">
        <v>234</v>
      </c>
      <c r="C3482" s="75" t="s">
        <v>10</v>
      </c>
      <c r="D3482" s="75">
        <v>5299</v>
      </c>
      <c r="F3482" s="75" t="s">
        <v>10</v>
      </c>
      <c r="H3482" s="75" t="s">
        <v>10</v>
      </c>
      <c r="I3482" s="75">
        <v>19489</v>
      </c>
      <c r="K3482" s="75" t="str">
        <f>IFERROR(VLOOKUP(J3482,'NQ10'!$B$9:$C$145,2,0),"")</f>
        <v/>
      </c>
    </row>
    <row r="3483" spans="1:11" ht="15" customHeight="1" x14ac:dyDescent="0.25">
      <c r="A3483" s="75">
        <v>31</v>
      </c>
      <c r="B3483" s="75">
        <v>236</v>
      </c>
      <c r="C3483" s="75" t="s">
        <v>10</v>
      </c>
      <c r="D3483" s="75">
        <v>7070</v>
      </c>
      <c r="F3483" s="75" t="s">
        <v>10</v>
      </c>
      <c r="H3483" s="75" t="s">
        <v>10</v>
      </c>
      <c r="I3483" s="75">
        <v>19489</v>
      </c>
      <c r="K3483" s="75" t="str">
        <f>IFERROR(VLOOKUP(J3483,'NQ10'!$B$9:$C$145,2,0),"")</f>
        <v/>
      </c>
    </row>
    <row r="3484" spans="1:11" ht="15" customHeight="1" x14ac:dyDescent="0.25">
      <c r="A3484" s="75">
        <v>31</v>
      </c>
      <c r="B3484" s="75">
        <v>237</v>
      </c>
      <c r="C3484" s="75" t="s">
        <v>10</v>
      </c>
      <c r="D3484" s="75">
        <v>944</v>
      </c>
      <c r="F3484" s="75" t="s">
        <v>10</v>
      </c>
      <c r="H3484" s="75" t="s">
        <v>10</v>
      </c>
      <c r="I3484" s="75">
        <v>19489</v>
      </c>
      <c r="K3484" s="75" t="str">
        <f>IFERROR(VLOOKUP(J3484,'NQ10'!$B$9:$C$145,2,0),"")</f>
        <v/>
      </c>
    </row>
    <row r="3485" spans="1:11" ht="15" customHeight="1" x14ac:dyDescent="0.25">
      <c r="A3485" s="75">
        <v>31</v>
      </c>
      <c r="B3485" s="75">
        <v>238</v>
      </c>
      <c r="C3485" s="75" t="s">
        <v>10</v>
      </c>
      <c r="D3485" s="75">
        <v>700</v>
      </c>
      <c r="F3485" s="75" t="s">
        <v>10</v>
      </c>
      <c r="H3485" s="75" t="s">
        <v>10</v>
      </c>
      <c r="I3485" s="75">
        <v>19489</v>
      </c>
      <c r="K3485" s="75" t="str">
        <f>IFERROR(VLOOKUP(J3485,'NQ10'!$B$9:$C$145,2,0),"")</f>
        <v/>
      </c>
    </row>
    <row r="3486" spans="1:11" ht="15" customHeight="1" x14ac:dyDescent="0.25">
      <c r="A3486" s="75">
        <v>31</v>
      </c>
      <c r="B3486" s="75">
        <v>239</v>
      </c>
      <c r="C3486" s="75" t="s">
        <v>10</v>
      </c>
      <c r="D3486" s="75">
        <v>6646</v>
      </c>
      <c r="F3486" s="75" t="s">
        <v>10</v>
      </c>
      <c r="H3486" s="75" t="s">
        <v>10</v>
      </c>
      <c r="I3486" s="75">
        <v>19489</v>
      </c>
      <c r="K3486" s="75" t="str">
        <f>IFERROR(VLOOKUP(J3486,'NQ10'!$B$9:$C$145,2,0),"")</f>
        <v/>
      </c>
    </row>
    <row r="3487" spans="1:11" ht="15" customHeight="1" x14ac:dyDescent="0.25">
      <c r="A3487" s="75">
        <v>31</v>
      </c>
      <c r="B3487" s="75">
        <v>240</v>
      </c>
      <c r="C3487" s="75" t="s">
        <v>10</v>
      </c>
      <c r="D3487" s="75">
        <v>1277</v>
      </c>
      <c r="F3487" s="75" t="s">
        <v>10</v>
      </c>
      <c r="H3487" s="75" t="s">
        <v>10</v>
      </c>
      <c r="I3487" s="75">
        <v>19489</v>
      </c>
      <c r="K3487" s="75" t="str">
        <f>IFERROR(VLOOKUP(J3487,'NQ10'!$B$9:$C$145,2,0),"")</f>
        <v/>
      </c>
    </row>
    <row r="3488" spans="1:11" ht="15" customHeight="1" x14ac:dyDescent="0.25">
      <c r="A3488" s="75">
        <v>31</v>
      </c>
      <c r="B3488" s="75">
        <v>241</v>
      </c>
      <c r="C3488" s="75" t="s">
        <v>10</v>
      </c>
      <c r="D3488" s="75">
        <v>643</v>
      </c>
      <c r="F3488" s="75" t="s">
        <v>10</v>
      </c>
      <c r="H3488" s="75" t="s">
        <v>10</v>
      </c>
      <c r="I3488" s="75">
        <v>19489</v>
      </c>
      <c r="K3488" s="75" t="str">
        <f>IFERROR(VLOOKUP(J3488,'NQ10'!$B$9:$C$145,2,0),"")</f>
        <v/>
      </c>
    </row>
    <row r="3489" spans="1:11" ht="15" customHeight="1" x14ac:dyDescent="0.25">
      <c r="A3489" s="75">
        <v>31</v>
      </c>
      <c r="B3489" s="75">
        <v>243</v>
      </c>
      <c r="C3489" s="75" t="s">
        <v>10</v>
      </c>
      <c r="D3489" s="75">
        <v>3006</v>
      </c>
      <c r="F3489" s="75" t="s">
        <v>10</v>
      </c>
      <c r="H3489" s="75" t="s">
        <v>10</v>
      </c>
      <c r="I3489" s="75">
        <v>19489</v>
      </c>
      <c r="K3489" s="75" t="str">
        <f>IFERROR(VLOOKUP(J3489,'NQ10'!$B$9:$C$145,2,0),"")</f>
        <v/>
      </c>
    </row>
    <row r="3490" spans="1:11" ht="15" customHeight="1" x14ac:dyDescent="0.25">
      <c r="A3490" s="75">
        <v>31</v>
      </c>
      <c r="B3490" s="75">
        <v>244</v>
      </c>
      <c r="C3490" s="75" t="s">
        <v>10</v>
      </c>
      <c r="D3490" s="75">
        <v>7411</v>
      </c>
      <c r="F3490" s="75" t="s">
        <v>10</v>
      </c>
      <c r="H3490" s="75" t="s">
        <v>10</v>
      </c>
      <c r="I3490" s="75">
        <v>19489</v>
      </c>
      <c r="K3490" s="75" t="str">
        <f>IFERROR(VLOOKUP(J3490,'NQ10'!$B$9:$C$145,2,0),"")</f>
        <v/>
      </c>
    </row>
    <row r="3491" spans="1:11" ht="15" customHeight="1" x14ac:dyDescent="0.25">
      <c r="A3491" s="75">
        <v>31</v>
      </c>
      <c r="B3491" s="75">
        <v>245</v>
      </c>
      <c r="C3491" s="75" t="s">
        <v>10</v>
      </c>
      <c r="D3491" s="75">
        <v>3197</v>
      </c>
      <c r="F3491" s="75" t="s">
        <v>10</v>
      </c>
      <c r="H3491" s="75" t="s">
        <v>10</v>
      </c>
      <c r="I3491" s="75">
        <v>19489</v>
      </c>
      <c r="K3491" s="75" t="str">
        <f>IFERROR(VLOOKUP(J3491,'NQ10'!$B$9:$C$145,2,0),"")</f>
        <v/>
      </c>
    </row>
    <row r="3492" spans="1:11" ht="15" customHeight="1" x14ac:dyDescent="0.25">
      <c r="A3492" s="75">
        <v>31</v>
      </c>
      <c r="B3492" s="75">
        <v>246</v>
      </c>
      <c r="C3492" s="75" t="s">
        <v>10</v>
      </c>
      <c r="D3492" s="75">
        <v>5529</v>
      </c>
      <c r="F3492" s="75" t="s">
        <v>10</v>
      </c>
      <c r="H3492" s="75" t="s">
        <v>10</v>
      </c>
      <c r="I3492" s="75">
        <v>19489</v>
      </c>
      <c r="K3492" s="75" t="str">
        <f>IFERROR(VLOOKUP(J3492,'NQ10'!$B$9:$C$145,2,0),"")</f>
        <v/>
      </c>
    </row>
    <row r="3493" spans="1:11" ht="15" customHeight="1" x14ac:dyDescent="0.25">
      <c r="A3493" s="75">
        <v>31</v>
      </c>
      <c r="B3493" s="75">
        <v>247</v>
      </c>
      <c r="C3493" s="75" t="s">
        <v>10</v>
      </c>
      <c r="D3493" s="75">
        <v>1235</v>
      </c>
      <c r="F3493" s="75" t="s">
        <v>10</v>
      </c>
      <c r="H3493" s="75" t="s">
        <v>10</v>
      </c>
      <c r="I3493" s="75">
        <v>19489</v>
      </c>
      <c r="K3493" s="75" t="str">
        <f>IFERROR(VLOOKUP(J3493,'NQ10'!$B$9:$C$145,2,0),"")</f>
        <v/>
      </c>
    </row>
    <row r="3494" spans="1:11" ht="15" customHeight="1" x14ac:dyDescent="0.25">
      <c r="A3494" s="75">
        <v>31</v>
      </c>
      <c r="B3494" s="75">
        <v>248</v>
      </c>
      <c r="C3494" s="75" t="s">
        <v>10</v>
      </c>
      <c r="D3494" s="75">
        <v>1778</v>
      </c>
      <c r="F3494" s="75" t="s">
        <v>10</v>
      </c>
      <c r="H3494" s="75" t="s">
        <v>10</v>
      </c>
      <c r="I3494" s="75">
        <v>19489</v>
      </c>
      <c r="K3494" s="75" t="str">
        <f>IFERROR(VLOOKUP(J3494,'NQ10'!$B$9:$C$145,2,0),"")</f>
        <v/>
      </c>
    </row>
    <row r="3495" spans="1:11" ht="15" customHeight="1" x14ac:dyDescent="0.25">
      <c r="A3495" s="75">
        <v>31</v>
      </c>
      <c r="B3495" s="75">
        <v>249</v>
      </c>
      <c r="C3495" s="75" t="s">
        <v>10</v>
      </c>
      <c r="D3495" s="75">
        <v>2993</v>
      </c>
      <c r="F3495" s="75" t="s">
        <v>10</v>
      </c>
      <c r="H3495" s="75" t="s">
        <v>10</v>
      </c>
      <c r="I3495" s="75">
        <v>19489</v>
      </c>
      <c r="K3495" s="75" t="str">
        <f>IFERROR(VLOOKUP(J3495,'NQ10'!$B$9:$C$145,2,0),"")</f>
        <v/>
      </c>
    </row>
    <row r="3496" spans="1:11" ht="15" customHeight="1" x14ac:dyDescent="0.25">
      <c r="A3496" s="75">
        <v>31</v>
      </c>
      <c r="B3496" s="75">
        <v>250</v>
      </c>
      <c r="C3496" s="75" t="s">
        <v>10</v>
      </c>
      <c r="D3496" s="75">
        <v>15892</v>
      </c>
      <c r="F3496" s="75" t="s">
        <v>10</v>
      </c>
      <c r="H3496" s="75" t="s">
        <v>10</v>
      </c>
      <c r="I3496" s="75">
        <v>19489</v>
      </c>
      <c r="K3496" s="75" t="str">
        <f>IFERROR(VLOOKUP(J3496,'NQ10'!$B$9:$C$145,2,0),"")</f>
        <v/>
      </c>
    </row>
    <row r="3497" spans="1:11" ht="15" customHeight="1" x14ac:dyDescent="0.25">
      <c r="A3497" s="75">
        <v>31</v>
      </c>
      <c r="B3497" s="75">
        <v>251</v>
      </c>
      <c r="C3497" s="75" t="s">
        <v>10</v>
      </c>
      <c r="D3497" s="75">
        <v>1906</v>
      </c>
      <c r="F3497" s="75" t="s">
        <v>10</v>
      </c>
      <c r="H3497" s="75" t="s">
        <v>10</v>
      </c>
      <c r="I3497" s="75">
        <v>19489</v>
      </c>
      <c r="K3497" s="75" t="str">
        <f>IFERROR(VLOOKUP(J3497,'NQ10'!$B$9:$C$145,2,0),"")</f>
        <v/>
      </c>
    </row>
    <row r="3498" spans="1:11" ht="15" customHeight="1" x14ac:dyDescent="0.25">
      <c r="A3498" s="75">
        <v>31</v>
      </c>
      <c r="B3498" s="75">
        <v>252</v>
      </c>
      <c r="C3498" s="75" t="s">
        <v>10</v>
      </c>
      <c r="D3498" s="75">
        <v>6848</v>
      </c>
      <c r="F3498" s="75" t="s">
        <v>10</v>
      </c>
      <c r="H3498" s="75" t="s">
        <v>10</v>
      </c>
      <c r="I3498" s="75">
        <v>19489</v>
      </c>
      <c r="K3498" s="75" t="str">
        <f>IFERROR(VLOOKUP(J3498,'NQ10'!$B$9:$C$145,2,0),"")</f>
        <v/>
      </c>
    </row>
    <row r="3499" spans="1:11" ht="15" customHeight="1" x14ac:dyDescent="0.25">
      <c r="A3499" s="75">
        <v>31</v>
      </c>
      <c r="B3499" s="75">
        <v>254</v>
      </c>
      <c r="C3499" s="75" t="s">
        <v>10</v>
      </c>
      <c r="D3499" s="75">
        <v>6179</v>
      </c>
      <c r="F3499" s="75" t="s">
        <v>10</v>
      </c>
      <c r="H3499" s="75" t="s">
        <v>10</v>
      </c>
      <c r="I3499" s="75">
        <v>19489</v>
      </c>
      <c r="K3499" s="75" t="str">
        <f>IFERROR(VLOOKUP(J3499,'NQ10'!$B$9:$C$145,2,0),"")</f>
        <v/>
      </c>
    </row>
    <row r="3500" spans="1:11" ht="15" customHeight="1" x14ac:dyDescent="0.25">
      <c r="A3500" s="75">
        <v>31</v>
      </c>
      <c r="B3500" s="75">
        <v>255</v>
      </c>
      <c r="C3500" s="75" t="s">
        <v>10</v>
      </c>
      <c r="D3500" s="75">
        <v>4586</v>
      </c>
      <c r="F3500" s="75" t="s">
        <v>10</v>
      </c>
      <c r="H3500" s="75" t="s">
        <v>10</v>
      </c>
      <c r="I3500" s="75">
        <v>19489</v>
      </c>
      <c r="K3500" s="75" t="str">
        <f>IFERROR(VLOOKUP(J3500,'NQ10'!$B$9:$C$145,2,0),"")</f>
        <v/>
      </c>
    </row>
    <row r="3501" spans="1:11" ht="15" customHeight="1" x14ac:dyDescent="0.25">
      <c r="A3501" s="75">
        <v>31</v>
      </c>
      <c r="B3501" s="75">
        <v>256</v>
      </c>
      <c r="C3501" s="75" t="s">
        <v>10</v>
      </c>
      <c r="D3501" s="75">
        <v>10398</v>
      </c>
      <c r="F3501" s="75" t="s">
        <v>10</v>
      </c>
      <c r="H3501" s="75" t="s">
        <v>10</v>
      </c>
      <c r="I3501" s="75">
        <v>19489</v>
      </c>
      <c r="K3501" s="75" t="str">
        <f>IFERROR(VLOOKUP(J3501,'NQ10'!$B$9:$C$145,2,0),"")</f>
        <v/>
      </c>
    </row>
    <row r="3502" spans="1:11" ht="15" customHeight="1" x14ac:dyDescent="0.25">
      <c r="A3502" s="75">
        <v>31</v>
      </c>
      <c r="B3502" s="75">
        <v>257</v>
      </c>
      <c r="C3502" s="75" t="s">
        <v>10</v>
      </c>
      <c r="D3502" s="75">
        <v>2127</v>
      </c>
      <c r="F3502" s="75" t="s">
        <v>10</v>
      </c>
      <c r="H3502" s="75" t="s">
        <v>10</v>
      </c>
      <c r="I3502" s="75">
        <v>19489</v>
      </c>
      <c r="K3502" s="75" t="str">
        <f>IFERROR(VLOOKUP(J3502,'NQ10'!$B$9:$C$145,2,0),"")</f>
        <v/>
      </c>
    </row>
    <row r="3503" spans="1:11" ht="15" customHeight="1" x14ac:dyDescent="0.25">
      <c r="A3503" s="75">
        <v>31</v>
      </c>
      <c r="B3503" s="75">
        <v>258</v>
      </c>
      <c r="C3503" s="75" t="s">
        <v>10</v>
      </c>
      <c r="D3503" s="75">
        <v>4423</v>
      </c>
      <c r="F3503" s="75" t="s">
        <v>10</v>
      </c>
      <c r="H3503" s="75" t="s">
        <v>10</v>
      </c>
      <c r="I3503" s="75">
        <v>19489</v>
      </c>
      <c r="K3503" s="75" t="str">
        <f>IFERROR(VLOOKUP(J3503,'NQ10'!$B$9:$C$145,2,0),"")</f>
        <v/>
      </c>
    </row>
    <row r="3504" spans="1:11" ht="15" customHeight="1" x14ac:dyDescent="0.25">
      <c r="A3504" s="75">
        <v>31</v>
      </c>
      <c r="B3504" s="75">
        <v>259</v>
      </c>
      <c r="C3504" s="75" t="s">
        <v>10</v>
      </c>
      <c r="D3504" s="75">
        <v>5417</v>
      </c>
      <c r="F3504" s="75" t="s">
        <v>10</v>
      </c>
      <c r="H3504" s="75" t="s">
        <v>10</v>
      </c>
      <c r="I3504" s="75">
        <v>19489</v>
      </c>
      <c r="K3504" s="75" t="str">
        <f>IFERROR(VLOOKUP(J3504,'NQ10'!$B$9:$C$145,2,0),"")</f>
        <v/>
      </c>
    </row>
    <row r="3505" spans="1:11" ht="15" customHeight="1" x14ac:dyDescent="0.25">
      <c r="A3505" s="75">
        <v>31</v>
      </c>
      <c r="B3505" s="75">
        <v>261</v>
      </c>
      <c r="C3505" s="75" t="s">
        <v>10</v>
      </c>
      <c r="D3505" s="75">
        <v>2742</v>
      </c>
      <c r="F3505" s="75" t="s">
        <v>10</v>
      </c>
      <c r="H3505" s="75" t="s">
        <v>10</v>
      </c>
      <c r="I3505" s="75">
        <v>19489</v>
      </c>
      <c r="K3505" s="75" t="str">
        <f>IFERROR(VLOOKUP(J3505,'NQ10'!$B$9:$C$145,2,0),"")</f>
        <v/>
      </c>
    </row>
    <row r="3506" spans="1:11" ht="15" customHeight="1" x14ac:dyDescent="0.25">
      <c r="A3506" s="75">
        <v>31</v>
      </c>
      <c r="B3506" s="75">
        <v>263</v>
      </c>
      <c r="C3506" s="75" t="s">
        <v>10</v>
      </c>
      <c r="D3506" s="75">
        <v>6391</v>
      </c>
      <c r="F3506" s="75" t="s">
        <v>10</v>
      </c>
      <c r="H3506" s="75" t="s">
        <v>10</v>
      </c>
      <c r="I3506" s="75">
        <v>19489</v>
      </c>
      <c r="K3506" s="75" t="str">
        <f>IFERROR(VLOOKUP(J3506,'NQ10'!$B$9:$C$145,2,0),"")</f>
        <v/>
      </c>
    </row>
    <row r="3507" spans="1:11" ht="15" customHeight="1" x14ac:dyDescent="0.25">
      <c r="A3507" s="75">
        <v>31</v>
      </c>
      <c r="B3507" s="75">
        <v>264</v>
      </c>
      <c r="C3507" s="75" t="s">
        <v>10</v>
      </c>
      <c r="D3507" s="75">
        <v>1348</v>
      </c>
      <c r="F3507" s="75" t="s">
        <v>10</v>
      </c>
      <c r="H3507" s="75" t="s">
        <v>10</v>
      </c>
      <c r="I3507" s="75">
        <v>19489</v>
      </c>
      <c r="K3507" s="75" t="str">
        <f>IFERROR(VLOOKUP(J3507,'NQ10'!$B$9:$C$145,2,0),"")</f>
        <v/>
      </c>
    </row>
    <row r="3508" spans="1:11" ht="15" customHeight="1" x14ac:dyDescent="0.25">
      <c r="A3508" s="75">
        <v>31</v>
      </c>
      <c r="B3508" s="75">
        <v>265</v>
      </c>
      <c r="C3508" s="75" t="s">
        <v>10</v>
      </c>
      <c r="D3508" s="75">
        <v>3139</v>
      </c>
      <c r="F3508" s="75" t="s">
        <v>10</v>
      </c>
      <c r="H3508" s="75" t="s">
        <v>10</v>
      </c>
      <c r="I3508" s="75">
        <v>19489</v>
      </c>
      <c r="K3508" s="75" t="str">
        <f>IFERROR(VLOOKUP(J3508,'NQ10'!$B$9:$C$145,2,0),"")</f>
        <v/>
      </c>
    </row>
    <row r="3509" spans="1:11" ht="15" customHeight="1" x14ac:dyDescent="0.25">
      <c r="A3509" s="75">
        <v>31</v>
      </c>
      <c r="B3509" s="75">
        <v>266</v>
      </c>
      <c r="C3509" s="75" t="s">
        <v>10</v>
      </c>
      <c r="D3509" s="75">
        <v>830</v>
      </c>
      <c r="F3509" s="75" t="s">
        <v>10</v>
      </c>
      <c r="H3509" s="75" t="s">
        <v>10</v>
      </c>
      <c r="I3509" s="75">
        <v>19489</v>
      </c>
      <c r="K3509" s="75" t="str">
        <f>IFERROR(VLOOKUP(J3509,'NQ10'!$B$9:$C$145,2,0),"")</f>
        <v/>
      </c>
    </row>
    <row r="3510" spans="1:11" ht="15" customHeight="1" x14ac:dyDescent="0.25">
      <c r="A3510" s="75">
        <v>31</v>
      </c>
      <c r="B3510" s="75">
        <v>267</v>
      </c>
      <c r="C3510" s="75" t="s">
        <v>10</v>
      </c>
      <c r="D3510" s="75">
        <v>3790</v>
      </c>
      <c r="F3510" s="75" t="s">
        <v>10</v>
      </c>
      <c r="H3510" s="75" t="s">
        <v>10</v>
      </c>
      <c r="I3510" s="75">
        <v>19489</v>
      </c>
      <c r="K3510" s="75" t="str">
        <f>IFERROR(VLOOKUP(J3510,'NQ10'!$B$9:$C$145,2,0),"")</f>
        <v/>
      </c>
    </row>
    <row r="3511" spans="1:11" ht="15" customHeight="1" x14ac:dyDescent="0.25">
      <c r="A3511" s="75">
        <v>31</v>
      </c>
      <c r="B3511" s="75">
        <v>268</v>
      </c>
      <c r="C3511" s="75" t="s">
        <v>10</v>
      </c>
      <c r="D3511" s="75">
        <v>9763</v>
      </c>
      <c r="F3511" s="75" t="s">
        <v>10</v>
      </c>
      <c r="H3511" s="75" t="s">
        <v>10</v>
      </c>
      <c r="I3511" s="75">
        <v>19489</v>
      </c>
      <c r="K3511" s="75" t="str">
        <f>IFERROR(VLOOKUP(J3511,'NQ10'!$B$9:$C$145,2,0),"")</f>
        <v/>
      </c>
    </row>
    <row r="3512" spans="1:11" ht="15" customHeight="1" x14ac:dyDescent="0.25">
      <c r="A3512" s="75">
        <v>31</v>
      </c>
      <c r="B3512" s="75">
        <v>269</v>
      </c>
      <c r="C3512" s="75" t="s">
        <v>10</v>
      </c>
      <c r="D3512" s="75">
        <v>10135</v>
      </c>
      <c r="F3512" s="75" t="s">
        <v>10</v>
      </c>
      <c r="H3512" s="75" t="s">
        <v>10</v>
      </c>
      <c r="I3512" s="75">
        <v>19489</v>
      </c>
      <c r="K3512" s="75" t="str">
        <f>IFERROR(VLOOKUP(J3512,'NQ10'!$B$9:$C$145,2,0),"")</f>
        <v/>
      </c>
    </row>
    <row r="3513" spans="1:11" ht="15" customHeight="1" x14ac:dyDescent="0.25">
      <c r="A3513" s="75">
        <v>31</v>
      </c>
      <c r="B3513" s="75">
        <v>270</v>
      </c>
      <c r="C3513" s="75" t="s">
        <v>10</v>
      </c>
      <c r="D3513" s="75">
        <v>6481</v>
      </c>
      <c r="F3513" s="75" t="s">
        <v>10</v>
      </c>
      <c r="H3513" s="75" t="s">
        <v>10</v>
      </c>
      <c r="I3513" s="75">
        <v>19489</v>
      </c>
      <c r="K3513" s="75" t="str">
        <f>IFERROR(VLOOKUP(J3513,'NQ10'!$B$9:$C$145,2,0),"")</f>
        <v/>
      </c>
    </row>
    <row r="3514" spans="1:11" ht="15" customHeight="1" x14ac:dyDescent="0.25">
      <c r="A3514" s="75">
        <v>31</v>
      </c>
      <c r="B3514" s="75">
        <v>271</v>
      </c>
      <c r="C3514" s="75" t="s">
        <v>10</v>
      </c>
      <c r="D3514" s="75">
        <v>8347</v>
      </c>
      <c r="F3514" s="75" t="s">
        <v>10</v>
      </c>
      <c r="H3514" s="75" t="s">
        <v>10</v>
      </c>
      <c r="I3514" s="75">
        <v>19489</v>
      </c>
      <c r="K3514" s="75" t="str">
        <f>IFERROR(VLOOKUP(J3514,'NQ10'!$B$9:$C$145,2,0),"")</f>
        <v/>
      </c>
    </row>
    <row r="3515" spans="1:11" ht="15" customHeight="1" x14ac:dyDescent="0.25">
      <c r="A3515" s="75">
        <v>31</v>
      </c>
      <c r="B3515" s="75">
        <v>272</v>
      </c>
      <c r="C3515" s="75" t="s">
        <v>10</v>
      </c>
      <c r="D3515" s="75">
        <v>7094</v>
      </c>
      <c r="F3515" s="75" t="s">
        <v>10</v>
      </c>
      <c r="H3515" s="75" t="s">
        <v>10</v>
      </c>
      <c r="I3515" s="75">
        <v>19489</v>
      </c>
      <c r="K3515" s="75" t="str">
        <f>IFERROR(VLOOKUP(J3515,'NQ10'!$B$9:$C$145,2,0),"")</f>
        <v/>
      </c>
    </row>
    <row r="3516" spans="1:11" ht="15" customHeight="1" x14ac:dyDescent="0.25">
      <c r="A3516" s="75">
        <v>31</v>
      </c>
      <c r="B3516" s="75">
        <v>273</v>
      </c>
      <c r="C3516" s="75" t="s">
        <v>10</v>
      </c>
      <c r="D3516" s="75">
        <v>7547</v>
      </c>
      <c r="F3516" s="75" t="s">
        <v>10</v>
      </c>
      <c r="H3516" s="75" t="s">
        <v>10</v>
      </c>
      <c r="I3516" s="75">
        <v>19489</v>
      </c>
      <c r="K3516" s="75" t="str">
        <f>IFERROR(VLOOKUP(J3516,'NQ10'!$B$9:$C$145,2,0),"")</f>
        <v/>
      </c>
    </row>
    <row r="3517" spans="1:11" ht="15" customHeight="1" x14ac:dyDescent="0.25">
      <c r="A3517" s="75">
        <v>31</v>
      </c>
      <c r="B3517" s="75">
        <v>274</v>
      </c>
      <c r="C3517" s="75" t="s">
        <v>10</v>
      </c>
      <c r="D3517" s="75">
        <v>4673</v>
      </c>
      <c r="F3517" s="75" t="s">
        <v>10</v>
      </c>
      <c r="H3517" s="75" t="s">
        <v>10</v>
      </c>
      <c r="I3517" s="75">
        <v>19489</v>
      </c>
      <c r="K3517" s="75" t="str">
        <f>IFERROR(VLOOKUP(J3517,'NQ10'!$B$9:$C$145,2,0),"")</f>
        <v/>
      </c>
    </row>
    <row r="3518" spans="1:11" ht="15" customHeight="1" x14ac:dyDescent="0.25">
      <c r="A3518" s="75">
        <v>31</v>
      </c>
      <c r="B3518" s="75">
        <v>275</v>
      </c>
      <c r="C3518" s="75" t="s">
        <v>10</v>
      </c>
      <c r="D3518" s="75">
        <v>6488</v>
      </c>
      <c r="F3518" s="75" t="s">
        <v>10</v>
      </c>
      <c r="H3518" s="75" t="s">
        <v>10</v>
      </c>
      <c r="I3518" s="75">
        <v>19489</v>
      </c>
      <c r="K3518" s="75" t="str">
        <f>IFERROR(VLOOKUP(J3518,'NQ10'!$B$9:$C$145,2,0),"")</f>
        <v/>
      </c>
    </row>
    <row r="3519" spans="1:11" ht="15" customHeight="1" x14ac:dyDescent="0.25">
      <c r="A3519" s="75">
        <v>31</v>
      </c>
      <c r="B3519" s="75">
        <v>276</v>
      </c>
      <c r="C3519" s="75" t="s">
        <v>10</v>
      </c>
      <c r="D3519" s="75">
        <v>5612</v>
      </c>
      <c r="F3519" s="75" t="s">
        <v>10</v>
      </c>
      <c r="H3519" s="75" t="s">
        <v>10</v>
      </c>
      <c r="I3519" s="75">
        <v>19489</v>
      </c>
      <c r="K3519" s="75" t="str">
        <f>IFERROR(VLOOKUP(J3519,'NQ10'!$B$9:$C$145,2,0),"")</f>
        <v/>
      </c>
    </row>
    <row r="3520" spans="1:11" ht="15" customHeight="1" x14ac:dyDescent="0.25">
      <c r="A3520" s="75">
        <v>31</v>
      </c>
      <c r="B3520" s="75">
        <v>277</v>
      </c>
      <c r="C3520" s="75" t="s">
        <v>10</v>
      </c>
      <c r="D3520" s="75">
        <v>14636</v>
      </c>
      <c r="F3520" s="75" t="s">
        <v>10</v>
      </c>
      <c r="H3520" s="75" t="s">
        <v>10</v>
      </c>
      <c r="I3520" s="75">
        <v>19489</v>
      </c>
      <c r="K3520" s="75" t="str">
        <f>IFERROR(VLOOKUP(J3520,'NQ10'!$B$9:$C$145,2,0),"")</f>
        <v/>
      </c>
    </row>
    <row r="3521" spans="1:11" ht="15" customHeight="1" x14ac:dyDescent="0.25">
      <c r="A3521" s="75">
        <v>31</v>
      </c>
      <c r="B3521" s="75">
        <v>279</v>
      </c>
      <c r="C3521" s="75" t="s">
        <v>10</v>
      </c>
      <c r="D3521" s="75">
        <v>7056</v>
      </c>
      <c r="F3521" s="75" t="s">
        <v>10</v>
      </c>
      <c r="H3521" s="75" t="s">
        <v>10</v>
      </c>
      <c r="I3521" s="75">
        <v>19489</v>
      </c>
      <c r="K3521" s="75" t="str">
        <f>IFERROR(VLOOKUP(J3521,'NQ10'!$B$9:$C$145,2,0),"")</f>
        <v/>
      </c>
    </row>
    <row r="3522" spans="1:11" ht="15" customHeight="1" x14ac:dyDescent="0.25">
      <c r="A3522" s="75">
        <v>31</v>
      </c>
      <c r="B3522" s="75">
        <v>280</v>
      </c>
      <c r="C3522" s="75" t="s">
        <v>10</v>
      </c>
      <c r="D3522" s="75">
        <v>4421</v>
      </c>
      <c r="F3522" s="75" t="s">
        <v>10</v>
      </c>
      <c r="H3522" s="75" t="s">
        <v>10</v>
      </c>
      <c r="I3522" s="75">
        <v>19489</v>
      </c>
      <c r="K3522" s="75" t="str">
        <f>IFERROR(VLOOKUP(J3522,'NQ10'!$B$9:$C$145,2,0),"")</f>
        <v/>
      </c>
    </row>
    <row r="3523" spans="1:11" ht="15" customHeight="1" x14ac:dyDescent="0.25">
      <c r="A3523" s="75">
        <v>31</v>
      </c>
      <c r="B3523" s="75">
        <v>4001</v>
      </c>
      <c r="C3523" s="75" t="s">
        <v>10</v>
      </c>
      <c r="D3523" s="75">
        <v>2151</v>
      </c>
      <c r="F3523" s="75" t="s">
        <v>10</v>
      </c>
      <c r="H3523" s="75" t="s">
        <v>10</v>
      </c>
      <c r="I3523" s="75">
        <v>19489</v>
      </c>
      <c r="K3523" s="75" t="str">
        <f>IFERROR(VLOOKUP(J3523,'NQ10'!$B$9:$C$145,2,0),"")</f>
        <v/>
      </c>
    </row>
    <row r="3524" spans="1:11" ht="15" customHeight="1" x14ac:dyDescent="0.25">
      <c r="A3524" s="75">
        <v>31</v>
      </c>
      <c r="B3524" s="75">
        <v>4002</v>
      </c>
      <c r="C3524" s="75" t="s">
        <v>10</v>
      </c>
      <c r="D3524" s="75">
        <v>1050</v>
      </c>
      <c r="F3524" s="75" t="s">
        <v>10</v>
      </c>
      <c r="H3524" s="75" t="s">
        <v>10</v>
      </c>
      <c r="I3524" s="75">
        <v>19489</v>
      </c>
      <c r="K3524" s="75" t="str">
        <f>IFERROR(VLOOKUP(J3524,'NQ10'!$B$9:$C$145,2,0),"")</f>
        <v/>
      </c>
    </row>
    <row r="3525" spans="1:11" ht="15" customHeight="1" x14ac:dyDescent="0.25">
      <c r="A3525" s="75">
        <v>31</v>
      </c>
      <c r="B3525" s="75">
        <v>4003</v>
      </c>
      <c r="C3525" s="75" t="s">
        <v>10</v>
      </c>
      <c r="D3525" s="75">
        <v>630</v>
      </c>
      <c r="F3525" s="75" t="s">
        <v>10</v>
      </c>
      <c r="H3525" s="75" t="s">
        <v>10</v>
      </c>
      <c r="I3525" s="75">
        <v>19489</v>
      </c>
      <c r="K3525" s="75" t="str">
        <f>IFERROR(VLOOKUP(J3525,'NQ10'!$B$9:$C$145,2,0),"")</f>
        <v/>
      </c>
    </row>
    <row r="3526" spans="1:11" ht="15" customHeight="1" x14ac:dyDescent="0.25">
      <c r="A3526" s="75">
        <v>31</v>
      </c>
      <c r="B3526" s="75">
        <v>4004</v>
      </c>
      <c r="C3526" s="75" t="s">
        <v>10</v>
      </c>
      <c r="D3526" s="75">
        <v>3530</v>
      </c>
      <c r="F3526" s="75" t="s">
        <v>10</v>
      </c>
      <c r="H3526" s="75" t="s">
        <v>10</v>
      </c>
      <c r="I3526" s="75">
        <v>19489</v>
      </c>
      <c r="K3526" s="75" t="str">
        <f>IFERROR(VLOOKUP(J3526,'NQ10'!$B$9:$C$145,2,0),"")</f>
        <v/>
      </c>
    </row>
    <row r="3527" spans="1:11" ht="15" customHeight="1" x14ac:dyDescent="0.25">
      <c r="A3527" s="75">
        <v>31</v>
      </c>
      <c r="B3527" s="75">
        <v>4005</v>
      </c>
      <c r="C3527" s="75" t="s">
        <v>10</v>
      </c>
      <c r="D3527" s="75">
        <v>227</v>
      </c>
      <c r="F3527" s="75" t="s">
        <v>10</v>
      </c>
      <c r="H3527" s="75" t="s">
        <v>10</v>
      </c>
      <c r="I3527" s="75">
        <v>19489</v>
      </c>
      <c r="K3527" s="75" t="str">
        <f>IFERROR(VLOOKUP(J3527,'NQ10'!$B$9:$C$145,2,0),"")</f>
        <v/>
      </c>
    </row>
    <row r="3528" spans="1:11" ht="15" customHeight="1" x14ac:dyDescent="0.25">
      <c r="A3528" s="75">
        <v>31</v>
      </c>
      <c r="B3528" s="75">
        <v>4006</v>
      </c>
      <c r="C3528" s="75" t="s">
        <v>10</v>
      </c>
      <c r="D3528" s="75">
        <v>289</v>
      </c>
      <c r="F3528" s="75" t="s">
        <v>10</v>
      </c>
      <c r="H3528" s="75" t="s">
        <v>10</v>
      </c>
      <c r="I3528" s="75">
        <v>19489</v>
      </c>
      <c r="K3528" s="75" t="str">
        <f>IFERROR(VLOOKUP(J3528,'NQ10'!$B$9:$C$145,2,0),"")</f>
        <v/>
      </c>
    </row>
    <row r="3529" spans="1:11" ht="15" customHeight="1" x14ac:dyDescent="0.25">
      <c r="A3529" s="75">
        <v>31</v>
      </c>
      <c r="B3529" s="75">
        <v>4007</v>
      </c>
      <c r="C3529" s="75" t="s">
        <v>10</v>
      </c>
      <c r="D3529" s="75">
        <v>232</v>
      </c>
      <c r="F3529" s="75" t="s">
        <v>10</v>
      </c>
      <c r="H3529" s="75" t="s">
        <v>10</v>
      </c>
      <c r="I3529" s="75">
        <v>19489</v>
      </c>
      <c r="K3529" s="75" t="str">
        <f>IFERROR(VLOOKUP(J3529,'NQ10'!$B$9:$C$145,2,0),"")</f>
        <v/>
      </c>
    </row>
    <row r="3530" spans="1:11" ht="15" customHeight="1" x14ac:dyDescent="0.25">
      <c r="A3530" s="75">
        <v>31</v>
      </c>
      <c r="B3530" s="75">
        <v>4010</v>
      </c>
      <c r="C3530" s="75" t="s">
        <v>10</v>
      </c>
      <c r="D3530" s="75">
        <v>352</v>
      </c>
      <c r="F3530" s="75" t="s">
        <v>10</v>
      </c>
      <c r="H3530" s="75" t="s">
        <v>10</v>
      </c>
      <c r="I3530" s="75">
        <v>19489</v>
      </c>
      <c r="K3530" s="75" t="str">
        <f>IFERROR(VLOOKUP(J3530,'NQ10'!$B$9:$C$145,2,0),"")</f>
        <v/>
      </c>
    </row>
    <row r="3531" spans="1:11" ht="15" customHeight="1" x14ac:dyDescent="0.25">
      <c r="A3531" s="75">
        <v>31</v>
      </c>
      <c r="B3531" s="75">
        <v>4011</v>
      </c>
      <c r="C3531" s="75" t="s">
        <v>10</v>
      </c>
      <c r="D3531" s="75">
        <v>6573</v>
      </c>
      <c r="F3531" s="75" t="s">
        <v>10</v>
      </c>
      <c r="H3531" s="75" t="s">
        <v>10</v>
      </c>
      <c r="I3531" s="75">
        <v>19489</v>
      </c>
      <c r="K3531" s="75" t="str">
        <f>IFERROR(VLOOKUP(J3531,'NQ10'!$B$9:$C$145,2,0),"")</f>
        <v/>
      </c>
    </row>
    <row r="3532" spans="1:11" ht="15" customHeight="1" x14ac:dyDescent="0.25">
      <c r="A3532" s="75">
        <v>31</v>
      </c>
      <c r="B3532" s="75">
        <v>5002</v>
      </c>
      <c r="C3532" s="75" t="s">
        <v>10</v>
      </c>
      <c r="D3532" s="75">
        <v>167</v>
      </c>
      <c r="F3532" s="75" t="s">
        <v>10</v>
      </c>
      <c r="H3532" s="75" t="s">
        <v>10</v>
      </c>
      <c r="I3532" s="75">
        <v>19489</v>
      </c>
      <c r="K3532" s="75" t="str">
        <f>IFERROR(VLOOKUP(J3532,'NQ10'!$B$9:$C$145,2,0),"")</f>
        <v/>
      </c>
    </row>
    <row r="3533" spans="1:11" ht="15" customHeight="1" x14ac:dyDescent="0.25">
      <c r="A3533" s="75">
        <v>31</v>
      </c>
      <c r="B3533" s="75">
        <v>5003</v>
      </c>
      <c r="C3533" s="75" t="s">
        <v>10</v>
      </c>
      <c r="D3533" s="75">
        <v>101</v>
      </c>
      <c r="F3533" s="75" t="s">
        <v>10</v>
      </c>
      <c r="H3533" s="75" t="s">
        <v>10</v>
      </c>
      <c r="I3533" s="75">
        <v>19489</v>
      </c>
      <c r="K3533" s="75" t="str">
        <f>IFERROR(VLOOKUP(J3533,'NQ10'!$B$9:$C$145,2,0),"")</f>
        <v/>
      </c>
    </row>
    <row r="3534" spans="1:11" ht="15" customHeight="1" x14ac:dyDescent="0.25">
      <c r="A3534" s="75">
        <v>31</v>
      </c>
      <c r="B3534" s="75">
        <v>5004</v>
      </c>
      <c r="C3534" s="75" t="s">
        <v>10</v>
      </c>
      <c r="D3534" s="75">
        <v>420</v>
      </c>
      <c r="F3534" s="75" t="s">
        <v>10</v>
      </c>
      <c r="H3534" s="75" t="s">
        <v>10</v>
      </c>
      <c r="I3534" s="75">
        <v>19489</v>
      </c>
      <c r="K3534" s="75" t="str">
        <f>IFERROR(VLOOKUP(J3534,'NQ10'!$B$9:$C$145,2,0),"")</f>
        <v/>
      </c>
    </row>
    <row r="3535" spans="1:11" ht="15" customHeight="1" x14ac:dyDescent="0.25">
      <c r="A3535" s="75">
        <v>31</v>
      </c>
      <c r="B3535" s="75">
        <v>5005</v>
      </c>
      <c r="C3535" s="75" t="s">
        <v>10</v>
      </c>
      <c r="D3535" s="75">
        <v>24110</v>
      </c>
      <c r="F3535" s="75" t="s">
        <v>10</v>
      </c>
      <c r="H3535" s="75" t="s">
        <v>10</v>
      </c>
      <c r="I3535" s="75">
        <v>19489</v>
      </c>
      <c r="K3535" s="75" t="str">
        <f>IFERROR(VLOOKUP(J3535,'NQ10'!$B$9:$C$145,2,0),"")</f>
        <v/>
      </c>
    </row>
    <row r="3536" spans="1:11" ht="15" customHeight="1" x14ac:dyDescent="0.25">
      <c r="A3536" s="75">
        <v>32</v>
      </c>
      <c r="C3536" s="75" t="s">
        <v>10</v>
      </c>
      <c r="D3536" s="75">
        <v>101</v>
      </c>
      <c r="F3536" s="75" t="s">
        <v>10</v>
      </c>
      <c r="H3536" s="75" t="s">
        <v>10</v>
      </c>
      <c r="I3536" s="75">
        <v>19489</v>
      </c>
      <c r="K3536" s="75" t="str">
        <f>IFERROR(VLOOKUP(J3536,'NQ10'!$B$9:$C$145,2,0),"")</f>
        <v/>
      </c>
    </row>
    <row r="3537" spans="1:11" ht="15" customHeight="1" x14ac:dyDescent="0.25">
      <c r="A3537" s="75">
        <v>32</v>
      </c>
      <c r="C3537" s="75" t="s">
        <v>10</v>
      </c>
      <c r="D3537" s="75">
        <v>149</v>
      </c>
      <c r="F3537" s="75" t="s">
        <v>10</v>
      </c>
      <c r="H3537" s="75" t="s">
        <v>10</v>
      </c>
      <c r="I3537" s="75">
        <v>19489</v>
      </c>
      <c r="K3537" s="75" t="str">
        <f>IFERROR(VLOOKUP(J3537,'NQ10'!$B$9:$C$145,2,0),"")</f>
        <v/>
      </c>
    </row>
    <row r="3538" spans="1:11" ht="15" customHeight="1" x14ac:dyDescent="0.25">
      <c r="A3538" s="75">
        <v>32</v>
      </c>
      <c r="C3538" s="75" t="s">
        <v>10</v>
      </c>
      <c r="D3538" s="75">
        <v>123</v>
      </c>
      <c r="F3538" s="75" t="s">
        <v>10</v>
      </c>
      <c r="H3538" s="75" t="s">
        <v>10</v>
      </c>
      <c r="I3538" s="75">
        <v>19489</v>
      </c>
      <c r="K3538" s="75" t="str">
        <f>IFERROR(VLOOKUP(J3538,'NQ10'!$B$9:$C$145,2,0),"")</f>
        <v/>
      </c>
    </row>
    <row r="3539" spans="1:11" ht="15" customHeight="1" x14ac:dyDescent="0.25">
      <c r="A3539" s="75">
        <v>32</v>
      </c>
      <c r="C3539" s="75" t="s">
        <v>10</v>
      </c>
      <c r="D3539" s="75">
        <v>129</v>
      </c>
      <c r="F3539" s="75" t="s">
        <v>10</v>
      </c>
      <c r="H3539" s="75" t="s">
        <v>10</v>
      </c>
      <c r="I3539" s="75">
        <v>19489</v>
      </c>
      <c r="K3539" s="75" t="str">
        <f>IFERROR(VLOOKUP(J3539,'NQ10'!$B$9:$C$145,2,0),"")</f>
        <v/>
      </c>
    </row>
    <row r="3540" spans="1:11" ht="15" customHeight="1" x14ac:dyDescent="0.25">
      <c r="A3540" s="75">
        <v>32</v>
      </c>
      <c r="C3540" s="75" t="s">
        <v>10</v>
      </c>
      <c r="D3540" s="75">
        <v>302</v>
      </c>
      <c r="F3540" s="75" t="s">
        <v>10</v>
      </c>
      <c r="H3540" s="75" t="s">
        <v>10</v>
      </c>
      <c r="I3540" s="75">
        <v>19489</v>
      </c>
      <c r="K3540" s="75" t="str">
        <f>IFERROR(VLOOKUP(J3540,'NQ10'!$B$9:$C$145,2,0),"")</f>
        <v/>
      </c>
    </row>
    <row r="3541" spans="1:11" ht="15" customHeight="1" x14ac:dyDescent="0.25">
      <c r="A3541" s="75">
        <v>32</v>
      </c>
      <c r="C3541" s="75" t="s">
        <v>10</v>
      </c>
      <c r="D3541" s="75">
        <v>119</v>
      </c>
      <c r="F3541" s="75" t="s">
        <v>10</v>
      </c>
      <c r="H3541" s="75" t="s">
        <v>10</v>
      </c>
      <c r="I3541" s="75">
        <v>19489</v>
      </c>
      <c r="K3541" s="75" t="str">
        <f>IFERROR(VLOOKUP(J3541,'NQ10'!$B$9:$C$145,2,0),"")</f>
        <v/>
      </c>
    </row>
    <row r="3542" spans="1:11" ht="15" customHeight="1" x14ac:dyDescent="0.25">
      <c r="A3542" s="75">
        <v>32</v>
      </c>
      <c r="C3542" s="75" t="s">
        <v>10</v>
      </c>
      <c r="D3542" s="75">
        <v>229</v>
      </c>
      <c r="F3542" s="75" t="s">
        <v>10</v>
      </c>
      <c r="H3542" s="75" t="s">
        <v>10</v>
      </c>
      <c r="I3542" s="75">
        <v>19489</v>
      </c>
      <c r="K3542" s="75" t="str">
        <f>IFERROR(VLOOKUP(J3542,'NQ10'!$B$9:$C$145,2,0),"")</f>
        <v/>
      </c>
    </row>
    <row r="3543" spans="1:11" ht="15" customHeight="1" x14ac:dyDescent="0.25">
      <c r="A3543" s="75">
        <v>32</v>
      </c>
      <c r="C3543" s="75" t="s">
        <v>10</v>
      </c>
      <c r="D3543" s="75">
        <v>8617</v>
      </c>
      <c r="F3543" s="75" t="s">
        <v>10</v>
      </c>
      <c r="H3543" s="75" t="s">
        <v>10</v>
      </c>
      <c r="I3543" s="75">
        <v>19489</v>
      </c>
      <c r="K3543" s="75" t="str">
        <f>IFERROR(VLOOKUP(J3543,'NQ10'!$B$9:$C$145,2,0),"")</f>
        <v/>
      </c>
    </row>
    <row r="3544" spans="1:11" ht="15" customHeight="1" x14ac:dyDescent="0.25">
      <c r="A3544" s="75">
        <v>32</v>
      </c>
      <c r="C3544" s="75" t="s">
        <v>10</v>
      </c>
      <c r="D3544" s="75">
        <v>3113</v>
      </c>
      <c r="F3544" s="75" t="s">
        <v>10</v>
      </c>
      <c r="H3544" s="75" t="s">
        <v>10</v>
      </c>
      <c r="I3544" s="75">
        <v>19489</v>
      </c>
      <c r="K3544" s="75" t="str">
        <f>IFERROR(VLOOKUP(J3544,'NQ10'!$B$9:$C$145,2,0),"")</f>
        <v/>
      </c>
    </row>
    <row r="3545" spans="1:11" ht="15" customHeight="1" x14ac:dyDescent="0.25">
      <c r="A3545" s="75">
        <v>32</v>
      </c>
      <c r="C3545" s="75" t="s">
        <v>10</v>
      </c>
      <c r="D3545" s="75">
        <v>609</v>
      </c>
      <c r="F3545" s="75" t="s">
        <v>10</v>
      </c>
      <c r="H3545" s="75" t="s">
        <v>10</v>
      </c>
      <c r="I3545" s="75">
        <v>19489</v>
      </c>
      <c r="K3545" s="75" t="str">
        <f>IFERROR(VLOOKUP(J3545,'NQ10'!$B$9:$C$145,2,0),"")</f>
        <v/>
      </c>
    </row>
    <row r="3546" spans="1:11" ht="15" customHeight="1" x14ac:dyDescent="0.25">
      <c r="A3546" s="75">
        <v>32</v>
      </c>
      <c r="C3546" s="75" t="s">
        <v>10</v>
      </c>
      <c r="D3546" s="75">
        <v>126</v>
      </c>
      <c r="F3546" s="75" t="s">
        <v>10</v>
      </c>
      <c r="H3546" s="75" t="s">
        <v>10</v>
      </c>
      <c r="I3546" s="75">
        <v>19489</v>
      </c>
      <c r="K3546" s="75" t="str">
        <f>IFERROR(VLOOKUP(J3546,'NQ10'!$B$9:$C$145,2,0),"")</f>
        <v/>
      </c>
    </row>
    <row r="3547" spans="1:11" ht="15" customHeight="1" x14ac:dyDescent="0.25">
      <c r="A3547" s="75">
        <v>32</v>
      </c>
      <c r="C3547" s="75" t="s">
        <v>10</v>
      </c>
      <c r="D3547" s="75">
        <v>264</v>
      </c>
      <c r="F3547" s="75" t="s">
        <v>10</v>
      </c>
      <c r="H3547" s="75" t="s">
        <v>10</v>
      </c>
      <c r="I3547" s="75">
        <v>19489</v>
      </c>
      <c r="K3547" s="75" t="str">
        <f>IFERROR(VLOOKUP(J3547,'NQ10'!$B$9:$C$145,2,0),"")</f>
        <v/>
      </c>
    </row>
    <row r="3548" spans="1:11" ht="15" customHeight="1" x14ac:dyDescent="0.25">
      <c r="A3548" s="75">
        <v>32</v>
      </c>
      <c r="C3548" s="75" t="s">
        <v>10</v>
      </c>
      <c r="D3548" s="75">
        <v>3930</v>
      </c>
      <c r="F3548" s="75" t="s">
        <v>10</v>
      </c>
      <c r="H3548" s="75" t="s">
        <v>10</v>
      </c>
      <c r="I3548" s="75">
        <v>19489</v>
      </c>
      <c r="K3548" s="75" t="str">
        <f>IFERROR(VLOOKUP(J3548,'NQ10'!$B$9:$C$145,2,0),"")</f>
        <v/>
      </c>
    </row>
    <row r="3549" spans="1:11" ht="15" customHeight="1" x14ac:dyDescent="0.25">
      <c r="A3549" s="75">
        <v>32</v>
      </c>
      <c r="C3549" s="75" t="s">
        <v>10</v>
      </c>
      <c r="D3549" s="75">
        <v>367</v>
      </c>
      <c r="F3549" s="75" t="s">
        <v>10</v>
      </c>
      <c r="H3549" s="75" t="s">
        <v>10</v>
      </c>
      <c r="I3549" s="75">
        <v>19489</v>
      </c>
      <c r="K3549" s="75" t="str">
        <f>IFERROR(VLOOKUP(J3549,'NQ10'!$B$9:$C$145,2,0),"")</f>
        <v/>
      </c>
    </row>
    <row r="3550" spans="1:11" ht="15" customHeight="1" x14ac:dyDescent="0.25">
      <c r="A3550" s="75">
        <v>32</v>
      </c>
      <c r="C3550" s="75" t="s">
        <v>10</v>
      </c>
      <c r="D3550" s="75">
        <v>7340</v>
      </c>
      <c r="F3550" s="75" t="s">
        <v>10</v>
      </c>
      <c r="H3550" s="75" t="s">
        <v>10</v>
      </c>
      <c r="I3550" s="75">
        <v>19489</v>
      </c>
      <c r="K3550" s="75" t="str">
        <f>IFERROR(VLOOKUP(J3550,'NQ10'!$B$9:$C$145,2,0),"")</f>
        <v/>
      </c>
    </row>
    <row r="3551" spans="1:11" ht="15" customHeight="1" x14ac:dyDescent="0.25">
      <c r="A3551" s="75">
        <v>32</v>
      </c>
      <c r="C3551" s="75" t="s">
        <v>10</v>
      </c>
      <c r="D3551" s="75">
        <v>2747</v>
      </c>
      <c r="F3551" s="75" t="s">
        <v>10</v>
      </c>
      <c r="H3551" s="75" t="s">
        <v>10</v>
      </c>
      <c r="I3551" s="75">
        <v>19489</v>
      </c>
      <c r="K3551" s="75" t="str">
        <f>IFERROR(VLOOKUP(J3551,'NQ10'!$B$9:$C$145,2,0),"")</f>
        <v/>
      </c>
    </row>
    <row r="3552" spans="1:11" ht="15" customHeight="1" x14ac:dyDescent="0.25">
      <c r="A3552" s="75">
        <v>32</v>
      </c>
      <c r="C3552" s="75" t="s">
        <v>10</v>
      </c>
      <c r="D3552" s="75">
        <v>288</v>
      </c>
      <c r="F3552" s="75" t="s">
        <v>10</v>
      </c>
      <c r="H3552" s="75" t="s">
        <v>10</v>
      </c>
      <c r="I3552" s="75">
        <v>19489</v>
      </c>
      <c r="K3552" s="75" t="str">
        <f>IFERROR(VLOOKUP(J3552,'NQ10'!$B$9:$C$145,2,0),"")</f>
        <v/>
      </c>
    </row>
    <row r="3553" spans="1:11" ht="15" customHeight="1" x14ac:dyDescent="0.25">
      <c r="A3553" s="75">
        <v>32</v>
      </c>
      <c r="C3553" s="75" t="s">
        <v>10</v>
      </c>
      <c r="D3553" s="75">
        <v>2814</v>
      </c>
      <c r="F3553" s="75" t="s">
        <v>10</v>
      </c>
      <c r="H3553" s="75" t="s">
        <v>10</v>
      </c>
      <c r="I3553" s="75">
        <v>19489</v>
      </c>
      <c r="K3553" s="75" t="str">
        <f>IFERROR(VLOOKUP(J3553,'NQ10'!$B$9:$C$145,2,0),"")</f>
        <v/>
      </c>
    </row>
    <row r="3554" spans="1:11" ht="15" customHeight="1" x14ac:dyDescent="0.25">
      <c r="A3554" s="75">
        <v>32</v>
      </c>
      <c r="C3554" s="75" t="s">
        <v>10</v>
      </c>
      <c r="D3554" s="75">
        <v>1021</v>
      </c>
      <c r="F3554" s="75" t="s">
        <v>10</v>
      </c>
      <c r="H3554" s="75" t="s">
        <v>10</v>
      </c>
      <c r="I3554" s="75">
        <v>19489</v>
      </c>
      <c r="K3554" s="75" t="str">
        <f>IFERROR(VLOOKUP(J3554,'NQ10'!$B$9:$C$145,2,0),"")</f>
        <v/>
      </c>
    </row>
    <row r="3555" spans="1:11" ht="15" customHeight="1" x14ac:dyDescent="0.25">
      <c r="A3555" s="75">
        <v>32</v>
      </c>
      <c r="C3555" s="75" t="s">
        <v>10</v>
      </c>
      <c r="D3555" s="75">
        <v>1373</v>
      </c>
      <c r="F3555" s="75" t="s">
        <v>10</v>
      </c>
      <c r="H3555" s="75" t="s">
        <v>10</v>
      </c>
      <c r="I3555" s="75">
        <v>19489</v>
      </c>
      <c r="K3555" s="75" t="str">
        <f>IFERROR(VLOOKUP(J3555,'NQ10'!$B$9:$C$145,2,0),"")</f>
        <v/>
      </c>
    </row>
    <row r="3556" spans="1:11" ht="15" customHeight="1" x14ac:dyDescent="0.25">
      <c r="A3556" s="75">
        <v>32</v>
      </c>
      <c r="C3556" s="75" t="s">
        <v>10</v>
      </c>
      <c r="D3556" s="75">
        <v>1160</v>
      </c>
      <c r="F3556" s="75" t="s">
        <v>10</v>
      </c>
      <c r="H3556" s="75" t="s">
        <v>10</v>
      </c>
      <c r="I3556" s="75">
        <v>19489</v>
      </c>
      <c r="K3556" s="75" t="str">
        <f>IFERROR(VLOOKUP(J3556,'NQ10'!$B$9:$C$145,2,0),"")</f>
        <v/>
      </c>
    </row>
    <row r="3557" spans="1:11" ht="15" customHeight="1" x14ac:dyDescent="0.25">
      <c r="A3557" s="75">
        <v>32</v>
      </c>
      <c r="C3557" s="75" t="s">
        <v>10</v>
      </c>
      <c r="D3557" s="75">
        <v>3769</v>
      </c>
      <c r="F3557" s="75" t="s">
        <v>10</v>
      </c>
      <c r="H3557" s="75" t="s">
        <v>10</v>
      </c>
      <c r="I3557" s="75">
        <v>19489</v>
      </c>
      <c r="K3557" s="75" t="str">
        <f>IFERROR(VLOOKUP(J3557,'NQ10'!$B$9:$C$145,2,0),"")</f>
        <v/>
      </c>
    </row>
    <row r="3558" spans="1:11" ht="15" customHeight="1" x14ac:dyDescent="0.25">
      <c r="A3558" s="75">
        <v>32</v>
      </c>
      <c r="C3558" s="75" t="s">
        <v>10</v>
      </c>
      <c r="D3558" s="75">
        <v>283</v>
      </c>
      <c r="F3558" s="75" t="s">
        <v>10</v>
      </c>
      <c r="H3558" s="75" t="s">
        <v>10</v>
      </c>
      <c r="I3558" s="75">
        <v>19489</v>
      </c>
      <c r="K3558" s="75" t="str">
        <f>IFERROR(VLOOKUP(J3558,'NQ10'!$B$9:$C$145,2,0),"")</f>
        <v/>
      </c>
    </row>
    <row r="3559" spans="1:11" ht="15" customHeight="1" x14ac:dyDescent="0.25">
      <c r="A3559" s="75">
        <v>32</v>
      </c>
      <c r="C3559" s="75" t="s">
        <v>10</v>
      </c>
      <c r="D3559" s="75">
        <v>1330</v>
      </c>
      <c r="F3559" s="75" t="s">
        <v>10</v>
      </c>
      <c r="H3559" s="75" t="s">
        <v>10</v>
      </c>
      <c r="I3559" s="75">
        <v>19489</v>
      </c>
      <c r="K3559" s="75" t="str">
        <f>IFERROR(VLOOKUP(J3559,'NQ10'!$B$9:$C$145,2,0),"")</f>
        <v/>
      </c>
    </row>
    <row r="3560" spans="1:11" ht="15" customHeight="1" x14ac:dyDescent="0.25">
      <c r="A3560" s="75">
        <v>32</v>
      </c>
      <c r="C3560" s="75" t="s">
        <v>10</v>
      </c>
      <c r="D3560" s="75">
        <v>99</v>
      </c>
      <c r="F3560" s="75" t="s">
        <v>10</v>
      </c>
      <c r="H3560" s="75" t="s">
        <v>10</v>
      </c>
      <c r="I3560" s="75">
        <v>19489</v>
      </c>
      <c r="K3560" s="75" t="str">
        <f>IFERROR(VLOOKUP(J3560,'NQ10'!$B$9:$C$145,2,0),"")</f>
        <v/>
      </c>
    </row>
    <row r="3561" spans="1:11" ht="15" customHeight="1" x14ac:dyDescent="0.25">
      <c r="A3561" s="75">
        <v>32</v>
      </c>
      <c r="C3561" s="75" t="s">
        <v>10</v>
      </c>
      <c r="D3561" s="75">
        <v>268</v>
      </c>
      <c r="F3561" s="75" t="s">
        <v>10</v>
      </c>
      <c r="H3561" s="75" t="s">
        <v>10</v>
      </c>
      <c r="I3561" s="75">
        <v>19489</v>
      </c>
      <c r="K3561" s="75" t="str">
        <f>IFERROR(VLOOKUP(J3561,'NQ10'!$B$9:$C$145,2,0),"")</f>
        <v/>
      </c>
    </row>
    <row r="3562" spans="1:11" ht="15" customHeight="1" x14ac:dyDescent="0.25">
      <c r="A3562" s="75">
        <v>32</v>
      </c>
      <c r="C3562" s="75" t="s">
        <v>10</v>
      </c>
      <c r="D3562" s="75">
        <v>211</v>
      </c>
      <c r="F3562" s="75" t="s">
        <v>10</v>
      </c>
      <c r="H3562" s="75" t="s">
        <v>10</v>
      </c>
      <c r="I3562" s="75">
        <v>19489</v>
      </c>
      <c r="K3562" s="75" t="str">
        <f>IFERROR(VLOOKUP(J3562,'NQ10'!$B$9:$C$145,2,0),"")</f>
        <v/>
      </c>
    </row>
    <row r="3563" spans="1:11" ht="15" customHeight="1" x14ac:dyDescent="0.25">
      <c r="A3563" s="75">
        <v>32</v>
      </c>
      <c r="C3563" s="75" t="s">
        <v>10</v>
      </c>
      <c r="D3563" s="75">
        <v>139</v>
      </c>
      <c r="F3563" s="75" t="s">
        <v>10</v>
      </c>
      <c r="H3563" s="75" t="s">
        <v>10</v>
      </c>
      <c r="I3563" s="75">
        <v>19489</v>
      </c>
      <c r="K3563" s="75" t="str">
        <f>IFERROR(VLOOKUP(J3563,'NQ10'!$B$9:$C$145,2,0),"")</f>
        <v/>
      </c>
    </row>
    <row r="3564" spans="1:11" ht="15" customHeight="1" x14ac:dyDescent="0.25">
      <c r="A3564" s="75">
        <v>32</v>
      </c>
      <c r="C3564" s="75" t="s">
        <v>10</v>
      </c>
      <c r="D3564" s="75">
        <v>457</v>
      </c>
      <c r="F3564" s="75" t="s">
        <v>10</v>
      </c>
      <c r="H3564" s="75" t="s">
        <v>10</v>
      </c>
      <c r="I3564" s="75">
        <v>19489</v>
      </c>
      <c r="K3564" s="75" t="str">
        <f>IFERROR(VLOOKUP(J3564,'NQ10'!$B$9:$C$145,2,0),"")</f>
        <v/>
      </c>
    </row>
    <row r="3565" spans="1:11" ht="15" customHeight="1" x14ac:dyDescent="0.25">
      <c r="A3565" s="75">
        <v>32</v>
      </c>
      <c r="C3565" s="75" t="s">
        <v>10</v>
      </c>
      <c r="D3565" s="75">
        <v>596</v>
      </c>
      <c r="F3565" s="75" t="s">
        <v>10</v>
      </c>
      <c r="H3565" s="75" t="s">
        <v>10</v>
      </c>
      <c r="I3565" s="75">
        <v>19489</v>
      </c>
      <c r="K3565" s="75" t="str">
        <f>IFERROR(VLOOKUP(J3565,'NQ10'!$B$9:$C$145,2,0),"")</f>
        <v/>
      </c>
    </row>
    <row r="3566" spans="1:11" ht="15" customHeight="1" x14ac:dyDescent="0.25">
      <c r="A3566" s="75">
        <v>32</v>
      </c>
      <c r="C3566" s="75" t="s">
        <v>10</v>
      </c>
      <c r="D3566" s="75">
        <v>279</v>
      </c>
      <c r="F3566" s="75" t="s">
        <v>10</v>
      </c>
      <c r="H3566" s="75" t="s">
        <v>10</v>
      </c>
      <c r="I3566" s="75">
        <v>19489</v>
      </c>
      <c r="K3566" s="75" t="str">
        <f>IFERROR(VLOOKUP(J3566,'NQ10'!$B$9:$C$145,2,0),"")</f>
        <v/>
      </c>
    </row>
    <row r="3567" spans="1:11" ht="15" customHeight="1" x14ac:dyDescent="0.25">
      <c r="A3567" s="75">
        <v>32</v>
      </c>
      <c r="C3567" s="75" t="s">
        <v>10</v>
      </c>
      <c r="D3567" s="75">
        <v>5760</v>
      </c>
      <c r="F3567" s="75" t="s">
        <v>10</v>
      </c>
      <c r="H3567" s="75" t="s">
        <v>10</v>
      </c>
      <c r="I3567" s="75">
        <v>19489</v>
      </c>
      <c r="K3567" s="75" t="str">
        <f>IFERROR(VLOOKUP(J3567,'NQ10'!$B$9:$C$145,2,0),"")</f>
        <v/>
      </c>
    </row>
    <row r="3568" spans="1:11" ht="15" customHeight="1" x14ac:dyDescent="0.25">
      <c r="A3568" s="75">
        <v>32</v>
      </c>
      <c r="C3568" s="75" t="s">
        <v>10</v>
      </c>
      <c r="D3568" s="75">
        <v>97</v>
      </c>
      <c r="F3568" s="75" t="s">
        <v>10</v>
      </c>
      <c r="H3568" s="75" t="s">
        <v>10</v>
      </c>
      <c r="I3568" s="75">
        <v>19489</v>
      </c>
      <c r="K3568" s="75" t="str">
        <f>IFERROR(VLOOKUP(J3568,'NQ10'!$B$9:$C$145,2,0),"")</f>
        <v/>
      </c>
    </row>
    <row r="3569" spans="1:11" ht="15" customHeight="1" x14ac:dyDescent="0.25">
      <c r="A3569" s="75">
        <v>32</v>
      </c>
      <c r="C3569" s="75" t="s">
        <v>10</v>
      </c>
      <c r="D3569" s="75">
        <v>97</v>
      </c>
      <c r="F3569" s="75" t="s">
        <v>10</v>
      </c>
      <c r="H3569" s="75" t="s">
        <v>10</v>
      </c>
      <c r="I3569" s="75">
        <v>19489</v>
      </c>
      <c r="K3569" s="75" t="str">
        <f>IFERROR(VLOOKUP(J3569,'NQ10'!$B$9:$C$145,2,0),"")</f>
        <v/>
      </c>
    </row>
    <row r="3570" spans="1:11" ht="15" customHeight="1" x14ac:dyDescent="0.25">
      <c r="A3570" s="75">
        <v>32</v>
      </c>
      <c r="C3570" s="75" t="s">
        <v>10</v>
      </c>
      <c r="D3570" s="75">
        <v>12672</v>
      </c>
      <c r="F3570" s="75" t="s">
        <v>10</v>
      </c>
      <c r="H3570" s="75" t="s">
        <v>10</v>
      </c>
      <c r="I3570" s="75">
        <v>19489</v>
      </c>
      <c r="K3570" s="75" t="str">
        <f>IFERROR(VLOOKUP(J3570,'NQ10'!$B$9:$C$145,2,0),"")</f>
        <v/>
      </c>
    </row>
    <row r="3571" spans="1:11" ht="15" customHeight="1" x14ac:dyDescent="0.25">
      <c r="A3571" s="75">
        <v>32</v>
      </c>
      <c r="C3571" s="75" t="s">
        <v>10</v>
      </c>
      <c r="D3571" s="75">
        <v>168</v>
      </c>
      <c r="F3571" s="75" t="s">
        <v>10</v>
      </c>
      <c r="H3571" s="75" t="s">
        <v>10</v>
      </c>
      <c r="I3571" s="75">
        <v>19489</v>
      </c>
      <c r="K3571" s="75" t="str">
        <f>IFERROR(VLOOKUP(J3571,'NQ10'!$B$9:$C$145,2,0),"")</f>
        <v/>
      </c>
    </row>
    <row r="3572" spans="1:11" ht="15" customHeight="1" x14ac:dyDescent="0.25">
      <c r="A3572" s="75">
        <v>32</v>
      </c>
      <c r="C3572" s="75" t="s">
        <v>10</v>
      </c>
      <c r="D3572" s="75">
        <v>499</v>
      </c>
      <c r="F3572" s="75" t="s">
        <v>10</v>
      </c>
      <c r="H3572" s="75" t="s">
        <v>10</v>
      </c>
      <c r="I3572" s="75">
        <v>19489</v>
      </c>
      <c r="K3572" s="75" t="str">
        <f>IFERROR(VLOOKUP(J3572,'NQ10'!$B$9:$C$145,2,0),"")</f>
        <v/>
      </c>
    </row>
    <row r="3573" spans="1:11" ht="15" customHeight="1" x14ac:dyDescent="0.25">
      <c r="A3573" s="75">
        <v>32</v>
      </c>
      <c r="C3573" s="75" t="s">
        <v>10</v>
      </c>
      <c r="D3573" s="75">
        <v>302</v>
      </c>
      <c r="F3573" s="75" t="s">
        <v>10</v>
      </c>
      <c r="H3573" s="75" t="s">
        <v>10</v>
      </c>
      <c r="I3573" s="75">
        <v>19489</v>
      </c>
      <c r="K3573" s="75" t="str">
        <f>IFERROR(VLOOKUP(J3573,'NQ10'!$B$9:$C$145,2,0),"")</f>
        <v/>
      </c>
    </row>
    <row r="3574" spans="1:11" ht="15" customHeight="1" x14ac:dyDescent="0.25">
      <c r="A3574" s="75">
        <v>32</v>
      </c>
      <c r="C3574" s="75" t="s">
        <v>10</v>
      </c>
      <c r="D3574" s="75">
        <v>557</v>
      </c>
      <c r="F3574" s="75" t="s">
        <v>10</v>
      </c>
      <c r="H3574" s="75" t="s">
        <v>10</v>
      </c>
      <c r="I3574" s="75">
        <v>19489</v>
      </c>
      <c r="K3574" s="75" t="str">
        <f>IFERROR(VLOOKUP(J3574,'NQ10'!$B$9:$C$145,2,0),"")</f>
        <v/>
      </c>
    </row>
    <row r="3575" spans="1:11" ht="15" customHeight="1" x14ac:dyDescent="0.25">
      <c r="A3575" s="75">
        <v>32</v>
      </c>
      <c r="C3575" s="75" t="s">
        <v>10</v>
      </c>
      <c r="D3575" s="75">
        <v>183</v>
      </c>
      <c r="F3575" s="75" t="s">
        <v>10</v>
      </c>
      <c r="H3575" s="75" t="s">
        <v>10</v>
      </c>
      <c r="I3575" s="75">
        <v>19489</v>
      </c>
      <c r="K3575" s="75" t="str">
        <f>IFERROR(VLOOKUP(J3575,'NQ10'!$B$9:$C$145,2,0),"")</f>
        <v/>
      </c>
    </row>
    <row r="3576" spans="1:11" ht="15" customHeight="1" x14ac:dyDescent="0.25">
      <c r="A3576" s="75">
        <v>32</v>
      </c>
      <c r="C3576" s="75" t="s">
        <v>10</v>
      </c>
      <c r="D3576" s="75">
        <v>0</v>
      </c>
      <c r="F3576" s="75" t="s">
        <v>10</v>
      </c>
      <c r="H3576" s="75" t="s">
        <v>10</v>
      </c>
      <c r="I3576" s="75">
        <v>19489</v>
      </c>
      <c r="K3576" s="75" t="str">
        <f>IFERROR(VLOOKUP(J3576,'NQ10'!$B$9:$C$145,2,0),"")</f>
        <v/>
      </c>
    </row>
    <row r="3577" spans="1:11" ht="15" customHeight="1" x14ac:dyDescent="0.25">
      <c r="A3577" s="75">
        <v>32</v>
      </c>
      <c r="C3577" s="75" t="s">
        <v>10</v>
      </c>
      <c r="D3577" s="75">
        <v>3169</v>
      </c>
      <c r="F3577" s="75" t="s">
        <v>10</v>
      </c>
      <c r="H3577" s="75" t="s">
        <v>10</v>
      </c>
      <c r="I3577" s="75">
        <v>19489</v>
      </c>
      <c r="K3577" s="75" t="str">
        <f>IFERROR(VLOOKUP(J3577,'NQ10'!$B$9:$C$145,2,0),"")</f>
        <v/>
      </c>
    </row>
    <row r="3578" spans="1:11" ht="15" customHeight="1" x14ac:dyDescent="0.25">
      <c r="A3578" s="75">
        <v>32</v>
      </c>
      <c r="C3578" s="75" t="s">
        <v>10</v>
      </c>
      <c r="D3578" s="75">
        <v>1001</v>
      </c>
      <c r="F3578" s="75" t="s">
        <v>10</v>
      </c>
      <c r="H3578" s="75" t="s">
        <v>10</v>
      </c>
      <c r="I3578" s="75">
        <v>19489</v>
      </c>
      <c r="K3578" s="75" t="str">
        <f>IFERROR(VLOOKUP(J3578,'NQ10'!$B$9:$C$145,2,0),"")</f>
        <v/>
      </c>
    </row>
    <row r="3579" spans="1:11" ht="15" customHeight="1" x14ac:dyDescent="0.25">
      <c r="A3579" s="75">
        <v>32</v>
      </c>
      <c r="C3579" s="75" t="s">
        <v>10</v>
      </c>
      <c r="D3579" s="75">
        <v>416</v>
      </c>
      <c r="F3579" s="75" t="s">
        <v>10</v>
      </c>
      <c r="H3579" s="75" t="s">
        <v>10</v>
      </c>
      <c r="I3579" s="75">
        <v>19489</v>
      </c>
      <c r="K3579" s="75" t="str">
        <f>IFERROR(VLOOKUP(J3579,'NQ10'!$B$9:$C$145,2,0),"")</f>
        <v/>
      </c>
    </row>
    <row r="3580" spans="1:11" ht="15" customHeight="1" x14ac:dyDescent="0.25">
      <c r="A3580" s="75">
        <v>32</v>
      </c>
      <c r="C3580" s="75" t="s">
        <v>10</v>
      </c>
      <c r="D3580" s="75">
        <v>173</v>
      </c>
      <c r="F3580" s="75" t="s">
        <v>10</v>
      </c>
      <c r="H3580" s="75" t="s">
        <v>10</v>
      </c>
      <c r="I3580" s="75">
        <v>19489</v>
      </c>
      <c r="K3580" s="75" t="str">
        <f>IFERROR(VLOOKUP(J3580,'NQ10'!$B$9:$C$145,2,0),"")</f>
        <v/>
      </c>
    </row>
    <row r="3581" spans="1:11" ht="15" customHeight="1" x14ac:dyDescent="0.25">
      <c r="A3581" s="75">
        <v>32</v>
      </c>
      <c r="C3581" s="75" t="s">
        <v>10</v>
      </c>
      <c r="D3581" s="75">
        <v>7276</v>
      </c>
      <c r="F3581" s="75" t="s">
        <v>10</v>
      </c>
      <c r="H3581" s="75" t="s">
        <v>10</v>
      </c>
      <c r="I3581" s="75">
        <v>19489</v>
      </c>
      <c r="K3581" s="75" t="str">
        <f>IFERROR(VLOOKUP(J3581,'NQ10'!$B$9:$C$145,2,0),"")</f>
        <v/>
      </c>
    </row>
    <row r="3582" spans="1:11" ht="15" customHeight="1" x14ac:dyDescent="0.25">
      <c r="A3582" s="75">
        <v>32</v>
      </c>
      <c r="C3582" s="75" t="s">
        <v>10</v>
      </c>
      <c r="D3582" s="75">
        <v>135</v>
      </c>
      <c r="F3582" s="75" t="s">
        <v>10</v>
      </c>
      <c r="H3582" s="75" t="s">
        <v>10</v>
      </c>
      <c r="I3582" s="75">
        <v>19489</v>
      </c>
      <c r="K3582" s="75" t="str">
        <f>IFERROR(VLOOKUP(J3582,'NQ10'!$B$9:$C$145,2,0),"")</f>
        <v/>
      </c>
    </row>
    <row r="3583" spans="1:11" ht="15" customHeight="1" x14ac:dyDescent="0.25">
      <c r="A3583" s="75">
        <v>32</v>
      </c>
      <c r="C3583" s="75" t="s">
        <v>10</v>
      </c>
      <c r="D3583" s="75">
        <v>280</v>
      </c>
      <c r="F3583" s="75" t="s">
        <v>10</v>
      </c>
      <c r="H3583" s="75" t="s">
        <v>10</v>
      </c>
      <c r="I3583" s="75">
        <v>19489</v>
      </c>
      <c r="K3583" s="75" t="str">
        <f>IFERROR(VLOOKUP(J3583,'NQ10'!$B$9:$C$145,2,0),"")</f>
        <v/>
      </c>
    </row>
    <row r="3584" spans="1:11" ht="15" customHeight="1" x14ac:dyDescent="0.25">
      <c r="A3584" s="75">
        <v>32</v>
      </c>
      <c r="C3584" s="75" t="s">
        <v>10</v>
      </c>
      <c r="D3584" s="75">
        <v>1492</v>
      </c>
      <c r="F3584" s="75" t="s">
        <v>10</v>
      </c>
      <c r="H3584" s="75" t="s">
        <v>10</v>
      </c>
      <c r="I3584" s="75">
        <v>19489</v>
      </c>
      <c r="K3584" s="75" t="str">
        <f>IFERROR(VLOOKUP(J3584,'NQ10'!$B$9:$C$145,2,0),"")</f>
        <v/>
      </c>
    </row>
    <row r="3585" spans="1:11" ht="15" customHeight="1" x14ac:dyDescent="0.25">
      <c r="A3585" s="75">
        <v>32</v>
      </c>
      <c r="B3585" s="75">
        <v>2</v>
      </c>
      <c r="C3585" s="75" t="s">
        <v>10</v>
      </c>
      <c r="D3585" s="75">
        <v>15716</v>
      </c>
      <c r="F3585" s="75" t="s">
        <v>10</v>
      </c>
      <c r="H3585" s="75" t="s">
        <v>10</v>
      </c>
      <c r="I3585" s="75">
        <v>19489</v>
      </c>
      <c r="K3585" s="75" t="str">
        <f>IFERROR(VLOOKUP(J3585,'NQ10'!$B$9:$C$145,2,0),"")</f>
        <v/>
      </c>
    </row>
    <row r="3586" spans="1:11" ht="15" customHeight="1" x14ac:dyDescent="0.25">
      <c r="A3586" s="75">
        <v>32</v>
      </c>
      <c r="B3586" s="75">
        <v>3</v>
      </c>
      <c r="C3586" s="75" t="s">
        <v>10</v>
      </c>
      <c r="D3586" s="75">
        <v>8292</v>
      </c>
      <c r="F3586" s="75" t="s">
        <v>10</v>
      </c>
      <c r="H3586" s="75" t="s">
        <v>10</v>
      </c>
      <c r="I3586" s="75">
        <v>19489</v>
      </c>
      <c r="K3586" s="75" t="str">
        <f>IFERROR(VLOOKUP(J3586,'NQ10'!$B$9:$C$145,2,0),"")</f>
        <v/>
      </c>
    </row>
    <row r="3587" spans="1:11" ht="15" customHeight="1" x14ac:dyDescent="0.25">
      <c r="A3587" s="75">
        <v>32</v>
      </c>
      <c r="B3587" s="75">
        <v>4</v>
      </c>
      <c r="C3587" s="75" t="s">
        <v>10</v>
      </c>
      <c r="D3587" s="75">
        <v>5769</v>
      </c>
      <c r="F3587" s="75" t="s">
        <v>10</v>
      </c>
      <c r="H3587" s="75" t="s">
        <v>10</v>
      </c>
      <c r="I3587" s="75">
        <v>19489</v>
      </c>
      <c r="K3587" s="75" t="str">
        <f>IFERROR(VLOOKUP(J3587,'NQ10'!$B$9:$C$145,2,0),"")</f>
        <v/>
      </c>
    </row>
    <row r="3588" spans="1:11" ht="15" customHeight="1" x14ac:dyDescent="0.25">
      <c r="A3588" s="75">
        <v>32</v>
      </c>
      <c r="B3588" s="75">
        <v>5</v>
      </c>
      <c r="C3588" s="75" t="s">
        <v>10</v>
      </c>
      <c r="D3588" s="75">
        <v>127</v>
      </c>
      <c r="F3588" s="75" t="s">
        <v>10</v>
      </c>
      <c r="H3588" s="75" t="s">
        <v>10</v>
      </c>
      <c r="I3588" s="75">
        <v>19489</v>
      </c>
      <c r="K3588" s="75" t="str">
        <f>IFERROR(VLOOKUP(J3588,'NQ10'!$B$9:$C$145,2,0),"")</f>
        <v/>
      </c>
    </row>
    <row r="3589" spans="1:11" ht="15" customHeight="1" x14ac:dyDescent="0.25">
      <c r="A3589" s="75">
        <v>32</v>
      </c>
      <c r="B3589" s="75">
        <v>6</v>
      </c>
      <c r="C3589" s="75" t="s">
        <v>10</v>
      </c>
      <c r="D3589" s="75">
        <v>10453</v>
      </c>
      <c r="F3589" s="75" t="s">
        <v>10</v>
      </c>
      <c r="H3589" s="75" t="s">
        <v>10</v>
      </c>
      <c r="I3589" s="75">
        <v>19489</v>
      </c>
      <c r="K3589" s="75" t="str">
        <f>IFERROR(VLOOKUP(J3589,'NQ10'!$B$9:$C$145,2,0),"")</f>
        <v/>
      </c>
    </row>
    <row r="3590" spans="1:11" ht="15" customHeight="1" x14ac:dyDescent="0.25">
      <c r="A3590" s="75">
        <v>32</v>
      </c>
      <c r="B3590" s="75">
        <v>7</v>
      </c>
      <c r="C3590" s="75" t="s">
        <v>10</v>
      </c>
      <c r="D3590" s="75">
        <v>3538</v>
      </c>
      <c r="F3590" s="75" t="s">
        <v>10</v>
      </c>
      <c r="H3590" s="75" t="s">
        <v>10</v>
      </c>
      <c r="I3590" s="75">
        <v>19489</v>
      </c>
      <c r="K3590" s="75" t="str">
        <f>IFERROR(VLOOKUP(J3590,'NQ10'!$B$9:$C$145,2,0),"")</f>
        <v/>
      </c>
    </row>
    <row r="3591" spans="1:11" ht="15" customHeight="1" x14ac:dyDescent="0.25">
      <c r="A3591" s="75">
        <v>32</v>
      </c>
      <c r="B3591" s="75">
        <v>8</v>
      </c>
      <c r="C3591" s="75" t="s">
        <v>10</v>
      </c>
      <c r="D3591" s="75">
        <v>133</v>
      </c>
      <c r="F3591" s="75" t="s">
        <v>10</v>
      </c>
      <c r="H3591" s="75" t="s">
        <v>10</v>
      </c>
      <c r="I3591" s="75">
        <v>19489</v>
      </c>
      <c r="K3591" s="75" t="str">
        <f>IFERROR(VLOOKUP(J3591,'NQ10'!$B$9:$C$145,2,0),"")</f>
        <v/>
      </c>
    </row>
    <row r="3592" spans="1:11" ht="15" customHeight="1" x14ac:dyDescent="0.25">
      <c r="A3592" s="75">
        <v>32</v>
      </c>
      <c r="B3592" s="75">
        <v>9</v>
      </c>
      <c r="C3592" s="75" t="s">
        <v>10</v>
      </c>
      <c r="D3592" s="75">
        <v>7135</v>
      </c>
      <c r="F3592" s="75" t="s">
        <v>10</v>
      </c>
      <c r="H3592" s="75" t="s">
        <v>10</v>
      </c>
      <c r="I3592" s="75">
        <v>19489</v>
      </c>
      <c r="K3592" s="75" t="str">
        <f>IFERROR(VLOOKUP(J3592,'NQ10'!$B$9:$C$145,2,0),"")</f>
        <v/>
      </c>
    </row>
    <row r="3593" spans="1:11" ht="15" customHeight="1" x14ac:dyDescent="0.25">
      <c r="A3593" s="75">
        <v>32</v>
      </c>
      <c r="B3593" s="75">
        <v>11</v>
      </c>
      <c r="C3593" s="75" t="s">
        <v>10</v>
      </c>
      <c r="D3593" s="75">
        <v>8407</v>
      </c>
      <c r="F3593" s="75" t="s">
        <v>10</v>
      </c>
      <c r="H3593" s="75" t="s">
        <v>10</v>
      </c>
      <c r="I3593" s="75">
        <v>19489</v>
      </c>
      <c r="K3593" s="75" t="str">
        <f>IFERROR(VLOOKUP(J3593,'NQ10'!$B$9:$C$145,2,0),"")</f>
        <v/>
      </c>
    </row>
    <row r="3594" spans="1:11" ht="15" customHeight="1" x14ac:dyDescent="0.25">
      <c r="A3594" s="75">
        <v>32</v>
      </c>
      <c r="B3594" s="75">
        <v>12</v>
      </c>
      <c r="C3594" s="75" t="s">
        <v>10</v>
      </c>
      <c r="D3594" s="75">
        <v>4830</v>
      </c>
      <c r="F3594" s="75" t="s">
        <v>10</v>
      </c>
      <c r="H3594" s="75" t="s">
        <v>10</v>
      </c>
      <c r="I3594" s="75">
        <v>19489</v>
      </c>
      <c r="K3594" s="75" t="str">
        <f>IFERROR(VLOOKUP(J3594,'NQ10'!$B$9:$C$145,2,0),"")</f>
        <v/>
      </c>
    </row>
    <row r="3595" spans="1:11" ht="15" customHeight="1" x14ac:dyDescent="0.25">
      <c r="A3595" s="75">
        <v>32</v>
      </c>
      <c r="B3595" s="75">
        <v>13</v>
      </c>
      <c r="C3595" s="75" t="s">
        <v>10</v>
      </c>
      <c r="D3595" s="75">
        <v>1328</v>
      </c>
      <c r="F3595" s="75" t="s">
        <v>10</v>
      </c>
      <c r="H3595" s="75" t="s">
        <v>10</v>
      </c>
      <c r="I3595" s="75">
        <v>19489</v>
      </c>
      <c r="K3595" s="75" t="str">
        <f>IFERROR(VLOOKUP(J3595,'NQ10'!$B$9:$C$145,2,0),"")</f>
        <v/>
      </c>
    </row>
    <row r="3596" spans="1:11" ht="15" customHeight="1" x14ac:dyDescent="0.25">
      <c r="A3596" s="75">
        <v>32</v>
      </c>
      <c r="B3596" s="75">
        <v>15</v>
      </c>
      <c r="C3596" s="75" t="s">
        <v>10</v>
      </c>
      <c r="D3596" s="75">
        <v>4282</v>
      </c>
      <c r="F3596" s="75" t="s">
        <v>10</v>
      </c>
      <c r="H3596" s="75" t="s">
        <v>10</v>
      </c>
      <c r="I3596" s="75">
        <v>19489</v>
      </c>
      <c r="K3596" s="75" t="str">
        <f>IFERROR(VLOOKUP(J3596,'NQ10'!$B$9:$C$145,2,0),"")</f>
        <v/>
      </c>
    </row>
    <row r="3597" spans="1:11" ht="15" customHeight="1" x14ac:dyDescent="0.25">
      <c r="A3597" s="75">
        <v>32</v>
      </c>
      <c r="B3597" s="75">
        <v>17</v>
      </c>
      <c r="C3597" s="75" t="s">
        <v>10</v>
      </c>
      <c r="D3597" s="75">
        <v>1747</v>
      </c>
      <c r="F3597" s="75" t="s">
        <v>10</v>
      </c>
      <c r="H3597" s="75" t="s">
        <v>10</v>
      </c>
      <c r="I3597" s="75">
        <v>19489</v>
      </c>
      <c r="K3597" s="75" t="str">
        <f>IFERROR(VLOOKUP(J3597,'NQ10'!$B$9:$C$145,2,0),"")</f>
        <v/>
      </c>
    </row>
    <row r="3598" spans="1:11" ht="15" customHeight="1" x14ac:dyDescent="0.25">
      <c r="A3598" s="75">
        <v>32</v>
      </c>
      <c r="B3598" s="75">
        <v>19</v>
      </c>
      <c r="C3598" s="75" t="s">
        <v>10</v>
      </c>
      <c r="D3598" s="75">
        <v>2627</v>
      </c>
      <c r="F3598" s="75" t="s">
        <v>10</v>
      </c>
      <c r="H3598" s="75" t="s">
        <v>10</v>
      </c>
      <c r="I3598" s="75">
        <v>19489</v>
      </c>
      <c r="K3598" s="75" t="str">
        <f>IFERROR(VLOOKUP(J3598,'NQ10'!$B$9:$C$145,2,0),"")</f>
        <v/>
      </c>
    </row>
    <row r="3599" spans="1:11" ht="15" customHeight="1" x14ac:dyDescent="0.25">
      <c r="A3599" s="75">
        <v>32</v>
      </c>
      <c r="B3599" s="75">
        <v>20</v>
      </c>
      <c r="C3599" s="75" t="s">
        <v>10</v>
      </c>
      <c r="D3599" s="75">
        <v>4344</v>
      </c>
      <c r="F3599" s="75" t="s">
        <v>10</v>
      </c>
      <c r="H3599" s="75" t="s">
        <v>10</v>
      </c>
      <c r="I3599" s="75">
        <v>19489</v>
      </c>
      <c r="K3599" s="75" t="str">
        <f>IFERROR(VLOOKUP(J3599,'NQ10'!$B$9:$C$145,2,0),"")</f>
        <v/>
      </c>
    </row>
    <row r="3600" spans="1:11" ht="15" customHeight="1" x14ac:dyDescent="0.25">
      <c r="A3600" s="75">
        <v>32</v>
      </c>
      <c r="B3600" s="75">
        <v>21</v>
      </c>
      <c r="C3600" s="75" t="s">
        <v>10</v>
      </c>
      <c r="D3600" s="75">
        <v>16160</v>
      </c>
      <c r="F3600" s="75" t="s">
        <v>10</v>
      </c>
      <c r="H3600" s="75" t="s">
        <v>10</v>
      </c>
      <c r="I3600" s="75">
        <v>19489</v>
      </c>
      <c r="K3600" s="75" t="str">
        <f>IFERROR(VLOOKUP(J3600,'NQ10'!$B$9:$C$145,2,0),"")</f>
        <v/>
      </c>
    </row>
    <row r="3601" spans="1:11" ht="15" customHeight="1" x14ac:dyDescent="0.25">
      <c r="A3601" s="75">
        <v>32</v>
      </c>
      <c r="B3601" s="75">
        <v>22</v>
      </c>
      <c r="C3601" s="75" t="s">
        <v>10</v>
      </c>
      <c r="D3601" s="75">
        <v>7094</v>
      </c>
      <c r="F3601" s="75" t="s">
        <v>10</v>
      </c>
      <c r="H3601" s="75" t="s">
        <v>10</v>
      </c>
      <c r="I3601" s="75">
        <v>19489</v>
      </c>
      <c r="K3601" s="75" t="str">
        <f>IFERROR(VLOOKUP(J3601,'NQ10'!$B$9:$C$145,2,0),"")</f>
        <v/>
      </c>
    </row>
    <row r="3602" spans="1:11" ht="15" customHeight="1" x14ac:dyDescent="0.25">
      <c r="A3602" s="75">
        <v>32</v>
      </c>
      <c r="B3602" s="75">
        <v>23</v>
      </c>
      <c r="C3602" s="75" t="s">
        <v>10</v>
      </c>
      <c r="D3602" s="75">
        <v>3824</v>
      </c>
      <c r="F3602" s="75" t="s">
        <v>10</v>
      </c>
      <c r="H3602" s="75" t="s">
        <v>10</v>
      </c>
      <c r="I3602" s="75">
        <v>19489</v>
      </c>
      <c r="K3602" s="75" t="str">
        <f>IFERROR(VLOOKUP(J3602,'NQ10'!$B$9:$C$145,2,0),"")</f>
        <v/>
      </c>
    </row>
    <row r="3603" spans="1:11" ht="15" customHeight="1" x14ac:dyDescent="0.25">
      <c r="A3603" s="75">
        <v>32</v>
      </c>
      <c r="B3603" s="75">
        <v>24</v>
      </c>
      <c r="C3603" s="75" t="s">
        <v>10</v>
      </c>
      <c r="D3603" s="75">
        <v>391</v>
      </c>
      <c r="F3603" s="75" t="s">
        <v>10</v>
      </c>
      <c r="H3603" s="75" t="s">
        <v>10</v>
      </c>
      <c r="I3603" s="75">
        <v>19489</v>
      </c>
      <c r="K3603" s="75" t="str">
        <f>IFERROR(VLOOKUP(J3603,'NQ10'!$B$9:$C$145,2,0),"")</f>
        <v/>
      </c>
    </row>
    <row r="3604" spans="1:11" ht="15" customHeight="1" x14ac:dyDescent="0.25">
      <c r="A3604" s="75">
        <v>32</v>
      </c>
      <c r="B3604" s="75">
        <v>26</v>
      </c>
      <c r="C3604" s="75" t="s">
        <v>10</v>
      </c>
      <c r="D3604" s="75">
        <v>971</v>
      </c>
      <c r="F3604" s="75" t="s">
        <v>10</v>
      </c>
      <c r="H3604" s="75" t="s">
        <v>10</v>
      </c>
      <c r="I3604" s="75">
        <v>19489</v>
      </c>
      <c r="K3604" s="75" t="str">
        <f>IFERROR(VLOOKUP(J3604,'NQ10'!$B$9:$C$145,2,0),"")</f>
        <v/>
      </c>
    </row>
    <row r="3605" spans="1:11" ht="15" customHeight="1" x14ac:dyDescent="0.25">
      <c r="A3605" s="75">
        <v>32</v>
      </c>
      <c r="B3605" s="75">
        <v>27</v>
      </c>
      <c r="C3605" s="75" t="s">
        <v>10</v>
      </c>
      <c r="D3605" s="75">
        <v>277</v>
      </c>
      <c r="F3605" s="75" t="s">
        <v>10</v>
      </c>
      <c r="H3605" s="75" t="s">
        <v>10</v>
      </c>
      <c r="I3605" s="75">
        <v>19489</v>
      </c>
      <c r="K3605" s="75" t="str">
        <f>IFERROR(VLOOKUP(J3605,'NQ10'!$B$9:$C$145,2,0),"")</f>
        <v/>
      </c>
    </row>
    <row r="3606" spans="1:11" ht="15" customHeight="1" x14ac:dyDescent="0.25">
      <c r="A3606" s="75">
        <v>32</v>
      </c>
      <c r="B3606" s="75">
        <v>29</v>
      </c>
      <c r="C3606" s="75" t="s">
        <v>10</v>
      </c>
      <c r="D3606" s="75">
        <v>6636</v>
      </c>
      <c r="F3606" s="75" t="s">
        <v>10</v>
      </c>
      <c r="H3606" s="75" t="s">
        <v>10</v>
      </c>
      <c r="I3606" s="75">
        <v>19489</v>
      </c>
      <c r="K3606" s="75" t="str">
        <f>IFERROR(VLOOKUP(J3606,'NQ10'!$B$9:$C$145,2,0),"")</f>
        <v/>
      </c>
    </row>
    <row r="3607" spans="1:11" ht="15" customHeight="1" x14ac:dyDescent="0.25">
      <c r="A3607" s="75">
        <v>32</v>
      </c>
      <c r="B3607" s="75">
        <v>30</v>
      </c>
      <c r="C3607" s="75" t="s">
        <v>10</v>
      </c>
      <c r="D3607" s="75">
        <v>3632</v>
      </c>
      <c r="F3607" s="75" t="s">
        <v>10</v>
      </c>
      <c r="H3607" s="75" t="s">
        <v>10</v>
      </c>
      <c r="I3607" s="75">
        <v>19489</v>
      </c>
      <c r="K3607" s="75" t="str">
        <f>IFERROR(VLOOKUP(J3607,'NQ10'!$B$9:$C$145,2,0),"")</f>
        <v/>
      </c>
    </row>
    <row r="3608" spans="1:11" ht="15" customHeight="1" x14ac:dyDescent="0.25">
      <c r="A3608" s="75">
        <v>32</v>
      </c>
      <c r="B3608" s="75">
        <v>31</v>
      </c>
      <c r="C3608" s="75" t="s">
        <v>10</v>
      </c>
      <c r="D3608" s="75">
        <v>2187</v>
      </c>
      <c r="F3608" s="75" t="s">
        <v>10</v>
      </c>
      <c r="H3608" s="75" t="s">
        <v>10</v>
      </c>
      <c r="I3608" s="75">
        <v>19489</v>
      </c>
      <c r="K3608" s="75" t="str">
        <f>IFERROR(VLOOKUP(J3608,'NQ10'!$B$9:$C$145,2,0),"")</f>
        <v/>
      </c>
    </row>
    <row r="3609" spans="1:11" ht="15" customHeight="1" x14ac:dyDescent="0.25">
      <c r="A3609" s="75">
        <v>32</v>
      </c>
      <c r="B3609" s="75">
        <v>32</v>
      </c>
      <c r="C3609" s="75" t="s">
        <v>10</v>
      </c>
      <c r="D3609" s="75">
        <v>2492</v>
      </c>
      <c r="F3609" s="75" t="s">
        <v>10</v>
      </c>
      <c r="H3609" s="75" t="s">
        <v>10</v>
      </c>
      <c r="I3609" s="75">
        <v>19489</v>
      </c>
      <c r="K3609" s="75" t="str">
        <f>IFERROR(VLOOKUP(J3609,'NQ10'!$B$9:$C$145,2,0),"")</f>
        <v/>
      </c>
    </row>
    <row r="3610" spans="1:11" ht="15" customHeight="1" x14ac:dyDescent="0.25">
      <c r="A3610" s="75">
        <v>32</v>
      </c>
      <c r="B3610" s="75">
        <v>33</v>
      </c>
      <c r="C3610" s="75" t="s">
        <v>10</v>
      </c>
      <c r="D3610" s="75">
        <v>5134</v>
      </c>
      <c r="F3610" s="75" t="s">
        <v>10</v>
      </c>
      <c r="H3610" s="75" t="s">
        <v>10</v>
      </c>
      <c r="I3610" s="75">
        <v>19489</v>
      </c>
      <c r="K3610" s="75" t="str">
        <f>IFERROR(VLOOKUP(J3610,'NQ10'!$B$9:$C$145,2,0),"")</f>
        <v/>
      </c>
    </row>
    <row r="3611" spans="1:11" ht="15" customHeight="1" x14ac:dyDescent="0.25">
      <c r="A3611" s="75">
        <v>32</v>
      </c>
      <c r="B3611" s="75">
        <v>34</v>
      </c>
      <c r="C3611" s="75" t="s">
        <v>10</v>
      </c>
      <c r="D3611" s="75">
        <v>2883</v>
      </c>
      <c r="F3611" s="75" t="s">
        <v>10</v>
      </c>
      <c r="H3611" s="75" t="s">
        <v>10</v>
      </c>
      <c r="I3611" s="75">
        <v>19489</v>
      </c>
      <c r="K3611" s="75" t="str">
        <f>IFERROR(VLOOKUP(J3611,'NQ10'!$B$9:$C$145,2,0),"")</f>
        <v/>
      </c>
    </row>
    <row r="3612" spans="1:11" ht="15" customHeight="1" x14ac:dyDescent="0.25">
      <c r="A3612" s="75">
        <v>32</v>
      </c>
      <c r="B3612" s="75">
        <v>35</v>
      </c>
      <c r="C3612" s="75" t="s">
        <v>10</v>
      </c>
      <c r="D3612" s="75">
        <v>3719</v>
      </c>
      <c r="F3612" s="75" t="s">
        <v>10</v>
      </c>
      <c r="H3612" s="75" t="s">
        <v>10</v>
      </c>
      <c r="I3612" s="75">
        <v>19489</v>
      </c>
      <c r="K3612" s="75" t="str">
        <f>IFERROR(VLOOKUP(J3612,'NQ10'!$B$9:$C$145,2,0),"")</f>
        <v/>
      </c>
    </row>
    <row r="3613" spans="1:11" ht="15" customHeight="1" x14ac:dyDescent="0.25">
      <c r="A3613" s="75">
        <v>32</v>
      </c>
      <c r="B3613" s="75">
        <v>36</v>
      </c>
      <c r="C3613" s="75" t="s">
        <v>10</v>
      </c>
      <c r="D3613" s="75">
        <v>231</v>
      </c>
      <c r="F3613" s="75" t="s">
        <v>10</v>
      </c>
      <c r="H3613" s="75" t="s">
        <v>10</v>
      </c>
      <c r="I3613" s="75">
        <v>19489</v>
      </c>
      <c r="K3613" s="75" t="str">
        <f>IFERROR(VLOOKUP(J3613,'NQ10'!$B$9:$C$145,2,0),"")</f>
        <v/>
      </c>
    </row>
    <row r="3614" spans="1:11" ht="15" customHeight="1" x14ac:dyDescent="0.25">
      <c r="A3614" s="75">
        <v>32</v>
      </c>
      <c r="B3614" s="75">
        <v>37</v>
      </c>
      <c r="C3614" s="75" t="s">
        <v>10</v>
      </c>
      <c r="D3614" s="75">
        <v>16727</v>
      </c>
      <c r="F3614" s="75" t="s">
        <v>10</v>
      </c>
      <c r="H3614" s="75" t="s">
        <v>10</v>
      </c>
      <c r="I3614" s="75">
        <v>19489</v>
      </c>
      <c r="K3614" s="75" t="str">
        <f>IFERROR(VLOOKUP(J3614,'NQ10'!$B$9:$C$145,2,0),"")</f>
        <v/>
      </c>
    </row>
    <row r="3615" spans="1:11" ht="15" customHeight="1" x14ac:dyDescent="0.25">
      <c r="A3615" s="75">
        <v>32</v>
      </c>
      <c r="B3615" s="75">
        <v>38</v>
      </c>
      <c r="C3615" s="75" t="s">
        <v>10</v>
      </c>
      <c r="D3615" s="75">
        <v>7510</v>
      </c>
      <c r="F3615" s="75" t="s">
        <v>10</v>
      </c>
      <c r="H3615" s="75" t="s">
        <v>10</v>
      </c>
      <c r="I3615" s="75">
        <v>19489</v>
      </c>
      <c r="K3615" s="75" t="str">
        <f>IFERROR(VLOOKUP(J3615,'NQ10'!$B$9:$C$145,2,0),"")</f>
        <v/>
      </c>
    </row>
    <row r="3616" spans="1:11" ht="15" customHeight="1" x14ac:dyDescent="0.25">
      <c r="A3616" s="75">
        <v>32</v>
      </c>
      <c r="B3616" s="75">
        <v>39</v>
      </c>
      <c r="C3616" s="75" t="s">
        <v>10</v>
      </c>
      <c r="D3616" s="75">
        <v>11375</v>
      </c>
      <c r="F3616" s="75" t="s">
        <v>10</v>
      </c>
      <c r="H3616" s="75" t="s">
        <v>10</v>
      </c>
      <c r="I3616" s="75">
        <v>19489</v>
      </c>
      <c r="K3616" s="75" t="str">
        <f>IFERROR(VLOOKUP(J3616,'NQ10'!$B$9:$C$145,2,0),"")</f>
        <v/>
      </c>
    </row>
    <row r="3617" spans="1:11" ht="15" customHeight="1" x14ac:dyDescent="0.25">
      <c r="A3617" s="75">
        <v>32</v>
      </c>
      <c r="B3617" s="75">
        <v>40</v>
      </c>
      <c r="C3617" s="75" t="s">
        <v>10</v>
      </c>
      <c r="D3617" s="75">
        <v>15936</v>
      </c>
      <c r="F3617" s="75" t="s">
        <v>10</v>
      </c>
      <c r="H3617" s="75" t="s">
        <v>10</v>
      </c>
      <c r="I3617" s="75">
        <v>19489</v>
      </c>
      <c r="K3617" s="75" t="str">
        <f>IFERROR(VLOOKUP(J3617,'NQ10'!$B$9:$C$145,2,0),"")</f>
        <v/>
      </c>
    </row>
    <row r="3618" spans="1:11" ht="15" customHeight="1" x14ac:dyDescent="0.25">
      <c r="A3618" s="75">
        <v>32</v>
      </c>
      <c r="B3618" s="75">
        <v>41</v>
      </c>
      <c r="C3618" s="75" t="s">
        <v>10</v>
      </c>
      <c r="D3618" s="75">
        <v>7035</v>
      </c>
      <c r="F3618" s="75" t="s">
        <v>10</v>
      </c>
      <c r="H3618" s="75" t="s">
        <v>10</v>
      </c>
      <c r="I3618" s="75">
        <v>19489</v>
      </c>
      <c r="K3618" s="75" t="str">
        <f>IFERROR(VLOOKUP(J3618,'NQ10'!$B$9:$C$145,2,0),"")</f>
        <v/>
      </c>
    </row>
    <row r="3619" spans="1:11" ht="15" customHeight="1" x14ac:dyDescent="0.25">
      <c r="A3619" s="75">
        <v>32</v>
      </c>
      <c r="B3619" s="75">
        <v>42</v>
      </c>
      <c r="C3619" s="75" t="s">
        <v>10</v>
      </c>
      <c r="D3619" s="75">
        <v>6684</v>
      </c>
      <c r="F3619" s="75" t="s">
        <v>10</v>
      </c>
      <c r="H3619" s="75" t="s">
        <v>10</v>
      </c>
      <c r="I3619" s="75">
        <v>19489</v>
      </c>
      <c r="K3619" s="75" t="str">
        <f>IFERROR(VLOOKUP(J3619,'NQ10'!$B$9:$C$145,2,0),"")</f>
        <v/>
      </c>
    </row>
    <row r="3620" spans="1:11" ht="15" customHeight="1" x14ac:dyDescent="0.25">
      <c r="A3620" s="75">
        <v>32</v>
      </c>
      <c r="B3620" s="75">
        <v>43</v>
      </c>
      <c r="C3620" s="75" t="s">
        <v>10</v>
      </c>
      <c r="D3620" s="75">
        <v>5201</v>
      </c>
      <c r="F3620" s="75" t="s">
        <v>10</v>
      </c>
      <c r="H3620" s="75" t="s">
        <v>10</v>
      </c>
      <c r="I3620" s="75">
        <v>19489</v>
      </c>
      <c r="K3620" s="75" t="str">
        <f>IFERROR(VLOOKUP(J3620,'NQ10'!$B$9:$C$145,2,0),"")</f>
        <v/>
      </c>
    </row>
    <row r="3621" spans="1:11" ht="15" customHeight="1" x14ac:dyDescent="0.25">
      <c r="A3621" s="75">
        <v>32</v>
      </c>
      <c r="B3621" s="75">
        <v>44</v>
      </c>
      <c r="C3621" s="75" t="s">
        <v>10</v>
      </c>
      <c r="D3621" s="75">
        <v>3817</v>
      </c>
      <c r="F3621" s="75" t="s">
        <v>10</v>
      </c>
      <c r="H3621" s="75" t="s">
        <v>10</v>
      </c>
      <c r="I3621" s="75">
        <v>19489</v>
      </c>
      <c r="K3621" s="75" t="str">
        <f>IFERROR(VLOOKUP(J3621,'NQ10'!$B$9:$C$145,2,0),"")</f>
        <v/>
      </c>
    </row>
    <row r="3622" spans="1:11" ht="15" customHeight="1" x14ac:dyDescent="0.25">
      <c r="A3622" s="75">
        <v>32</v>
      </c>
      <c r="B3622" s="75">
        <v>45</v>
      </c>
      <c r="C3622" s="75" t="s">
        <v>10</v>
      </c>
      <c r="D3622" s="75">
        <v>10207</v>
      </c>
      <c r="F3622" s="75" t="s">
        <v>10</v>
      </c>
      <c r="H3622" s="75" t="s">
        <v>10</v>
      </c>
      <c r="I3622" s="75">
        <v>19489</v>
      </c>
      <c r="K3622" s="75" t="str">
        <f>IFERROR(VLOOKUP(J3622,'NQ10'!$B$9:$C$145,2,0),"")</f>
        <v/>
      </c>
    </row>
    <row r="3623" spans="1:11" ht="15" customHeight="1" x14ac:dyDescent="0.25">
      <c r="A3623" s="75">
        <v>32</v>
      </c>
      <c r="B3623" s="75">
        <v>46</v>
      </c>
      <c r="C3623" s="75" t="s">
        <v>10</v>
      </c>
      <c r="D3623" s="75">
        <v>6866</v>
      </c>
      <c r="F3623" s="75" t="s">
        <v>10</v>
      </c>
      <c r="H3623" s="75" t="s">
        <v>10</v>
      </c>
      <c r="I3623" s="75">
        <v>19489</v>
      </c>
      <c r="K3623" s="75" t="str">
        <f>IFERROR(VLOOKUP(J3623,'NQ10'!$B$9:$C$145,2,0),"")</f>
        <v/>
      </c>
    </row>
    <row r="3624" spans="1:11" ht="15" customHeight="1" x14ac:dyDescent="0.25">
      <c r="A3624" s="75">
        <v>32</v>
      </c>
      <c r="B3624" s="75">
        <v>47</v>
      </c>
      <c r="C3624" s="75" t="s">
        <v>10</v>
      </c>
      <c r="D3624" s="75">
        <v>2344</v>
      </c>
      <c r="F3624" s="75" t="s">
        <v>10</v>
      </c>
      <c r="H3624" s="75" t="s">
        <v>10</v>
      </c>
      <c r="I3624" s="75">
        <v>19489</v>
      </c>
      <c r="K3624" s="75" t="str">
        <f>IFERROR(VLOOKUP(J3624,'NQ10'!$B$9:$C$145,2,0),"")</f>
        <v/>
      </c>
    </row>
    <row r="3625" spans="1:11" ht="15" customHeight="1" x14ac:dyDescent="0.25">
      <c r="A3625" s="75">
        <v>32</v>
      </c>
      <c r="B3625" s="75">
        <v>48</v>
      </c>
      <c r="C3625" s="75" t="s">
        <v>10</v>
      </c>
      <c r="D3625" s="75">
        <v>2918</v>
      </c>
      <c r="F3625" s="75" t="s">
        <v>10</v>
      </c>
      <c r="H3625" s="75" t="s">
        <v>10</v>
      </c>
      <c r="I3625" s="75">
        <v>19489</v>
      </c>
      <c r="K3625" s="75" t="str">
        <f>IFERROR(VLOOKUP(J3625,'NQ10'!$B$9:$C$145,2,0),"")</f>
        <v/>
      </c>
    </row>
    <row r="3626" spans="1:11" ht="15" customHeight="1" x14ac:dyDescent="0.25">
      <c r="A3626" s="75">
        <v>32</v>
      </c>
      <c r="B3626" s="75">
        <v>49</v>
      </c>
      <c r="C3626" s="75" t="s">
        <v>10</v>
      </c>
      <c r="D3626" s="75">
        <v>76</v>
      </c>
      <c r="F3626" s="75" t="s">
        <v>10</v>
      </c>
      <c r="H3626" s="75" t="s">
        <v>10</v>
      </c>
      <c r="I3626" s="75">
        <v>19489</v>
      </c>
      <c r="K3626" s="75" t="str">
        <f>IFERROR(VLOOKUP(J3626,'NQ10'!$B$9:$C$145,2,0),"")</f>
        <v/>
      </c>
    </row>
    <row r="3627" spans="1:11" ht="15" customHeight="1" x14ac:dyDescent="0.25">
      <c r="A3627" s="75">
        <v>32</v>
      </c>
      <c r="B3627" s="75">
        <v>50</v>
      </c>
      <c r="C3627" s="75" t="s">
        <v>10</v>
      </c>
      <c r="D3627" s="75">
        <v>14064</v>
      </c>
      <c r="F3627" s="75" t="s">
        <v>10</v>
      </c>
      <c r="H3627" s="75" t="s">
        <v>10</v>
      </c>
      <c r="I3627" s="75">
        <v>19489</v>
      </c>
      <c r="K3627" s="75" t="str">
        <f>IFERROR(VLOOKUP(J3627,'NQ10'!$B$9:$C$145,2,0),"")</f>
        <v/>
      </c>
    </row>
    <row r="3628" spans="1:11" ht="15" customHeight="1" x14ac:dyDescent="0.25">
      <c r="A3628" s="75">
        <v>32</v>
      </c>
      <c r="B3628" s="75">
        <v>51</v>
      </c>
      <c r="C3628" s="75" t="s">
        <v>10</v>
      </c>
      <c r="D3628" s="75">
        <v>6717</v>
      </c>
      <c r="F3628" s="75" t="s">
        <v>10</v>
      </c>
      <c r="H3628" s="75" t="s">
        <v>10</v>
      </c>
      <c r="I3628" s="75">
        <v>19489</v>
      </c>
      <c r="K3628" s="75" t="str">
        <f>IFERROR(VLOOKUP(J3628,'NQ10'!$B$9:$C$145,2,0),"")</f>
        <v/>
      </c>
    </row>
    <row r="3629" spans="1:11" ht="15" customHeight="1" x14ac:dyDescent="0.25">
      <c r="A3629" s="75">
        <v>32</v>
      </c>
      <c r="B3629" s="75">
        <v>52</v>
      </c>
      <c r="C3629" s="75" t="s">
        <v>10</v>
      </c>
      <c r="D3629" s="75">
        <v>3635</v>
      </c>
      <c r="F3629" s="75" t="s">
        <v>10</v>
      </c>
      <c r="H3629" s="75" t="s">
        <v>10</v>
      </c>
      <c r="I3629" s="75">
        <v>19489</v>
      </c>
      <c r="K3629" s="75" t="str">
        <f>IFERROR(VLOOKUP(J3629,'NQ10'!$B$9:$C$145,2,0),"")</f>
        <v/>
      </c>
    </row>
    <row r="3630" spans="1:11" ht="15" customHeight="1" x14ac:dyDescent="0.25">
      <c r="A3630" s="75">
        <v>32</v>
      </c>
      <c r="B3630" s="75">
        <v>54</v>
      </c>
      <c r="C3630" s="75" t="s">
        <v>10</v>
      </c>
      <c r="D3630" s="75">
        <v>164</v>
      </c>
      <c r="F3630" s="75" t="s">
        <v>10</v>
      </c>
      <c r="H3630" s="75" t="s">
        <v>10</v>
      </c>
      <c r="I3630" s="75">
        <v>19489</v>
      </c>
      <c r="K3630" s="75" t="str">
        <f>IFERROR(VLOOKUP(J3630,'NQ10'!$B$9:$C$145,2,0),"")</f>
        <v/>
      </c>
    </row>
    <row r="3631" spans="1:11" ht="15" customHeight="1" x14ac:dyDescent="0.25">
      <c r="A3631" s="75">
        <v>32</v>
      </c>
      <c r="B3631" s="75">
        <v>55</v>
      </c>
      <c r="C3631" s="75" t="s">
        <v>10</v>
      </c>
      <c r="D3631" s="75">
        <v>4786</v>
      </c>
      <c r="F3631" s="75" t="s">
        <v>10</v>
      </c>
      <c r="H3631" s="75" t="s">
        <v>10</v>
      </c>
      <c r="I3631" s="75">
        <v>19489</v>
      </c>
      <c r="K3631" s="75" t="str">
        <f>IFERROR(VLOOKUP(J3631,'NQ10'!$B$9:$C$145,2,0),"")</f>
        <v/>
      </c>
    </row>
    <row r="3632" spans="1:11" ht="15" customHeight="1" x14ac:dyDescent="0.25">
      <c r="A3632" s="75">
        <v>32</v>
      </c>
      <c r="B3632" s="75">
        <v>56</v>
      </c>
      <c r="C3632" s="75" t="s">
        <v>10</v>
      </c>
      <c r="D3632" s="75">
        <v>404</v>
      </c>
      <c r="F3632" s="75" t="s">
        <v>10</v>
      </c>
      <c r="H3632" s="75" t="s">
        <v>10</v>
      </c>
      <c r="I3632" s="75">
        <v>19489</v>
      </c>
      <c r="K3632" s="75" t="str">
        <f>IFERROR(VLOOKUP(J3632,'NQ10'!$B$9:$C$145,2,0),"")</f>
        <v/>
      </c>
    </row>
    <row r="3633" spans="1:11" ht="15" customHeight="1" x14ac:dyDescent="0.25">
      <c r="A3633" s="75">
        <v>32</v>
      </c>
      <c r="B3633" s="75">
        <v>58</v>
      </c>
      <c r="C3633" s="75" t="s">
        <v>10</v>
      </c>
      <c r="D3633" s="75">
        <v>3056</v>
      </c>
      <c r="F3633" s="75" t="s">
        <v>10</v>
      </c>
      <c r="H3633" s="75" t="s">
        <v>10</v>
      </c>
      <c r="I3633" s="75">
        <v>19489</v>
      </c>
      <c r="K3633" s="75" t="str">
        <f>IFERROR(VLOOKUP(J3633,'NQ10'!$B$9:$C$145,2,0),"")</f>
        <v/>
      </c>
    </row>
    <row r="3634" spans="1:11" ht="15" customHeight="1" x14ac:dyDescent="0.25">
      <c r="A3634" s="75">
        <v>32</v>
      </c>
      <c r="B3634" s="75">
        <v>60</v>
      </c>
      <c r="C3634" s="75" t="s">
        <v>10</v>
      </c>
      <c r="D3634" s="75">
        <v>19421</v>
      </c>
      <c r="F3634" s="75" t="s">
        <v>10</v>
      </c>
      <c r="H3634" s="75" t="s">
        <v>10</v>
      </c>
      <c r="I3634" s="75">
        <v>19489</v>
      </c>
      <c r="K3634" s="75" t="str">
        <f>IFERROR(VLOOKUP(J3634,'NQ10'!$B$9:$C$145,2,0),"")</f>
        <v/>
      </c>
    </row>
    <row r="3635" spans="1:11" ht="15" customHeight="1" x14ac:dyDescent="0.25">
      <c r="A3635" s="75">
        <v>32</v>
      </c>
      <c r="B3635" s="75">
        <v>61</v>
      </c>
      <c r="C3635" s="75" t="s">
        <v>10</v>
      </c>
      <c r="D3635" s="75">
        <v>5719</v>
      </c>
      <c r="F3635" s="75" t="s">
        <v>10</v>
      </c>
      <c r="H3635" s="75" t="s">
        <v>10</v>
      </c>
      <c r="I3635" s="75">
        <v>19489</v>
      </c>
      <c r="K3635" s="75" t="str">
        <f>IFERROR(VLOOKUP(J3635,'NQ10'!$B$9:$C$145,2,0),"")</f>
        <v/>
      </c>
    </row>
    <row r="3636" spans="1:11" ht="15" customHeight="1" x14ac:dyDescent="0.25">
      <c r="A3636" s="75">
        <v>32</v>
      </c>
      <c r="B3636" s="75">
        <v>63</v>
      </c>
      <c r="C3636" s="75" t="s">
        <v>10</v>
      </c>
      <c r="D3636" s="75">
        <v>1765</v>
      </c>
      <c r="F3636" s="75" t="s">
        <v>10</v>
      </c>
      <c r="H3636" s="75" t="s">
        <v>10</v>
      </c>
      <c r="I3636" s="75">
        <v>19489</v>
      </c>
      <c r="K3636" s="75" t="str">
        <f>IFERROR(VLOOKUP(J3636,'NQ10'!$B$9:$C$145,2,0),"")</f>
        <v/>
      </c>
    </row>
    <row r="3637" spans="1:11" ht="15" customHeight="1" x14ac:dyDescent="0.25">
      <c r="A3637" s="75">
        <v>32</v>
      </c>
      <c r="B3637" s="75">
        <v>64</v>
      </c>
      <c r="C3637" s="75" t="s">
        <v>10</v>
      </c>
      <c r="D3637" s="75">
        <v>1948</v>
      </c>
      <c r="F3637" s="75" t="s">
        <v>10</v>
      </c>
      <c r="H3637" s="75" t="s">
        <v>10</v>
      </c>
      <c r="I3637" s="75">
        <v>19489</v>
      </c>
      <c r="K3637" s="75" t="str">
        <f>IFERROR(VLOOKUP(J3637,'NQ10'!$B$9:$C$145,2,0),"")</f>
        <v/>
      </c>
    </row>
    <row r="3638" spans="1:11" ht="15" customHeight="1" x14ac:dyDescent="0.25">
      <c r="A3638" s="75">
        <v>32</v>
      </c>
      <c r="B3638" s="75">
        <v>65</v>
      </c>
      <c r="C3638" s="75" t="s">
        <v>10</v>
      </c>
      <c r="D3638" s="75">
        <v>5108</v>
      </c>
      <c r="F3638" s="75" t="s">
        <v>10</v>
      </c>
      <c r="H3638" s="75" t="s">
        <v>10</v>
      </c>
      <c r="I3638" s="75">
        <v>19489</v>
      </c>
      <c r="K3638" s="75" t="str">
        <f>IFERROR(VLOOKUP(J3638,'NQ10'!$B$9:$C$145,2,0),"")</f>
        <v/>
      </c>
    </row>
    <row r="3639" spans="1:11" ht="15" customHeight="1" x14ac:dyDescent="0.25">
      <c r="A3639" s="75">
        <v>32</v>
      </c>
      <c r="B3639" s="75">
        <v>66</v>
      </c>
      <c r="C3639" s="75" t="s">
        <v>10</v>
      </c>
      <c r="D3639" s="75">
        <v>5164</v>
      </c>
      <c r="F3639" s="75" t="s">
        <v>10</v>
      </c>
      <c r="H3639" s="75" t="s">
        <v>10</v>
      </c>
      <c r="I3639" s="75">
        <v>19489</v>
      </c>
      <c r="K3639" s="75" t="str">
        <f>IFERROR(VLOOKUP(J3639,'NQ10'!$B$9:$C$145,2,0),"")</f>
        <v/>
      </c>
    </row>
    <row r="3640" spans="1:11" ht="15" customHeight="1" x14ac:dyDescent="0.25">
      <c r="A3640" s="75">
        <v>32</v>
      </c>
      <c r="B3640" s="75">
        <v>67</v>
      </c>
      <c r="C3640" s="75" t="s">
        <v>10</v>
      </c>
      <c r="D3640" s="75">
        <v>5067</v>
      </c>
      <c r="F3640" s="75" t="s">
        <v>10</v>
      </c>
      <c r="H3640" s="75" t="s">
        <v>10</v>
      </c>
      <c r="I3640" s="75">
        <v>19489</v>
      </c>
      <c r="K3640" s="75" t="str">
        <f>IFERROR(VLOOKUP(J3640,'NQ10'!$B$9:$C$145,2,0),"")</f>
        <v/>
      </c>
    </row>
    <row r="3641" spans="1:11" ht="15" customHeight="1" x14ac:dyDescent="0.25">
      <c r="A3641" s="75">
        <v>32</v>
      </c>
      <c r="B3641" s="75">
        <v>69</v>
      </c>
      <c r="C3641" s="75" t="s">
        <v>10</v>
      </c>
      <c r="D3641" s="75">
        <v>10403</v>
      </c>
      <c r="F3641" s="75" t="s">
        <v>10</v>
      </c>
      <c r="H3641" s="75" t="s">
        <v>10</v>
      </c>
      <c r="I3641" s="75">
        <v>19489</v>
      </c>
      <c r="K3641" s="75" t="str">
        <f>IFERROR(VLOOKUP(J3641,'NQ10'!$B$9:$C$145,2,0),"")</f>
        <v/>
      </c>
    </row>
    <row r="3642" spans="1:11" ht="15" customHeight="1" x14ac:dyDescent="0.25">
      <c r="A3642" s="75">
        <v>32</v>
      </c>
      <c r="B3642" s="75">
        <v>70</v>
      </c>
      <c r="C3642" s="75" t="s">
        <v>10</v>
      </c>
      <c r="D3642" s="75">
        <v>13609</v>
      </c>
      <c r="F3642" s="75" t="s">
        <v>10</v>
      </c>
      <c r="H3642" s="75" t="s">
        <v>10</v>
      </c>
      <c r="I3642" s="75">
        <v>19489</v>
      </c>
      <c r="K3642" s="75" t="str">
        <f>IFERROR(VLOOKUP(J3642,'NQ10'!$B$9:$C$145,2,0),"")</f>
        <v/>
      </c>
    </row>
    <row r="3643" spans="1:11" ht="15" customHeight="1" x14ac:dyDescent="0.25">
      <c r="A3643" s="75">
        <v>32</v>
      </c>
      <c r="B3643" s="75">
        <v>71</v>
      </c>
      <c r="C3643" s="75" t="s">
        <v>10</v>
      </c>
      <c r="D3643" s="75">
        <v>4272</v>
      </c>
      <c r="F3643" s="75" t="s">
        <v>10</v>
      </c>
      <c r="H3643" s="75" t="s">
        <v>10</v>
      </c>
      <c r="I3643" s="75">
        <v>19489</v>
      </c>
      <c r="K3643" s="75" t="str">
        <f>IFERROR(VLOOKUP(J3643,'NQ10'!$B$9:$C$145,2,0),"")</f>
        <v/>
      </c>
    </row>
    <row r="3644" spans="1:11" ht="15" customHeight="1" x14ac:dyDescent="0.25">
      <c r="A3644" s="75">
        <v>32</v>
      </c>
      <c r="B3644" s="75">
        <v>72</v>
      </c>
      <c r="C3644" s="75" t="s">
        <v>10</v>
      </c>
      <c r="D3644" s="75">
        <v>641</v>
      </c>
      <c r="F3644" s="75" t="s">
        <v>10</v>
      </c>
      <c r="H3644" s="75" t="s">
        <v>10</v>
      </c>
      <c r="I3644" s="75">
        <v>19489</v>
      </c>
      <c r="K3644" s="75" t="str">
        <f>IFERROR(VLOOKUP(J3644,'NQ10'!$B$9:$C$145,2,0),"")</f>
        <v/>
      </c>
    </row>
    <row r="3645" spans="1:11" ht="15" customHeight="1" x14ac:dyDescent="0.25">
      <c r="A3645" s="75">
        <v>32</v>
      </c>
      <c r="B3645" s="75">
        <v>73</v>
      </c>
      <c r="C3645" s="75" t="s">
        <v>10</v>
      </c>
      <c r="D3645" s="75">
        <v>3889</v>
      </c>
      <c r="F3645" s="75" t="s">
        <v>10</v>
      </c>
      <c r="H3645" s="75" t="s">
        <v>10</v>
      </c>
      <c r="I3645" s="75">
        <v>19489</v>
      </c>
      <c r="K3645" s="75" t="str">
        <f>IFERROR(VLOOKUP(J3645,'NQ10'!$B$9:$C$145,2,0),"")</f>
        <v/>
      </c>
    </row>
    <row r="3646" spans="1:11" ht="15" customHeight="1" x14ac:dyDescent="0.25">
      <c r="A3646" s="75">
        <v>32</v>
      </c>
      <c r="B3646" s="75">
        <v>74</v>
      </c>
      <c r="C3646" s="75" t="s">
        <v>10</v>
      </c>
      <c r="D3646" s="75">
        <v>8362</v>
      </c>
      <c r="F3646" s="75" t="s">
        <v>10</v>
      </c>
      <c r="H3646" s="75" t="s">
        <v>10</v>
      </c>
      <c r="I3646" s="75">
        <v>19489</v>
      </c>
      <c r="K3646" s="75" t="str">
        <f>IFERROR(VLOOKUP(J3646,'NQ10'!$B$9:$C$145,2,0),"")</f>
        <v/>
      </c>
    </row>
    <row r="3647" spans="1:11" ht="15" customHeight="1" x14ac:dyDescent="0.25">
      <c r="A3647" s="75">
        <v>32</v>
      </c>
      <c r="B3647" s="75">
        <v>76</v>
      </c>
      <c r="C3647" s="75" t="s">
        <v>10</v>
      </c>
      <c r="D3647" s="75">
        <v>4582</v>
      </c>
      <c r="F3647" s="75" t="s">
        <v>10</v>
      </c>
      <c r="H3647" s="75" t="s">
        <v>10</v>
      </c>
      <c r="I3647" s="75">
        <v>19489</v>
      </c>
      <c r="K3647" s="75" t="str">
        <f>IFERROR(VLOOKUP(J3647,'NQ10'!$B$9:$C$145,2,0),"")</f>
        <v/>
      </c>
    </row>
    <row r="3648" spans="1:11" ht="15" customHeight="1" x14ac:dyDescent="0.25">
      <c r="A3648" s="75">
        <v>32</v>
      </c>
      <c r="B3648" s="75">
        <v>78</v>
      </c>
      <c r="C3648" s="75" t="s">
        <v>10</v>
      </c>
      <c r="D3648" s="75">
        <v>2724</v>
      </c>
      <c r="F3648" s="75" t="s">
        <v>10</v>
      </c>
      <c r="H3648" s="75" t="s">
        <v>10</v>
      </c>
      <c r="I3648" s="75">
        <v>19489</v>
      </c>
      <c r="K3648" s="75" t="str">
        <f>IFERROR(VLOOKUP(J3648,'NQ10'!$B$9:$C$145,2,0),"")</f>
        <v/>
      </c>
    </row>
    <row r="3649" spans="1:11" ht="15" customHeight="1" x14ac:dyDescent="0.25">
      <c r="A3649" s="75">
        <v>32</v>
      </c>
      <c r="B3649" s="75">
        <v>79</v>
      </c>
      <c r="C3649" s="75" t="s">
        <v>10</v>
      </c>
      <c r="D3649" s="75">
        <v>1551</v>
      </c>
      <c r="F3649" s="75" t="s">
        <v>10</v>
      </c>
      <c r="H3649" s="75" t="s">
        <v>10</v>
      </c>
      <c r="I3649" s="75">
        <v>19489</v>
      </c>
      <c r="K3649" s="75" t="str">
        <f>IFERROR(VLOOKUP(J3649,'NQ10'!$B$9:$C$145,2,0),"")</f>
        <v/>
      </c>
    </row>
    <row r="3650" spans="1:11" ht="15" customHeight="1" x14ac:dyDescent="0.25">
      <c r="A3650" s="75">
        <v>32</v>
      </c>
      <c r="B3650" s="75">
        <v>80</v>
      </c>
      <c r="C3650" s="75" t="s">
        <v>10</v>
      </c>
      <c r="D3650" s="75">
        <v>3915</v>
      </c>
      <c r="F3650" s="75" t="s">
        <v>10</v>
      </c>
      <c r="H3650" s="75" t="s">
        <v>10</v>
      </c>
      <c r="I3650" s="75">
        <v>19489</v>
      </c>
      <c r="K3650" s="75" t="str">
        <f>IFERROR(VLOOKUP(J3650,'NQ10'!$B$9:$C$145,2,0),"")</f>
        <v/>
      </c>
    </row>
    <row r="3651" spans="1:11" ht="15" customHeight="1" x14ac:dyDescent="0.25">
      <c r="A3651" s="75">
        <v>32</v>
      </c>
      <c r="B3651" s="75">
        <v>81</v>
      </c>
      <c r="C3651" s="75" t="s">
        <v>10</v>
      </c>
      <c r="D3651" s="75">
        <v>8679</v>
      </c>
      <c r="F3651" s="75" t="s">
        <v>10</v>
      </c>
      <c r="H3651" s="75" t="s">
        <v>10</v>
      </c>
      <c r="I3651" s="75">
        <v>19489</v>
      </c>
      <c r="K3651" s="75" t="str">
        <f>IFERROR(VLOOKUP(J3651,'NQ10'!$B$9:$C$145,2,0),"")</f>
        <v/>
      </c>
    </row>
    <row r="3652" spans="1:11" ht="15" customHeight="1" x14ac:dyDescent="0.25">
      <c r="A3652" s="75">
        <v>32</v>
      </c>
      <c r="B3652" s="75">
        <v>82</v>
      </c>
      <c r="C3652" s="75" t="s">
        <v>10</v>
      </c>
      <c r="D3652" s="75">
        <v>6662</v>
      </c>
      <c r="F3652" s="75" t="s">
        <v>10</v>
      </c>
      <c r="H3652" s="75" t="s">
        <v>10</v>
      </c>
      <c r="I3652" s="75">
        <v>19489</v>
      </c>
      <c r="K3652" s="75" t="str">
        <f>IFERROR(VLOOKUP(J3652,'NQ10'!$B$9:$C$145,2,0),"")</f>
        <v/>
      </c>
    </row>
    <row r="3653" spans="1:11" ht="15" customHeight="1" x14ac:dyDescent="0.25">
      <c r="A3653" s="75">
        <v>32</v>
      </c>
      <c r="B3653" s="75">
        <v>83</v>
      </c>
      <c r="C3653" s="75" t="s">
        <v>10</v>
      </c>
      <c r="D3653" s="75">
        <v>7054</v>
      </c>
      <c r="F3653" s="75" t="s">
        <v>10</v>
      </c>
      <c r="H3653" s="75" t="s">
        <v>10</v>
      </c>
      <c r="I3653" s="75">
        <v>19489</v>
      </c>
      <c r="K3653" s="75" t="str">
        <f>IFERROR(VLOOKUP(J3653,'NQ10'!$B$9:$C$145,2,0),"")</f>
        <v/>
      </c>
    </row>
    <row r="3654" spans="1:11" ht="15" customHeight="1" x14ac:dyDescent="0.25">
      <c r="A3654" s="75">
        <v>32</v>
      </c>
      <c r="B3654" s="75">
        <v>84</v>
      </c>
      <c r="C3654" s="75" t="s">
        <v>10</v>
      </c>
      <c r="D3654" s="75">
        <v>8117</v>
      </c>
      <c r="F3654" s="75" t="s">
        <v>10</v>
      </c>
      <c r="H3654" s="75" t="s">
        <v>10</v>
      </c>
      <c r="I3654" s="75">
        <v>19489</v>
      </c>
      <c r="K3654" s="75" t="str">
        <f>IFERROR(VLOOKUP(J3654,'NQ10'!$B$9:$C$145,2,0),"")</f>
        <v/>
      </c>
    </row>
    <row r="3655" spans="1:11" ht="15" customHeight="1" x14ac:dyDescent="0.25">
      <c r="A3655" s="75">
        <v>32</v>
      </c>
      <c r="B3655" s="75">
        <v>87</v>
      </c>
      <c r="C3655" s="75" t="s">
        <v>10</v>
      </c>
      <c r="D3655" s="75">
        <v>1880</v>
      </c>
      <c r="F3655" s="75" t="s">
        <v>10</v>
      </c>
      <c r="H3655" s="75" t="s">
        <v>10</v>
      </c>
      <c r="I3655" s="75">
        <v>19489</v>
      </c>
      <c r="K3655" s="75" t="str">
        <f>IFERROR(VLOOKUP(J3655,'NQ10'!$B$9:$C$145,2,0),"")</f>
        <v/>
      </c>
    </row>
    <row r="3656" spans="1:11" ht="15" customHeight="1" x14ac:dyDescent="0.25">
      <c r="A3656" s="75">
        <v>32</v>
      </c>
      <c r="B3656" s="75">
        <v>89</v>
      </c>
      <c r="C3656" s="75" t="s">
        <v>10</v>
      </c>
      <c r="D3656" s="75">
        <v>83</v>
      </c>
      <c r="F3656" s="75" t="s">
        <v>10</v>
      </c>
      <c r="H3656" s="75" t="s">
        <v>10</v>
      </c>
      <c r="I3656" s="75">
        <v>19489</v>
      </c>
      <c r="K3656" s="75" t="str">
        <f>IFERROR(VLOOKUP(J3656,'NQ10'!$B$9:$C$145,2,0),"")</f>
        <v/>
      </c>
    </row>
    <row r="3657" spans="1:11" ht="15" customHeight="1" x14ac:dyDescent="0.25">
      <c r="A3657" s="75">
        <v>32</v>
      </c>
      <c r="B3657" s="75">
        <v>91</v>
      </c>
      <c r="C3657" s="75" t="s">
        <v>10</v>
      </c>
      <c r="D3657" s="75">
        <v>762</v>
      </c>
      <c r="F3657" s="75" t="s">
        <v>10</v>
      </c>
      <c r="H3657" s="75" t="s">
        <v>10</v>
      </c>
      <c r="I3657" s="75">
        <v>19489</v>
      </c>
      <c r="K3657" s="75" t="str">
        <f>IFERROR(VLOOKUP(J3657,'NQ10'!$B$9:$C$145,2,0),"")</f>
        <v/>
      </c>
    </row>
    <row r="3658" spans="1:11" ht="15" customHeight="1" x14ac:dyDescent="0.25">
      <c r="A3658" s="75">
        <v>32</v>
      </c>
      <c r="B3658" s="75">
        <v>92</v>
      </c>
      <c r="C3658" s="75" t="s">
        <v>10</v>
      </c>
      <c r="D3658" s="75">
        <v>30711</v>
      </c>
      <c r="F3658" s="75" t="s">
        <v>10</v>
      </c>
      <c r="H3658" s="75" t="s">
        <v>10</v>
      </c>
      <c r="I3658" s="75">
        <v>19489</v>
      </c>
      <c r="K3658" s="75" t="str">
        <f>IFERROR(VLOOKUP(J3658,'NQ10'!$B$9:$C$145,2,0),"")</f>
        <v/>
      </c>
    </row>
    <row r="3659" spans="1:11" ht="15" customHeight="1" x14ac:dyDescent="0.25">
      <c r="A3659" s="75">
        <v>32</v>
      </c>
      <c r="B3659" s="75">
        <v>93</v>
      </c>
      <c r="C3659" s="75" t="s">
        <v>10</v>
      </c>
      <c r="D3659" s="75">
        <v>13935</v>
      </c>
      <c r="F3659" s="75" t="s">
        <v>10</v>
      </c>
      <c r="H3659" s="75" t="s">
        <v>10</v>
      </c>
      <c r="I3659" s="75">
        <v>19489</v>
      </c>
      <c r="K3659" s="75" t="str">
        <f>IFERROR(VLOOKUP(J3659,'NQ10'!$B$9:$C$145,2,0),"")</f>
        <v/>
      </c>
    </row>
    <row r="3660" spans="1:11" ht="15" customHeight="1" x14ac:dyDescent="0.25">
      <c r="A3660" s="75">
        <v>32</v>
      </c>
      <c r="B3660" s="75">
        <v>96</v>
      </c>
      <c r="C3660" s="75" t="s">
        <v>10</v>
      </c>
      <c r="D3660" s="75">
        <v>188</v>
      </c>
      <c r="F3660" s="75" t="s">
        <v>10</v>
      </c>
      <c r="H3660" s="75" t="s">
        <v>10</v>
      </c>
      <c r="I3660" s="75">
        <v>19489</v>
      </c>
      <c r="K3660" s="75" t="str">
        <f>IFERROR(VLOOKUP(J3660,'NQ10'!$B$9:$C$145,2,0),"")</f>
        <v/>
      </c>
    </row>
    <row r="3661" spans="1:11" ht="15" customHeight="1" x14ac:dyDescent="0.25">
      <c r="A3661" s="75">
        <v>32</v>
      </c>
      <c r="B3661" s="75">
        <v>98</v>
      </c>
      <c r="C3661" s="75" t="s">
        <v>10</v>
      </c>
      <c r="D3661" s="75">
        <v>860</v>
      </c>
      <c r="F3661" s="75" t="s">
        <v>10</v>
      </c>
      <c r="H3661" s="75" t="s">
        <v>10</v>
      </c>
      <c r="I3661" s="75">
        <v>19489</v>
      </c>
      <c r="K3661" s="75" t="str">
        <f>IFERROR(VLOOKUP(J3661,'NQ10'!$B$9:$C$145,2,0),"")</f>
        <v/>
      </c>
    </row>
    <row r="3662" spans="1:11" ht="15" customHeight="1" x14ac:dyDescent="0.25">
      <c r="A3662" s="75">
        <v>32</v>
      </c>
      <c r="B3662" s="75">
        <v>99</v>
      </c>
      <c r="C3662" s="75" t="s">
        <v>10</v>
      </c>
      <c r="D3662" s="75">
        <v>1587</v>
      </c>
      <c r="F3662" s="75" t="s">
        <v>10</v>
      </c>
      <c r="H3662" s="75" t="s">
        <v>10</v>
      </c>
      <c r="I3662" s="75">
        <v>19489</v>
      </c>
      <c r="K3662" s="75" t="str">
        <f>IFERROR(VLOOKUP(J3662,'NQ10'!$B$9:$C$145,2,0),"")</f>
        <v/>
      </c>
    </row>
    <row r="3663" spans="1:11" ht="15" customHeight="1" x14ac:dyDescent="0.25">
      <c r="A3663" s="75">
        <v>32</v>
      </c>
      <c r="B3663" s="75">
        <v>100</v>
      </c>
      <c r="C3663" s="75" t="s">
        <v>10</v>
      </c>
      <c r="D3663" s="75">
        <v>857</v>
      </c>
      <c r="F3663" s="75" t="s">
        <v>10</v>
      </c>
      <c r="H3663" s="75" t="s">
        <v>10</v>
      </c>
      <c r="I3663" s="75">
        <v>19489</v>
      </c>
      <c r="K3663" s="75" t="str">
        <f>IFERROR(VLOOKUP(J3663,'NQ10'!$B$9:$C$145,2,0),"")</f>
        <v/>
      </c>
    </row>
    <row r="3664" spans="1:11" ht="15" customHeight="1" x14ac:dyDescent="0.25">
      <c r="A3664" s="75">
        <v>32</v>
      </c>
      <c r="B3664" s="75">
        <v>101</v>
      </c>
      <c r="C3664" s="75" t="s">
        <v>10</v>
      </c>
      <c r="D3664" s="75">
        <v>84</v>
      </c>
      <c r="F3664" s="75" t="s">
        <v>10</v>
      </c>
      <c r="H3664" s="75" t="s">
        <v>10</v>
      </c>
      <c r="I3664" s="75">
        <v>19489</v>
      </c>
      <c r="K3664" s="75" t="str">
        <f>IFERROR(VLOOKUP(J3664,'NQ10'!$B$9:$C$145,2,0),"")</f>
        <v/>
      </c>
    </row>
    <row r="3665" spans="1:11" ht="15" customHeight="1" x14ac:dyDescent="0.25">
      <c r="A3665" s="75">
        <v>32</v>
      </c>
      <c r="B3665" s="75">
        <v>102</v>
      </c>
      <c r="C3665" s="75" t="s">
        <v>10</v>
      </c>
      <c r="D3665" s="75">
        <v>4743</v>
      </c>
      <c r="F3665" s="75" t="s">
        <v>10</v>
      </c>
      <c r="H3665" s="75" t="s">
        <v>10</v>
      </c>
      <c r="I3665" s="75">
        <v>19489</v>
      </c>
      <c r="K3665" s="75" t="str">
        <f>IFERROR(VLOOKUP(J3665,'NQ10'!$B$9:$C$145,2,0),"")</f>
        <v/>
      </c>
    </row>
    <row r="3666" spans="1:11" ht="15" customHeight="1" x14ac:dyDescent="0.25">
      <c r="A3666" s="75">
        <v>32</v>
      </c>
      <c r="B3666" s="75">
        <v>103</v>
      </c>
      <c r="C3666" s="75" t="s">
        <v>10</v>
      </c>
      <c r="D3666" s="75">
        <v>3638</v>
      </c>
      <c r="F3666" s="75" t="s">
        <v>10</v>
      </c>
      <c r="H3666" s="75" t="s">
        <v>10</v>
      </c>
      <c r="I3666" s="75">
        <v>19489</v>
      </c>
      <c r="K3666" s="75" t="str">
        <f>IFERROR(VLOOKUP(J3666,'NQ10'!$B$9:$C$145,2,0),"")</f>
        <v/>
      </c>
    </row>
    <row r="3667" spans="1:11" ht="15" customHeight="1" x14ac:dyDescent="0.25">
      <c r="A3667" s="75">
        <v>32</v>
      </c>
      <c r="B3667" s="75">
        <v>104</v>
      </c>
      <c r="C3667" s="75" t="s">
        <v>10</v>
      </c>
      <c r="D3667" s="75">
        <v>4997</v>
      </c>
      <c r="F3667" s="75" t="s">
        <v>10</v>
      </c>
      <c r="H3667" s="75" t="s">
        <v>10</v>
      </c>
      <c r="I3667" s="75">
        <v>19489</v>
      </c>
      <c r="K3667" s="75" t="str">
        <f>IFERROR(VLOOKUP(J3667,'NQ10'!$B$9:$C$145,2,0),"")</f>
        <v/>
      </c>
    </row>
    <row r="3668" spans="1:11" ht="15" customHeight="1" x14ac:dyDescent="0.25">
      <c r="A3668" s="75">
        <v>32</v>
      </c>
      <c r="B3668" s="75">
        <v>107</v>
      </c>
      <c r="C3668" s="75" t="s">
        <v>10</v>
      </c>
      <c r="D3668" s="75">
        <v>979</v>
      </c>
      <c r="F3668" s="75" t="s">
        <v>10</v>
      </c>
      <c r="H3668" s="75" t="s">
        <v>10</v>
      </c>
      <c r="I3668" s="75">
        <v>19489</v>
      </c>
      <c r="K3668" s="75" t="str">
        <f>IFERROR(VLOOKUP(J3668,'NQ10'!$B$9:$C$145,2,0),"")</f>
        <v/>
      </c>
    </row>
    <row r="3669" spans="1:11" ht="15" customHeight="1" x14ac:dyDescent="0.25">
      <c r="A3669" s="75">
        <v>32</v>
      </c>
      <c r="B3669" s="75">
        <v>108</v>
      </c>
      <c r="C3669" s="75" t="s">
        <v>10</v>
      </c>
      <c r="D3669" s="75">
        <v>1597</v>
      </c>
      <c r="F3669" s="75" t="s">
        <v>10</v>
      </c>
      <c r="H3669" s="75" t="s">
        <v>10</v>
      </c>
      <c r="I3669" s="75">
        <v>19489</v>
      </c>
      <c r="K3669" s="75" t="str">
        <f>IFERROR(VLOOKUP(J3669,'NQ10'!$B$9:$C$145,2,0),"")</f>
        <v/>
      </c>
    </row>
    <row r="3670" spans="1:11" ht="15" customHeight="1" x14ac:dyDescent="0.25">
      <c r="A3670" s="75">
        <v>32</v>
      </c>
      <c r="B3670" s="75">
        <v>111</v>
      </c>
      <c r="C3670" s="75" t="s">
        <v>10</v>
      </c>
      <c r="D3670" s="75">
        <v>4840</v>
      </c>
      <c r="F3670" s="75" t="s">
        <v>10</v>
      </c>
      <c r="H3670" s="75" t="s">
        <v>10</v>
      </c>
      <c r="I3670" s="75">
        <v>19489</v>
      </c>
      <c r="K3670" s="75" t="str">
        <f>IFERROR(VLOOKUP(J3670,'NQ10'!$B$9:$C$145,2,0),"")</f>
        <v/>
      </c>
    </row>
    <row r="3671" spans="1:11" ht="15" customHeight="1" x14ac:dyDescent="0.25">
      <c r="A3671" s="75">
        <v>32</v>
      </c>
      <c r="B3671" s="75">
        <v>112</v>
      </c>
      <c r="C3671" s="75" t="s">
        <v>10</v>
      </c>
      <c r="D3671" s="75">
        <v>14646</v>
      </c>
      <c r="F3671" s="75" t="s">
        <v>10</v>
      </c>
      <c r="H3671" s="75" t="s">
        <v>10</v>
      </c>
      <c r="I3671" s="75">
        <v>19489</v>
      </c>
      <c r="K3671" s="75" t="str">
        <f>IFERROR(VLOOKUP(J3671,'NQ10'!$B$9:$C$145,2,0),"")</f>
        <v/>
      </c>
    </row>
    <row r="3672" spans="1:11" ht="15" customHeight="1" x14ac:dyDescent="0.25">
      <c r="A3672" s="75">
        <v>32</v>
      </c>
      <c r="B3672" s="75">
        <v>113</v>
      </c>
      <c r="C3672" s="75" t="s">
        <v>10</v>
      </c>
      <c r="D3672" s="75">
        <v>10702</v>
      </c>
      <c r="F3672" s="75" t="s">
        <v>10</v>
      </c>
      <c r="H3672" s="75" t="s">
        <v>10</v>
      </c>
      <c r="I3672" s="75">
        <v>19489</v>
      </c>
      <c r="K3672" s="75" t="str">
        <f>IFERROR(VLOOKUP(J3672,'NQ10'!$B$9:$C$145,2,0),"")</f>
        <v/>
      </c>
    </row>
    <row r="3673" spans="1:11" ht="15" customHeight="1" x14ac:dyDescent="0.25">
      <c r="A3673" s="75">
        <v>32</v>
      </c>
      <c r="B3673" s="75">
        <v>114</v>
      </c>
      <c r="C3673" s="75" t="s">
        <v>10</v>
      </c>
      <c r="D3673" s="75">
        <v>2582</v>
      </c>
      <c r="F3673" s="75" t="s">
        <v>10</v>
      </c>
      <c r="H3673" s="75" t="s">
        <v>10</v>
      </c>
      <c r="I3673" s="75">
        <v>19489</v>
      </c>
      <c r="K3673" s="75" t="str">
        <f>IFERROR(VLOOKUP(J3673,'NQ10'!$B$9:$C$145,2,0),"")</f>
        <v/>
      </c>
    </row>
    <row r="3674" spans="1:11" ht="15" customHeight="1" x14ac:dyDescent="0.25">
      <c r="A3674" s="75">
        <v>32</v>
      </c>
      <c r="B3674" s="75">
        <v>115</v>
      </c>
      <c r="C3674" s="75" t="s">
        <v>10</v>
      </c>
      <c r="D3674" s="75">
        <v>197</v>
      </c>
      <c r="F3674" s="75" t="s">
        <v>10</v>
      </c>
      <c r="H3674" s="75" t="s">
        <v>10</v>
      </c>
      <c r="I3674" s="75">
        <v>19489</v>
      </c>
      <c r="K3674" s="75" t="str">
        <f>IFERROR(VLOOKUP(J3674,'NQ10'!$B$9:$C$145,2,0),"")</f>
        <v/>
      </c>
    </row>
    <row r="3675" spans="1:11" ht="15" customHeight="1" x14ac:dyDescent="0.25">
      <c r="A3675" s="75">
        <v>32</v>
      </c>
      <c r="B3675" s="75">
        <v>116</v>
      </c>
      <c r="C3675" s="75" t="s">
        <v>10</v>
      </c>
      <c r="D3675" s="75">
        <v>1327</v>
      </c>
      <c r="F3675" s="75" t="s">
        <v>10</v>
      </c>
      <c r="H3675" s="75" t="s">
        <v>10</v>
      </c>
      <c r="I3675" s="75">
        <v>19489</v>
      </c>
      <c r="K3675" s="75" t="str">
        <f>IFERROR(VLOOKUP(J3675,'NQ10'!$B$9:$C$145,2,0),"")</f>
        <v/>
      </c>
    </row>
    <row r="3676" spans="1:11" ht="15" customHeight="1" x14ac:dyDescent="0.25">
      <c r="A3676" s="75">
        <v>32</v>
      </c>
      <c r="B3676" s="75">
        <v>117</v>
      </c>
      <c r="C3676" s="75" t="s">
        <v>10</v>
      </c>
      <c r="D3676" s="75">
        <v>6541</v>
      </c>
      <c r="F3676" s="75" t="s">
        <v>10</v>
      </c>
      <c r="H3676" s="75" t="s">
        <v>10</v>
      </c>
      <c r="I3676" s="75">
        <v>19489</v>
      </c>
      <c r="K3676" s="75" t="str">
        <f>IFERROR(VLOOKUP(J3676,'NQ10'!$B$9:$C$145,2,0),"")</f>
        <v/>
      </c>
    </row>
    <row r="3677" spans="1:11" ht="15" customHeight="1" x14ac:dyDescent="0.25">
      <c r="A3677" s="75">
        <v>32</v>
      </c>
      <c r="B3677" s="75">
        <v>118</v>
      </c>
      <c r="C3677" s="75" t="s">
        <v>10</v>
      </c>
      <c r="D3677" s="75">
        <v>4236</v>
      </c>
      <c r="F3677" s="75" t="s">
        <v>10</v>
      </c>
      <c r="H3677" s="75" t="s">
        <v>10</v>
      </c>
      <c r="I3677" s="75">
        <v>19489</v>
      </c>
      <c r="K3677" s="75" t="str">
        <f>IFERROR(VLOOKUP(J3677,'NQ10'!$B$9:$C$145,2,0),"")</f>
        <v/>
      </c>
    </row>
    <row r="3678" spans="1:11" ht="15" customHeight="1" x14ac:dyDescent="0.25">
      <c r="A3678" s="75">
        <v>32</v>
      </c>
      <c r="B3678" s="75">
        <v>120</v>
      </c>
      <c r="C3678" s="75" t="s">
        <v>10</v>
      </c>
      <c r="D3678" s="75">
        <v>9383</v>
      </c>
      <c r="F3678" s="75" t="s">
        <v>10</v>
      </c>
      <c r="H3678" s="75" t="s">
        <v>10</v>
      </c>
      <c r="I3678" s="75">
        <v>19489</v>
      </c>
      <c r="K3678" s="75" t="str">
        <f>IFERROR(VLOOKUP(J3678,'NQ10'!$B$9:$C$145,2,0),"")</f>
        <v/>
      </c>
    </row>
    <row r="3679" spans="1:11" ht="15" customHeight="1" x14ac:dyDescent="0.25">
      <c r="A3679" s="75">
        <v>32</v>
      </c>
      <c r="B3679" s="75">
        <v>122</v>
      </c>
      <c r="C3679" s="75" t="s">
        <v>10</v>
      </c>
      <c r="D3679" s="75">
        <v>3229</v>
      </c>
      <c r="F3679" s="75" t="s">
        <v>10</v>
      </c>
      <c r="H3679" s="75" t="s">
        <v>10</v>
      </c>
      <c r="I3679" s="75">
        <v>19489</v>
      </c>
      <c r="K3679" s="75" t="str">
        <f>IFERROR(VLOOKUP(J3679,'NQ10'!$B$9:$C$145,2,0),"")</f>
        <v/>
      </c>
    </row>
    <row r="3680" spans="1:11" ht="15" customHeight="1" x14ac:dyDescent="0.25">
      <c r="A3680" s="75">
        <v>32</v>
      </c>
      <c r="B3680" s="75">
        <v>124</v>
      </c>
      <c r="C3680" s="75" t="s">
        <v>10</v>
      </c>
      <c r="D3680" s="75">
        <v>1357</v>
      </c>
      <c r="F3680" s="75" t="s">
        <v>10</v>
      </c>
      <c r="H3680" s="75" t="s">
        <v>10</v>
      </c>
      <c r="I3680" s="75">
        <v>19489</v>
      </c>
      <c r="K3680" s="75" t="str">
        <f>IFERROR(VLOOKUP(J3680,'NQ10'!$B$9:$C$145,2,0),"")</f>
        <v/>
      </c>
    </row>
    <row r="3681" spans="1:11" ht="15" customHeight="1" x14ac:dyDescent="0.25">
      <c r="A3681" s="75">
        <v>32</v>
      </c>
      <c r="B3681" s="75">
        <v>126</v>
      </c>
      <c r="C3681" s="75" t="s">
        <v>10</v>
      </c>
      <c r="D3681" s="75">
        <v>6901</v>
      </c>
      <c r="F3681" s="75" t="s">
        <v>10</v>
      </c>
      <c r="H3681" s="75" t="s">
        <v>10</v>
      </c>
      <c r="I3681" s="75">
        <v>19489</v>
      </c>
      <c r="K3681" s="75" t="str">
        <f>IFERROR(VLOOKUP(J3681,'NQ10'!$B$9:$C$145,2,0),"")</f>
        <v/>
      </c>
    </row>
    <row r="3682" spans="1:11" ht="15" customHeight="1" x14ac:dyDescent="0.25">
      <c r="A3682" s="75">
        <v>32</v>
      </c>
      <c r="B3682" s="75">
        <v>127</v>
      </c>
      <c r="C3682" s="75" t="s">
        <v>10</v>
      </c>
      <c r="D3682" s="75">
        <v>2678</v>
      </c>
      <c r="F3682" s="75" t="s">
        <v>10</v>
      </c>
      <c r="H3682" s="75" t="s">
        <v>10</v>
      </c>
      <c r="I3682" s="75">
        <v>19489</v>
      </c>
      <c r="K3682" s="75" t="str">
        <f>IFERROR(VLOOKUP(J3682,'NQ10'!$B$9:$C$145,2,0),"")</f>
        <v/>
      </c>
    </row>
    <row r="3683" spans="1:11" ht="15" customHeight="1" x14ac:dyDescent="0.25">
      <c r="A3683" s="75">
        <v>32</v>
      </c>
      <c r="B3683" s="75">
        <v>129</v>
      </c>
      <c r="C3683" s="75" t="s">
        <v>10</v>
      </c>
      <c r="D3683" s="75">
        <v>9012</v>
      </c>
      <c r="F3683" s="75" t="s">
        <v>10</v>
      </c>
      <c r="H3683" s="75" t="s">
        <v>10</v>
      </c>
      <c r="I3683" s="75">
        <v>19489</v>
      </c>
      <c r="K3683" s="75" t="str">
        <f>IFERROR(VLOOKUP(J3683,'NQ10'!$B$9:$C$145,2,0),"")</f>
        <v/>
      </c>
    </row>
    <row r="3684" spans="1:11" ht="15" customHeight="1" x14ac:dyDescent="0.25">
      <c r="A3684" s="75">
        <v>32</v>
      </c>
      <c r="B3684" s="75">
        <v>130</v>
      </c>
      <c r="C3684" s="75" t="s">
        <v>10</v>
      </c>
      <c r="D3684" s="75">
        <v>3928</v>
      </c>
      <c r="F3684" s="75" t="s">
        <v>10</v>
      </c>
      <c r="H3684" s="75" t="s">
        <v>10</v>
      </c>
      <c r="I3684" s="75">
        <v>19489</v>
      </c>
      <c r="K3684" s="75" t="str">
        <f>IFERROR(VLOOKUP(J3684,'NQ10'!$B$9:$C$145,2,0),"")</f>
        <v/>
      </c>
    </row>
    <row r="3685" spans="1:11" ht="15" customHeight="1" x14ac:dyDescent="0.25">
      <c r="A3685" s="75">
        <v>32</v>
      </c>
      <c r="B3685" s="75">
        <v>131</v>
      </c>
      <c r="C3685" s="75" t="s">
        <v>10</v>
      </c>
      <c r="D3685" s="75">
        <v>1875</v>
      </c>
      <c r="F3685" s="75" t="s">
        <v>10</v>
      </c>
      <c r="H3685" s="75" t="s">
        <v>10</v>
      </c>
      <c r="I3685" s="75">
        <v>19489</v>
      </c>
      <c r="K3685" s="75" t="str">
        <f>IFERROR(VLOOKUP(J3685,'NQ10'!$B$9:$C$145,2,0),"")</f>
        <v/>
      </c>
    </row>
    <row r="3686" spans="1:11" ht="15" customHeight="1" x14ac:dyDescent="0.25">
      <c r="A3686" s="75">
        <v>32</v>
      </c>
      <c r="B3686" s="75">
        <v>132</v>
      </c>
      <c r="C3686" s="75" t="s">
        <v>10</v>
      </c>
      <c r="D3686" s="75">
        <v>2739</v>
      </c>
      <c r="F3686" s="75" t="s">
        <v>10</v>
      </c>
      <c r="H3686" s="75" t="s">
        <v>10</v>
      </c>
      <c r="I3686" s="75">
        <v>19489</v>
      </c>
      <c r="K3686" s="75" t="str">
        <f>IFERROR(VLOOKUP(J3686,'NQ10'!$B$9:$C$145,2,0),"")</f>
        <v/>
      </c>
    </row>
    <row r="3687" spans="1:11" ht="15" customHeight="1" x14ac:dyDescent="0.25">
      <c r="A3687" s="75">
        <v>32</v>
      </c>
      <c r="B3687" s="75">
        <v>133</v>
      </c>
      <c r="C3687" s="75" t="s">
        <v>10</v>
      </c>
      <c r="D3687" s="75">
        <v>2952</v>
      </c>
      <c r="F3687" s="75" t="s">
        <v>10</v>
      </c>
      <c r="H3687" s="75" t="s">
        <v>10</v>
      </c>
      <c r="I3687" s="75">
        <v>19489</v>
      </c>
      <c r="K3687" s="75" t="str">
        <f>IFERROR(VLOOKUP(J3687,'NQ10'!$B$9:$C$145,2,0),"")</f>
        <v/>
      </c>
    </row>
    <row r="3688" spans="1:11" ht="15" customHeight="1" x14ac:dyDescent="0.25">
      <c r="A3688" s="75">
        <v>32</v>
      </c>
      <c r="B3688" s="75">
        <v>135</v>
      </c>
      <c r="C3688" s="75" t="s">
        <v>10</v>
      </c>
      <c r="D3688" s="75">
        <v>4308</v>
      </c>
      <c r="F3688" s="75" t="s">
        <v>10</v>
      </c>
      <c r="H3688" s="75" t="s">
        <v>10</v>
      </c>
      <c r="I3688" s="75">
        <v>19489</v>
      </c>
      <c r="K3688" s="75" t="str">
        <f>IFERROR(VLOOKUP(J3688,'NQ10'!$B$9:$C$145,2,0),"")</f>
        <v/>
      </c>
    </row>
    <row r="3689" spans="1:11" ht="15" customHeight="1" x14ac:dyDescent="0.25">
      <c r="A3689" s="75">
        <v>32</v>
      </c>
      <c r="B3689" s="75">
        <v>136</v>
      </c>
      <c r="C3689" s="75" t="s">
        <v>10</v>
      </c>
      <c r="D3689" s="75">
        <v>2171</v>
      </c>
      <c r="F3689" s="75" t="s">
        <v>10</v>
      </c>
      <c r="H3689" s="75" t="s">
        <v>10</v>
      </c>
      <c r="I3689" s="75">
        <v>19489</v>
      </c>
      <c r="K3689" s="75" t="str">
        <f>IFERROR(VLOOKUP(J3689,'NQ10'!$B$9:$C$145,2,0),"")</f>
        <v/>
      </c>
    </row>
    <row r="3690" spans="1:11" ht="15" customHeight="1" x14ac:dyDescent="0.25">
      <c r="A3690" s="75">
        <v>32</v>
      </c>
      <c r="B3690" s="75">
        <v>137</v>
      </c>
      <c r="C3690" s="75" t="s">
        <v>10</v>
      </c>
      <c r="D3690" s="75">
        <v>1766</v>
      </c>
      <c r="F3690" s="75" t="s">
        <v>10</v>
      </c>
      <c r="H3690" s="75" t="s">
        <v>10</v>
      </c>
      <c r="I3690" s="75">
        <v>19489</v>
      </c>
      <c r="K3690" s="75" t="str">
        <f>IFERROR(VLOOKUP(J3690,'NQ10'!$B$9:$C$145,2,0),"")</f>
        <v/>
      </c>
    </row>
    <row r="3691" spans="1:11" ht="15" customHeight="1" x14ac:dyDescent="0.25">
      <c r="A3691" s="75">
        <v>32</v>
      </c>
      <c r="B3691" s="75">
        <v>139</v>
      </c>
      <c r="C3691" s="75" t="s">
        <v>10</v>
      </c>
      <c r="D3691" s="75">
        <v>493</v>
      </c>
      <c r="F3691" s="75" t="s">
        <v>10</v>
      </c>
      <c r="H3691" s="75" t="s">
        <v>10</v>
      </c>
      <c r="I3691" s="75">
        <v>19489</v>
      </c>
      <c r="K3691" s="75" t="str">
        <f>IFERROR(VLOOKUP(J3691,'NQ10'!$B$9:$C$145,2,0),"")</f>
        <v/>
      </c>
    </row>
    <row r="3692" spans="1:11" ht="15" customHeight="1" x14ac:dyDescent="0.25">
      <c r="A3692" s="75">
        <v>32</v>
      </c>
      <c r="B3692" s="75">
        <v>140</v>
      </c>
      <c r="C3692" s="75" t="s">
        <v>10</v>
      </c>
      <c r="D3692" s="75">
        <v>110</v>
      </c>
      <c r="F3692" s="75" t="s">
        <v>10</v>
      </c>
      <c r="H3692" s="75" t="s">
        <v>10</v>
      </c>
      <c r="I3692" s="75">
        <v>19489</v>
      </c>
      <c r="K3692" s="75" t="str">
        <f>IFERROR(VLOOKUP(J3692,'NQ10'!$B$9:$C$145,2,0),"")</f>
        <v/>
      </c>
    </row>
    <row r="3693" spans="1:11" ht="15" customHeight="1" x14ac:dyDescent="0.25">
      <c r="A3693" s="75">
        <v>32</v>
      </c>
      <c r="B3693" s="75">
        <v>141</v>
      </c>
      <c r="C3693" s="75" t="s">
        <v>10</v>
      </c>
      <c r="D3693" s="75">
        <v>626</v>
      </c>
      <c r="F3693" s="75" t="s">
        <v>10</v>
      </c>
      <c r="H3693" s="75" t="s">
        <v>10</v>
      </c>
      <c r="I3693" s="75">
        <v>19489</v>
      </c>
      <c r="K3693" s="75" t="str">
        <f>IFERROR(VLOOKUP(J3693,'NQ10'!$B$9:$C$145,2,0),"")</f>
        <v/>
      </c>
    </row>
    <row r="3694" spans="1:11" ht="15" customHeight="1" x14ac:dyDescent="0.25">
      <c r="A3694" s="75">
        <v>32</v>
      </c>
      <c r="B3694" s="75">
        <v>142</v>
      </c>
      <c r="C3694" s="75" t="s">
        <v>10</v>
      </c>
      <c r="D3694" s="75">
        <v>259</v>
      </c>
      <c r="F3694" s="75" t="s">
        <v>10</v>
      </c>
      <c r="H3694" s="75" t="s">
        <v>10</v>
      </c>
      <c r="I3694" s="75">
        <v>19489</v>
      </c>
      <c r="K3694" s="75" t="str">
        <f>IFERROR(VLOOKUP(J3694,'NQ10'!$B$9:$C$145,2,0),"")</f>
        <v/>
      </c>
    </row>
    <row r="3695" spans="1:11" ht="15" customHeight="1" x14ac:dyDescent="0.25">
      <c r="A3695" s="75">
        <v>32</v>
      </c>
      <c r="B3695" s="75">
        <v>143</v>
      </c>
      <c r="C3695" s="75" t="s">
        <v>10</v>
      </c>
      <c r="D3695" s="75">
        <v>547</v>
      </c>
      <c r="F3695" s="75" t="s">
        <v>10</v>
      </c>
      <c r="H3695" s="75" t="s">
        <v>10</v>
      </c>
      <c r="I3695" s="75">
        <v>19489</v>
      </c>
      <c r="K3695" s="75" t="str">
        <f>IFERROR(VLOOKUP(J3695,'NQ10'!$B$9:$C$145,2,0),"")</f>
        <v/>
      </c>
    </row>
    <row r="3696" spans="1:11" ht="15" customHeight="1" x14ac:dyDescent="0.25">
      <c r="A3696" s="75">
        <v>32</v>
      </c>
      <c r="B3696" s="75">
        <v>144</v>
      </c>
      <c r="C3696" s="75" t="s">
        <v>10</v>
      </c>
      <c r="D3696" s="75">
        <v>114</v>
      </c>
      <c r="F3696" s="75" t="s">
        <v>10</v>
      </c>
      <c r="H3696" s="75" t="s">
        <v>10</v>
      </c>
      <c r="I3696" s="75">
        <v>19489</v>
      </c>
      <c r="K3696" s="75" t="str">
        <f>IFERROR(VLOOKUP(J3696,'NQ10'!$B$9:$C$145,2,0),"")</f>
        <v/>
      </c>
    </row>
    <row r="3697" spans="1:11" ht="15" customHeight="1" x14ac:dyDescent="0.25">
      <c r="A3697" s="75">
        <v>32</v>
      </c>
      <c r="B3697" s="75">
        <v>149</v>
      </c>
      <c r="C3697" s="75" t="s">
        <v>10</v>
      </c>
      <c r="D3697" s="75">
        <v>5767</v>
      </c>
      <c r="F3697" s="75" t="s">
        <v>10</v>
      </c>
      <c r="H3697" s="75" t="s">
        <v>10</v>
      </c>
      <c r="I3697" s="75">
        <v>19489</v>
      </c>
      <c r="K3697" s="75" t="str">
        <f>IFERROR(VLOOKUP(J3697,'NQ10'!$B$9:$C$145,2,0),"")</f>
        <v/>
      </c>
    </row>
    <row r="3698" spans="1:11" ht="15" customHeight="1" x14ac:dyDescent="0.25">
      <c r="A3698" s="75">
        <v>32</v>
      </c>
      <c r="B3698" s="75">
        <v>150</v>
      </c>
      <c r="C3698" s="75" t="s">
        <v>10</v>
      </c>
      <c r="D3698" s="75">
        <v>139</v>
      </c>
      <c r="F3698" s="75" t="s">
        <v>10</v>
      </c>
      <c r="H3698" s="75" t="s">
        <v>10</v>
      </c>
      <c r="I3698" s="75">
        <v>19489</v>
      </c>
      <c r="K3698" s="75" t="str">
        <f>IFERROR(VLOOKUP(J3698,'NQ10'!$B$9:$C$145,2,0),"")</f>
        <v/>
      </c>
    </row>
    <row r="3699" spans="1:11" ht="15" customHeight="1" x14ac:dyDescent="0.25">
      <c r="A3699" s="75">
        <v>32</v>
      </c>
      <c r="B3699" s="75">
        <v>151</v>
      </c>
      <c r="C3699" s="75" t="s">
        <v>10</v>
      </c>
      <c r="D3699" s="75">
        <v>4136</v>
      </c>
      <c r="F3699" s="75" t="s">
        <v>10</v>
      </c>
      <c r="H3699" s="75" t="s">
        <v>10</v>
      </c>
      <c r="I3699" s="75">
        <v>19489</v>
      </c>
      <c r="K3699" s="75" t="str">
        <f>IFERROR(VLOOKUP(J3699,'NQ10'!$B$9:$C$145,2,0),"")</f>
        <v/>
      </c>
    </row>
    <row r="3700" spans="1:11" ht="15" customHeight="1" x14ac:dyDescent="0.25">
      <c r="A3700" s="75">
        <v>32</v>
      </c>
      <c r="B3700" s="75">
        <v>152</v>
      </c>
      <c r="C3700" s="75" t="s">
        <v>10</v>
      </c>
      <c r="D3700" s="75">
        <v>21836</v>
      </c>
      <c r="F3700" s="75" t="s">
        <v>10</v>
      </c>
      <c r="H3700" s="75" t="s">
        <v>10</v>
      </c>
      <c r="I3700" s="75">
        <v>19489</v>
      </c>
      <c r="K3700" s="75" t="str">
        <f>IFERROR(VLOOKUP(J3700,'NQ10'!$B$9:$C$145,2,0),"")</f>
        <v/>
      </c>
    </row>
    <row r="3701" spans="1:11" ht="15" customHeight="1" x14ac:dyDescent="0.25">
      <c r="A3701" s="75">
        <v>32</v>
      </c>
      <c r="B3701" s="75">
        <v>153</v>
      </c>
      <c r="C3701" s="75" t="s">
        <v>10</v>
      </c>
      <c r="D3701" s="75">
        <v>4746</v>
      </c>
      <c r="F3701" s="75" t="s">
        <v>10</v>
      </c>
      <c r="H3701" s="75" t="s">
        <v>10</v>
      </c>
      <c r="I3701" s="75">
        <v>19489</v>
      </c>
      <c r="K3701" s="75" t="str">
        <f>IFERROR(VLOOKUP(J3701,'NQ10'!$B$9:$C$145,2,0),"")</f>
        <v/>
      </c>
    </row>
    <row r="3702" spans="1:11" ht="15" customHeight="1" x14ac:dyDescent="0.25">
      <c r="A3702" s="75">
        <v>32</v>
      </c>
      <c r="B3702" s="75">
        <v>154</v>
      </c>
      <c r="C3702" s="75" t="s">
        <v>10</v>
      </c>
      <c r="D3702" s="75">
        <v>1680</v>
      </c>
      <c r="F3702" s="75" t="s">
        <v>10</v>
      </c>
      <c r="H3702" s="75" t="s">
        <v>10</v>
      </c>
      <c r="I3702" s="75">
        <v>19489</v>
      </c>
      <c r="K3702" s="75" t="str">
        <f>IFERROR(VLOOKUP(J3702,'NQ10'!$B$9:$C$145,2,0),"")</f>
        <v/>
      </c>
    </row>
    <row r="3703" spans="1:11" ht="15" customHeight="1" x14ac:dyDescent="0.25">
      <c r="A3703" s="75">
        <v>32</v>
      </c>
      <c r="B3703" s="75">
        <v>155</v>
      </c>
      <c r="C3703" s="75" t="s">
        <v>10</v>
      </c>
      <c r="D3703" s="75">
        <v>4365</v>
      </c>
      <c r="F3703" s="75" t="s">
        <v>10</v>
      </c>
      <c r="H3703" s="75" t="s">
        <v>10</v>
      </c>
      <c r="I3703" s="75">
        <v>19489</v>
      </c>
      <c r="K3703" s="75" t="str">
        <f>IFERROR(VLOOKUP(J3703,'NQ10'!$B$9:$C$145,2,0),"")</f>
        <v/>
      </c>
    </row>
    <row r="3704" spans="1:11" ht="15" customHeight="1" x14ac:dyDescent="0.25">
      <c r="A3704" s="75">
        <v>32</v>
      </c>
      <c r="B3704" s="75">
        <v>156</v>
      </c>
      <c r="C3704" s="75" t="s">
        <v>10</v>
      </c>
      <c r="D3704" s="75">
        <v>16721</v>
      </c>
      <c r="F3704" s="75" t="s">
        <v>10</v>
      </c>
      <c r="H3704" s="75" t="s">
        <v>10</v>
      </c>
      <c r="I3704" s="75">
        <v>19489</v>
      </c>
      <c r="K3704" s="75" t="str">
        <f>IFERROR(VLOOKUP(J3704,'NQ10'!$B$9:$C$145,2,0),"")</f>
        <v/>
      </c>
    </row>
    <row r="3705" spans="1:11" ht="15" customHeight="1" x14ac:dyDescent="0.25">
      <c r="A3705" s="75">
        <v>32</v>
      </c>
      <c r="B3705" s="75">
        <v>157</v>
      </c>
      <c r="C3705" s="75" t="s">
        <v>10</v>
      </c>
      <c r="D3705" s="75">
        <v>3910</v>
      </c>
      <c r="F3705" s="75" t="s">
        <v>10</v>
      </c>
      <c r="H3705" s="75" t="s">
        <v>10</v>
      </c>
      <c r="I3705" s="75">
        <v>19489</v>
      </c>
      <c r="K3705" s="75" t="str">
        <f>IFERROR(VLOOKUP(J3705,'NQ10'!$B$9:$C$145,2,0),"")</f>
        <v/>
      </c>
    </row>
    <row r="3706" spans="1:11" ht="15" customHeight="1" x14ac:dyDescent="0.25">
      <c r="A3706" s="75">
        <v>32</v>
      </c>
      <c r="B3706" s="75">
        <v>158</v>
      </c>
      <c r="C3706" s="75" t="s">
        <v>10</v>
      </c>
      <c r="D3706" s="75">
        <v>6535</v>
      </c>
      <c r="F3706" s="75" t="s">
        <v>10</v>
      </c>
      <c r="H3706" s="75" t="s">
        <v>10</v>
      </c>
      <c r="I3706" s="75">
        <v>19489</v>
      </c>
      <c r="K3706" s="75" t="str">
        <f>IFERROR(VLOOKUP(J3706,'NQ10'!$B$9:$C$145,2,0),"")</f>
        <v/>
      </c>
    </row>
    <row r="3707" spans="1:11" ht="15" customHeight="1" x14ac:dyDescent="0.25">
      <c r="A3707" s="75">
        <v>32</v>
      </c>
      <c r="B3707" s="75">
        <v>160</v>
      </c>
      <c r="C3707" s="75" t="s">
        <v>10</v>
      </c>
      <c r="D3707" s="75">
        <v>4331</v>
      </c>
      <c r="F3707" s="75" t="s">
        <v>10</v>
      </c>
      <c r="H3707" s="75" t="s">
        <v>10</v>
      </c>
      <c r="I3707" s="75">
        <v>19489</v>
      </c>
      <c r="K3707" s="75" t="str">
        <f>IFERROR(VLOOKUP(J3707,'NQ10'!$B$9:$C$145,2,0),"")</f>
        <v/>
      </c>
    </row>
    <row r="3708" spans="1:11" ht="15" customHeight="1" x14ac:dyDescent="0.25">
      <c r="A3708" s="75">
        <v>32</v>
      </c>
      <c r="B3708" s="75">
        <v>161</v>
      </c>
      <c r="C3708" s="75" t="s">
        <v>10</v>
      </c>
      <c r="D3708" s="75">
        <v>6312</v>
      </c>
      <c r="F3708" s="75" t="s">
        <v>10</v>
      </c>
      <c r="H3708" s="75" t="s">
        <v>10</v>
      </c>
      <c r="I3708" s="75">
        <v>19489</v>
      </c>
      <c r="K3708" s="75" t="str">
        <f>IFERROR(VLOOKUP(J3708,'NQ10'!$B$9:$C$145,2,0),"")</f>
        <v/>
      </c>
    </row>
    <row r="3709" spans="1:11" ht="15" customHeight="1" x14ac:dyDescent="0.25">
      <c r="A3709" s="75">
        <v>32</v>
      </c>
      <c r="B3709" s="75">
        <v>162</v>
      </c>
      <c r="C3709" s="75" t="s">
        <v>10</v>
      </c>
      <c r="D3709" s="75">
        <v>3112</v>
      </c>
      <c r="F3709" s="75" t="s">
        <v>10</v>
      </c>
      <c r="H3709" s="75" t="s">
        <v>10</v>
      </c>
      <c r="I3709" s="75">
        <v>19489</v>
      </c>
      <c r="K3709" s="75" t="str">
        <f>IFERROR(VLOOKUP(J3709,'NQ10'!$B$9:$C$145,2,0),"")</f>
        <v/>
      </c>
    </row>
    <row r="3710" spans="1:11" ht="15" customHeight="1" x14ac:dyDescent="0.25">
      <c r="A3710" s="75">
        <v>32</v>
      </c>
      <c r="B3710" s="75">
        <v>163</v>
      </c>
      <c r="C3710" s="75" t="s">
        <v>10</v>
      </c>
      <c r="D3710" s="75">
        <v>2389</v>
      </c>
      <c r="F3710" s="75" t="s">
        <v>10</v>
      </c>
      <c r="H3710" s="75" t="s">
        <v>10</v>
      </c>
      <c r="I3710" s="75">
        <v>19489</v>
      </c>
      <c r="K3710" s="75" t="str">
        <f>IFERROR(VLOOKUP(J3710,'NQ10'!$B$9:$C$145,2,0),"")</f>
        <v/>
      </c>
    </row>
    <row r="3711" spans="1:11" ht="15" customHeight="1" x14ac:dyDescent="0.25">
      <c r="A3711" s="75">
        <v>32</v>
      </c>
      <c r="B3711" s="75">
        <v>164</v>
      </c>
      <c r="C3711" s="75" t="s">
        <v>10</v>
      </c>
      <c r="D3711" s="75">
        <v>2538</v>
      </c>
      <c r="F3711" s="75" t="s">
        <v>10</v>
      </c>
      <c r="H3711" s="75" t="s">
        <v>10</v>
      </c>
      <c r="I3711" s="75">
        <v>19489</v>
      </c>
      <c r="K3711" s="75" t="str">
        <f>IFERROR(VLOOKUP(J3711,'NQ10'!$B$9:$C$145,2,0),"")</f>
        <v/>
      </c>
    </row>
    <row r="3712" spans="1:11" ht="15" customHeight="1" x14ac:dyDescent="0.25">
      <c r="A3712" s="75">
        <v>32</v>
      </c>
      <c r="B3712" s="75">
        <v>166</v>
      </c>
      <c r="C3712" s="75" t="s">
        <v>10</v>
      </c>
      <c r="D3712" s="75">
        <v>2520</v>
      </c>
      <c r="F3712" s="75" t="s">
        <v>10</v>
      </c>
      <c r="H3712" s="75" t="s">
        <v>10</v>
      </c>
      <c r="I3712" s="75">
        <v>19489</v>
      </c>
      <c r="K3712" s="75" t="str">
        <f>IFERROR(VLOOKUP(J3712,'NQ10'!$B$9:$C$145,2,0),"")</f>
        <v/>
      </c>
    </row>
    <row r="3713" spans="1:11" ht="15" customHeight="1" x14ac:dyDescent="0.25">
      <c r="A3713" s="75">
        <v>32</v>
      </c>
      <c r="B3713" s="75">
        <v>167</v>
      </c>
      <c r="C3713" s="75" t="s">
        <v>10</v>
      </c>
      <c r="D3713" s="75">
        <v>277</v>
      </c>
      <c r="F3713" s="75" t="s">
        <v>10</v>
      </c>
      <c r="H3713" s="75" t="s">
        <v>10</v>
      </c>
      <c r="I3713" s="75">
        <v>19489</v>
      </c>
      <c r="K3713" s="75" t="str">
        <f>IFERROR(VLOOKUP(J3713,'NQ10'!$B$9:$C$145,2,0),"")</f>
        <v/>
      </c>
    </row>
    <row r="3714" spans="1:11" ht="15" customHeight="1" x14ac:dyDescent="0.25">
      <c r="A3714" s="75">
        <v>32</v>
      </c>
      <c r="B3714" s="75">
        <v>169</v>
      </c>
      <c r="C3714" s="75" t="s">
        <v>10</v>
      </c>
      <c r="D3714" s="75">
        <v>8266</v>
      </c>
      <c r="F3714" s="75" t="s">
        <v>10</v>
      </c>
      <c r="H3714" s="75" t="s">
        <v>10</v>
      </c>
      <c r="I3714" s="75">
        <v>19489</v>
      </c>
      <c r="K3714" s="75" t="str">
        <f>IFERROR(VLOOKUP(J3714,'NQ10'!$B$9:$C$145,2,0),"")</f>
        <v/>
      </c>
    </row>
    <row r="3715" spans="1:11" ht="15" customHeight="1" x14ac:dyDescent="0.25">
      <c r="A3715" s="75">
        <v>32</v>
      </c>
      <c r="B3715" s="75">
        <v>170</v>
      </c>
      <c r="C3715" s="75" t="s">
        <v>10</v>
      </c>
      <c r="D3715" s="75">
        <v>677</v>
      </c>
      <c r="F3715" s="75" t="s">
        <v>10</v>
      </c>
      <c r="H3715" s="75" t="s">
        <v>10</v>
      </c>
      <c r="I3715" s="75">
        <v>19489</v>
      </c>
      <c r="K3715" s="75" t="str">
        <f>IFERROR(VLOOKUP(J3715,'NQ10'!$B$9:$C$145,2,0),"")</f>
        <v/>
      </c>
    </row>
    <row r="3716" spans="1:11" ht="15" customHeight="1" x14ac:dyDescent="0.25">
      <c r="A3716" s="75">
        <v>32</v>
      </c>
      <c r="B3716" s="75">
        <v>171</v>
      </c>
      <c r="C3716" s="75" t="s">
        <v>10</v>
      </c>
      <c r="D3716" s="75">
        <v>7012</v>
      </c>
      <c r="F3716" s="75" t="s">
        <v>10</v>
      </c>
      <c r="H3716" s="75" t="s">
        <v>10</v>
      </c>
      <c r="I3716" s="75">
        <v>19489</v>
      </c>
      <c r="K3716" s="75" t="str">
        <f>IFERROR(VLOOKUP(J3716,'NQ10'!$B$9:$C$145,2,0),"")</f>
        <v/>
      </c>
    </row>
    <row r="3717" spans="1:11" ht="15" customHeight="1" x14ac:dyDescent="0.25">
      <c r="A3717" s="75">
        <v>32</v>
      </c>
      <c r="B3717" s="75">
        <v>172</v>
      </c>
      <c r="C3717" s="75" t="s">
        <v>10</v>
      </c>
      <c r="D3717" s="75">
        <v>4030</v>
      </c>
      <c r="F3717" s="75" t="s">
        <v>10</v>
      </c>
      <c r="H3717" s="75" t="s">
        <v>10</v>
      </c>
      <c r="I3717" s="75">
        <v>19489</v>
      </c>
      <c r="K3717" s="75" t="str">
        <f>IFERROR(VLOOKUP(J3717,'NQ10'!$B$9:$C$145,2,0),"")</f>
        <v/>
      </c>
    </row>
    <row r="3718" spans="1:11" ht="15" customHeight="1" x14ac:dyDescent="0.25">
      <c r="A3718" s="75">
        <v>32</v>
      </c>
      <c r="B3718" s="75">
        <v>173</v>
      </c>
      <c r="C3718" s="75" t="s">
        <v>10</v>
      </c>
      <c r="D3718" s="75">
        <v>3020</v>
      </c>
      <c r="F3718" s="75" t="s">
        <v>10</v>
      </c>
      <c r="H3718" s="75" t="s">
        <v>10</v>
      </c>
      <c r="I3718" s="75">
        <v>19489</v>
      </c>
      <c r="K3718" s="75" t="str">
        <f>IFERROR(VLOOKUP(J3718,'NQ10'!$B$9:$C$145,2,0),"")</f>
        <v/>
      </c>
    </row>
    <row r="3719" spans="1:11" ht="15" customHeight="1" x14ac:dyDescent="0.25">
      <c r="A3719" s="75">
        <v>32</v>
      </c>
      <c r="B3719" s="75">
        <v>174</v>
      </c>
      <c r="C3719" s="75" t="s">
        <v>10</v>
      </c>
      <c r="D3719" s="75">
        <v>5301</v>
      </c>
      <c r="F3719" s="75" t="s">
        <v>10</v>
      </c>
      <c r="H3719" s="75" t="s">
        <v>10</v>
      </c>
      <c r="I3719" s="75">
        <v>19489</v>
      </c>
      <c r="K3719" s="75" t="str">
        <f>IFERROR(VLOOKUP(J3719,'NQ10'!$B$9:$C$145,2,0),"")</f>
        <v/>
      </c>
    </row>
    <row r="3720" spans="1:11" ht="15" customHeight="1" x14ac:dyDescent="0.25">
      <c r="A3720" s="75">
        <v>32</v>
      </c>
      <c r="B3720" s="75">
        <v>175</v>
      </c>
      <c r="C3720" s="75" t="s">
        <v>10</v>
      </c>
      <c r="D3720" s="75">
        <v>744</v>
      </c>
      <c r="F3720" s="75" t="s">
        <v>10</v>
      </c>
      <c r="H3720" s="75" t="s">
        <v>10</v>
      </c>
      <c r="I3720" s="75">
        <v>19489</v>
      </c>
      <c r="K3720" s="75" t="str">
        <f>IFERROR(VLOOKUP(J3720,'NQ10'!$B$9:$C$145,2,0),"")</f>
        <v/>
      </c>
    </row>
    <row r="3721" spans="1:11" ht="15" customHeight="1" x14ac:dyDescent="0.25">
      <c r="A3721" s="75">
        <v>32</v>
      </c>
      <c r="B3721" s="75">
        <v>176</v>
      </c>
      <c r="C3721" s="75" t="s">
        <v>10</v>
      </c>
      <c r="D3721" s="75">
        <v>2511</v>
      </c>
      <c r="F3721" s="75" t="s">
        <v>10</v>
      </c>
      <c r="H3721" s="75" t="s">
        <v>10</v>
      </c>
      <c r="I3721" s="75">
        <v>19489</v>
      </c>
      <c r="K3721" s="75" t="str">
        <f>IFERROR(VLOOKUP(J3721,'NQ10'!$B$9:$C$145,2,0),"")</f>
        <v/>
      </c>
    </row>
    <row r="3722" spans="1:11" ht="15" customHeight="1" x14ac:dyDescent="0.25">
      <c r="A3722" s="75">
        <v>32</v>
      </c>
      <c r="B3722" s="75">
        <v>178</v>
      </c>
      <c r="C3722" s="75" t="s">
        <v>10</v>
      </c>
      <c r="D3722" s="75">
        <v>4161</v>
      </c>
      <c r="F3722" s="75" t="s">
        <v>10</v>
      </c>
      <c r="H3722" s="75" t="s">
        <v>10</v>
      </c>
      <c r="I3722" s="75">
        <v>19489</v>
      </c>
      <c r="K3722" s="75" t="str">
        <f>IFERROR(VLOOKUP(J3722,'NQ10'!$B$9:$C$145,2,0),"")</f>
        <v/>
      </c>
    </row>
    <row r="3723" spans="1:11" ht="15" customHeight="1" x14ac:dyDescent="0.25">
      <c r="A3723" s="75">
        <v>32</v>
      </c>
      <c r="B3723" s="75">
        <v>179</v>
      </c>
      <c r="C3723" s="75" t="s">
        <v>10</v>
      </c>
      <c r="D3723" s="75">
        <v>6351</v>
      </c>
      <c r="F3723" s="75" t="s">
        <v>10</v>
      </c>
      <c r="H3723" s="75" t="s">
        <v>10</v>
      </c>
      <c r="I3723" s="75">
        <v>19489</v>
      </c>
      <c r="K3723" s="75" t="str">
        <f>IFERROR(VLOOKUP(J3723,'NQ10'!$B$9:$C$145,2,0),"")</f>
        <v/>
      </c>
    </row>
    <row r="3724" spans="1:11" ht="15" customHeight="1" x14ac:dyDescent="0.25">
      <c r="A3724" s="75">
        <v>32</v>
      </c>
      <c r="B3724" s="75">
        <v>180</v>
      </c>
      <c r="C3724" s="75" t="s">
        <v>10</v>
      </c>
      <c r="D3724" s="75">
        <v>1639</v>
      </c>
      <c r="F3724" s="75" t="s">
        <v>10</v>
      </c>
      <c r="H3724" s="75" t="s">
        <v>10</v>
      </c>
      <c r="I3724" s="75">
        <v>19489</v>
      </c>
      <c r="K3724" s="75" t="str">
        <f>IFERROR(VLOOKUP(J3724,'NQ10'!$B$9:$C$145,2,0),"")</f>
        <v/>
      </c>
    </row>
    <row r="3725" spans="1:11" ht="15" customHeight="1" x14ac:dyDescent="0.25">
      <c r="A3725" s="75">
        <v>32</v>
      </c>
      <c r="B3725" s="75">
        <v>181</v>
      </c>
      <c r="C3725" s="75" t="s">
        <v>10</v>
      </c>
      <c r="D3725" s="75">
        <v>16539</v>
      </c>
      <c r="F3725" s="75" t="s">
        <v>10</v>
      </c>
      <c r="H3725" s="75" t="s">
        <v>10</v>
      </c>
      <c r="I3725" s="75">
        <v>19489</v>
      </c>
      <c r="K3725" s="75" t="str">
        <f>IFERROR(VLOOKUP(J3725,'NQ10'!$B$9:$C$145,2,0),"")</f>
        <v/>
      </c>
    </row>
    <row r="3726" spans="1:11" ht="15" customHeight="1" x14ac:dyDescent="0.25">
      <c r="A3726" s="75">
        <v>32</v>
      </c>
      <c r="B3726" s="75">
        <v>182</v>
      </c>
      <c r="C3726" s="75" t="s">
        <v>10</v>
      </c>
      <c r="D3726" s="75">
        <v>1803</v>
      </c>
      <c r="F3726" s="75" t="s">
        <v>10</v>
      </c>
      <c r="H3726" s="75" t="s">
        <v>10</v>
      </c>
      <c r="I3726" s="75">
        <v>19489</v>
      </c>
      <c r="K3726" s="75" t="str">
        <f>IFERROR(VLOOKUP(J3726,'NQ10'!$B$9:$C$145,2,0),"")</f>
        <v/>
      </c>
    </row>
    <row r="3727" spans="1:11" ht="15" customHeight="1" x14ac:dyDescent="0.25">
      <c r="A3727" s="75">
        <v>32</v>
      </c>
      <c r="B3727" s="75">
        <v>184</v>
      </c>
      <c r="C3727" s="75" t="s">
        <v>10</v>
      </c>
      <c r="D3727" s="75">
        <v>558</v>
      </c>
      <c r="F3727" s="75" t="s">
        <v>10</v>
      </c>
      <c r="H3727" s="75" t="s">
        <v>10</v>
      </c>
      <c r="I3727" s="75">
        <v>19489</v>
      </c>
      <c r="K3727" s="75" t="str">
        <f>IFERROR(VLOOKUP(J3727,'NQ10'!$B$9:$C$145,2,0),"")</f>
        <v/>
      </c>
    </row>
    <row r="3728" spans="1:11" ht="15" customHeight="1" x14ac:dyDescent="0.25">
      <c r="A3728" s="75">
        <v>32</v>
      </c>
      <c r="B3728" s="75">
        <v>186</v>
      </c>
      <c r="C3728" s="75" t="s">
        <v>10</v>
      </c>
      <c r="D3728" s="75">
        <v>25060</v>
      </c>
      <c r="F3728" s="75" t="s">
        <v>10</v>
      </c>
      <c r="H3728" s="75" t="s">
        <v>10</v>
      </c>
      <c r="I3728" s="75">
        <v>19489</v>
      </c>
      <c r="K3728" s="75" t="str">
        <f>IFERROR(VLOOKUP(J3728,'NQ10'!$B$9:$C$145,2,0),"")</f>
        <v/>
      </c>
    </row>
    <row r="3729" spans="1:11" ht="15" customHeight="1" x14ac:dyDescent="0.25">
      <c r="A3729" s="75">
        <v>32</v>
      </c>
      <c r="B3729" s="75">
        <v>187</v>
      </c>
      <c r="C3729" s="75" t="s">
        <v>10</v>
      </c>
      <c r="D3729" s="75">
        <v>4071</v>
      </c>
      <c r="F3729" s="75" t="s">
        <v>10</v>
      </c>
      <c r="H3729" s="75" t="s">
        <v>10</v>
      </c>
      <c r="I3729" s="75">
        <v>19489</v>
      </c>
      <c r="K3729" s="75" t="str">
        <f>IFERROR(VLOOKUP(J3729,'NQ10'!$B$9:$C$145,2,0),"")</f>
        <v/>
      </c>
    </row>
    <row r="3730" spans="1:11" ht="15" customHeight="1" x14ac:dyDescent="0.25">
      <c r="A3730" s="75">
        <v>32</v>
      </c>
      <c r="B3730" s="75">
        <v>188</v>
      </c>
      <c r="C3730" s="75" t="s">
        <v>10</v>
      </c>
      <c r="D3730" s="75">
        <v>5866</v>
      </c>
      <c r="F3730" s="75" t="s">
        <v>10</v>
      </c>
      <c r="H3730" s="75" t="s">
        <v>10</v>
      </c>
      <c r="I3730" s="75">
        <v>19489</v>
      </c>
      <c r="K3730" s="75" t="str">
        <f>IFERROR(VLOOKUP(J3730,'NQ10'!$B$9:$C$145,2,0),"")</f>
        <v/>
      </c>
    </row>
    <row r="3731" spans="1:11" ht="15" customHeight="1" x14ac:dyDescent="0.25">
      <c r="A3731" s="75">
        <v>32</v>
      </c>
      <c r="B3731" s="75">
        <v>192</v>
      </c>
      <c r="C3731" s="75" t="s">
        <v>10</v>
      </c>
      <c r="D3731" s="75">
        <v>9547</v>
      </c>
      <c r="F3731" s="75" t="s">
        <v>10</v>
      </c>
      <c r="H3731" s="75" t="s">
        <v>10</v>
      </c>
      <c r="I3731" s="75">
        <v>19489</v>
      </c>
      <c r="K3731" s="75" t="str">
        <f>IFERROR(VLOOKUP(J3731,'NQ10'!$B$9:$C$145,2,0),"")</f>
        <v/>
      </c>
    </row>
    <row r="3732" spans="1:11" ht="15" customHeight="1" x14ac:dyDescent="0.25">
      <c r="A3732" s="75">
        <v>32</v>
      </c>
      <c r="B3732" s="75">
        <v>194</v>
      </c>
      <c r="C3732" s="75" t="s">
        <v>10</v>
      </c>
      <c r="D3732" s="75">
        <v>3811</v>
      </c>
      <c r="F3732" s="75" t="s">
        <v>10</v>
      </c>
      <c r="H3732" s="75" t="s">
        <v>10</v>
      </c>
      <c r="I3732" s="75">
        <v>19489</v>
      </c>
      <c r="K3732" s="75" t="str">
        <f>IFERROR(VLOOKUP(J3732,'NQ10'!$B$9:$C$145,2,0),"")</f>
        <v/>
      </c>
    </row>
    <row r="3733" spans="1:11" ht="15" customHeight="1" x14ac:dyDescent="0.25">
      <c r="A3733" s="75">
        <v>32</v>
      </c>
      <c r="B3733" s="75">
        <v>4002</v>
      </c>
      <c r="C3733" s="75" t="s">
        <v>10</v>
      </c>
      <c r="D3733" s="75">
        <v>230</v>
      </c>
      <c r="F3733" s="75" t="s">
        <v>10</v>
      </c>
      <c r="H3733" s="75" t="s">
        <v>10</v>
      </c>
      <c r="I3733" s="75">
        <v>19489</v>
      </c>
      <c r="K3733" s="75" t="str">
        <f>IFERROR(VLOOKUP(J3733,'NQ10'!$B$9:$C$145,2,0),"")</f>
        <v/>
      </c>
    </row>
    <row r="3734" spans="1:11" ht="15" customHeight="1" x14ac:dyDescent="0.25">
      <c r="A3734" s="75">
        <v>32</v>
      </c>
      <c r="B3734" s="75">
        <v>4003</v>
      </c>
      <c r="C3734" s="75" t="s">
        <v>10</v>
      </c>
      <c r="D3734" s="75">
        <v>312</v>
      </c>
      <c r="F3734" s="75" t="s">
        <v>10</v>
      </c>
      <c r="H3734" s="75" t="s">
        <v>10</v>
      </c>
      <c r="I3734" s="75">
        <v>19489</v>
      </c>
      <c r="K3734" s="75" t="str">
        <f>IFERROR(VLOOKUP(J3734,'NQ10'!$B$9:$C$145,2,0),"")</f>
        <v/>
      </c>
    </row>
    <row r="3735" spans="1:11" ht="15" customHeight="1" x14ac:dyDescent="0.25">
      <c r="A3735" s="75">
        <v>32</v>
      </c>
      <c r="B3735" s="75">
        <v>4005</v>
      </c>
      <c r="C3735" s="75" t="s">
        <v>10</v>
      </c>
      <c r="D3735" s="75">
        <v>8567</v>
      </c>
      <c r="F3735" s="75" t="s">
        <v>10</v>
      </c>
      <c r="H3735" s="75" t="s">
        <v>10</v>
      </c>
      <c r="I3735" s="75">
        <v>19489</v>
      </c>
      <c r="K3735" s="75" t="str">
        <f>IFERROR(VLOOKUP(J3735,'NQ10'!$B$9:$C$145,2,0),"")</f>
        <v/>
      </c>
    </row>
    <row r="3736" spans="1:11" ht="15" customHeight="1" x14ac:dyDescent="0.25">
      <c r="A3736" s="75">
        <v>32</v>
      </c>
      <c r="B3736" s="75">
        <v>4006</v>
      </c>
      <c r="C3736" s="75" t="s">
        <v>10</v>
      </c>
      <c r="D3736" s="75">
        <v>995</v>
      </c>
      <c r="F3736" s="75" t="s">
        <v>10</v>
      </c>
      <c r="H3736" s="75" t="s">
        <v>10</v>
      </c>
      <c r="I3736" s="75">
        <v>19489</v>
      </c>
      <c r="K3736" s="75" t="str">
        <f>IFERROR(VLOOKUP(J3736,'NQ10'!$B$9:$C$145,2,0),"")</f>
        <v/>
      </c>
    </row>
    <row r="3737" spans="1:11" ht="15" customHeight="1" x14ac:dyDescent="0.25">
      <c r="A3737" s="75">
        <v>32</v>
      </c>
      <c r="B3737" s="75">
        <v>4007</v>
      </c>
      <c r="C3737" s="75" t="s">
        <v>10</v>
      </c>
      <c r="D3737" s="75">
        <v>585</v>
      </c>
      <c r="F3737" s="75" t="s">
        <v>10</v>
      </c>
      <c r="H3737" s="75" t="s">
        <v>10</v>
      </c>
      <c r="I3737" s="75">
        <v>19489</v>
      </c>
      <c r="K3737" s="75" t="str">
        <f>IFERROR(VLOOKUP(J3737,'NQ10'!$B$9:$C$145,2,0),"")</f>
        <v/>
      </c>
    </row>
    <row r="3738" spans="1:11" ht="15" customHeight="1" x14ac:dyDescent="0.25">
      <c r="A3738" s="75">
        <v>32</v>
      </c>
      <c r="B3738" s="75">
        <v>4008</v>
      </c>
      <c r="C3738" s="75" t="s">
        <v>10</v>
      </c>
      <c r="D3738" s="75">
        <v>83</v>
      </c>
      <c r="F3738" s="75" t="s">
        <v>10</v>
      </c>
      <c r="H3738" s="75" t="s">
        <v>10</v>
      </c>
      <c r="I3738" s="75">
        <v>19489</v>
      </c>
      <c r="K3738" s="75" t="str">
        <f>IFERROR(VLOOKUP(J3738,'NQ10'!$B$9:$C$145,2,0),"")</f>
        <v/>
      </c>
    </row>
    <row r="3739" spans="1:11" ht="15" customHeight="1" x14ac:dyDescent="0.25">
      <c r="A3739" s="75">
        <v>32</v>
      </c>
      <c r="B3739" s="75">
        <v>4009</v>
      </c>
      <c r="C3739" s="75" t="s">
        <v>10</v>
      </c>
      <c r="D3739" s="75">
        <v>214</v>
      </c>
      <c r="F3739" s="75" t="s">
        <v>10</v>
      </c>
      <c r="H3739" s="75" t="s">
        <v>10</v>
      </c>
      <c r="I3739" s="75">
        <v>19489</v>
      </c>
      <c r="K3739" s="75" t="str">
        <f>IFERROR(VLOOKUP(J3739,'NQ10'!$B$9:$C$145,2,0),"")</f>
        <v/>
      </c>
    </row>
    <row r="3740" spans="1:11" ht="15" customHeight="1" x14ac:dyDescent="0.25">
      <c r="A3740" s="75">
        <v>32</v>
      </c>
      <c r="B3740" s="75">
        <v>5001</v>
      </c>
      <c r="C3740" s="75" t="s">
        <v>10</v>
      </c>
      <c r="D3740" s="75">
        <v>1044</v>
      </c>
      <c r="F3740" s="75" t="s">
        <v>10</v>
      </c>
      <c r="H3740" s="75" t="s">
        <v>10</v>
      </c>
      <c r="I3740" s="75">
        <v>19489</v>
      </c>
      <c r="K3740" s="75" t="str">
        <f>IFERROR(VLOOKUP(J3740,'NQ10'!$B$9:$C$145,2,0),"")</f>
        <v/>
      </c>
    </row>
    <row r="3741" spans="1:11" ht="15" customHeight="1" x14ac:dyDescent="0.25">
      <c r="A3741" s="75">
        <v>32</v>
      </c>
      <c r="B3741" s="75">
        <v>5002</v>
      </c>
      <c r="C3741" s="75" t="s">
        <v>10</v>
      </c>
      <c r="D3741" s="75">
        <v>11452</v>
      </c>
      <c r="F3741" s="75" t="s">
        <v>10</v>
      </c>
      <c r="H3741" s="75" t="s">
        <v>10</v>
      </c>
      <c r="I3741" s="75">
        <v>19489</v>
      </c>
      <c r="K3741" s="75" t="str">
        <f>IFERROR(VLOOKUP(J3741,'NQ10'!$B$9:$C$145,2,0),"")</f>
        <v/>
      </c>
    </row>
    <row r="3742" spans="1:11" ht="15" customHeight="1" x14ac:dyDescent="0.25">
      <c r="A3742" s="75">
        <v>32</v>
      </c>
      <c r="B3742" s="75">
        <v>5003</v>
      </c>
      <c r="C3742" s="75" t="s">
        <v>10</v>
      </c>
      <c r="D3742" s="75">
        <v>3792</v>
      </c>
      <c r="F3742" s="75" t="s">
        <v>10</v>
      </c>
      <c r="H3742" s="75" t="s">
        <v>10</v>
      </c>
      <c r="I3742" s="75">
        <v>19489</v>
      </c>
      <c r="K3742" s="75" t="str">
        <f>IFERROR(VLOOKUP(J3742,'NQ10'!$B$9:$C$145,2,0),"")</f>
        <v/>
      </c>
    </row>
    <row r="3743" spans="1:11" ht="15" customHeight="1" x14ac:dyDescent="0.25">
      <c r="A3743" s="75">
        <v>32</v>
      </c>
      <c r="B3743" s="75">
        <v>5004</v>
      </c>
      <c r="C3743" s="75" t="s">
        <v>10</v>
      </c>
      <c r="D3743" s="75">
        <v>214</v>
      </c>
      <c r="F3743" s="75" t="s">
        <v>10</v>
      </c>
      <c r="H3743" s="75" t="s">
        <v>10</v>
      </c>
      <c r="I3743" s="75">
        <v>19489</v>
      </c>
      <c r="K3743" s="75" t="str">
        <f>IFERROR(VLOOKUP(J3743,'NQ10'!$B$9:$C$145,2,0),"")</f>
        <v/>
      </c>
    </row>
    <row r="3744" spans="1:11" ht="15" customHeight="1" x14ac:dyDescent="0.25">
      <c r="A3744" s="75">
        <v>32</v>
      </c>
      <c r="B3744" s="75">
        <v>5006</v>
      </c>
      <c r="C3744" s="75" t="s">
        <v>10</v>
      </c>
      <c r="D3744" s="75">
        <v>998</v>
      </c>
      <c r="F3744" s="75" t="s">
        <v>10</v>
      </c>
      <c r="H3744" s="75" t="s">
        <v>10</v>
      </c>
      <c r="I3744" s="75">
        <v>19489</v>
      </c>
      <c r="K3744" s="75" t="str">
        <f>IFERROR(VLOOKUP(J3744,'NQ10'!$B$9:$C$145,2,0),"")</f>
        <v/>
      </c>
    </row>
    <row r="3745" spans="1:11" ht="15" customHeight="1" x14ac:dyDescent="0.25">
      <c r="A3745" s="75">
        <v>32</v>
      </c>
      <c r="B3745" s="75">
        <v>5007</v>
      </c>
      <c r="C3745" s="75" t="s">
        <v>10</v>
      </c>
      <c r="D3745" s="75">
        <v>1772</v>
      </c>
      <c r="F3745" s="75" t="s">
        <v>10</v>
      </c>
      <c r="H3745" s="75" t="s">
        <v>10</v>
      </c>
      <c r="I3745" s="75">
        <v>19489</v>
      </c>
      <c r="K3745" s="75" t="str">
        <f>IFERROR(VLOOKUP(J3745,'NQ10'!$B$9:$C$145,2,0),"")</f>
        <v/>
      </c>
    </row>
    <row r="3746" spans="1:11" ht="15" customHeight="1" x14ac:dyDescent="0.25">
      <c r="A3746" s="75">
        <v>33</v>
      </c>
      <c r="C3746" s="75" t="s">
        <v>10</v>
      </c>
      <c r="D3746" s="75">
        <v>8056</v>
      </c>
      <c r="F3746" s="75" t="s">
        <v>10</v>
      </c>
      <c r="H3746" s="75" t="s">
        <v>472</v>
      </c>
      <c r="I3746" s="75">
        <v>19489</v>
      </c>
      <c r="K3746" s="75" t="str">
        <f>IFERROR(VLOOKUP(J3746,'NQ10'!$B$9:$C$145,2,0),"")</f>
        <v/>
      </c>
    </row>
    <row r="3747" spans="1:11" ht="15" customHeight="1" x14ac:dyDescent="0.25">
      <c r="A3747" s="75">
        <v>33</v>
      </c>
      <c r="B3747" s="75">
        <v>2</v>
      </c>
      <c r="C3747" s="75" t="s">
        <v>10</v>
      </c>
      <c r="D3747" s="75">
        <v>21507</v>
      </c>
      <c r="F3747" s="75" t="s">
        <v>10</v>
      </c>
      <c r="H3747" s="75" t="s">
        <v>10</v>
      </c>
      <c r="I3747" s="75">
        <v>19489</v>
      </c>
      <c r="K3747" s="75" t="str">
        <f>IFERROR(VLOOKUP(J3747,'NQ10'!$B$9:$C$145,2,0),"")</f>
        <v/>
      </c>
    </row>
    <row r="3748" spans="1:11" ht="15" customHeight="1" x14ac:dyDescent="0.25">
      <c r="A3748" s="75">
        <v>33</v>
      </c>
      <c r="B3748" s="75">
        <v>3</v>
      </c>
      <c r="C3748" s="75" t="s">
        <v>10</v>
      </c>
      <c r="D3748" s="75">
        <v>8133</v>
      </c>
      <c r="F3748" s="75" t="s">
        <v>10</v>
      </c>
      <c r="H3748" s="75" t="s">
        <v>10</v>
      </c>
      <c r="I3748" s="75">
        <v>19489</v>
      </c>
      <c r="K3748" s="75" t="str">
        <f>IFERROR(VLOOKUP(J3748,'NQ10'!$B$9:$C$145,2,0),"")</f>
        <v/>
      </c>
    </row>
    <row r="3749" spans="1:11" ht="15" customHeight="1" x14ac:dyDescent="0.25">
      <c r="A3749" s="75">
        <v>33</v>
      </c>
      <c r="B3749" s="75">
        <v>8</v>
      </c>
      <c r="C3749" s="75" t="s">
        <v>10</v>
      </c>
      <c r="D3749" s="75">
        <v>2960</v>
      </c>
      <c r="F3749" s="75" t="s">
        <v>10</v>
      </c>
      <c r="H3749" s="75" t="s">
        <v>10</v>
      </c>
      <c r="I3749" s="75">
        <v>19489</v>
      </c>
      <c r="K3749" s="75" t="str">
        <f>IFERROR(VLOOKUP(J3749,'NQ10'!$B$9:$C$145,2,0),"")</f>
        <v/>
      </c>
    </row>
    <row r="3750" spans="1:11" ht="15" customHeight="1" x14ac:dyDescent="0.25">
      <c r="A3750" s="75">
        <v>33</v>
      </c>
      <c r="B3750" s="75">
        <v>9</v>
      </c>
      <c r="C3750" s="75" t="s">
        <v>10</v>
      </c>
      <c r="D3750" s="75">
        <v>20180</v>
      </c>
      <c r="F3750" s="75" t="s">
        <v>10</v>
      </c>
      <c r="H3750" s="75" t="s">
        <v>10</v>
      </c>
      <c r="I3750" s="75">
        <v>19489</v>
      </c>
      <c r="K3750" s="75" t="str">
        <f>IFERROR(VLOOKUP(J3750,'NQ10'!$B$9:$C$145,2,0),"")</f>
        <v/>
      </c>
    </row>
    <row r="3751" spans="1:11" ht="15" customHeight="1" x14ac:dyDescent="0.25">
      <c r="A3751" s="75">
        <v>33</v>
      </c>
      <c r="B3751" s="75">
        <v>10</v>
      </c>
      <c r="C3751" s="75" t="s">
        <v>10</v>
      </c>
      <c r="D3751" s="75">
        <v>7256</v>
      </c>
      <c r="F3751" s="75" t="s">
        <v>10</v>
      </c>
      <c r="H3751" s="75" t="s">
        <v>10</v>
      </c>
      <c r="I3751" s="75">
        <v>19489</v>
      </c>
      <c r="K3751" s="75" t="str">
        <f>IFERROR(VLOOKUP(J3751,'NQ10'!$B$9:$C$145,2,0),"")</f>
        <v/>
      </c>
    </row>
    <row r="3752" spans="1:11" ht="15" customHeight="1" x14ac:dyDescent="0.25">
      <c r="A3752" s="75">
        <v>33</v>
      </c>
      <c r="B3752" s="75">
        <v>11</v>
      </c>
      <c r="C3752" s="75" t="s">
        <v>10</v>
      </c>
      <c r="D3752" s="75">
        <v>8307</v>
      </c>
      <c r="F3752" s="75" t="s">
        <v>10</v>
      </c>
      <c r="H3752" s="75" t="s">
        <v>10</v>
      </c>
      <c r="I3752" s="75">
        <v>19489</v>
      </c>
      <c r="K3752" s="75" t="str">
        <f>IFERROR(VLOOKUP(J3752,'NQ10'!$B$9:$C$145,2,0),"")</f>
        <v/>
      </c>
    </row>
    <row r="3753" spans="1:11" ht="15" customHeight="1" x14ac:dyDescent="0.25">
      <c r="A3753" s="75">
        <v>33</v>
      </c>
      <c r="B3753" s="75">
        <v>13</v>
      </c>
      <c r="C3753" s="75" t="s">
        <v>10</v>
      </c>
      <c r="D3753" s="75">
        <v>12675</v>
      </c>
      <c r="F3753" s="75" t="s">
        <v>10</v>
      </c>
      <c r="H3753" s="75" t="s">
        <v>10</v>
      </c>
      <c r="I3753" s="75">
        <v>19489</v>
      </c>
      <c r="K3753" s="75" t="str">
        <f>IFERROR(VLOOKUP(J3753,'NQ10'!$B$9:$C$145,2,0),"")</f>
        <v/>
      </c>
    </row>
    <row r="3754" spans="1:11" ht="15" customHeight="1" x14ac:dyDescent="0.25">
      <c r="A3754" s="75">
        <v>33</v>
      </c>
      <c r="B3754" s="75">
        <v>14</v>
      </c>
      <c r="C3754" s="75" t="s">
        <v>10</v>
      </c>
      <c r="D3754" s="75">
        <v>11481</v>
      </c>
      <c r="F3754" s="75" t="s">
        <v>10</v>
      </c>
      <c r="H3754" s="75" t="s">
        <v>10</v>
      </c>
      <c r="I3754" s="75">
        <v>19489</v>
      </c>
      <c r="K3754" s="75" t="str">
        <f>IFERROR(VLOOKUP(J3754,'NQ10'!$B$9:$C$145,2,0),"")</f>
        <v/>
      </c>
    </row>
    <row r="3755" spans="1:11" ht="15" customHeight="1" x14ac:dyDescent="0.25">
      <c r="A3755" s="75">
        <v>33</v>
      </c>
      <c r="B3755" s="75">
        <v>15</v>
      </c>
      <c r="C3755" s="75" t="s">
        <v>10</v>
      </c>
      <c r="D3755" s="75">
        <v>5091</v>
      </c>
      <c r="F3755" s="75" t="s">
        <v>10</v>
      </c>
      <c r="H3755" s="75" t="s">
        <v>10</v>
      </c>
      <c r="I3755" s="75">
        <v>19489</v>
      </c>
      <c r="K3755" s="75" t="str">
        <f>IFERROR(VLOOKUP(J3755,'NQ10'!$B$9:$C$145,2,0),"")</f>
        <v/>
      </c>
    </row>
    <row r="3756" spans="1:11" ht="15" customHeight="1" x14ac:dyDescent="0.25">
      <c r="A3756" s="75">
        <v>33</v>
      </c>
      <c r="B3756" s="75">
        <v>16</v>
      </c>
      <c r="C3756" s="75" t="s">
        <v>10</v>
      </c>
      <c r="D3756" s="75">
        <v>15032</v>
      </c>
      <c r="F3756" s="75" t="s">
        <v>10</v>
      </c>
      <c r="H3756" s="75" t="s">
        <v>10</v>
      </c>
      <c r="I3756" s="75">
        <v>19489</v>
      </c>
      <c r="K3756" s="75" t="str">
        <f>IFERROR(VLOOKUP(J3756,'NQ10'!$B$9:$C$145,2,0),"")</f>
        <v/>
      </c>
    </row>
    <row r="3757" spans="1:11" ht="15" customHeight="1" x14ac:dyDescent="0.25">
      <c r="A3757" s="75">
        <v>33</v>
      </c>
      <c r="B3757" s="75">
        <v>17</v>
      </c>
      <c r="C3757" s="75" t="s">
        <v>10</v>
      </c>
      <c r="D3757" s="75">
        <v>4443</v>
      </c>
      <c r="F3757" s="75" t="s">
        <v>10</v>
      </c>
      <c r="H3757" s="75" t="s">
        <v>10</v>
      </c>
      <c r="I3757" s="75">
        <v>19489</v>
      </c>
      <c r="K3757" s="75" t="str">
        <f>IFERROR(VLOOKUP(J3757,'NQ10'!$B$9:$C$145,2,0),"")</f>
        <v/>
      </c>
    </row>
    <row r="3758" spans="1:11" ht="15" customHeight="1" x14ac:dyDescent="0.25">
      <c r="A3758" s="75">
        <v>33</v>
      </c>
      <c r="B3758" s="75">
        <v>18</v>
      </c>
      <c r="C3758" s="75" t="s">
        <v>10</v>
      </c>
      <c r="D3758" s="75">
        <v>5549</v>
      </c>
      <c r="F3758" s="75" t="s">
        <v>10</v>
      </c>
      <c r="H3758" s="75" t="s">
        <v>10</v>
      </c>
      <c r="I3758" s="75">
        <v>19489</v>
      </c>
      <c r="K3758" s="75" t="str">
        <f>IFERROR(VLOOKUP(J3758,'NQ10'!$B$9:$C$145,2,0),"")</f>
        <v/>
      </c>
    </row>
    <row r="3759" spans="1:11" ht="15" customHeight="1" x14ac:dyDescent="0.25">
      <c r="A3759" s="75">
        <v>33</v>
      </c>
      <c r="B3759" s="75">
        <v>19</v>
      </c>
      <c r="C3759" s="75" t="s">
        <v>10</v>
      </c>
      <c r="D3759" s="75">
        <v>18878</v>
      </c>
      <c r="F3759" s="75" t="s">
        <v>10</v>
      </c>
      <c r="H3759" s="75" t="s">
        <v>10</v>
      </c>
      <c r="I3759" s="75">
        <v>19489</v>
      </c>
      <c r="K3759" s="75" t="str">
        <f>IFERROR(VLOOKUP(J3759,'NQ10'!$B$9:$C$145,2,0),"")</f>
        <v/>
      </c>
    </row>
    <row r="3760" spans="1:11" ht="15" customHeight="1" x14ac:dyDescent="0.25">
      <c r="A3760" s="75">
        <v>33</v>
      </c>
      <c r="B3760" s="75">
        <v>22</v>
      </c>
      <c r="C3760" s="75" t="s">
        <v>10</v>
      </c>
      <c r="D3760" s="75">
        <v>7188</v>
      </c>
      <c r="F3760" s="75" t="s">
        <v>10</v>
      </c>
      <c r="H3760" s="75" t="s">
        <v>10</v>
      </c>
      <c r="I3760" s="75">
        <v>19489</v>
      </c>
      <c r="K3760" s="75" t="str">
        <f>IFERROR(VLOOKUP(J3760,'NQ10'!$B$9:$C$145,2,0),"")</f>
        <v/>
      </c>
    </row>
    <row r="3761" spans="1:11" ht="15" customHeight="1" x14ac:dyDescent="0.25">
      <c r="A3761" s="75">
        <v>33</v>
      </c>
      <c r="B3761" s="75">
        <v>23</v>
      </c>
      <c r="C3761" s="75" t="s">
        <v>10</v>
      </c>
      <c r="D3761" s="75">
        <v>8719</v>
      </c>
      <c r="F3761" s="75" t="s">
        <v>10</v>
      </c>
      <c r="H3761" s="75" t="s">
        <v>10</v>
      </c>
      <c r="I3761" s="75">
        <v>19489</v>
      </c>
      <c r="K3761" s="75" t="str">
        <f>IFERROR(VLOOKUP(J3761,'NQ10'!$B$9:$C$145,2,0),"")</f>
        <v/>
      </c>
    </row>
    <row r="3762" spans="1:11" ht="15" customHeight="1" x14ac:dyDescent="0.25">
      <c r="A3762" s="75">
        <v>33</v>
      </c>
      <c r="B3762" s="75">
        <v>25</v>
      </c>
      <c r="C3762" s="75" t="s">
        <v>10</v>
      </c>
      <c r="D3762" s="75">
        <v>3603</v>
      </c>
      <c r="F3762" s="75" t="s">
        <v>10</v>
      </c>
      <c r="H3762" s="75" t="s">
        <v>10</v>
      </c>
      <c r="I3762" s="75">
        <v>19489</v>
      </c>
      <c r="K3762" s="75" t="str">
        <f>IFERROR(VLOOKUP(J3762,'NQ10'!$B$9:$C$145,2,0),"")</f>
        <v/>
      </c>
    </row>
    <row r="3763" spans="1:11" ht="15" customHeight="1" x14ac:dyDescent="0.25">
      <c r="A3763" s="75">
        <v>33</v>
      </c>
      <c r="B3763" s="75">
        <v>26</v>
      </c>
      <c r="C3763" s="75" t="s">
        <v>10</v>
      </c>
      <c r="D3763" s="75">
        <v>17599</v>
      </c>
      <c r="F3763" s="75" t="s">
        <v>10</v>
      </c>
      <c r="H3763" s="75" t="s">
        <v>10</v>
      </c>
      <c r="I3763" s="75">
        <v>19489</v>
      </c>
      <c r="K3763" s="75" t="str">
        <f>IFERROR(VLOOKUP(J3763,'NQ10'!$B$9:$C$145,2,0),"")</f>
        <v/>
      </c>
    </row>
    <row r="3764" spans="1:11" ht="15" customHeight="1" x14ac:dyDescent="0.25">
      <c r="A3764" s="75">
        <v>33</v>
      </c>
      <c r="B3764" s="75">
        <v>27</v>
      </c>
      <c r="C3764" s="75" t="s">
        <v>10</v>
      </c>
      <c r="D3764" s="75">
        <v>3304</v>
      </c>
      <c r="F3764" s="75" t="s">
        <v>10</v>
      </c>
      <c r="H3764" s="75" t="s">
        <v>10</v>
      </c>
      <c r="I3764" s="75">
        <v>19489</v>
      </c>
      <c r="K3764" s="75" t="str">
        <f>IFERROR(VLOOKUP(J3764,'NQ10'!$B$9:$C$145,2,0),"")</f>
        <v/>
      </c>
    </row>
    <row r="3765" spans="1:11" ht="15" customHeight="1" x14ac:dyDescent="0.25">
      <c r="A3765" s="75">
        <v>33</v>
      </c>
      <c r="B3765" s="75">
        <v>28</v>
      </c>
      <c r="C3765" s="75" t="s">
        <v>10</v>
      </c>
      <c r="D3765" s="75">
        <v>1273</v>
      </c>
      <c r="F3765" s="75" t="s">
        <v>10</v>
      </c>
      <c r="H3765" s="75" t="s">
        <v>10</v>
      </c>
      <c r="I3765" s="75">
        <v>19489</v>
      </c>
      <c r="K3765" s="75" t="str">
        <f>IFERROR(VLOOKUP(J3765,'NQ10'!$B$9:$C$145,2,0),"")</f>
        <v/>
      </c>
    </row>
    <row r="3766" spans="1:11" ht="15" customHeight="1" x14ac:dyDescent="0.25">
      <c r="A3766" s="75">
        <v>33</v>
      </c>
      <c r="B3766" s="75">
        <v>29</v>
      </c>
      <c r="C3766" s="75" t="s">
        <v>10</v>
      </c>
      <c r="D3766" s="75">
        <v>3950</v>
      </c>
      <c r="F3766" s="75" t="s">
        <v>10</v>
      </c>
      <c r="H3766" s="75" t="s">
        <v>10</v>
      </c>
      <c r="I3766" s="75">
        <v>19489</v>
      </c>
      <c r="K3766" s="75" t="str">
        <f>IFERROR(VLOOKUP(J3766,'NQ10'!$B$9:$C$145,2,0),"")</f>
        <v/>
      </c>
    </row>
    <row r="3767" spans="1:11" ht="15" customHeight="1" x14ac:dyDescent="0.25">
      <c r="A3767" s="75">
        <v>33</v>
      </c>
      <c r="B3767" s="75">
        <v>30</v>
      </c>
      <c r="C3767" s="75" t="s">
        <v>10</v>
      </c>
      <c r="D3767" s="75">
        <v>5344</v>
      </c>
      <c r="F3767" s="75" t="s">
        <v>10</v>
      </c>
      <c r="H3767" s="75" t="s">
        <v>10</v>
      </c>
      <c r="I3767" s="75">
        <v>19489</v>
      </c>
      <c r="K3767" s="75" t="str">
        <f>IFERROR(VLOOKUP(J3767,'NQ10'!$B$9:$C$145,2,0),"")</f>
        <v/>
      </c>
    </row>
    <row r="3768" spans="1:11" ht="15" customHeight="1" x14ac:dyDescent="0.25">
      <c r="A3768" s="75">
        <v>33</v>
      </c>
      <c r="B3768" s="75">
        <v>31</v>
      </c>
      <c r="C3768" s="75" t="s">
        <v>10</v>
      </c>
      <c r="D3768" s="75">
        <v>4524</v>
      </c>
      <c r="F3768" s="75" t="s">
        <v>10</v>
      </c>
      <c r="H3768" s="75" t="s">
        <v>10</v>
      </c>
      <c r="I3768" s="75">
        <v>19489</v>
      </c>
      <c r="K3768" s="75" t="str">
        <f>IFERROR(VLOOKUP(J3768,'NQ10'!$B$9:$C$145,2,0),"")</f>
        <v/>
      </c>
    </row>
    <row r="3769" spans="1:11" ht="15" customHeight="1" x14ac:dyDescent="0.25">
      <c r="A3769" s="75">
        <v>33</v>
      </c>
      <c r="B3769" s="75">
        <v>33</v>
      </c>
      <c r="C3769" s="75" t="s">
        <v>10</v>
      </c>
      <c r="D3769" s="75">
        <v>5125</v>
      </c>
      <c r="F3769" s="75" t="s">
        <v>10</v>
      </c>
      <c r="H3769" s="75" t="s">
        <v>10</v>
      </c>
      <c r="I3769" s="75">
        <v>19489</v>
      </c>
      <c r="K3769" s="75" t="str">
        <f>IFERROR(VLOOKUP(J3769,'NQ10'!$B$9:$C$145,2,0),"")</f>
        <v/>
      </c>
    </row>
    <row r="3770" spans="1:11" ht="15" customHeight="1" x14ac:dyDescent="0.25">
      <c r="A3770" s="75">
        <v>33</v>
      </c>
      <c r="B3770" s="75">
        <v>35</v>
      </c>
      <c r="C3770" s="75" t="s">
        <v>10</v>
      </c>
      <c r="D3770" s="75">
        <v>6298</v>
      </c>
      <c r="F3770" s="75" t="s">
        <v>10</v>
      </c>
      <c r="H3770" s="75" t="s">
        <v>10</v>
      </c>
      <c r="I3770" s="75">
        <v>19489</v>
      </c>
      <c r="K3770" s="75" t="str">
        <f>IFERROR(VLOOKUP(J3770,'NQ10'!$B$9:$C$145,2,0),"")</f>
        <v/>
      </c>
    </row>
    <row r="3771" spans="1:11" ht="15" customHeight="1" x14ac:dyDescent="0.25">
      <c r="A3771" s="75">
        <v>33</v>
      </c>
      <c r="B3771" s="75">
        <v>37</v>
      </c>
      <c r="C3771" s="75" t="s">
        <v>10</v>
      </c>
      <c r="D3771" s="75">
        <v>4154</v>
      </c>
      <c r="F3771" s="75" t="s">
        <v>10</v>
      </c>
      <c r="H3771" s="75" t="s">
        <v>10</v>
      </c>
      <c r="I3771" s="75">
        <v>19489</v>
      </c>
      <c r="K3771" s="75" t="str">
        <f>IFERROR(VLOOKUP(J3771,'NQ10'!$B$9:$C$145,2,0),"")</f>
        <v/>
      </c>
    </row>
    <row r="3772" spans="1:11" ht="15" customHeight="1" x14ac:dyDescent="0.25">
      <c r="A3772" s="75">
        <v>33</v>
      </c>
      <c r="B3772" s="75">
        <v>38</v>
      </c>
      <c r="C3772" s="75" t="s">
        <v>10</v>
      </c>
      <c r="D3772" s="75">
        <v>5171</v>
      </c>
      <c r="F3772" s="75" t="s">
        <v>10</v>
      </c>
      <c r="H3772" s="75" t="s">
        <v>10</v>
      </c>
      <c r="I3772" s="75">
        <v>19489</v>
      </c>
      <c r="K3772" s="75" t="str">
        <f>IFERROR(VLOOKUP(J3772,'NQ10'!$B$9:$C$145,2,0),"")</f>
        <v/>
      </c>
    </row>
    <row r="3773" spans="1:11" ht="15" customHeight="1" x14ac:dyDescent="0.25">
      <c r="A3773" s="75">
        <v>33</v>
      </c>
      <c r="B3773" s="75">
        <v>39</v>
      </c>
      <c r="C3773" s="75" t="s">
        <v>10</v>
      </c>
      <c r="D3773" s="75">
        <v>1088</v>
      </c>
      <c r="F3773" s="75" t="s">
        <v>10</v>
      </c>
      <c r="H3773" s="75" t="s">
        <v>10</v>
      </c>
      <c r="I3773" s="75">
        <v>19489</v>
      </c>
      <c r="K3773" s="75" t="str">
        <f>IFERROR(VLOOKUP(J3773,'NQ10'!$B$9:$C$145,2,0),"")</f>
        <v/>
      </c>
    </row>
    <row r="3774" spans="1:11" ht="15" customHeight="1" x14ac:dyDescent="0.25">
      <c r="A3774" s="75">
        <v>33</v>
      </c>
      <c r="B3774" s="75">
        <v>40</v>
      </c>
      <c r="C3774" s="75" t="s">
        <v>10</v>
      </c>
      <c r="D3774" s="75">
        <v>8054</v>
      </c>
      <c r="F3774" s="75" t="s">
        <v>10</v>
      </c>
      <c r="H3774" s="75" t="s">
        <v>10</v>
      </c>
      <c r="I3774" s="75">
        <v>19489</v>
      </c>
      <c r="K3774" s="75" t="str">
        <f>IFERROR(VLOOKUP(J3774,'NQ10'!$B$9:$C$145,2,0),"")</f>
        <v/>
      </c>
    </row>
    <row r="3775" spans="1:11" ht="15" customHeight="1" x14ac:dyDescent="0.25">
      <c r="A3775" s="75">
        <v>33</v>
      </c>
      <c r="B3775" s="75">
        <v>41</v>
      </c>
      <c r="C3775" s="75" t="s">
        <v>10</v>
      </c>
      <c r="D3775" s="75">
        <v>6580</v>
      </c>
      <c r="F3775" s="75" t="s">
        <v>10</v>
      </c>
      <c r="H3775" s="75" t="s">
        <v>10</v>
      </c>
      <c r="I3775" s="75">
        <v>19489</v>
      </c>
      <c r="K3775" s="75" t="str">
        <f>IFERROR(VLOOKUP(J3775,'NQ10'!$B$9:$C$145,2,0),"")</f>
        <v/>
      </c>
    </row>
    <row r="3776" spans="1:11" ht="15" customHeight="1" x14ac:dyDescent="0.25">
      <c r="A3776" s="75">
        <v>33</v>
      </c>
      <c r="B3776" s="75">
        <v>42</v>
      </c>
      <c r="C3776" s="75" t="s">
        <v>10</v>
      </c>
      <c r="D3776" s="75">
        <v>1546</v>
      </c>
      <c r="F3776" s="75" t="s">
        <v>10</v>
      </c>
      <c r="H3776" s="75" t="s">
        <v>10</v>
      </c>
      <c r="I3776" s="75">
        <v>19489</v>
      </c>
      <c r="K3776" s="75" t="str">
        <f>IFERROR(VLOOKUP(J3776,'NQ10'!$B$9:$C$145,2,0),"")</f>
        <v/>
      </c>
    </row>
    <row r="3777" spans="1:11" ht="15" customHeight="1" x14ac:dyDescent="0.25">
      <c r="A3777" s="75">
        <v>33</v>
      </c>
      <c r="B3777" s="75">
        <v>44</v>
      </c>
      <c r="C3777" s="75" t="s">
        <v>10</v>
      </c>
      <c r="D3777" s="75">
        <v>1615</v>
      </c>
      <c r="F3777" s="75" t="s">
        <v>10</v>
      </c>
      <c r="H3777" s="75" t="s">
        <v>10</v>
      </c>
      <c r="I3777" s="75">
        <v>19489</v>
      </c>
      <c r="K3777" s="75" t="str">
        <f>IFERROR(VLOOKUP(J3777,'NQ10'!$B$9:$C$145,2,0),"")</f>
        <v/>
      </c>
    </row>
    <row r="3778" spans="1:11" ht="15" customHeight="1" x14ac:dyDescent="0.25">
      <c r="A3778" s="75">
        <v>33</v>
      </c>
      <c r="B3778" s="75">
        <v>45</v>
      </c>
      <c r="C3778" s="75" t="s">
        <v>10</v>
      </c>
      <c r="D3778" s="75">
        <v>2957</v>
      </c>
      <c r="F3778" s="75" t="s">
        <v>10</v>
      </c>
      <c r="H3778" s="75" t="s">
        <v>10</v>
      </c>
      <c r="I3778" s="75">
        <v>19489</v>
      </c>
      <c r="K3778" s="75" t="str">
        <f>IFERROR(VLOOKUP(J3778,'NQ10'!$B$9:$C$145,2,0),"")</f>
        <v/>
      </c>
    </row>
    <row r="3779" spans="1:11" ht="15" customHeight="1" x14ac:dyDescent="0.25">
      <c r="A3779" s="75">
        <v>33</v>
      </c>
      <c r="B3779" s="75">
        <v>46</v>
      </c>
      <c r="C3779" s="75" t="s">
        <v>10</v>
      </c>
      <c r="D3779" s="75">
        <v>1041</v>
      </c>
      <c r="F3779" s="75" t="s">
        <v>10</v>
      </c>
      <c r="H3779" s="75" t="s">
        <v>10</v>
      </c>
      <c r="I3779" s="75">
        <v>19489</v>
      </c>
      <c r="K3779" s="75" t="str">
        <f>IFERROR(VLOOKUP(J3779,'NQ10'!$B$9:$C$145,2,0),"")</f>
        <v/>
      </c>
    </row>
    <row r="3780" spans="1:11" ht="15" customHeight="1" x14ac:dyDescent="0.25">
      <c r="A3780" s="75">
        <v>34</v>
      </c>
      <c r="C3780" s="75" t="s">
        <v>10</v>
      </c>
      <c r="D3780" s="75">
        <v>171446</v>
      </c>
      <c r="F3780" s="75" t="s">
        <v>10</v>
      </c>
      <c r="H3780" s="75" t="s">
        <v>10</v>
      </c>
      <c r="I3780" s="75">
        <v>19489</v>
      </c>
      <c r="K3780" s="75" t="str">
        <f>IFERROR(VLOOKUP(J3780,'NQ10'!$B$9:$C$145,2,0),"")</f>
        <v/>
      </c>
    </row>
    <row r="3781" spans="1:11" ht="15" customHeight="1" x14ac:dyDescent="0.25">
      <c r="A3781" s="75">
        <v>34</v>
      </c>
      <c r="C3781" s="75" t="s">
        <v>10</v>
      </c>
      <c r="D3781" s="75">
        <v>5108</v>
      </c>
      <c r="F3781" s="75" t="s">
        <v>10</v>
      </c>
      <c r="H3781" s="75" t="s">
        <v>10</v>
      </c>
      <c r="I3781" s="75">
        <v>19489</v>
      </c>
      <c r="K3781" s="75" t="str">
        <f>IFERROR(VLOOKUP(J3781,'NQ10'!$B$9:$C$145,2,0),"")</f>
        <v/>
      </c>
    </row>
    <row r="3782" spans="1:11" ht="15" customHeight="1" x14ac:dyDescent="0.25">
      <c r="A3782" s="75">
        <v>34</v>
      </c>
      <c r="C3782" s="75" t="s">
        <v>10</v>
      </c>
      <c r="D3782" s="75">
        <v>188</v>
      </c>
      <c r="F3782" s="75" t="s">
        <v>10</v>
      </c>
      <c r="H3782" s="75" t="s">
        <v>10</v>
      </c>
      <c r="I3782" s="75">
        <v>19489</v>
      </c>
      <c r="K3782" s="75" t="str">
        <f>IFERROR(VLOOKUP(J3782,'NQ10'!$B$9:$C$145,2,0),"")</f>
        <v/>
      </c>
    </row>
    <row r="3783" spans="1:11" ht="15" customHeight="1" x14ac:dyDescent="0.25">
      <c r="A3783" s="75">
        <v>34</v>
      </c>
      <c r="C3783" s="75" t="s">
        <v>10</v>
      </c>
      <c r="D3783" s="75">
        <v>160</v>
      </c>
      <c r="F3783" s="75" t="s">
        <v>10</v>
      </c>
      <c r="H3783" s="75" t="s">
        <v>10</v>
      </c>
      <c r="I3783" s="75">
        <v>19489</v>
      </c>
      <c r="K3783" s="75" t="str">
        <f>IFERROR(VLOOKUP(J3783,'NQ10'!$B$9:$C$145,2,0),"")</f>
        <v/>
      </c>
    </row>
    <row r="3784" spans="1:11" ht="15" customHeight="1" x14ac:dyDescent="0.25">
      <c r="A3784" s="75">
        <v>34</v>
      </c>
      <c r="C3784" s="75" t="s">
        <v>10</v>
      </c>
      <c r="D3784" s="75">
        <v>196</v>
      </c>
      <c r="F3784" s="75" t="s">
        <v>10</v>
      </c>
      <c r="H3784" s="75" t="s">
        <v>10</v>
      </c>
      <c r="I3784" s="75">
        <v>19489</v>
      </c>
      <c r="K3784" s="75" t="str">
        <f>IFERROR(VLOOKUP(J3784,'NQ10'!$B$9:$C$145,2,0),"")</f>
        <v/>
      </c>
    </row>
    <row r="3785" spans="1:11" ht="15" customHeight="1" x14ac:dyDescent="0.25">
      <c r="A3785" s="75">
        <v>34</v>
      </c>
      <c r="C3785" s="75" t="s">
        <v>10</v>
      </c>
      <c r="D3785" s="75">
        <v>196</v>
      </c>
      <c r="F3785" s="75" t="s">
        <v>10</v>
      </c>
      <c r="H3785" s="75" t="s">
        <v>10</v>
      </c>
      <c r="I3785" s="75">
        <v>19489</v>
      </c>
      <c r="K3785" s="75" t="str">
        <f>IFERROR(VLOOKUP(J3785,'NQ10'!$B$9:$C$145,2,0),"")</f>
        <v/>
      </c>
    </row>
    <row r="3786" spans="1:11" ht="15" customHeight="1" x14ac:dyDescent="0.25">
      <c r="A3786" s="75">
        <v>34</v>
      </c>
      <c r="C3786" s="75" t="s">
        <v>10</v>
      </c>
      <c r="D3786" s="75">
        <v>6059</v>
      </c>
      <c r="F3786" s="75" t="s">
        <v>10</v>
      </c>
      <c r="H3786" s="75" t="s">
        <v>10</v>
      </c>
      <c r="I3786" s="75">
        <v>19489</v>
      </c>
      <c r="K3786" s="75" t="str">
        <f>IFERROR(VLOOKUP(J3786,'NQ10'!$B$9:$C$145,2,0),"")</f>
        <v/>
      </c>
    </row>
    <row r="3787" spans="1:11" ht="15" customHeight="1" x14ac:dyDescent="0.25">
      <c r="A3787" s="75">
        <v>34</v>
      </c>
      <c r="C3787" s="75" t="s">
        <v>10</v>
      </c>
      <c r="D3787" s="75">
        <v>1997</v>
      </c>
      <c r="F3787" s="75" t="s">
        <v>10</v>
      </c>
      <c r="H3787" s="75" t="s">
        <v>10</v>
      </c>
      <c r="I3787" s="75">
        <v>19489</v>
      </c>
      <c r="K3787" s="75" t="str">
        <f>IFERROR(VLOOKUP(J3787,'NQ10'!$B$9:$C$145,2,0),"")</f>
        <v/>
      </c>
    </row>
    <row r="3788" spans="1:11" ht="15" customHeight="1" x14ac:dyDescent="0.25">
      <c r="A3788" s="75">
        <v>34</v>
      </c>
      <c r="C3788" s="75" t="s">
        <v>10</v>
      </c>
      <c r="D3788" s="75">
        <v>5537</v>
      </c>
      <c r="F3788" s="75" t="s">
        <v>10</v>
      </c>
      <c r="H3788" s="75" t="s">
        <v>10</v>
      </c>
      <c r="I3788" s="75">
        <v>19489</v>
      </c>
      <c r="K3788" s="75" t="str">
        <f>IFERROR(VLOOKUP(J3788,'NQ10'!$B$9:$C$145,2,0),"")</f>
        <v/>
      </c>
    </row>
    <row r="3789" spans="1:11" ht="15" customHeight="1" x14ac:dyDescent="0.25">
      <c r="A3789" s="75">
        <v>34</v>
      </c>
      <c r="C3789" s="75" t="s">
        <v>10</v>
      </c>
      <c r="D3789" s="75">
        <v>7277</v>
      </c>
      <c r="F3789" s="75" t="s">
        <v>10</v>
      </c>
      <c r="H3789" s="75" t="s">
        <v>10</v>
      </c>
      <c r="I3789" s="75">
        <v>19489</v>
      </c>
      <c r="K3789" s="75" t="str">
        <f>IFERROR(VLOOKUP(J3789,'NQ10'!$B$9:$C$145,2,0),"")</f>
        <v/>
      </c>
    </row>
    <row r="3790" spans="1:11" ht="15" customHeight="1" x14ac:dyDescent="0.25">
      <c r="A3790" s="75">
        <v>34</v>
      </c>
      <c r="C3790" s="75" t="s">
        <v>10</v>
      </c>
      <c r="D3790" s="75">
        <v>7784</v>
      </c>
      <c r="F3790" s="75" t="s">
        <v>10</v>
      </c>
      <c r="H3790" s="75" t="s">
        <v>10</v>
      </c>
      <c r="I3790" s="75">
        <v>19489</v>
      </c>
      <c r="K3790" s="75" t="str">
        <f>IFERROR(VLOOKUP(J3790,'NQ10'!$B$9:$C$145,2,0),"")</f>
        <v/>
      </c>
    </row>
    <row r="3791" spans="1:11" ht="15" customHeight="1" x14ac:dyDescent="0.25">
      <c r="A3791" s="75">
        <v>34</v>
      </c>
      <c r="C3791" s="75" t="s">
        <v>10</v>
      </c>
      <c r="D3791" s="75">
        <v>8993</v>
      </c>
      <c r="F3791" s="75" t="s">
        <v>10</v>
      </c>
      <c r="H3791" s="75" t="s">
        <v>10</v>
      </c>
      <c r="I3791" s="75">
        <v>19489</v>
      </c>
      <c r="K3791" s="75" t="str">
        <f>IFERROR(VLOOKUP(J3791,'NQ10'!$B$9:$C$145,2,0),"")</f>
        <v/>
      </c>
    </row>
    <row r="3792" spans="1:11" ht="15" customHeight="1" x14ac:dyDescent="0.25">
      <c r="A3792" s="75">
        <v>34</v>
      </c>
      <c r="C3792" s="75" t="s">
        <v>10</v>
      </c>
      <c r="D3792" s="75">
        <v>88</v>
      </c>
      <c r="F3792" s="75" t="s">
        <v>10</v>
      </c>
      <c r="H3792" s="75" t="s">
        <v>10</v>
      </c>
      <c r="I3792" s="75">
        <v>19489</v>
      </c>
      <c r="K3792" s="75" t="str">
        <f>IFERROR(VLOOKUP(J3792,'NQ10'!$B$9:$C$145,2,0),"")</f>
        <v/>
      </c>
    </row>
    <row r="3793" spans="1:11" ht="15" customHeight="1" x14ac:dyDescent="0.25">
      <c r="A3793" s="75">
        <v>34</v>
      </c>
      <c r="C3793" s="75" t="s">
        <v>10</v>
      </c>
      <c r="D3793" s="75">
        <v>327</v>
      </c>
      <c r="F3793" s="75" t="s">
        <v>10</v>
      </c>
      <c r="H3793" s="75" t="s">
        <v>10</v>
      </c>
      <c r="I3793" s="75">
        <v>19489</v>
      </c>
      <c r="K3793" s="75" t="str">
        <f>IFERROR(VLOOKUP(J3793,'NQ10'!$B$9:$C$145,2,0),"")</f>
        <v/>
      </c>
    </row>
    <row r="3794" spans="1:11" ht="15" customHeight="1" x14ac:dyDescent="0.25">
      <c r="A3794" s="75">
        <v>34</v>
      </c>
      <c r="C3794" s="75" t="s">
        <v>10</v>
      </c>
      <c r="D3794" s="75">
        <v>1181</v>
      </c>
      <c r="F3794" s="75" t="s">
        <v>10</v>
      </c>
      <c r="H3794" s="75" t="s">
        <v>10</v>
      </c>
      <c r="I3794" s="75">
        <v>19489</v>
      </c>
      <c r="K3794" s="75" t="str">
        <f>IFERROR(VLOOKUP(J3794,'NQ10'!$B$9:$C$145,2,0),"")</f>
        <v/>
      </c>
    </row>
    <row r="3795" spans="1:11" ht="15" customHeight="1" x14ac:dyDescent="0.25">
      <c r="A3795" s="75">
        <v>34</v>
      </c>
      <c r="B3795" s="75">
        <v>1</v>
      </c>
      <c r="C3795" s="75" t="s">
        <v>10</v>
      </c>
      <c r="D3795" s="75">
        <v>194</v>
      </c>
      <c r="F3795" s="75" t="s">
        <v>10</v>
      </c>
      <c r="H3795" s="75" t="s">
        <v>10</v>
      </c>
      <c r="I3795" s="75">
        <v>19489</v>
      </c>
      <c r="K3795" s="75" t="str">
        <f>IFERROR(VLOOKUP(J3795,'NQ10'!$B$9:$C$145,2,0),"")</f>
        <v/>
      </c>
    </row>
    <row r="3796" spans="1:11" ht="15" customHeight="1" x14ac:dyDescent="0.25">
      <c r="A3796" s="75">
        <v>34</v>
      </c>
      <c r="B3796" s="75">
        <v>2</v>
      </c>
      <c r="C3796" s="75" t="s">
        <v>10</v>
      </c>
      <c r="D3796" s="75">
        <v>268</v>
      </c>
      <c r="F3796" s="75" t="s">
        <v>10</v>
      </c>
      <c r="H3796" s="75" t="s">
        <v>10</v>
      </c>
      <c r="I3796" s="75">
        <v>19489</v>
      </c>
      <c r="K3796" s="75" t="str">
        <f>IFERROR(VLOOKUP(J3796,'NQ10'!$B$9:$C$145,2,0),"")</f>
        <v/>
      </c>
    </row>
    <row r="3797" spans="1:11" ht="15" customHeight="1" x14ac:dyDescent="0.25">
      <c r="A3797" s="75">
        <v>34</v>
      </c>
      <c r="B3797" s="75">
        <v>3</v>
      </c>
      <c r="C3797" s="75" t="s">
        <v>10</v>
      </c>
      <c r="D3797" s="75">
        <v>349</v>
      </c>
      <c r="F3797" s="75" t="s">
        <v>10</v>
      </c>
      <c r="H3797" s="75" t="s">
        <v>10</v>
      </c>
      <c r="I3797" s="75">
        <v>19489</v>
      </c>
      <c r="K3797" s="75" t="str">
        <f>IFERROR(VLOOKUP(J3797,'NQ10'!$B$9:$C$145,2,0),"")</f>
        <v/>
      </c>
    </row>
    <row r="3798" spans="1:11" ht="15" customHeight="1" x14ac:dyDescent="0.25">
      <c r="A3798" s="75">
        <v>34</v>
      </c>
      <c r="B3798" s="75">
        <v>4</v>
      </c>
      <c r="C3798" s="75" t="s">
        <v>10</v>
      </c>
      <c r="D3798" s="75">
        <v>1849</v>
      </c>
      <c r="F3798" s="75" t="s">
        <v>10</v>
      </c>
      <c r="H3798" s="75" t="s">
        <v>10</v>
      </c>
      <c r="I3798" s="75">
        <v>19489</v>
      </c>
      <c r="K3798" s="75" t="str">
        <f>IFERROR(VLOOKUP(J3798,'NQ10'!$B$9:$C$145,2,0),"")</f>
        <v/>
      </c>
    </row>
    <row r="3799" spans="1:11" ht="15" customHeight="1" x14ac:dyDescent="0.25">
      <c r="A3799" s="75">
        <v>34</v>
      </c>
      <c r="B3799" s="75">
        <v>5</v>
      </c>
      <c r="C3799" s="75" t="s">
        <v>10</v>
      </c>
      <c r="D3799" s="75">
        <v>15245</v>
      </c>
      <c r="F3799" s="75" t="s">
        <v>10</v>
      </c>
      <c r="H3799" s="75" t="s">
        <v>10</v>
      </c>
      <c r="I3799" s="75">
        <v>19489</v>
      </c>
      <c r="K3799" s="75" t="str">
        <f>IFERROR(VLOOKUP(J3799,'NQ10'!$B$9:$C$145,2,0),"")</f>
        <v/>
      </c>
    </row>
    <row r="3800" spans="1:11" ht="15" customHeight="1" x14ac:dyDescent="0.25">
      <c r="A3800" s="75">
        <v>34</v>
      </c>
      <c r="B3800" s="75">
        <v>6</v>
      </c>
      <c r="C3800" s="75" t="s">
        <v>10</v>
      </c>
      <c r="D3800" s="75">
        <v>9967</v>
      </c>
      <c r="F3800" s="75" t="s">
        <v>10</v>
      </c>
      <c r="H3800" s="75" t="s">
        <v>10</v>
      </c>
      <c r="I3800" s="75">
        <v>19489</v>
      </c>
      <c r="K3800" s="75" t="str">
        <f>IFERROR(VLOOKUP(J3800,'NQ10'!$B$9:$C$145,2,0),"")</f>
        <v/>
      </c>
    </row>
    <row r="3801" spans="1:11" ht="15" customHeight="1" x14ac:dyDescent="0.25">
      <c r="A3801" s="75">
        <v>34</v>
      </c>
      <c r="B3801" s="75">
        <v>7</v>
      </c>
      <c r="C3801" s="75" t="s">
        <v>10</v>
      </c>
      <c r="D3801" s="75">
        <v>1311</v>
      </c>
      <c r="F3801" s="75" t="s">
        <v>10</v>
      </c>
      <c r="H3801" s="75" t="s">
        <v>10</v>
      </c>
      <c r="I3801" s="75">
        <v>19489</v>
      </c>
      <c r="K3801" s="75" t="str">
        <f>IFERROR(VLOOKUP(J3801,'NQ10'!$B$9:$C$145,2,0),"")</f>
        <v/>
      </c>
    </row>
    <row r="3802" spans="1:11" ht="15" customHeight="1" x14ac:dyDescent="0.25">
      <c r="A3802" s="75">
        <v>34</v>
      </c>
      <c r="B3802" s="75">
        <v>8</v>
      </c>
      <c r="C3802" s="75" t="s">
        <v>10</v>
      </c>
      <c r="D3802" s="75">
        <v>2117</v>
      </c>
      <c r="F3802" s="75" t="s">
        <v>10</v>
      </c>
      <c r="H3802" s="75" t="s">
        <v>10</v>
      </c>
      <c r="I3802" s="75">
        <v>19489</v>
      </c>
      <c r="K3802" s="75" t="str">
        <f>IFERROR(VLOOKUP(J3802,'NQ10'!$B$9:$C$145,2,0),"")</f>
        <v/>
      </c>
    </row>
    <row r="3803" spans="1:11" ht="15" customHeight="1" x14ac:dyDescent="0.25">
      <c r="A3803" s="75">
        <v>34</v>
      </c>
      <c r="B3803" s="75">
        <v>9</v>
      </c>
      <c r="C3803" s="75" t="s">
        <v>10</v>
      </c>
      <c r="D3803" s="75">
        <v>5534</v>
      </c>
      <c r="F3803" s="75" t="s">
        <v>10</v>
      </c>
      <c r="H3803" s="75" t="s">
        <v>10</v>
      </c>
      <c r="I3803" s="75">
        <v>19489</v>
      </c>
      <c r="K3803" s="75" t="str">
        <f>IFERROR(VLOOKUP(J3803,'NQ10'!$B$9:$C$145,2,0),"")</f>
        <v/>
      </c>
    </row>
    <row r="3804" spans="1:11" ht="15" customHeight="1" x14ac:dyDescent="0.25">
      <c r="A3804" s="75">
        <v>34</v>
      </c>
      <c r="B3804" s="75">
        <v>10</v>
      </c>
      <c r="C3804" s="75" t="s">
        <v>10</v>
      </c>
      <c r="D3804" s="75">
        <v>102</v>
      </c>
      <c r="F3804" s="75" t="s">
        <v>10</v>
      </c>
      <c r="H3804" s="75" t="s">
        <v>10</v>
      </c>
      <c r="I3804" s="75">
        <v>19489</v>
      </c>
      <c r="K3804" s="75" t="str">
        <f>IFERROR(VLOOKUP(J3804,'NQ10'!$B$9:$C$145,2,0),"")</f>
        <v/>
      </c>
    </row>
    <row r="3805" spans="1:11" ht="15" customHeight="1" x14ac:dyDescent="0.25">
      <c r="A3805" s="75">
        <v>34</v>
      </c>
      <c r="B3805" s="75">
        <v>11</v>
      </c>
      <c r="C3805" s="75" t="s">
        <v>10</v>
      </c>
      <c r="D3805" s="75">
        <v>7664</v>
      </c>
      <c r="F3805" s="75" t="s">
        <v>10</v>
      </c>
      <c r="H3805" s="75" t="s">
        <v>10</v>
      </c>
      <c r="I3805" s="75">
        <v>19489</v>
      </c>
      <c r="K3805" s="75" t="str">
        <f>IFERROR(VLOOKUP(J3805,'NQ10'!$B$9:$C$145,2,0),"")</f>
        <v/>
      </c>
    </row>
    <row r="3806" spans="1:11" ht="15" customHeight="1" x14ac:dyDescent="0.25">
      <c r="A3806" s="75">
        <v>34</v>
      </c>
      <c r="B3806" s="75">
        <v>12</v>
      </c>
      <c r="C3806" s="75" t="s">
        <v>10</v>
      </c>
      <c r="D3806" s="75">
        <v>977</v>
      </c>
      <c r="F3806" s="75" t="s">
        <v>10</v>
      </c>
      <c r="H3806" s="75" t="s">
        <v>10</v>
      </c>
      <c r="I3806" s="75">
        <v>19489</v>
      </c>
      <c r="K3806" s="75" t="str">
        <f>IFERROR(VLOOKUP(J3806,'NQ10'!$B$9:$C$145,2,0),"")</f>
        <v/>
      </c>
    </row>
    <row r="3807" spans="1:11" ht="15" customHeight="1" x14ac:dyDescent="0.25">
      <c r="A3807" s="75">
        <v>34</v>
      </c>
      <c r="B3807" s="75">
        <v>13</v>
      </c>
      <c r="C3807" s="75" t="s">
        <v>10</v>
      </c>
      <c r="D3807" s="75">
        <v>8007</v>
      </c>
      <c r="F3807" s="75" t="s">
        <v>10</v>
      </c>
      <c r="H3807" s="75" t="s">
        <v>10</v>
      </c>
      <c r="I3807" s="75">
        <v>19489</v>
      </c>
      <c r="K3807" s="75" t="str">
        <f>IFERROR(VLOOKUP(J3807,'NQ10'!$B$9:$C$145,2,0),"")</f>
        <v/>
      </c>
    </row>
    <row r="3808" spans="1:11" ht="15" customHeight="1" x14ac:dyDescent="0.25">
      <c r="A3808" s="75">
        <v>34</v>
      </c>
      <c r="B3808" s="75">
        <v>14</v>
      </c>
      <c r="C3808" s="75" t="s">
        <v>10</v>
      </c>
      <c r="D3808" s="75">
        <v>1105</v>
      </c>
      <c r="F3808" s="75" t="s">
        <v>10</v>
      </c>
      <c r="H3808" s="75" t="s">
        <v>10</v>
      </c>
      <c r="I3808" s="75">
        <v>19489</v>
      </c>
      <c r="K3808" s="75" t="str">
        <f>IFERROR(VLOOKUP(J3808,'NQ10'!$B$9:$C$145,2,0),"")</f>
        <v/>
      </c>
    </row>
    <row r="3809" spans="1:11" ht="15" customHeight="1" x14ac:dyDescent="0.25">
      <c r="A3809" s="75">
        <v>34</v>
      </c>
      <c r="B3809" s="75">
        <v>15</v>
      </c>
      <c r="C3809" s="75" t="s">
        <v>10</v>
      </c>
      <c r="D3809" s="75">
        <v>14669</v>
      </c>
      <c r="F3809" s="75" t="s">
        <v>10</v>
      </c>
      <c r="H3809" s="75" t="s">
        <v>10</v>
      </c>
      <c r="I3809" s="75">
        <v>19489</v>
      </c>
      <c r="K3809" s="75" t="str">
        <f>IFERROR(VLOOKUP(J3809,'NQ10'!$B$9:$C$145,2,0),"")</f>
        <v/>
      </c>
    </row>
    <row r="3810" spans="1:11" ht="15" customHeight="1" x14ac:dyDescent="0.25">
      <c r="A3810" s="75">
        <v>34</v>
      </c>
      <c r="B3810" s="75">
        <v>17</v>
      </c>
      <c r="C3810" s="75" t="s">
        <v>10</v>
      </c>
      <c r="D3810" s="75">
        <v>275</v>
      </c>
      <c r="F3810" s="75" t="s">
        <v>10</v>
      </c>
      <c r="H3810" s="75" t="s">
        <v>10</v>
      </c>
      <c r="I3810" s="75">
        <v>19489</v>
      </c>
      <c r="K3810" s="75" t="str">
        <f>IFERROR(VLOOKUP(J3810,'NQ10'!$B$9:$C$145,2,0),"")</f>
        <v/>
      </c>
    </row>
    <row r="3811" spans="1:11" ht="15" customHeight="1" x14ac:dyDescent="0.25">
      <c r="A3811" s="75">
        <v>34</v>
      </c>
      <c r="B3811" s="75">
        <v>18</v>
      </c>
      <c r="C3811" s="75" t="s">
        <v>10</v>
      </c>
      <c r="D3811" s="75">
        <v>682</v>
      </c>
      <c r="F3811" s="75" t="s">
        <v>10</v>
      </c>
      <c r="H3811" s="75" t="s">
        <v>10</v>
      </c>
      <c r="I3811" s="75">
        <v>19489</v>
      </c>
      <c r="K3811" s="75" t="str">
        <f>IFERROR(VLOOKUP(J3811,'NQ10'!$B$9:$C$145,2,0),"")</f>
        <v/>
      </c>
    </row>
    <row r="3812" spans="1:11" ht="15" customHeight="1" x14ac:dyDescent="0.25">
      <c r="A3812" s="75">
        <v>34</v>
      </c>
      <c r="B3812" s="75">
        <v>19</v>
      </c>
      <c r="C3812" s="75" t="s">
        <v>10</v>
      </c>
      <c r="D3812" s="75">
        <v>3589</v>
      </c>
      <c r="F3812" s="75" t="s">
        <v>10</v>
      </c>
      <c r="H3812" s="75" t="s">
        <v>10</v>
      </c>
      <c r="I3812" s="75">
        <v>19489</v>
      </c>
      <c r="K3812" s="75" t="str">
        <f>IFERROR(VLOOKUP(J3812,'NQ10'!$B$9:$C$145,2,0),"")</f>
        <v/>
      </c>
    </row>
    <row r="3813" spans="1:11" ht="15" customHeight="1" x14ac:dyDescent="0.25">
      <c r="A3813" s="75">
        <v>34</v>
      </c>
      <c r="B3813" s="75">
        <v>20</v>
      </c>
      <c r="C3813" s="75" t="s">
        <v>10</v>
      </c>
      <c r="D3813" s="75">
        <v>1258</v>
      </c>
      <c r="F3813" s="75" t="s">
        <v>10</v>
      </c>
      <c r="H3813" s="75" t="s">
        <v>10</v>
      </c>
      <c r="I3813" s="75">
        <v>19489</v>
      </c>
      <c r="K3813" s="75" t="str">
        <f>IFERROR(VLOOKUP(J3813,'NQ10'!$B$9:$C$145,2,0),"")</f>
        <v/>
      </c>
    </row>
    <row r="3814" spans="1:11" ht="15" customHeight="1" x14ac:dyDescent="0.25">
      <c r="A3814" s="75">
        <v>34</v>
      </c>
      <c r="B3814" s="75">
        <v>21</v>
      </c>
      <c r="C3814" s="75" t="s">
        <v>10</v>
      </c>
      <c r="D3814" s="75">
        <v>249</v>
      </c>
      <c r="F3814" s="75" t="s">
        <v>10</v>
      </c>
      <c r="H3814" s="75" t="s">
        <v>10</v>
      </c>
      <c r="I3814" s="75">
        <v>19489</v>
      </c>
      <c r="K3814" s="75" t="str">
        <f>IFERROR(VLOOKUP(J3814,'NQ10'!$B$9:$C$145,2,0),"")</f>
        <v/>
      </c>
    </row>
    <row r="3815" spans="1:11" ht="15" customHeight="1" x14ac:dyDescent="0.25">
      <c r="A3815" s="75">
        <v>34</v>
      </c>
      <c r="B3815" s="75">
        <v>22</v>
      </c>
      <c r="C3815" s="75" t="s">
        <v>10</v>
      </c>
      <c r="D3815" s="75">
        <v>19965</v>
      </c>
      <c r="F3815" s="75" t="s">
        <v>10</v>
      </c>
      <c r="H3815" s="75" t="s">
        <v>10</v>
      </c>
      <c r="I3815" s="75">
        <v>19489</v>
      </c>
      <c r="K3815" s="75" t="str">
        <f>IFERROR(VLOOKUP(J3815,'NQ10'!$B$9:$C$145,2,0),"")</f>
        <v/>
      </c>
    </row>
    <row r="3816" spans="1:11" ht="15" customHeight="1" x14ac:dyDescent="0.25">
      <c r="A3816" s="75">
        <v>34</v>
      </c>
      <c r="B3816" s="75">
        <v>23</v>
      </c>
      <c r="C3816" s="75" t="s">
        <v>10</v>
      </c>
      <c r="D3816" s="75">
        <v>1515</v>
      </c>
      <c r="F3816" s="75" t="s">
        <v>10</v>
      </c>
      <c r="H3816" s="75" t="s">
        <v>10</v>
      </c>
      <c r="I3816" s="75">
        <v>19489</v>
      </c>
      <c r="K3816" s="75" t="str">
        <f>IFERROR(VLOOKUP(J3816,'NQ10'!$B$9:$C$145,2,0),"")</f>
        <v/>
      </c>
    </row>
    <row r="3817" spans="1:11" ht="15" customHeight="1" x14ac:dyDescent="0.25">
      <c r="A3817" s="75">
        <v>34</v>
      </c>
      <c r="B3817" s="75">
        <v>24</v>
      </c>
      <c r="C3817" s="75" t="s">
        <v>10</v>
      </c>
      <c r="D3817" s="75">
        <v>248</v>
      </c>
      <c r="F3817" s="75" t="s">
        <v>10</v>
      </c>
      <c r="H3817" s="75" t="s">
        <v>10</v>
      </c>
      <c r="I3817" s="75">
        <v>19489</v>
      </c>
      <c r="K3817" s="75" t="str">
        <f>IFERROR(VLOOKUP(J3817,'NQ10'!$B$9:$C$145,2,0),"")</f>
        <v/>
      </c>
    </row>
    <row r="3818" spans="1:11" ht="15" customHeight="1" x14ac:dyDescent="0.25">
      <c r="A3818" s="75">
        <v>34</v>
      </c>
      <c r="B3818" s="75">
        <v>25</v>
      </c>
      <c r="C3818" s="75" t="s">
        <v>10</v>
      </c>
      <c r="D3818" s="75">
        <v>10220</v>
      </c>
      <c r="F3818" s="75" t="s">
        <v>10</v>
      </c>
      <c r="H3818" s="75" t="s">
        <v>10</v>
      </c>
      <c r="I3818" s="75">
        <v>19489</v>
      </c>
      <c r="K3818" s="75" t="str">
        <f>IFERROR(VLOOKUP(J3818,'NQ10'!$B$9:$C$145,2,0),"")</f>
        <v/>
      </c>
    </row>
    <row r="3819" spans="1:11" ht="15" customHeight="1" x14ac:dyDescent="0.25">
      <c r="A3819" s="75">
        <v>34</v>
      </c>
      <c r="B3819" s="75">
        <v>26</v>
      </c>
      <c r="C3819" s="75" t="s">
        <v>10</v>
      </c>
      <c r="D3819" s="75">
        <v>1513</v>
      </c>
      <c r="F3819" s="75" t="s">
        <v>10</v>
      </c>
      <c r="H3819" s="75" t="s">
        <v>10</v>
      </c>
      <c r="I3819" s="75">
        <v>19489</v>
      </c>
      <c r="K3819" s="75" t="str">
        <f>IFERROR(VLOOKUP(J3819,'NQ10'!$B$9:$C$145,2,0),"")</f>
        <v/>
      </c>
    </row>
    <row r="3820" spans="1:11" ht="15" customHeight="1" x14ac:dyDescent="0.25">
      <c r="A3820" s="75">
        <v>34</v>
      </c>
      <c r="B3820" s="75">
        <v>27</v>
      </c>
      <c r="C3820" s="75" t="s">
        <v>10</v>
      </c>
      <c r="D3820" s="75">
        <v>3698</v>
      </c>
      <c r="F3820" s="75" t="s">
        <v>10</v>
      </c>
      <c r="H3820" s="75" t="s">
        <v>10</v>
      </c>
      <c r="I3820" s="75">
        <v>19489</v>
      </c>
      <c r="K3820" s="75" t="str">
        <f>IFERROR(VLOOKUP(J3820,'NQ10'!$B$9:$C$145,2,0),"")</f>
        <v/>
      </c>
    </row>
    <row r="3821" spans="1:11" ht="15" customHeight="1" x14ac:dyDescent="0.25">
      <c r="A3821" s="75">
        <v>34</v>
      </c>
      <c r="B3821" s="75">
        <v>28</v>
      </c>
      <c r="C3821" s="75" t="s">
        <v>10</v>
      </c>
      <c r="D3821" s="75">
        <v>6015</v>
      </c>
      <c r="F3821" s="75" t="s">
        <v>10</v>
      </c>
      <c r="H3821" s="75" t="s">
        <v>10</v>
      </c>
      <c r="I3821" s="75">
        <v>19489</v>
      </c>
      <c r="K3821" s="75" t="str">
        <f>IFERROR(VLOOKUP(J3821,'NQ10'!$B$9:$C$145,2,0),"")</f>
        <v/>
      </c>
    </row>
    <row r="3822" spans="1:11" ht="15" customHeight="1" x14ac:dyDescent="0.25">
      <c r="A3822" s="75">
        <v>34</v>
      </c>
      <c r="B3822" s="75">
        <v>29</v>
      </c>
      <c r="C3822" s="75" t="s">
        <v>10</v>
      </c>
      <c r="D3822" s="75">
        <v>5443</v>
      </c>
      <c r="F3822" s="75" t="s">
        <v>10</v>
      </c>
      <c r="H3822" s="75" t="s">
        <v>10</v>
      </c>
      <c r="I3822" s="75">
        <v>19489</v>
      </c>
      <c r="K3822" s="75" t="str">
        <f>IFERROR(VLOOKUP(J3822,'NQ10'!$B$9:$C$145,2,0),"")</f>
        <v/>
      </c>
    </row>
    <row r="3823" spans="1:11" ht="15" customHeight="1" x14ac:dyDescent="0.25">
      <c r="A3823" s="75">
        <v>34</v>
      </c>
      <c r="B3823" s="75">
        <v>30</v>
      </c>
      <c r="C3823" s="75" t="s">
        <v>10</v>
      </c>
      <c r="D3823" s="75">
        <v>5165</v>
      </c>
      <c r="F3823" s="75" t="s">
        <v>10</v>
      </c>
      <c r="H3823" s="75" t="s">
        <v>10</v>
      </c>
      <c r="I3823" s="75">
        <v>19489</v>
      </c>
      <c r="K3823" s="75" t="str">
        <f>IFERROR(VLOOKUP(J3823,'NQ10'!$B$9:$C$145,2,0),"")</f>
        <v/>
      </c>
    </row>
    <row r="3824" spans="1:11" ht="15" customHeight="1" x14ac:dyDescent="0.25">
      <c r="A3824" s="75">
        <v>34</v>
      </c>
      <c r="B3824" s="75">
        <v>31</v>
      </c>
      <c r="C3824" s="75" t="s">
        <v>10</v>
      </c>
      <c r="D3824" s="75">
        <v>1649</v>
      </c>
      <c r="F3824" s="75" t="s">
        <v>10</v>
      </c>
      <c r="H3824" s="75" t="s">
        <v>10</v>
      </c>
      <c r="I3824" s="75">
        <v>19489</v>
      </c>
      <c r="K3824" s="75" t="str">
        <f>IFERROR(VLOOKUP(J3824,'NQ10'!$B$9:$C$145,2,0),"")</f>
        <v/>
      </c>
    </row>
    <row r="3825" spans="1:11" ht="15" customHeight="1" x14ac:dyDescent="0.25">
      <c r="A3825" s="75">
        <v>34</v>
      </c>
      <c r="B3825" s="75">
        <v>32</v>
      </c>
      <c r="C3825" s="75" t="s">
        <v>10</v>
      </c>
      <c r="D3825" s="75">
        <v>5481</v>
      </c>
      <c r="F3825" s="75" t="s">
        <v>10</v>
      </c>
      <c r="H3825" s="75" t="s">
        <v>10</v>
      </c>
      <c r="I3825" s="75">
        <v>19489</v>
      </c>
      <c r="K3825" s="75" t="str">
        <f>IFERROR(VLOOKUP(J3825,'NQ10'!$B$9:$C$145,2,0),"")</f>
        <v/>
      </c>
    </row>
    <row r="3826" spans="1:11" ht="15" customHeight="1" x14ac:dyDescent="0.25">
      <c r="A3826" s="75">
        <v>34</v>
      </c>
      <c r="B3826" s="75">
        <v>34</v>
      </c>
      <c r="C3826" s="75" t="s">
        <v>10</v>
      </c>
      <c r="D3826" s="75">
        <v>2845</v>
      </c>
      <c r="F3826" s="75" t="s">
        <v>10</v>
      </c>
      <c r="H3826" s="75" t="s">
        <v>10</v>
      </c>
      <c r="I3826" s="75">
        <v>19489</v>
      </c>
      <c r="K3826" s="75" t="str">
        <f>IFERROR(VLOOKUP(J3826,'NQ10'!$B$9:$C$145,2,0),"")</f>
        <v/>
      </c>
    </row>
    <row r="3827" spans="1:11" ht="15" customHeight="1" x14ac:dyDescent="0.25">
      <c r="A3827" s="75">
        <v>34</v>
      </c>
      <c r="B3827" s="75">
        <v>35</v>
      </c>
      <c r="C3827" s="75" t="s">
        <v>10</v>
      </c>
      <c r="D3827" s="75">
        <v>5254</v>
      </c>
      <c r="F3827" s="75" t="s">
        <v>10</v>
      </c>
      <c r="H3827" s="75" t="s">
        <v>10</v>
      </c>
      <c r="I3827" s="75">
        <v>19489</v>
      </c>
      <c r="K3827" s="75" t="str">
        <f>IFERROR(VLOOKUP(J3827,'NQ10'!$B$9:$C$145,2,0),"")</f>
        <v/>
      </c>
    </row>
    <row r="3828" spans="1:11" ht="15" customHeight="1" x14ac:dyDescent="0.25">
      <c r="A3828" s="75">
        <v>34</v>
      </c>
      <c r="B3828" s="75">
        <v>37</v>
      </c>
      <c r="C3828" s="75" t="s">
        <v>10</v>
      </c>
      <c r="D3828" s="75">
        <v>1276</v>
      </c>
      <c r="F3828" s="75" t="s">
        <v>10</v>
      </c>
      <c r="H3828" s="75" t="s">
        <v>10</v>
      </c>
      <c r="I3828" s="75">
        <v>19489</v>
      </c>
      <c r="K3828" s="75" t="str">
        <f>IFERROR(VLOOKUP(J3828,'NQ10'!$B$9:$C$145,2,0),"")</f>
        <v/>
      </c>
    </row>
    <row r="3829" spans="1:11" ht="15" customHeight="1" x14ac:dyDescent="0.25">
      <c r="A3829" s="75">
        <v>34</v>
      </c>
      <c r="B3829" s="75">
        <v>38</v>
      </c>
      <c r="C3829" s="75" t="s">
        <v>10</v>
      </c>
      <c r="D3829" s="75">
        <v>6353</v>
      </c>
      <c r="F3829" s="75" t="s">
        <v>10</v>
      </c>
      <c r="H3829" s="75" t="s">
        <v>10</v>
      </c>
      <c r="I3829" s="75">
        <v>19489</v>
      </c>
      <c r="K3829" s="75" t="str">
        <f>IFERROR(VLOOKUP(J3829,'NQ10'!$B$9:$C$145,2,0),"")</f>
        <v/>
      </c>
    </row>
    <row r="3830" spans="1:11" ht="15" customHeight="1" x14ac:dyDescent="0.25">
      <c r="A3830" s="75">
        <v>34</v>
      </c>
      <c r="B3830" s="75">
        <v>39</v>
      </c>
      <c r="C3830" s="75" t="s">
        <v>10</v>
      </c>
      <c r="D3830" s="75">
        <v>1139</v>
      </c>
      <c r="F3830" s="75" t="s">
        <v>10</v>
      </c>
      <c r="H3830" s="75" t="s">
        <v>10</v>
      </c>
      <c r="I3830" s="75">
        <v>19489</v>
      </c>
      <c r="K3830" s="75" t="str">
        <f>IFERROR(VLOOKUP(J3830,'NQ10'!$B$9:$C$145,2,0),"")</f>
        <v/>
      </c>
    </row>
    <row r="3831" spans="1:11" ht="15" customHeight="1" x14ac:dyDescent="0.25">
      <c r="A3831" s="75">
        <v>34</v>
      </c>
      <c r="B3831" s="75">
        <v>40</v>
      </c>
      <c r="C3831" s="75" t="s">
        <v>10</v>
      </c>
      <c r="D3831" s="75">
        <v>3084</v>
      </c>
      <c r="F3831" s="75" t="s">
        <v>10</v>
      </c>
      <c r="H3831" s="75" t="s">
        <v>10</v>
      </c>
      <c r="I3831" s="75">
        <v>19489</v>
      </c>
      <c r="K3831" s="75" t="str">
        <f>IFERROR(VLOOKUP(J3831,'NQ10'!$B$9:$C$145,2,0),"")</f>
        <v/>
      </c>
    </row>
    <row r="3832" spans="1:11" ht="15" customHeight="1" x14ac:dyDescent="0.25">
      <c r="A3832" s="75">
        <v>34</v>
      </c>
      <c r="B3832" s="75">
        <v>42</v>
      </c>
      <c r="C3832" s="75" t="s">
        <v>10</v>
      </c>
      <c r="D3832" s="75">
        <v>5453</v>
      </c>
      <c r="F3832" s="75" t="s">
        <v>10</v>
      </c>
      <c r="H3832" s="75" t="s">
        <v>10</v>
      </c>
      <c r="I3832" s="75">
        <v>19489</v>
      </c>
      <c r="K3832" s="75" t="str">
        <f>IFERROR(VLOOKUP(J3832,'NQ10'!$B$9:$C$145,2,0),"")</f>
        <v/>
      </c>
    </row>
    <row r="3833" spans="1:11" ht="15" customHeight="1" x14ac:dyDescent="0.25">
      <c r="A3833" s="75">
        <v>34</v>
      </c>
      <c r="B3833" s="75">
        <v>43</v>
      </c>
      <c r="C3833" s="75" t="s">
        <v>10</v>
      </c>
      <c r="D3833" s="75">
        <v>957</v>
      </c>
      <c r="F3833" s="75" t="s">
        <v>10</v>
      </c>
      <c r="H3833" s="75" t="s">
        <v>10</v>
      </c>
      <c r="I3833" s="75">
        <v>19489</v>
      </c>
      <c r="K3833" s="75" t="str">
        <f>IFERROR(VLOOKUP(J3833,'NQ10'!$B$9:$C$145,2,0),"")</f>
        <v/>
      </c>
    </row>
    <row r="3834" spans="1:11" ht="15" customHeight="1" x14ac:dyDescent="0.25">
      <c r="A3834" s="75">
        <v>34</v>
      </c>
      <c r="B3834" s="75">
        <v>44</v>
      </c>
      <c r="C3834" s="75" t="s">
        <v>10</v>
      </c>
      <c r="D3834" s="75">
        <v>2021</v>
      </c>
      <c r="F3834" s="75" t="s">
        <v>10</v>
      </c>
      <c r="H3834" s="75" t="s">
        <v>10</v>
      </c>
      <c r="I3834" s="75">
        <v>19489</v>
      </c>
      <c r="K3834" s="75" t="str">
        <f>IFERROR(VLOOKUP(J3834,'NQ10'!$B$9:$C$145,2,0),"")</f>
        <v/>
      </c>
    </row>
    <row r="3835" spans="1:11" ht="15" customHeight="1" x14ac:dyDescent="0.25">
      <c r="A3835" s="75">
        <v>34</v>
      </c>
      <c r="B3835" s="75">
        <v>45</v>
      </c>
      <c r="C3835" s="75" t="s">
        <v>10</v>
      </c>
      <c r="D3835" s="75">
        <v>6826</v>
      </c>
      <c r="F3835" s="75" t="s">
        <v>10</v>
      </c>
      <c r="H3835" s="75" t="s">
        <v>10</v>
      </c>
      <c r="I3835" s="75">
        <v>19489</v>
      </c>
      <c r="K3835" s="75" t="str">
        <f>IFERROR(VLOOKUP(J3835,'NQ10'!$B$9:$C$145,2,0),"")</f>
        <v/>
      </c>
    </row>
    <row r="3836" spans="1:11" ht="15" customHeight="1" x14ac:dyDescent="0.25">
      <c r="A3836" s="75">
        <v>34</v>
      </c>
      <c r="B3836" s="75">
        <v>47</v>
      </c>
      <c r="C3836" s="75" t="s">
        <v>10</v>
      </c>
      <c r="D3836" s="75">
        <v>239</v>
      </c>
      <c r="F3836" s="75" t="s">
        <v>10</v>
      </c>
      <c r="H3836" s="75" t="s">
        <v>10</v>
      </c>
      <c r="I3836" s="75">
        <v>19489</v>
      </c>
      <c r="K3836" s="75" t="str">
        <f>IFERROR(VLOOKUP(J3836,'NQ10'!$B$9:$C$145,2,0),"")</f>
        <v/>
      </c>
    </row>
    <row r="3837" spans="1:11" ht="15" customHeight="1" x14ac:dyDescent="0.25">
      <c r="A3837" s="75">
        <v>34</v>
      </c>
      <c r="B3837" s="75">
        <v>48</v>
      </c>
      <c r="C3837" s="75" t="s">
        <v>10</v>
      </c>
      <c r="D3837" s="75">
        <v>1189</v>
      </c>
      <c r="F3837" s="75" t="s">
        <v>10</v>
      </c>
      <c r="H3837" s="75" t="s">
        <v>10</v>
      </c>
      <c r="I3837" s="75">
        <v>19489</v>
      </c>
      <c r="K3837" s="75" t="str">
        <f>IFERROR(VLOOKUP(J3837,'NQ10'!$B$9:$C$145,2,0),"")</f>
        <v/>
      </c>
    </row>
    <row r="3838" spans="1:11" ht="15" customHeight="1" x14ac:dyDescent="0.25">
      <c r="A3838" s="75">
        <v>34</v>
      </c>
      <c r="B3838" s="75">
        <v>49</v>
      </c>
      <c r="C3838" s="75" t="s">
        <v>10</v>
      </c>
      <c r="D3838" s="75">
        <v>10142</v>
      </c>
      <c r="F3838" s="75" t="s">
        <v>10</v>
      </c>
      <c r="H3838" s="75" t="s">
        <v>10</v>
      </c>
      <c r="I3838" s="75">
        <v>19489</v>
      </c>
      <c r="K3838" s="75" t="str">
        <f>IFERROR(VLOOKUP(J3838,'NQ10'!$B$9:$C$145,2,0),"")</f>
        <v/>
      </c>
    </row>
    <row r="3839" spans="1:11" ht="15" customHeight="1" x14ac:dyDescent="0.25">
      <c r="A3839" s="75">
        <v>34</v>
      </c>
      <c r="B3839" s="75">
        <v>50</v>
      </c>
      <c r="C3839" s="75" t="s">
        <v>10</v>
      </c>
      <c r="D3839" s="75">
        <v>120</v>
      </c>
      <c r="F3839" s="75" t="s">
        <v>10</v>
      </c>
      <c r="H3839" s="75" t="s">
        <v>10</v>
      </c>
      <c r="I3839" s="75">
        <v>19489</v>
      </c>
      <c r="K3839" s="75" t="str">
        <f>IFERROR(VLOOKUP(J3839,'NQ10'!$B$9:$C$145,2,0),"")</f>
        <v/>
      </c>
    </row>
    <row r="3840" spans="1:11" ht="15" customHeight="1" x14ac:dyDescent="0.25">
      <c r="A3840" s="75">
        <v>34</v>
      </c>
      <c r="B3840" s="75">
        <v>53</v>
      </c>
      <c r="C3840" s="75" t="s">
        <v>10</v>
      </c>
      <c r="D3840" s="75">
        <v>162</v>
      </c>
      <c r="F3840" s="75" t="s">
        <v>10</v>
      </c>
      <c r="H3840" s="75" t="s">
        <v>10</v>
      </c>
      <c r="I3840" s="75">
        <v>19489</v>
      </c>
      <c r="K3840" s="75" t="str">
        <f>IFERROR(VLOOKUP(J3840,'NQ10'!$B$9:$C$145,2,0),"")</f>
        <v/>
      </c>
    </row>
    <row r="3841" spans="1:11" ht="15" customHeight="1" x14ac:dyDescent="0.25">
      <c r="A3841" s="75">
        <v>34</v>
      </c>
      <c r="B3841" s="75">
        <v>55</v>
      </c>
      <c r="C3841" s="75" t="s">
        <v>10</v>
      </c>
      <c r="D3841" s="75">
        <v>7438</v>
      </c>
      <c r="F3841" s="75" t="s">
        <v>10</v>
      </c>
      <c r="H3841" s="75" t="s">
        <v>10</v>
      </c>
      <c r="I3841" s="75">
        <v>19489</v>
      </c>
      <c r="K3841" s="75" t="str">
        <f>IFERROR(VLOOKUP(J3841,'NQ10'!$B$9:$C$145,2,0),"")</f>
        <v/>
      </c>
    </row>
    <row r="3842" spans="1:11" ht="15" customHeight="1" x14ac:dyDescent="0.25">
      <c r="A3842" s="75">
        <v>34</v>
      </c>
      <c r="B3842" s="75">
        <v>56</v>
      </c>
      <c r="C3842" s="75" t="s">
        <v>10</v>
      </c>
      <c r="D3842" s="75">
        <v>12331</v>
      </c>
      <c r="F3842" s="75" t="s">
        <v>10</v>
      </c>
      <c r="H3842" s="75" t="s">
        <v>10</v>
      </c>
      <c r="I3842" s="75">
        <v>19489</v>
      </c>
      <c r="K3842" s="75" t="str">
        <f>IFERROR(VLOOKUP(J3842,'NQ10'!$B$9:$C$145,2,0),"")</f>
        <v/>
      </c>
    </row>
    <row r="3843" spans="1:11" ht="15" customHeight="1" x14ac:dyDescent="0.25">
      <c r="A3843" s="75">
        <v>34</v>
      </c>
      <c r="B3843" s="75">
        <v>57</v>
      </c>
      <c r="C3843" s="75" t="s">
        <v>10</v>
      </c>
      <c r="D3843" s="75">
        <v>299</v>
      </c>
      <c r="F3843" s="75" t="s">
        <v>10</v>
      </c>
      <c r="H3843" s="75" t="s">
        <v>10</v>
      </c>
      <c r="I3843" s="75">
        <v>19489</v>
      </c>
      <c r="K3843" s="75" t="str">
        <f>IFERROR(VLOOKUP(J3843,'NQ10'!$B$9:$C$145,2,0),"")</f>
        <v/>
      </c>
    </row>
    <row r="3844" spans="1:11" ht="15" customHeight="1" x14ac:dyDescent="0.25">
      <c r="A3844" s="75">
        <v>34</v>
      </c>
      <c r="B3844" s="75">
        <v>58</v>
      </c>
      <c r="C3844" s="75" t="s">
        <v>10</v>
      </c>
      <c r="D3844" s="75">
        <v>6448</v>
      </c>
      <c r="F3844" s="75" t="s">
        <v>10</v>
      </c>
      <c r="H3844" s="75" t="s">
        <v>10</v>
      </c>
      <c r="I3844" s="75">
        <v>19489</v>
      </c>
      <c r="K3844" s="75" t="str">
        <f>IFERROR(VLOOKUP(J3844,'NQ10'!$B$9:$C$145,2,0),"")</f>
        <v/>
      </c>
    </row>
    <row r="3845" spans="1:11" ht="15" customHeight="1" x14ac:dyDescent="0.25">
      <c r="A3845" s="75">
        <v>34</v>
      </c>
      <c r="B3845" s="75">
        <v>59</v>
      </c>
      <c r="C3845" s="75" t="s">
        <v>10</v>
      </c>
      <c r="D3845" s="75">
        <v>12169</v>
      </c>
      <c r="F3845" s="75" t="s">
        <v>10</v>
      </c>
      <c r="H3845" s="75" t="s">
        <v>10</v>
      </c>
      <c r="I3845" s="75">
        <v>19489</v>
      </c>
      <c r="K3845" s="75" t="str">
        <f>IFERROR(VLOOKUP(J3845,'NQ10'!$B$9:$C$145,2,0),"")</f>
        <v/>
      </c>
    </row>
    <row r="3846" spans="1:11" ht="15" customHeight="1" x14ac:dyDescent="0.25">
      <c r="A3846" s="75">
        <v>34</v>
      </c>
      <c r="B3846" s="75">
        <v>60</v>
      </c>
      <c r="C3846" s="75" t="s">
        <v>10</v>
      </c>
      <c r="D3846" s="75">
        <v>2646</v>
      </c>
      <c r="F3846" s="75" t="s">
        <v>10</v>
      </c>
      <c r="H3846" s="75" t="s">
        <v>10</v>
      </c>
      <c r="I3846" s="75">
        <v>19489</v>
      </c>
      <c r="K3846" s="75" t="str">
        <f>IFERROR(VLOOKUP(J3846,'NQ10'!$B$9:$C$145,2,0),"")</f>
        <v/>
      </c>
    </row>
    <row r="3847" spans="1:11" ht="15" customHeight="1" x14ac:dyDescent="0.25">
      <c r="A3847" s="75">
        <v>34</v>
      </c>
      <c r="B3847" s="75">
        <v>61</v>
      </c>
      <c r="C3847" s="75" t="s">
        <v>10</v>
      </c>
      <c r="D3847" s="75">
        <v>15091</v>
      </c>
      <c r="F3847" s="75" t="s">
        <v>10</v>
      </c>
      <c r="H3847" s="75" t="s">
        <v>10</v>
      </c>
      <c r="I3847" s="75">
        <v>19489</v>
      </c>
      <c r="K3847" s="75" t="str">
        <f>IFERROR(VLOOKUP(J3847,'NQ10'!$B$9:$C$145,2,0),"")</f>
        <v/>
      </c>
    </row>
    <row r="3848" spans="1:11" ht="15" customHeight="1" x14ac:dyDescent="0.25">
      <c r="A3848" s="75">
        <v>34</v>
      </c>
      <c r="B3848" s="75">
        <v>63</v>
      </c>
      <c r="C3848" s="75" t="s">
        <v>10</v>
      </c>
      <c r="D3848" s="75">
        <v>9495</v>
      </c>
      <c r="F3848" s="75" t="s">
        <v>10</v>
      </c>
      <c r="H3848" s="75" t="s">
        <v>10</v>
      </c>
      <c r="I3848" s="75">
        <v>19489</v>
      </c>
      <c r="K3848" s="75" t="str">
        <f>IFERROR(VLOOKUP(J3848,'NQ10'!$B$9:$C$145,2,0),"")</f>
        <v/>
      </c>
    </row>
    <row r="3849" spans="1:11" ht="15" customHeight="1" x14ac:dyDescent="0.25">
      <c r="A3849" s="75">
        <v>34</v>
      </c>
      <c r="B3849" s="75">
        <v>64</v>
      </c>
      <c r="C3849" s="75" t="s">
        <v>10</v>
      </c>
      <c r="D3849" s="75">
        <v>232</v>
      </c>
      <c r="F3849" s="75" t="s">
        <v>10</v>
      </c>
      <c r="H3849" s="75" t="s">
        <v>10</v>
      </c>
      <c r="I3849" s="75">
        <v>19489</v>
      </c>
      <c r="K3849" s="75" t="str">
        <f>IFERROR(VLOOKUP(J3849,'NQ10'!$B$9:$C$145,2,0),"")</f>
        <v/>
      </c>
    </row>
    <row r="3850" spans="1:11" ht="15" customHeight="1" x14ac:dyDescent="0.25">
      <c r="A3850" s="75">
        <v>34</v>
      </c>
      <c r="B3850" s="75">
        <v>66</v>
      </c>
      <c r="C3850" s="75" t="s">
        <v>10</v>
      </c>
      <c r="D3850" s="75">
        <v>18708</v>
      </c>
      <c r="F3850" s="75" t="s">
        <v>10</v>
      </c>
      <c r="H3850" s="75" t="s">
        <v>10</v>
      </c>
      <c r="I3850" s="75">
        <v>19489</v>
      </c>
      <c r="K3850" s="75" t="str">
        <f>IFERROR(VLOOKUP(J3850,'NQ10'!$B$9:$C$145,2,0),"")</f>
        <v/>
      </c>
    </row>
    <row r="3851" spans="1:11" ht="15" customHeight="1" x14ac:dyDescent="0.25">
      <c r="A3851" s="75">
        <v>34</v>
      </c>
      <c r="B3851" s="75">
        <v>67</v>
      </c>
      <c r="C3851" s="75" t="s">
        <v>10</v>
      </c>
      <c r="D3851" s="75">
        <v>553</v>
      </c>
      <c r="F3851" s="75" t="s">
        <v>10</v>
      </c>
      <c r="H3851" s="75" t="s">
        <v>10</v>
      </c>
      <c r="I3851" s="75">
        <v>19489</v>
      </c>
      <c r="K3851" s="75" t="str">
        <f>IFERROR(VLOOKUP(J3851,'NQ10'!$B$9:$C$145,2,0),"")</f>
        <v/>
      </c>
    </row>
    <row r="3852" spans="1:11" ht="15" customHeight="1" x14ac:dyDescent="0.25">
      <c r="A3852" s="75">
        <v>34</v>
      </c>
      <c r="B3852" s="75">
        <v>68</v>
      </c>
      <c r="C3852" s="75" t="s">
        <v>10</v>
      </c>
      <c r="D3852" s="75">
        <v>2104</v>
      </c>
      <c r="F3852" s="75" t="s">
        <v>10</v>
      </c>
      <c r="H3852" s="75" t="s">
        <v>10</v>
      </c>
      <c r="I3852" s="75">
        <v>19489</v>
      </c>
      <c r="K3852" s="75" t="str">
        <f>IFERROR(VLOOKUP(J3852,'NQ10'!$B$9:$C$145,2,0),"")</f>
        <v/>
      </c>
    </row>
    <row r="3853" spans="1:11" ht="15" customHeight="1" x14ac:dyDescent="0.25">
      <c r="A3853" s="75">
        <v>34</v>
      </c>
      <c r="B3853" s="75">
        <v>69</v>
      </c>
      <c r="C3853" s="75" t="s">
        <v>10</v>
      </c>
      <c r="D3853" s="75">
        <v>236</v>
      </c>
      <c r="F3853" s="75" t="s">
        <v>10</v>
      </c>
      <c r="H3853" s="75" t="s">
        <v>10</v>
      </c>
      <c r="I3853" s="75">
        <v>19489</v>
      </c>
      <c r="K3853" s="75" t="str">
        <f>IFERROR(VLOOKUP(J3853,'NQ10'!$B$9:$C$145,2,0),"")</f>
        <v/>
      </c>
    </row>
    <row r="3854" spans="1:11" ht="15" customHeight="1" x14ac:dyDescent="0.25">
      <c r="A3854" s="75">
        <v>34</v>
      </c>
      <c r="B3854" s="75">
        <v>70</v>
      </c>
      <c r="C3854" s="75" t="s">
        <v>10</v>
      </c>
      <c r="D3854" s="75">
        <v>830</v>
      </c>
      <c r="F3854" s="75" t="s">
        <v>10</v>
      </c>
      <c r="H3854" s="75" t="s">
        <v>10</v>
      </c>
      <c r="I3854" s="75">
        <v>19489</v>
      </c>
      <c r="K3854" s="75" t="str">
        <f>IFERROR(VLOOKUP(J3854,'NQ10'!$B$9:$C$145,2,0),"")</f>
        <v/>
      </c>
    </row>
    <row r="3855" spans="1:11" ht="15" customHeight="1" x14ac:dyDescent="0.25">
      <c r="A3855" s="75">
        <v>34</v>
      </c>
      <c r="B3855" s="75">
        <v>71</v>
      </c>
      <c r="C3855" s="75" t="s">
        <v>10</v>
      </c>
      <c r="D3855" s="75">
        <v>12212</v>
      </c>
      <c r="F3855" s="75" t="s">
        <v>10</v>
      </c>
      <c r="H3855" s="75" t="s">
        <v>10</v>
      </c>
      <c r="I3855" s="75">
        <v>19489</v>
      </c>
      <c r="K3855" s="75" t="str">
        <f>IFERROR(VLOOKUP(J3855,'NQ10'!$B$9:$C$145,2,0),"")</f>
        <v/>
      </c>
    </row>
    <row r="3856" spans="1:11" ht="15" customHeight="1" x14ac:dyDescent="0.25">
      <c r="A3856" s="75">
        <v>34</v>
      </c>
      <c r="B3856" s="75">
        <v>72</v>
      </c>
      <c r="C3856" s="75" t="s">
        <v>10</v>
      </c>
      <c r="D3856" s="75">
        <v>145</v>
      </c>
      <c r="F3856" s="75" t="s">
        <v>10</v>
      </c>
      <c r="H3856" s="75" t="s">
        <v>10</v>
      </c>
      <c r="I3856" s="75">
        <v>19489</v>
      </c>
      <c r="K3856" s="75" t="str">
        <f>IFERROR(VLOOKUP(J3856,'NQ10'!$B$9:$C$145,2,0),"")</f>
        <v/>
      </c>
    </row>
    <row r="3857" spans="1:11" ht="15" customHeight="1" x14ac:dyDescent="0.25">
      <c r="A3857" s="75">
        <v>34</v>
      </c>
      <c r="B3857" s="75">
        <v>73</v>
      </c>
      <c r="C3857" s="75" t="s">
        <v>10</v>
      </c>
      <c r="D3857" s="75">
        <v>194</v>
      </c>
      <c r="F3857" s="75" t="s">
        <v>10</v>
      </c>
      <c r="H3857" s="75" t="s">
        <v>10</v>
      </c>
      <c r="I3857" s="75">
        <v>19489</v>
      </c>
      <c r="K3857" s="75" t="str">
        <f>IFERROR(VLOOKUP(J3857,'NQ10'!$B$9:$C$145,2,0),"")</f>
        <v/>
      </c>
    </row>
    <row r="3858" spans="1:11" ht="15" customHeight="1" x14ac:dyDescent="0.25">
      <c r="A3858" s="75">
        <v>34</v>
      </c>
      <c r="B3858" s="75">
        <v>74</v>
      </c>
      <c r="C3858" s="75" t="s">
        <v>10</v>
      </c>
      <c r="D3858" s="75">
        <v>181</v>
      </c>
      <c r="F3858" s="75" t="s">
        <v>10</v>
      </c>
      <c r="H3858" s="75" t="s">
        <v>10</v>
      </c>
      <c r="I3858" s="75">
        <v>19489</v>
      </c>
      <c r="K3858" s="75" t="str">
        <f>IFERROR(VLOOKUP(J3858,'NQ10'!$B$9:$C$145,2,0),"")</f>
        <v/>
      </c>
    </row>
    <row r="3859" spans="1:11" ht="15" customHeight="1" x14ac:dyDescent="0.25">
      <c r="A3859" s="75">
        <v>34</v>
      </c>
      <c r="B3859" s="75">
        <v>75</v>
      </c>
      <c r="C3859" s="75" t="s">
        <v>10</v>
      </c>
      <c r="D3859" s="75">
        <v>213</v>
      </c>
      <c r="F3859" s="75" t="s">
        <v>10</v>
      </c>
      <c r="H3859" s="75" t="s">
        <v>10</v>
      </c>
      <c r="I3859" s="75">
        <v>19489</v>
      </c>
      <c r="K3859" s="75" t="str">
        <f>IFERROR(VLOOKUP(J3859,'NQ10'!$B$9:$C$145,2,0),"")</f>
        <v/>
      </c>
    </row>
    <row r="3860" spans="1:11" ht="15" customHeight="1" x14ac:dyDescent="0.25">
      <c r="A3860" s="75">
        <v>34</v>
      </c>
      <c r="B3860" s="75">
        <v>76</v>
      </c>
      <c r="C3860" s="75" t="s">
        <v>10</v>
      </c>
      <c r="D3860" s="75">
        <v>183</v>
      </c>
      <c r="F3860" s="75" t="s">
        <v>10</v>
      </c>
      <c r="H3860" s="75" t="s">
        <v>10</v>
      </c>
      <c r="I3860" s="75">
        <v>19489</v>
      </c>
      <c r="K3860" s="75" t="str">
        <f>IFERROR(VLOOKUP(J3860,'NQ10'!$B$9:$C$145,2,0),"")</f>
        <v/>
      </c>
    </row>
    <row r="3861" spans="1:11" ht="15" customHeight="1" x14ac:dyDescent="0.25">
      <c r="A3861" s="75">
        <v>34</v>
      </c>
      <c r="B3861" s="75">
        <v>77</v>
      </c>
      <c r="C3861" s="75" t="s">
        <v>10</v>
      </c>
      <c r="D3861" s="75">
        <v>173</v>
      </c>
      <c r="F3861" s="75" t="s">
        <v>10</v>
      </c>
      <c r="H3861" s="75" t="s">
        <v>10</v>
      </c>
      <c r="I3861" s="75">
        <v>19489</v>
      </c>
      <c r="K3861" s="75" t="str">
        <f>IFERROR(VLOOKUP(J3861,'NQ10'!$B$9:$C$145,2,0),"")</f>
        <v/>
      </c>
    </row>
    <row r="3862" spans="1:11" ht="15" customHeight="1" x14ac:dyDescent="0.25">
      <c r="A3862" s="75">
        <v>34</v>
      </c>
      <c r="B3862" s="75">
        <v>78</v>
      </c>
      <c r="C3862" s="75" t="s">
        <v>10</v>
      </c>
      <c r="D3862" s="75">
        <v>183</v>
      </c>
      <c r="F3862" s="75" t="s">
        <v>10</v>
      </c>
      <c r="H3862" s="75" t="s">
        <v>10</v>
      </c>
      <c r="I3862" s="75">
        <v>19489</v>
      </c>
      <c r="K3862" s="75" t="str">
        <f>IFERROR(VLOOKUP(J3862,'NQ10'!$B$9:$C$145,2,0),"")</f>
        <v/>
      </c>
    </row>
    <row r="3863" spans="1:11" ht="15" customHeight="1" x14ac:dyDescent="0.25">
      <c r="A3863" s="75">
        <v>34</v>
      </c>
      <c r="B3863" s="75">
        <v>79</v>
      </c>
      <c r="C3863" s="75" t="s">
        <v>10</v>
      </c>
      <c r="D3863" s="75">
        <v>198</v>
      </c>
      <c r="F3863" s="75" t="s">
        <v>10</v>
      </c>
      <c r="H3863" s="75" t="s">
        <v>10</v>
      </c>
      <c r="I3863" s="75">
        <v>19489</v>
      </c>
      <c r="K3863" s="75" t="str">
        <f>IFERROR(VLOOKUP(J3863,'NQ10'!$B$9:$C$145,2,0),"")</f>
        <v/>
      </c>
    </row>
    <row r="3864" spans="1:11" ht="15" customHeight="1" x14ac:dyDescent="0.25">
      <c r="A3864" s="75">
        <v>34</v>
      </c>
      <c r="B3864" s="75">
        <v>80</v>
      </c>
      <c r="C3864" s="75" t="s">
        <v>10</v>
      </c>
      <c r="D3864" s="75">
        <v>138</v>
      </c>
      <c r="F3864" s="75" t="s">
        <v>10</v>
      </c>
      <c r="H3864" s="75" t="s">
        <v>10</v>
      </c>
      <c r="I3864" s="75">
        <v>19489</v>
      </c>
      <c r="K3864" s="75" t="str">
        <f>IFERROR(VLOOKUP(J3864,'NQ10'!$B$9:$C$145,2,0),"")</f>
        <v/>
      </c>
    </row>
    <row r="3865" spans="1:11" ht="15" customHeight="1" x14ac:dyDescent="0.25">
      <c r="A3865" s="75">
        <v>34</v>
      </c>
      <c r="B3865" s="75">
        <v>81</v>
      </c>
      <c r="C3865" s="75" t="s">
        <v>10</v>
      </c>
      <c r="D3865" s="75">
        <v>150</v>
      </c>
      <c r="F3865" s="75" t="s">
        <v>10</v>
      </c>
      <c r="H3865" s="75" t="s">
        <v>10</v>
      </c>
      <c r="I3865" s="75">
        <v>19489</v>
      </c>
      <c r="K3865" s="75" t="str">
        <f>IFERROR(VLOOKUP(J3865,'NQ10'!$B$9:$C$145,2,0),"")</f>
        <v/>
      </c>
    </row>
    <row r="3866" spans="1:11" ht="15" customHeight="1" x14ac:dyDescent="0.25">
      <c r="A3866" s="75">
        <v>34</v>
      </c>
      <c r="B3866" s="75">
        <v>82</v>
      </c>
      <c r="C3866" s="75" t="s">
        <v>10</v>
      </c>
      <c r="D3866" s="75">
        <v>175</v>
      </c>
      <c r="F3866" s="75" t="s">
        <v>10</v>
      </c>
      <c r="H3866" s="75" t="s">
        <v>10</v>
      </c>
      <c r="I3866" s="75">
        <v>19489</v>
      </c>
      <c r="K3866" s="75" t="str">
        <f>IFERROR(VLOOKUP(J3866,'NQ10'!$B$9:$C$145,2,0),"")</f>
        <v/>
      </c>
    </row>
    <row r="3867" spans="1:11" ht="15" customHeight="1" x14ac:dyDescent="0.25">
      <c r="A3867" s="75">
        <v>34</v>
      </c>
      <c r="B3867" s="75">
        <v>83</v>
      </c>
      <c r="C3867" s="75" t="s">
        <v>10</v>
      </c>
      <c r="D3867" s="75">
        <v>148</v>
      </c>
      <c r="F3867" s="75" t="s">
        <v>10</v>
      </c>
      <c r="H3867" s="75" t="s">
        <v>10</v>
      </c>
      <c r="I3867" s="75">
        <v>19489</v>
      </c>
      <c r="K3867" s="75" t="str">
        <f>IFERROR(VLOOKUP(J3867,'NQ10'!$B$9:$C$145,2,0),"")</f>
        <v/>
      </c>
    </row>
    <row r="3868" spans="1:11" ht="15" customHeight="1" x14ac:dyDescent="0.25">
      <c r="A3868" s="75">
        <v>34</v>
      </c>
      <c r="B3868" s="75">
        <v>84</v>
      </c>
      <c r="C3868" s="75" t="s">
        <v>10</v>
      </c>
      <c r="D3868" s="75">
        <v>120</v>
      </c>
      <c r="F3868" s="75" t="s">
        <v>10</v>
      </c>
      <c r="H3868" s="75" t="s">
        <v>10</v>
      </c>
      <c r="I3868" s="75">
        <v>19489</v>
      </c>
      <c r="K3868" s="75" t="str">
        <f>IFERROR(VLOOKUP(J3868,'NQ10'!$B$9:$C$145,2,0),"")</f>
        <v/>
      </c>
    </row>
    <row r="3869" spans="1:11" ht="15" customHeight="1" x14ac:dyDescent="0.25">
      <c r="A3869" s="75">
        <v>34</v>
      </c>
      <c r="B3869" s="75">
        <v>85</v>
      </c>
      <c r="C3869" s="75" t="s">
        <v>10</v>
      </c>
      <c r="D3869" s="75">
        <v>116</v>
      </c>
      <c r="F3869" s="75" t="s">
        <v>10</v>
      </c>
      <c r="H3869" s="75" t="s">
        <v>10</v>
      </c>
      <c r="I3869" s="75">
        <v>19489</v>
      </c>
      <c r="K3869" s="75" t="str">
        <f>IFERROR(VLOOKUP(J3869,'NQ10'!$B$9:$C$145,2,0),"")</f>
        <v/>
      </c>
    </row>
    <row r="3870" spans="1:11" ht="15" customHeight="1" x14ac:dyDescent="0.25">
      <c r="A3870" s="75">
        <v>34</v>
      </c>
      <c r="B3870" s="75">
        <v>86</v>
      </c>
      <c r="C3870" s="75" t="s">
        <v>10</v>
      </c>
      <c r="D3870" s="75">
        <v>113</v>
      </c>
      <c r="F3870" s="75" t="s">
        <v>10</v>
      </c>
      <c r="H3870" s="75" t="s">
        <v>10</v>
      </c>
      <c r="I3870" s="75">
        <v>19489</v>
      </c>
      <c r="K3870" s="75" t="str">
        <f>IFERROR(VLOOKUP(J3870,'NQ10'!$B$9:$C$145,2,0),"")</f>
        <v/>
      </c>
    </row>
    <row r="3871" spans="1:11" ht="15" customHeight="1" x14ac:dyDescent="0.25">
      <c r="A3871" s="75">
        <v>34</v>
      </c>
      <c r="B3871" s="75">
        <v>87</v>
      </c>
      <c r="C3871" s="75" t="s">
        <v>10</v>
      </c>
      <c r="D3871" s="75">
        <v>125</v>
      </c>
      <c r="F3871" s="75" t="s">
        <v>10</v>
      </c>
      <c r="H3871" s="75" t="s">
        <v>10</v>
      </c>
      <c r="I3871" s="75">
        <v>19489</v>
      </c>
      <c r="K3871" s="75" t="str">
        <f>IFERROR(VLOOKUP(J3871,'NQ10'!$B$9:$C$145,2,0),"")</f>
        <v/>
      </c>
    </row>
    <row r="3872" spans="1:11" ht="15" customHeight="1" x14ac:dyDescent="0.25">
      <c r="A3872" s="75">
        <v>34</v>
      </c>
      <c r="B3872" s="75">
        <v>88</v>
      </c>
      <c r="C3872" s="75" t="s">
        <v>10</v>
      </c>
      <c r="D3872" s="75">
        <v>120</v>
      </c>
      <c r="F3872" s="75" t="s">
        <v>10</v>
      </c>
      <c r="H3872" s="75" t="s">
        <v>10</v>
      </c>
      <c r="I3872" s="75">
        <v>19489</v>
      </c>
      <c r="K3872" s="75" t="str">
        <f>IFERROR(VLOOKUP(J3872,'NQ10'!$B$9:$C$145,2,0),"")</f>
        <v/>
      </c>
    </row>
    <row r="3873" spans="1:11" ht="15" customHeight="1" x14ac:dyDescent="0.25">
      <c r="A3873" s="75">
        <v>34</v>
      </c>
      <c r="B3873" s="75">
        <v>89</v>
      </c>
      <c r="C3873" s="75" t="s">
        <v>10</v>
      </c>
      <c r="D3873" s="75">
        <v>125</v>
      </c>
      <c r="F3873" s="75" t="s">
        <v>10</v>
      </c>
      <c r="H3873" s="75" t="s">
        <v>10</v>
      </c>
      <c r="I3873" s="75">
        <v>19489</v>
      </c>
      <c r="K3873" s="75" t="str">
        <f>IFERROR(VLOOKUP(J3873,'NQ10'!$B$9:$C$145,2,0),"")</f>
        <v/>
      </c>
    </row>
    <row r="3874" spans="1:11" ht="15" customHeight="1" x14ac:dyDescent="0.25">
      <c r="A3874" s="75">
        <v>34</v>
      </c>
      <c r="B3874" s="75">
        <v>90</v>
      </c>
      <c r="C3874" s="75" t="s">
        <v>10</v>
      </c>
      <c r="D3874" s="75">
        <v>250</v>
      </c>
      <c r="F3874" s="75" t="s">
        <v>10</v>
      </c>
      <c r="H3874" s="75" t="s">
        <v>10</v>
      </c>
      <c r="I3874" s="75">
        <v>19489</v>
      </c>
      <c r="K3874" s="75" t="str">
        <f>IFERROR(VLOOKUP(J3874,'NQ10'!$B$9:$C$145,2,0),"")</f>
        <v/>
      </c>
    </row>
    <row r="3875" spans="1:11" ht="15" customHeight="1" x14ac:dyDescent="0.25">
      <c r="A3875" s="75">
        <v>34</v>
      </c>
      <c r="B3875" s="75">
        <v>91</v>
      </c>
      <c r="C3875" s="75" t="s">
        <v>10</v>
      </c>
      <c r="D3875" s="75">
        <v>290</v>
      </c>
      <c r="F3875" s="75" t="s">
        <v>10</v>
      </c>
      <c r="H3875" s="75" t="s">
        <v>10</v>
      </c>
      <c r="I3875" s="75">
        <v>19489</v>
      </c>
      <c r="K3875" s="75" t="str">
        <f>IFERROR(VLOOKUP(J3875,'NQ10'!$B$9:$C$145,2,0),"")</f>
        <v/>
      </c>
    </row>
    <row r="3876" spans="1:11" ht="15" customHeight="1" x14ac:dyDescent="0.25">
      <c r="A3876" s="75">
        <v>34</v>
      </c>
      <c r="B3876" s="75">
        <v>92</v>
      </c>
      <c r="C3876" s="75" t="s">
        <v>10</v>
      </c>
      <c r="D3876" s="75">
        <v>310</v>
      </c>
      <c r="F3876" s="75" t="s">
        <v>10</v>
      </c>
      <c r="H3876" s="75" t="s">
        <v>10</v>
      </c>
      <c r="I3876" s="75">
        <v>19489</v>
      </c>
      <c r="K3876" s="75" t="str">
        <f>IFERROR(VLOOKUP(J3876,'NQ10'!$B$9:$C$145,2,0),"")</f>
        <v/>
      </c>
    </row>
    <row r="3877" spans="1:11" ht="15" customHeight="1" x14ac:dyDescent="0.25">
      <c r="A3877" s="75">
        <v>34</v>
      </c>
      <c r="B3877" s="75">
        <v>93</v>
      </c>
      <c r="C3877" s="75" t="s">
        <v>10</v>
      </c>
      <c r="D3877" s="75">
        <v>173</v>
      </c>
      <c r="F3877" s="75" t="s">
        <v>10</v>
      </c>
      <c r="H3877" s="75" t="s">
        <v>10</v>
      </c>
      <c r="I3877" s="75">
        <v>19489</v>
      </c>
      <c r="K3877" s="75" t="str">
        <f>IFERROR(VLOOKUP(J3877,'NQ10'!$B$9:$C$145,2,0),"")</f>
        <v/>
      </c>
    </row>
    <row r="3878" spans="1:11" ht="15" customHeight="1" x14ac:dyDescent="0.25">
      <c r="A3878" s="75">
        <v>34</v>
      </c>
      <c r="B3878" s="75">
        <v>94</v>
      </c>
      <c r="C3878" s="75" t="s">
        <v>10</v>
      </c>
      <c r="D3878" s="75">
        <v>236</v>
      </c>
      <c r="F3878" s="75" t="s">
        <v>10</v>
      </c>
      <c r="H3878" s="75" t="s">
        <v>10</v>
      </c>
      <c r="I3878" s="75">
        <v>19489</v>
      </c>
      <c r="K3878" s="75" t="str">
        <f>IFERROR(VLOOKUP(J3878,'NQ10'!$B$9:$C$145,2,0),"")</f>
        <v/>
      </c>
    </row>
    <row r="3879" spans="1:11" ht="15" customHeight="1" x14ac:dyDescent="0.25">
      <c r="A3879" s="75">
        <v>34</v>
      </c>
      <c r="B3879" s="75">
        <v>95</v>
      </c>
      <c r="C3879" s="75" t="s">
        <v>10</v>
      </c>
      <c r="D3879" s="75">
        <v>307</v>
      </c>
      <c r="F3879" s="75" t="s">
        <v>10</v>
      </c>
      <c r="H3879" s="75" t="s">
        <v>10</v>
      </c>
      <c r="I3879" s="75">
        <v>19489</v>
      </c>
      <c r="K3879" s="75" t="str">
        <f>IFERROR(VLOOKUP(J3879,'NQ10'!$B$9:$C$145,2,0),"")</f>
        <v/>
      </c>
    </row>
    <row r="3880" spans="1:11" ht="15" customHeight="1" x14ac:dyDescent="0.25">
      <c r="A3880" s="75">
        <v>34</v>
      </c>
      <c r="B3880" s="75">
        <v>96</v>
      </c>
      <c r="C3880" s="75" t="s">
        <v>10</v>
      </c>
      <c r="D3880" s="75">
        <v>137</v>
      </c>
      <c r="F3880" s="75" t="s">
        <v>10</v>
      </c>
      <c r="H3880" s="75" t="s">
        <v>10</v>
      </c>
      <c r="I3880" s="75">
        <v>19489</v>
      </c>
      <c r="K3880" s="75" t="str">
        <f>IFERROR(VLOOKUP(J3880,'NQ10'!$B$9:$C$145,2,0),"")</f>
        <v/>
      </c>
    </row>
    <row r="3881" spans="1:11" ht="15" customHeight="1" x14ac:dyDescent="0.25">
      <c r="A3881" s="75">
        <v>34</v>
      </c>
      <c r="B3881" s="75">
        <v>97</v>
      </c>
      <c r="C3881" s="75" t="s">
        <v>10</v>
      </c>
      <c r="D3881" s="75">
        <v>156</v>
      </c>
      <c r="F3881" s="75" t="s">
        <v>10</v>
      </c>
      <c r="H3881" s="75" t="s">
        <v>10</v>
      </c>
      <c r="I3881" s="75">
        <v>19489</v>
      </c>
      <c r="K3881" s="75" t="str">
        <f>IFERROR(VLOOKUP(J3881,'NQ10'!$B$9:$C$145,2,0),"")</f>
        <v/>
      </c>
    </row>
    <row r="3882" spans="1:11" ht="15" customHeight="1" x14ac:dyDescent="0.25">
      <c r="A3882" s="75">
        <v>34</v>
      </c>
      <c r="B3882" s="75">
        <v>98</v>
      </c>
      <c r="C3882" s="75" t="s">
        <v>10</v>
      </c>
      <c r="D3882" s="75">
        <v>137</v>
      </c>
      <c r="F3882" s="75" t="s">
        <v>10</v>
      </c>
      <c r="H3882" s="75" t="s">
        <v>10</v>
      </c>
      <c r="I3882" s="75">
        <v>19489</v>
      </c>
      <c r="K3882" s="75" t="str">
        <f>IFERROR(VLOOKUP(J3882,'NQ10'!$B$9:$C$145,2,0),"")</f>
        <v/>
      </c>
    </row>
    <row r="3883" spans="1:11" ht="15" customHeight="1" x14ac:dyDescent="0.25">
      <c r="A3883" s="75">
        <v>34</v>
      </c>
      <c r="B3883" s="75">
        <v>99</v>
      </c>
      <c r="C3883" s="75" t="s">
        <v>10</v>
      </c>
      <c r="D3883" s="75">
        <v>117</v>
      </c>
      <c r="F3883" s="75" t="s">
        <v>10</v>
      </c>
      <c r="H3883" s="75" t="s">
        <v>10</v>
      </c>
      <c r="I3883" s="75">
        <v>19489</v>
      </c>
      <c r="K3883" s="75" t="str">
        <f>IFERROR(VLOOKUP(J3883,'NQ10'!$B$9:$C$145,2,0),"")</f>
        <v/>
      </c>
    </row>
    <row r="3884" spans="1:11" ht="15" customHeight="1" x14ac:dyDescent="0.25">
      <c r="A3884" s="75">
        <v>34</v>
      </c>
      <c r="B3884" s="75">
        <v>100</v>
      </c>
      <c r="C3884" s="75" t="s">
        <v>10</v>
      </c>
      <c r="D3884" s="75">
        <v>112</v>
      </c>
      <c r="F3884" s="75" t="s">
        <v>10</v>
      </c>
      <c r="H3884" s="75" t="s">
        <v>10</v>
      </c>
      <c r="I3884" s="75">
        <v>19489</v>
      </c>
      <c r="K3884" s="75" t="str">
        <f>IFERROR(VLOOKUP(J3884,'NQ10'!$B$9:$C$145,2,0),"")</f>
        <v/>
      </c>
    </row>
    <row r="3885" spans="1:11" ht="15" customHeight="1" x14ac:dyDescent="0.25">
      <c r="A3885" s="75">
        <v>34</v>
      </c>
      <c r="B3885" s="75">
        <v>101</v>
      </c>
      <c r="C3885" s="75" t="s">
        <v>10</v>
      </c>
      <c r="D3885" s="75">
        <v>138</v>
      </c>
      <c r="F3885" s="75" t="s">
        <v>10</v>
      </c>
      <c r="H3885" s="75" t="s">
        <v>10</v>
      </c>
      <c r="I3885" s="75">
        <v>19489</v>
      </c>
      <c r="K3885" s="75" t="str">
        <f>IFERROR(VLOOKUP(J3885,'NQ10'!$B$9:$C$145,2,0),"")</f>
        <v/>
      </c>
    </row>
    <row r="3886" spans="1:11" ht="15" customHeight="1" x14ac:dyDescent="0.25">
      <c r="A3886" s="75">
        <v>34</v>
      </c>
      <c r="B3886" s="75">
        <v>102</v>
      </c>
      <c r="C3886" s="75" t="s">
        <v>10</v>
      </c>
      <c r="D3886" s="75">
        <v>139</v>
      </c>
      <c r="F3886" s="75" t="s">
        <v>10</v>
      </c>
      <c r="H3886" s="75" t="s">
        <v>10</v>
      </c>
      <c r="I3886" s="75">
        <v>19489</v>
      </c>
      <c r="K3886" s="75" t="str">
        <f>IFERROR(VLOOKUP(J3886,'NQ10'!$B$9:$C$145,2,0),"")</f>
        <v/>
      </c>
    </row>
    <row r="3887" spans="1:11" ht="15" customHeight="1" x14ac:dyDescent="0.25">
      <c r="A3887" s="75">
        <v>34</v>
      </c>
      <c r="B3887" s="75">
        <v>103</v>
      </c>
      <c r="C3887" s="75" t="s">
        <v>10</v>
      </c>
      <c r="D3887" s="75">
        <v>92</v>
      </c>
      <c r="F3887" s="75" t="s">
        <v>10</v>
      </c>
      <c r="H3887" s="75" t="s">
        <v>10</v>
      </c>
      <c r="I3887" s="75">
        <v>19489</v>
      </c>
      <c r="K3887" s="75" t="str">
        <f>IFERROR(VLOOKUP(J3887,'NQ10'!$B$9:$C$145,2,0),"")</f>
        <v/>
      </c>
    </row>
    <row r="3888" spans="1:11" ht="15" customHeight="1" x14ac:dyDescent="0.25">
      <c r="A3888" s="75">
        <v>34</v>
      </c>
      <c r="B3888" s="75">
        <v>104</v>
      </c>
      <c r="C3888" s="75" t="s">
        <v>10</v>
      </c>
      <c r="D3888" s="75">
        <v>165</v>
      </c>
      <c r="F3888" s="75" t="s">
        <v>10</v>
      </c>
      <c r="H3888" s="75" t="s">
        <v>10</v>
      </c>
      <c r="I3888" s="75">
        <v>19489</v>
      </c>
      <c r="K3888" s="75" t="str">
        <f>IFERROR(VLOOKUP(J3888,'NQ10'!$B$9:$C$145,2,0),"")</f>
        <v/>
      </c>
    </row>
    <row r="3889" spans="1:11" ht="15" customHeight="1" x14ac:dyDescent="0.25">
      <c r="A3889" s="75">
        <v>34</v>
      </c>
      <c r="B3889" s="75">
        <v>105</v>
      </c>
      <c r="C3889" s="75" t="s">
        <v>10</v>
      </c>
      <c r="D3889" s="75">
        <v>341</v>
      </c>
      <c r="F3889" s="75" t="s">
        <v>10</v>
      </c>
      <c r="H3889" s="75" t="s">
        <v>10</v>
      </c>
      <c r="I3889" s="75">
        <v>19489</v>
      </c>
      <c r="K3889" s="75" t="str">
        <f>IFERROR(VLOOKUP(J3889,'NQ10'!$B$9:$C$145,2,0),"")</f>
        <v/>
      </c>
    </row>
    <row r="3890" spans="1:11" ht="15" customHeight="1" x14ac:dyDescent="0.25">
      <c r="A3890" s="75">
        <v>34</v>
      </c>
      <c r="B3890" s="75">
        <v>106</v>
      </c>
      <c r="C3890" s="75" t="s">
        <v>10</v>
      </c>
      <c r="D3890" s="75">
        <v>192</v>
      </c>
      <c r="F3890" s="75" t="s">
        <v>10</v>
      </c>
      <c r="H3890" s="75" t="s">
        <v>10</v>
      </c>
      <c r="I3890" s="75">
        <v>19489</v>
      </c>
      <c r="K3890" s="75" t="str">
        <f>IFERROR(VLOOKUP(J3890,'NQ10'!$B$9:$C$145,2,0),"")</f>
        <v/>
      </c>
    </row>
    <row r="3891" spans="1:11" ht="15" customHeight="1" x14ac:dyDescent="0.25">
      <c r="A3891" s="75">
        <v>34</v>
      </c>
      <c r="B3891" s="75">
        <v>107</v>
      </c>
      <c r="C3891" s="75" t="s">
        <v>10</v>
      </c>
      <c r="D3891" s="75">
        <v>207</v>
      </c>
      <c r="F3891" s="75" t="s">
        <v>10</v>
      </c>
      <c r="H3891" s="75" t="s">
        <v>10</v>
      </c>
      <c r="I3891" s="75">
        <v>19489</v>
      </c>
      <c r="K3891" s="75" t="str">
        <f>IFERROR(VLOOKUP(J3891,'NQ10'!$B$9:$C$145,2,0),"")</f>
        <v/>
      </c>
    </row>
    <row r="3892" spans="1:11" ht="15" customHeight="1" x14ac:dyDescent="0.25">
      <c r="A3892" s="75">
        <v>34</v>
      </c>
      <c r="B3892" s="75">
        <v>108</v>
      </c>
      <c r="C3892" s="75" t="s">
        <v>10</v>
      </c>
      <c r="D3892" s="75">
        <v>192</v>
      </c>
      <c r="F3892" s="75" t="s">
        <v>10</v>
      </c>
      <c r="H3892" s="75" t="s">
        <v>10</v>
      </c>
      <c r="I3892" s="75">
        <v>19489</v>
      </c>
      <c r="K3892" s="75" t="str">
        <f>IFERROR(VLOOKUP(J3892,'NQ10'!$B$9:$C$145,2,0),"")</f>
        <v/>
      </c>
    </row>
    <row r="3893" spans="1:11" ht="15" customHeight="1" x14ac:dyDescent="0.25">
      <c r="A3893" s="75">
        <v>34</v>
      </c>
      <c r="B3893" s="75">
        <v>109</v>
      </c>
      <c r="C3893" s="75" t="s">
        <v>10</v>
      </c>
      <c r="D3893" s="75">
        <v>171</v>
      </c>
      <c r="F3893" s="75" t="s">
        <v>10</v>
      </c>
      <c r="H3893" s="75" t="s">
        <v>10</v>
      </c>
      <c r="I3893" s="75">
        <v>19489</v>
      </c>
      <c r="K3893" s="75" t="str">
        <f>IFERROR(VLOOKUP(J3893,'NQ10'!$B$9:$C$145,2,0),"")</f>
        <v/>
      </c>
    </row>
    <row r="3894" spans="1:11" ht="15" customHeight="1" x14ac:dyDescent="0.25">
      <c r="A3894" s="75">
        <v>34</v>
      </c>
      <c r="B3894" s="75">
        <v>110</v>
      </c>
      <c r="C3894" s="75" t="s">
        <v>10</v>
      </c>
      <c r="D3894" s="75">
        <v>192</v>
      </c>
      <c r="F3894" s="75" t="s">
        <v>10</v>
      </c>
      <c r="H3894" s="75" t="s">
        <v>10</v>
      </c>
      <c r="I3894" s="75">
        <v>19489</v>
      </c>
      <c r="K3894" s="75" t="str">
        <f>IFERROR(VLOOKUP(J3894,'NQ10'!$B$9:$C$145,2,0),"")</f>
        <v/>
      </c>
    </row>
    <row r="3895" spans="1:11" ht="15" customHeight="1" x14ac:dyDescent="0.25">
      <c r="A3895" s="75">
        <v>34</v>
      </c>
      <c r="B3895" s="75">
        <v>111</v>
      </c>
      <c r="C3895" s="75" t="s">
        <v>10</v>
      </c>
      <c r="D3895" s="75">
        <v>173</v>
      </c>
      <c r="F3895" s="75" t="s">
        <v>10</v>
      </c>
      <c r="H3895" s="75" t="s">
        <v>10</v>
      </c>
      <c r="I3895" s="75">
        <v>19489</v>
      </c>
      <c r="K3895" s="75" t="str">
        <f>IFERROR(VLOOKUP(J3895,'NQ10'!$B$9:$C$145,2,0),"")</f>
        <v/>
      </c>
    </row>
    <row r="3896" spans="1:11" ht="15" customHeight="1" x14ac:dyDescent="0.25">
      <c r="A3896" s="75">
        <v>34</v>
      </c>
      <c r="B3896" s="75">
        <v>112</v>
      </c>
      <c r="C3896" s="75" t="s">
        <v>10</v>
      </c>
      <c r="D3896" s="75">
        <v>194</v>
      </c>
      <c r="F3896" s="75" t="s">
        <v>10</v>
      </c>
      <c r="H3896" s="75" t="s">
        <v>10</v>
      </c>
      <c r="I3896" s="75">
        <v>19489</v>
      </c>
      <c r="K3896" s="75" t="str">
        <f>IFERROR(VLOOKUP(J3896,'NQ10'!$B$9:$C$145,2,0),"")</f>
        <v/>
      </c>
    </row>
    <row r="3897" spans="1:11" ht="15" customHeight="1" x14ac:dyDescent="0.25">
      <c r="A3897" s="75">
        <v>34</v>
      </c>
      <c r="B3897" s="75">
        <v>113</v>
      </c>
      <c r="C3897" s="75" t="s">
        <v>10</v>
      </c>
      <c r="D3897" s="75">
        <v>113</v>
      </c>
      <c r="F3897" s="75" t="s">
        <v>10</v>
      </c>
      <c r="H3897" s="75" t="s">
        <v>10</v>
      </c>
      <c r="I3897" s="75">
        <v>19489</v>
      </c>
      <c r="K3897" s="75" t="str">
        <f>IFERROR(VLOOKUP(J3897,'NQ10'!$B$9:$C$145,2,0),"")</f>
        <v/>
      </c>
    </row>
    <row r="3898" spans="1:11" ht="15" customHeight="1" x14ac:dyDescent="0.25">
      <c r="A3898" s="75">
        <v>34</v>
      </c>
      <c r="B3898" s="75">
        <v>114</v>
      </c>
      <c r="C3898" s="75" t="s">
        <v>10</v>
      </c>
      <c r="D3898" s="75">
        <v>90</v>
      </c>
      <c r="F3898" s="75" t="s">
        <v>10</v>
      </c>
      <c r="H3898" s="75" t="s">
        <v>10</v>
      </c>
      <c r="I3898" s="75">
        <v>19489</v>
      </c>
      <c r="K3898" s="75" t="str">
        <f>IFERROR(VLOOKUP(J3898,'NQ10'!$B$9:$C$145,2,0),"")</f>
        <v/>
      </c>
    </row>
    <row r="3899" spans="1:11" ht="15" customHeight="1" x14ac:dyDescent="0.25">
      <c r="A3899" s="75">
        <v>34</v>
      </c>
      <c r="B3899" s="75">
        <v>115</v>
      </c>
      <c r="C3899" s="75" t="s">
        <v>10</v>
      </c>
      <c r="D3899" s="75">
        <v>312</v>
      </c>
      <c r="F3899" s="75" t="s">
        <v>10</v>
      </c>
      <c r="H3899" s="75" t="s">
        <v>10</v>
      </c>
      <c r="I3899" s="75">
        <v>19489</v>
      </c>
      <c r="K3899" s="75" t="str">
        <f>IFERROR(VLOOKUP(J3899,'NQ10'!$B$9:$C$145,2,0),"")</f>
        <v/>
      </c>
    </row>
    <row r="3900" spans="1:11" ht="15" customHeight="1" x14ac:dyDescent="0.25">
      <c r="A3900" s="75">
        <v>34</v>
      </c>
      <c r="B3900" s="75">
        <v>116</v>
      </c>
      <c r="C3900" s="75" t="s">
        <v>10</v>
      </c>
      <c r="D3900" s="75">
        <v>167</v>
      </c>
      <c r="F3900" s="75" t="s">
        <v>10</v>
      </c>
      <c r="H3900" s="75" t="s">
        <v>10</v>
      </c>
      <c r="I3900" s="75">
        <v>19489</v>
      </c>
      <c r="K3900" s="75" t="str">
        <f>IFERROR(VLOOKUP(J3900,'NQ10'!$B$9:$C$145,2,0),"")</f>
        <v/>
      </c>
    </row>
    <row r="3901" spans="1:11" ht="15" customHeight="1" x14ac:dyDescent="0.25">
      <c r="A3901" s="75">
        <v>34</v>
      </c>
      <c r="B3901" s="75">
        <v>117</v>
      </c>
      <c r="C3901" s="75" t="s">
        <v>10</v>
      </c>
      <c r="D3901" s="75">
        <v>157</v>
      </c>
      <c r="F3901" s="75" t="s">
        <v>10</v>
      </c>
      <c r="H3901" s="75" t="s">
        <v>10</v>
      </c>
      <c r="I3901" s="75">
        <v>19489</v>
      </c>
      <c r="K3901" s="75" t="str">
        <f>IFERROR(VLOOKUP(J3901,'NQ10'!$B$9:$C$145,2,0),"")</f>
        <v/>
      </c>
    </row>
    <row r="3902" spans="1:11" ht="15" customHeight="1" x14ac:dyDescent="0.25">
      <c r="A3902" s="75">
        <v>34</v>
      </c>
      <c r="B3902" s="75">
        <v>118</v>
      </c>
      <c r="C3902" s="75" t="s">
        <v>10</v>
      </c>
      <c r="D3902" s="75">
        <v>252</v>
      </c>
      <c r="F3902" s="75" t="s">
        <v>10</v>
      </c>
      <c r="H3902" s="75" t="s">
        <v>10</v>
      </c>
      <c r="I3902" s="75">
        <v>19489</v>
      </c>
      <c r="K3902" s="75" t="str">
        <f>IFERROR(VLOOKUP(J3902,'NQ10'!$B$9:$C$145,2,0),"")</f>
        <v/>
      </c>
    </row>
    <row r="3903" spans="1:11" ht="15" customHeight="1" x14ac:dyDescent="0.25">
      <c r="A3903" s="75">
        <v>34</v>
      </c>
      <c r="B3903" s="75">
        <v>119</v>
      </c>
      <c r="C3903" s="75" t="s">
        <v>10</v>
      </c>
      <c r="D3903" s="75">
        <v>118</v>
      </c>
      <c r="F3903" s="75" t="s">
        <v>10</v>
      </c>
      <c r="H3903" s="75" t="s">
        <v>10</v>
      </c>
      <c r="I3903" s="75">
        <v>19489</v>
      </c>
      <c r="K3903" s="75" t="str">
        <f>IFERROR(VLOOKUP(J3903,'NQ10'!$B$9:$C$145,2,0),"")</f>
        <v/>
      </c>
    </row>
    <row r="3904" spans="1:11" ht="15" customHeight="1" x14ac:dyDescent="0.25">
      <c r="A3904" s="75">
        <v>34</v>
      </c>
      <c r="B3904" s="75">
        <v>120</v>
      </c>
      <c r="C3904" s="75" t="s">
        <v>10</v>
      </c>
      <c r="D3904" s="75">
        <v>171</v>
      </c>
      <c r="F3904" s="75" t="s">
        <v>10</v>
      </c>
      <c r="H3904" s="75" t="s">
        <v>10</v>
      </c>
      <c r="I3904" s="75">
        <v>19489</v>
      </c>
      <c r="K3904" s="75" t="str">
        <f>IFERROR(VLOOKUP(J3904,'NQ10'!$B$9:$C$145,2,0),"")</f>
        <v/>
      </c>
    </row>
    <row r="3905" spans="1:11" ht="15" customHeight="1" x14ac:dyDescent="0.25">
      <c r="A3905" s="75">
        <v>34</v>
      </c>
      <c r="B3905" s="75">
        <v>121</v>
      </c>
      <c r="C3905" s="75" t="s">
        <v>10</v>
      </c>
      <c r="D3905" s="75">
        <v>429</v>
      </c>
      <c r="F3905" s="75" t="s">
        <v>10</v>
      </c>
      <c r="H3905" s="75" t="s">
        <v>10</v>
      </c>
      <c r="I3905" s="75">
        <v>19489</v>
      </c>
      <c r="K3905" s="75" t="str">
        <f>IFERROR(VLOOKUP(J3905,'NQ10'!$B$9:$C$145,2,0),"")</f>
        <v/>
      </c>
    </row>
    <row r="3906" spans="1:11" ht="15" customHeight="1" x14ac:dyDescent="0.25">
      <c r="A3906" s="75">
        <v>34</v>
      </c>
      <c r="B3906" s="75">
        <v>122</v>
      </c>
      <c r="C3906" s="75" t="s">
        <v>10</v>
      </c>
      <c r="D3906" s="75">
        <v>254</v>
      </c>
      <c r="F3906" s="75" t="s">
        <v>10</v>
      </c>
      <c r="H3906" s="75" t="s">
        <v>10</v>
      </c>
      <c r="I3906" s="75">
        <v>19489</v>
      </c>
      <c r="K3906" s="75" t="str">
        <f>IFERROR(VLOOKUP(J3906,'NQ10'!$B$9:$C$145,2,0),"")</f>
        <v/>
      </c>
    </row>
    <row r="3907" spans="1:11" ht="15" customHeight="1" x14ac:dyDescent="0.25">
      <c r="A3907" s="75">
        <v>34</v>
      </c>
      <c r="B3907" s="75">
        <v>123</v>
      </c>
      <c r="C3907" s="75" t="s">
        <v>10</v>
      </c>
      <c r="D3907" s="75">
        <v>906</v>
      </c>
      <c r="F3907" s="75" t="s">
        <v>10</v>
      </c>
      <c r="H3907" s="75" t="s">
        <v>10</v>
      </c>
      <c r="I3907" s="75">
        <v>19489</v>
      </c>
      <c r="K3907" s="75" t="str">
        <f>IFERROR(VLOOKUP(J3907,'NQ10'!$B$9:$C$145,2,0),"")</f>
        <v/>
      </c>
    </row>
    <row r="3908" spans="1:11" ht="15" customHeight="1" x14ac:dyDescent="0.25">
      <c r="A3908" s="75">
        <v>34</v>
      </c>
      <c r="B3908" s="75">
        <v>124</v>
      </c>
      <c r="C3908" s="75" t="s">
        <v>10</v>
      </c>
      <c r="D3908" s="75">
        <v>1890</v>
      </c>
      <c r="F3908" s="75" t="s">
        <v>10</v>
      </c>
      <c r="H3908" s="75" t="s">
        <v>10</v>
      </c>
      <c r="I3908" s="75">
        <v>19489</v>
      </c>
      <c r="K3908" s="75" t="str">
        <f>IFERROR(VLOOKUP(J3908,'NQ10'!$B$9:$C$145,2,0),"")</f>
        <v/>
      </c>
    </row>
    <row r="3909" spans="1:11" ht="15" customHeight="1" x14ac:dyDescent="0.25">
      <c r="A3909" s="75">
        <v>34</v>
      </c>
      <c r="B3909" s="75">
        <v>126</v>
      </c>
      <c r="C3909" s="75" t="s">
        <v>10</v>
      </c>
      <c r="D3909" s="75">
        <v>13069</v>
      </c>
      <c r="F3909" s="75" t="s">
        <v>10</v>
      </c>
      <c r="H3909" s="75" t="s">
        <v>10</v>
      </c>
      <c r="I3909" s="75">
        <v>19489</v>
      </c>
      <c r="K3909" s="75" t="str">
        <f>IFERROR(VLOOKUP(J3909,'NQ10'!$B$9:$C$145,2,0),"")</f>
        <v/>
      </c>
    </row>
    <row r="3910" spans="1:11" ht="15" customHeight="1" x14ac:dyDescent="0.25">
      <c r="A3910" s="75">
        <v>34</v>
      </c>
      <c r="B3910" s="75">
        <v>127</v>
      </c>
      <c r="C3910" s="75" t="s">
        <v>10</v>
      </c>
      <c r="D3910" s="75">
        <v>627</v>
      </c>
      <c r="F3910" s="75" t="s">
        <v>10</v>
      </c>
      <c r="H3910" s="75" t="s">
        <v>10</v>
      </c>
      <c r="I3910" s="75">
        <v>19489</v>
      </c>
      <c r="K3910" s="75" t="str">
        <f>IFERROR(VLOOKUP(J3910,'NQ10'!$B$9:$C$145,2,0),"")</f>
        <v/>
      </c>
    </row>
    <row r="3911" spans="1:11" ht="15" customHeight="1" x14ac:dyDescent="0.25">
      <c r="A3911" s="75">
        <v>34</v>
      </c>
      <c r="B3911" s="75">
        <v>128</v>
      </c>
      <c r="C3911" s="75" t="s">
        <v>10</v>
      </c>
      <c r="D3911" s="75">
        <v>279</v>
      </c>
      <c r="F3911" s="75" t="s">
        <v>10</v>
      </c>
      <c r="H3911" s="75" t="s">
        <v>10</v>
      </c>
      <c r="I3911" s="75">
        <v>19489</v>
      </c>
      <c r="K3911" s="75" t="str">
        <f>IFERROR(VLOOKUP(J3911,'NQ10'!$B$9:$C$145,2,0),"")</f>
        <v/>
      </c>
    </row>
    <row r="3912" spans="1:11" ht="15" customHeight="1" x14ac:dyDescent="0.25">
      <c r="A3912" s="75">
        <v>34</v>
      </c>
      <c r="B3912" s="75">
        <v>129</v>
      </c>
      <c r="C3912" s="75" t="s">
        <v>10</v>
      </c>
      <c r="D3912" s="75">
        <v>259</v>
      </c>
      <c r="F3912" s="75" t="s">
        <v>10</v>
      </c>
      <c r="H3912" s="75" t="s">
        <v>10</v>
      </c>
      <c r="I3912" s="75">
        <v>19489</v>
      </c>
      <c r="K3912" s="75" t="str">
        <f>IFERROR(VLOOKUP(J3912,'NQ10'!$B$9:$C$145,2,0),"")</f>
        <v/>
      </c>
    </row>
    <row r="3913" spans="1:11" ht="15" customHeight="1" x14ac:dyDescent="0.25">
      <c r="A3913" s="75">
        <v>34</v>
      </c>
      <c r="B3913" s="75">
        <v>130</v>
      </c>
      <c r="C3913" s="75" t="s">
        <v>10</v>
      </c>
      <c r="D3913" s="75">
        <v>156</v>
      </c>
      <c r="F3913" s="75" t="s">
        <v>10</v>
      </c>
      <c r="H3913" s="75" t="s">
        <v>10</v>
      </c>
      <c r="I3913" s="75">
        <v>19489</v>
      </c>
      <c r="K3913" s="75" t="str">
        <f>IFERROR(VLOOKUP(J3913,'NQ10'!$B$9:$C$145,2,0),"")</f>
        <v/>
      </c>
    </row>
    <row r="3914" spans="1:11" ht="15" customHeight="1" x14ac:dyDescent="0.25">
      <c r="A3914" s="75">
        <v>34</v>
      </c>
      <c r="B3914" s="75">
        <v>131</v>
      </c>
      <c r="C3914" s="75" t="s">
        <v>10</v>
      </c>
      <c r="D3914" s="75">
        <v>318</v>
      </c>
      <c r="F3914" s="75" t="s">
        <v>10</v>
      </c>
      <c r="H3914" s="75" t="s">
        <v>10</v>
      </c>
      <c r="I3914" s="75">
        <v>19489</v>
      </c>
      <c r="K3914" s="75" t="str">
        <f>IFERROR(VLOOKUP(J3914,'NQ10'!$B$9:$C$145,2,0),"")</f>
        <v/>
      </c>
    </row>
    <row r="3915" spans="1:11" ht="15" customHeight="1" x14ac:dyDescent="0.25">
      <c r="A3915" s="75">
        <v>34</v>
      </c>
      <c r="B3915" s="75">
        <v>132</v>
      </c>
      <c r="C3915" s="75" t="s">
        <v>10</v>
      </c>
      <c r="D3915" s="75">
        <v>371</v>
      </c>
      <c r="F3915" s="75" t="s">
        <v>10</v>
      </c>
      <c r="H3915" s="75" t="s">
        <v>10</v>
      </c>
      <c r="I3915" s="75">
        <v>19489</v>
      </c>
      <c r="K3915" s="75" t="str">
        <f>IFERROR(VLOOKUP(J3915,'NQ10'!$B$9:$C$145,2,0),"")</f>
        <v/>
      </c>
    </row>
    <row r="3916" spans="1:11" ht="15" customHeight="1" x14ac:dyDescent="0.25">
      <c r="A3916" s="75">
        <v>34</v>
      </c>
      <c r="B3916" s="75">
        <v>133</v>
      </c>
      <c r="C3916" s="75" t="s">
        <v>10</v>
      </c>
      <c r="D3916" s="75">
        <v>220</v>
      </c>
      <c r="F3916" s="75" t="s">
        <v>10</v>
      </c>
      <c r="H3916" s="75" t="s">
        <v>10</v>
      </c>
      <c r="I3916" s="75">
        <v>19489</v>
      </c>
      <c r="K3916" s="75" t="str">
        <f>IFERROR(VLOOKUP(J3916,'NQ10'!$B$9:$C$145,2,0),"")</f>
        <v/>
      </c>
    </row>
    <row r="3917" spans="1:11" ht="15" customHeight="1" x14ac:dyDescent="0.25">
      <c r="A3917" s="75">
        <v>34</v>
      </c>
      <c r="B3917" s="75">
        <v>135</v>
      </c>
      <c r="C3917" s="75" t="s">
        <v>10</v>
      </c>
      <c r="D3917" s="75">
        <v>117</v>
      </c>
      <c r="F3917" s="75" t="s">
        <v>10</v>
      </c>
      <c r="H3917" s="75" t="s">
        <v>10</v>
      </c>
      <c r="I3917" s="75">
        <v>19489</v>
      </c>
      <c r="K3917" s="75" t="str">
        <f>IFERROR(VLOOKUP(J3917,'NQ10'!$B$9:$C$145,2,0),"")</f>
        <v/>
      </c>
    </row>
    <row r="3918" spans="1:11" ht="15" customHeight="1" x14ac:dyDescent="0.25">
      <c r="A3918" s="75">
        <v>34</v>
      </c>
      <c r="B3918" s="75">
        <v>136</v>
      </c>
      <c r="C3918" s="75" t="s">
        <v>10</v>
      </c>
      <c r="D3918" s="75">
        <v>117</v>
      </c>
      <c r="F3918" s="75" t="s">
        <v>10</v>
      </c>
      <c r="H3918" s="75" t="s">
        <v>10</v>
      </c>
      <c r="I3918" s="75">
        <v>19489</v>
      </c>
      <c r="K3918" s="75" t="str">
        <f>IFERROR(VLOOKUP(J3918,'NQ10'!$B$9:$C$145,2,0),"")</f>
        <v/>
      </c>
    </row>
    <row r="3919" spans="1:11" ht="15" customHeight="1" x14ac:dyDescent="0.25">
      <c r="A3919" s="75">
        <v>34</v>
      </c>
      <c r="B3919" s="75">
        <v>137</v>
      </c>
      <c r="C3919" s="75" t="s">
        <v>10</v>
      </c>
      <c r="D3919" s="75">
        <v>119</v>
      </c>
      <c r="F3919" s="75" t="s">
        <v>10</v>
      </c>
      <c r="H3919" s="75" t="s">
        <v>10</v>
      </c>
      <c r="I3919" s="75">
        <v>19489</v>
      </c>
      <c r="K3919" s="75" t="str">
        <f>IFERROR(VLOOKUP(J3919,'NQ10'!$B$9:$C$145,2,0),"")</f>
        <v/>
      </c>
    </row>
    <row r="3920" spans="1:11" ht="15" customHeight="1" x14ac:dyDescent="0.25">
      <c r="A3920" s="75">
        <v>34</v>
      </c>
      <c r="B3920" s="75">
        <v>138</v>
      </c>
      <c r="C3920" s="75" t="s">
        <v>10</v>
      </c>
      <c r="D3920" s="75">
        <v>136</v>
      </c>
      <c r="F3920" s="75" t="s">
        <v>10</v>
      </c>
      <c r="H3920" s="75" t="s">
        <v>10</v>
      </c>
      <c r="I3920" s="75">
        <v>19489</v>
      </c>
      <c r="K3920" s="75" t="str">
        <f>IFERROR(VLOOKUP(J3920,'NQ10'!$B$9:$C$145,2,0),"")</f>
        <v/>
      </c>
    </row>
    <row r="3921" spans="1:11" ht="15" customHeight="1" x14ac:dyDescent="0.25">
      <c r="A3921" s="75">
        <v>34</v>
      </c>
      <c r="B3921" s="75">
        <v>139</v>
      </c>
      <c r="C3921" s="75" t="s">
        <v>10</v>
      </c>
      <c r="D3921" s="75">
        <v>100</v>
      </c>
      <c r="F3921" s="75" t="s">
        <v>10</v>
      </c>
      <c r="H3921" s="75" t="s">
        <v>10</v>
      </c>
      <c r="I3921" s="75">
        <v>19489</v>
      </c>
      <c r="K3921" s="75" t="str">
        <f>IFERROR(VLOOKUP(J3921,'NQ10'!$B$9:$C$145,2,0),"")</f>
        <v/>
      </c>
    </row>
    <row r="3922" spans="1:11" ht="15" customHeight="1" x14ac:dyDescent="0.25">
      <c r="A3922" s="75">
        <v>34</v>
      </c>
      <c r="B3922" s="75">
        <v>140</v>
      </c>
      <c r="C3922" s="75" t="s">
        <v>10</v>
      </c>
      <c r="D3922" s="75">
        <v>85</v>
      </c>
      <c r="F3922" s="75" t="s">
        <v>10</v>
      </c>
      <c r="H3922" s="75" t="s">
        <v>10</v>
      </c>
      <c r="I3922" s="75">
        <v>19489</v>
      </c>
      <c r="K3922" s="75" t="str">
        <f>IFERROR(VLOOKUP(J3922,'NQ10'!$B$9:$C$145,2,0),"")</f>
        <v/>
      </c>
    </row>
    <row r="3923" spans="1:11" ht="15" customHeight="1" x14ac:dyDescent="0.25">
      <c r="A3923" s="75">
        <v>34</v>
      </c>
      <c r="B3923" s="75">
        <v>142</v>
      </c>
      <c r="C3923" s="75" t="s">
        <v>10</v>
      </c>
      <c r="D3923" s="75">
        <v>163</v>
      </c>
      <c r="F3923" s="75" t="s">
        <v>10</v>
      </c>
      <c r="H3923" s="75" t="s">
        <v>10</v>
      </c>
      <c r="I3923" s="75">
        <v>19489</v>
      </c>
      <c r="K3923" s="75" t="str">
        <f>IFERROR(VLOOKUP(J3923,'NQ10'!$B$9:$C$145,2,0),"")</f>
        <v/>
      </c>
    </row>
    <row r="3924" spans="1:11" ht="15" customHeight="1" x14ac:dyDescent="0.25">
      <c r="A3924" s="75">
        <v>34</v>
      </c>
      <c r="B3924" s="75">
        <v>143</v>
      </c>
      <c r="C3924" s="75" t="s">
        <v>10</v>
      </c>
      <c r="D3924" s="75">
        <v>171</v>
      </c>
      <c r="F3924" s="75" t="s">
        <v>10</v>
      </c>
      <c r="H3924" s="75" t="s">
        <v>10</v>
      </c>
      <c r="I3924" s="75">
        <v>19489</v>
      </c>
      <c r="K3924" s="75" t="str">
        <f>IFERROR(VLOOKUP(J3924,'NQ10'!$B$9:$C$145,2,0),"")</f>
        <v/>
      </c>
    </row>
    <row r="3925" spans="1:11" ht="15" customHeight="1" x14ac:dyDescent="0.25">
      <c r="A3925" s="75">
        <v>34</v>
      </c>
      <c r="B3925" s="75">
        <v>144</v>
      </c>
      <c r="C3925" s="75" t="s">
        <v>10</v>
      </c>
      <c r="D3925" s="75">
        <v>173</v>
      </c>
      <c r="F3925" s="75" t="s">
        <v>10</v>
      </c>
      <c r="H3925" s="75" t="s">
        <v>10</v>
      </c>
      <c r="I3925" s="75">
        <v>19489</v>
      </c>
      <c r="K3925" s="75" t="str">
        <f>IFERROR(VLOOKUP(J3925,'NQ10'!$B$9:$C$145,2,0),"")</f>
        <v/>
      </c>
    </row>
    <row r="3926" spans="1:11" ht="15" customHeight="1" x14ac:dyDescent="0.25">
      <c r="A3926" s="75">
        <v>34</v>
      </c>
      <c r="B3926" s="75">
        <v>145</v>
      </c>
      <c r="C3926" s="75" t="s">
        <v>10</v>
      </c>
      <c r="D3926" s="75">
        <v>156</v>
      </c>
      <c r="F3926" s="75" t="s">
        <v>10</v>
      </c>
      <c r="H3926" s="75" t="s">
        <v>10</v>
      </c>
      <c r="I3926" s="75">
        <v>19489</v>
      </c>
      <c r="K3926" s="75" t="str">
        <f>IFERROR(VLOOKUP(J3926,'NQ10'!$B$9:$C$145,2,0),"")</f>
        <v/>
      </c>
    </row>
    <row r="3927" spans="1:11" ht="15" customHeight="1" x14ac:dyDescent="0.25">
      <c r="A3927" s="75">
        <v>34</v>
      </c>
      <c r="B3927" s="75">
        <v>146</v>
      </c>
      <c r="C3927" s="75" t="s">
        <v>10</v>
      </c>
      <c r="D3927" s="75">
        <v>164</v>
      </c>
      <c r="F3927" s="75" t="s">
        <v>10</v>
      </c>
      <c r="H3927" s="75" t="s">
        <v>10</v>
      </c>
      <c r="I3927" s="75">
        <v>19489</v>
      </c>
      <c r="K3927" s="75" t="str">
        <f>IFERROR(VLOOKUP(J3927,'NQ10'!$B$9:$C$145,2,0),"")</f>
        <v/>
      </c>
    </row>
    <row r="3928" spans="1:11" ht="15" customHeight="1" x14ac:dyDescent="0.25">
      <c r="A3928" s="75">
        <v>34</v>
      </c>
      <c r="B3928" s="75">
        <v>147</v>
      </c>
      <c r="C3928" s="75" t="s">
        <v>10</v>
      </c>
      <c r="D3928" s="75">
        <v>165</v>
      </c>
      <c r="F3928" s="75" t="s">
        <v>10</v>
      </c>
      <c r="H3928" s="75" t="s">
        <v>10</v>
      </c>
      <c r="I3928" s="75">
        <v>19489</v>
      </c>
      <c r="K3928" s="75" t="str">
        <f>IFERROR(VLOOKUP(J3928,'NQ10'!$B$9:$C$145,2,0),"")</f>
        <v/>
      </c>
    </row>
    <row r="3929" spans="1:11" ht="15" customHeight="1" x14ac:dyDescent="0.25">
      <c r="A3929" s="75">
        <v>34</v>
      </c>
      <c r="B3929" s="75">
        <v>148</v>
      </c>
      <c r="C3929" s="75" t="s">
        <v>10</v>
      </c>
      <c r="D3929" s="75">
        <v>163</v>
      </c>
      <c r="F3929" s="75" t="s">
        <v>10</v>
      </c>
      <c r="H3929" s="75" t="s">
        <v>10</v>
      </c>
      <c r="I3929" s="75">
        <v>19489</v>
      </c>
      <c r="K3929" s="75" t="str">
        <f>IFERROR(VLOOKUP(J3929,'NQ10'!$B$9:$C$145,2,0),"")</f>
        <v/>
      </c>
    </row>
    <row r="3930" spans="1:11" ht="15" customHeight="1" x14ac:dyDescent="0.25">
      <c r="A3930" s="75">
        <v>34</v>
      </c>
      <c r="B3930" s="75">
        <v>149</v>
      </c>
      <c r="C3930" s="75" t="s">
        <v>10</v>
      </c>
      <c r="D3930" s="75">
        <v>179</v>
      </c>
      <c r="F3930" s="75" t="s">
        <v>10</v>
      </c>
      <c r="H3930" s="75" t="s">
        <v>10</v>
      </c>
      <c r="I3930" s="75">
        <v>19489</v>
      </c>
      <c r="K3930" s="75" t="str">
        <f>IFERROR(VLOOKUP(J3930,'NQ10'!$B$9:$C$145,2,0),"")</f>
        <v/>
      </c>
    </row>
    <row r="3931" spans="1:11" ht="15" customHeight="1" x14ac:dyDescent="0.25">
      <c r="A3931" s="75">
        <v>34</v>
      </c>
      <c r="B3931" s="75">
        <v>150</v>
      </c>
      <c r="C3931" s="75" t="s">
        <v>10</v>
      </c>
      <c r="D3931" s="75">
        <v>180</v>
      </c>
      <c r="F3931" s="75" t="s">
        <v>10</v>
      </c>
      <c r="H3931" s="75" t="s">
        <v>10</v>
      </c>
      <c r="I3931" s="75">
        <v>19489</v>
      </c>
      <c r="K3931" s="75" t="str">
        <f>IFERROR(VLOOKUP(J3931,'NQ10'!$B$9:$C$145,2,0),"")</f>
        <v/>
      </c>
    </row>
    <row r="3932" spans="1:11" ht="15" customHeight="1" x14ac:dyDescent="0.25">
      <c r="A3932" s="75">
        <v>34</v>
      </c>
      <c r="B3932" s="75">
        <v>151</v>
      </c>
      <c r="C3932" s="75" t="s">
        <v>10</v>
      </c>
      <c r="D3932" s="75">
        <v>152</v>
      </c>
      <c r="F3932" s="75" t="s">
        <v>10</v>
      </c>
      <c r="H3932" s="75" t="s">
        <v>10</v>
      </c>
      <c r="I3932" s="75">
        <v>19489</v>
      </c>
      <c r="K3932" s="75" t="str">
        <f>IFERROR(VLOOKUP(J3932,'NQ10'!$B$9:$C$145,2,0),"")</f>
        <v/>
      </c>
    </row>
    <row r="3933" spans="1:11" ht="15" customHeight="1" x14ac:dyDescent="0.25">
      <c r="A3933" s="75">
        <v>34</v>
      </c>
      <c r="B3933" s="75">
        <v>152</v>
      </c>
      <c r="C3933" s="75" t="s">
        <v>10</v>
      </c>
      <c r="D3933" s="75">
        <v>113</v>
      </c>
      <c r="F3933" s="75" t="s">
        <v>10</v>
      </c>
      <c r="H3933" s="75" t="s">
        <v>10</v>
      </c>
      <c r="I3933" s="75">
        <v>19489</v>
      </c>
      <c r="K3933" s="75" t="str">
        <f>IFERROR(VLOOKUP(J3933,'NQ10'!$B$9:$C$145,2,0),"")</f>
        <v/>
      </c>
    </row>
    <row r="3934" spans="1:11" ht="15" customHeight="1" x14ac:dyDescent="0.25">
      <c r="A3934" s="75">
        <v>34</v>
      </c>
      <c r="B3934" s="75">
        <v>153</v>
      </c>
      <c r="C3934" s="75" t="s">
        <v>10</v>
      </c>
      <c r="D3934" s="75">
        <v>103</v>
      </c>
      <c r="F3934" s="75" t="s">
        <v>10</v>
      </c>
      <c r="H3934" s="75" t="s">
        <v>10</v>
      </c>
      <c r="I3934" s="75">
        <v>19489</v>
      </c>
      <c r="K3934" s="75" t="str">
        <f>IFERROR(VLOOKUP(J3934,'NQ10'!$B$9:$C$145,2,0),"")</f>
        <v/>
      </c>
    </row>
    <row r="3935" spans="1:11" ht="15" customHeight="1" x14ac:dyDescent="0.25">
      <c r="A3935" s="75">
        <v>34</v>
      </c>
      <c r="B3935" s="75">
        <v>158</v>
      </c>
      <c r="C3935" s="75" t="s">
        <v>10</v>
      </c>
      <c r="D3935" s="75">
        <v>169</v>
      </c>
      <c r="F3935" s="75" t="s">
        <v>10</v>
      </c>
      <c r="H3935" s="75" t="s">
        <v>10</v>
      </c>
      <c r="I3935" s="75">
        <v>19489</v>
      </c>
      <c r="K3935" s="75" t="str">
        <f>IFERROR(VLOOKUP(J3935,'NQ10'!$B$9:$C$145,2,0),"")</f>
        <v/>
      </c>
    </row>
    <row r="3936" spans="1:11" ht="15" customHeight="1" x14ac:dyDescent="0.25">
      <c r="A3936" s="75">
        <v>34</v>
      </c>
      <c r="B3936" s="75">
        <v>159</v>
      </c>
      <c r="C3936" s="75" t="s">
        <v>10</v>
      </c>
      <c r="D3936" s="75">
        <v>141</v>
      </c>
      <c r="F3936" s="75" t="s">
        <v>10</v>
      </c>
      <c r="H3936" s="75" t="s">
        <v>10</v>
      </c>
      <c r="I3936" s="75">
        <v>19489</v>
      </c>
      <c r="K3936" s="75" t="str">
        <f>IFERROR(VLOOKUP(J3936,'NQ10'!$B$9:$C$145,2,0),"")</f>
        <v/>
      </c>
    </row>
    <row r="3937" spans="1:11" ht="15" customHeight="1" x14ac:dyDescent="0.25">
      <c r="A3937" s="75">
        <v>34</v>
      </c>
      <c r="B3937" s="75">
        <v>160</v>
      </c>
      <c r="C3937" s="75" t="s">
        <v>10</v>
      </c>
      <c r="D3937" s="75">
        <v>329</v>
      </c>
      <c r="F3937" s="75" t="s">
        <v>10</v>
      </c>
      <c r="H3937" s="75" t="s">
        <v>10</v>
      </c>
      <c r="I3937" s="75">
        <v>19489</v>
      </c>
      <c r="K3937" s="75" t="str">
        <f>IFERROR(VLOOKUP(J3937,'NQ10'!$B$9:$C$145,2,0),"")</f>
        <v/>
      </c>
    </row>
    <row r="3938" spans="1:11" ht="15" customHeight="1" x14ac:dyDescent="0.25">
      <c r="A3938" s="75">
        <v>34</v>
      </c>
      <c r="B3938" s="75">
        <v>161</v>
      </c>
      <c r="C3938" s="75" t="s">
        <v>10</v>
      </c>
      <c r="D3938" s="75">
        <v>370</v>
      </c>
      <c r="F3938" s="75" t="s">
        <v>10</v>
      </c>
      <c r="H3938" s="75" t="s">
        <v>10</v>
      </c>
      <c r="I3938" s="75">
        <v>19489</v>
      </c>
      <c r="K3938" s="75" t="str">
        <f>IFERROR(VLOOKUP(J3938,'NQ10'!$B$9:$C$145,2,0),"")</f>
        <v/>
      </c>
    </row>
    <row r="3939" spans="1:11" ht="15" customHeight="1" x14ac:dyDescent="0.25">
      <c r="A3939" s="75">
        <v>34</v>
      </c>
      <c r="B3939" s="75">
        <v>162</v>
      </c>
      <c r="C3939" s="75" t="s">
        <v>10</v>
      </c>
      <c r="D3939" s="75">
        <v>297</v>
      </c>
      <c r="F3939" s="75" t="s">
        <v>10</v>
      </c>
      <c r="H3939" s="75" t="s">
        <v>10</v>
      </c>
      <c r="I3939" s="75">
        <v>19489</v>
      </c>
      <c r="K3939" s="75" t="str">
        <f>IFERROR(VLOOKUP(J3939,'NQ10'!$B$9:$C$145,2,0),"")</f>
        <v/>
      </c>
    </row>
    <row r="3940" spans="1:11" ht="15" customHeight="1" x14ac:dyDescent="0.25">
      <c r="A3940" s="75">
        <v>34</v>
      </c>
      <c r="B3940" s="75">
        <v>163</v>
      </c>
      <c r="C3940" s="75" t="s">
        <v>10</v>
      </c>
      <c r="D3940" s="75">
        <v>346</v>
      </c>
      <c r="F3940" s="75" t="s">
        <v>10</v>
      </c>
      <c r="H3940" s="75" t="s">
        <v>10</v>
      </c>
      <c r="I3940" s="75">
        <v>19489</v>
      </c>
      <c r="K3940" s="75" t="str">
        <f>IFERROR(VLOOKUP(J3940,'NQ10'!$B$9:$C$145,2,0),"")</f>
        <v/>
      </c>
    </row>
    <row r="3941" spans="1:11" ht="15" customHeight="1" x14ac:dyDescent="0.25">
      <c r="A3941" s="75">
        <v>34</v>
      </c>
      <c r="B3941" s="75">
        <v>164</v>
      </c>
      <c r="C3941" s="75" t="s">
        <v>10</v>
      </c>
      <c r="D3941" s="75">
        <v>181</v>
      </c>
      <c r="F3941" s="75" t="s">
        <v>10</v>
      </c>
      <c r="H3941" s="75" t="s">
        <v>10</v>
      </c>
      <c r="I3941" s="75">
        <v>19489</v>
      </c>
      <c r="K3941" s="75" t="str">
        <f>IFERROR(VLOOKUP(J3941,'NQ10'!$B$9:$C$145,2,0),"")</f>
        <v/>
      </c>
    </row>
    <row r="3942" spans="1:11" ht="15" customHeight="1" x14ac:dyDescent="0.25">
      <c r="A3942" s="75">
        <v>34</v>
      </c>
      <c r="B3942" s="75">
        <v>165</v>
      </c>
      <c r="C3942" s="75" t="s">
        <v>10</v>
      </c>
      <c r="D3942" s="75">
        <v>167</v>
      </c>
      <c r="F3942" s="75" t="s">
        <v>10</v>
      </c>
      <c r="H3942" s="75" t="s">
        <v>10</v>
      </c>
      <c r="I3942" s="75">
        <v>19489</v>
      </c>
      <c r="K3942" s="75" t="str">
        <f>IFERROR(VLOOKUP(J3942,'NQ10'!$B$9:$C$145,2,0),"")</f>
        <v/>
      </c>
    </row>
    <row r="3943" spans="1:11" ht="15" customHeight="1" x14ac:dyDescent="0.25">
      <c r="A3943" s="75">
        <v>34</v>
      </c>
      <c r="B3943" s="75">
        <v>166</v>
      </c>
      <c r="C3943" s="75" t="s">
        <v>10</v>
      </c>
      <c r="D3943" s="75">
        <v>185</v>
      </c>
      <c r="F3943" s="75" t="s">
        <v>10</v>
      </c>
      <c r="H3943" s="75" t="s">
        <v>10</v>
      </c>
      <c r="I3943" s="75">
        <v>19489</v>
      </c>
      <c r="K3943" s="75" t="str">
        <f>IFERROR(VLOOKUP(J3943,'NQ10'!$B$9:$C$145,2,0),"")</f>
        <v/>
      </c>
    </row>
    <row r="3944" spans="1:11" ht="15" customHeight="1" x14ac:dyDescent="0.25">
      <c r="A3944" s="75">
        <v>34</v>
      </c>
      <c r="B3944" s="75">
        <v>167</v>
      </c>
      <c r="C3944" s="75" t="s">
        <v>10</v>
      </c>
      <c r="D3944" s="75">
        <v>1774</v>
      </c>
      <c r="F3944" s="75" t="s">
        <v>10</v>
      </c>
      <c r="H3944" s="75" t="s">
        <v>10</v>
      </c>
      <c r="I3944" s="75">
        <v>19489</v>
      </c>
      <c r="K3944" s="75" t="str">
        <f>IFERROR(VLOOKUP(J3944,'NQ10'!$B$9:$C$145,2,0),"")</f>
        <v/>
      </c>
    </row>
    <row r="3945" spans="1:11" ht="15" customHeight="1" x14ac:dyDescent="0.25">
      <c r="A3945" s="75">
        <v>34</v>
      </c>
      <c r="B3945" s="75">
        <v>168</v>
      </c>
      <c r="C3945" s="75" t="s">
        <v>10</v>
      </c>
      <c r="D3945" s="75">
        <v>2098</v>
      </c>
      <c r="F3945" s="75" t="s">
        <v>10</v>
      </c>
      <c r="H3945" s="75" t="s">
        <v>10</v>
      </c>
      <c r="I3945" s="75">
        <v>19489</v>
      </c>
      <c r="K3945" s="75" t="str">
        <f>IFERROR(VLOOKUP(J3945,'NQ10'!$B$9:$C$145,2,0),"")</f>
        <v/>
      </c>
    </row>
    <row r="3946" spans="1:11" ht="15" customHeight="1" x14ac:dyDescent="0.25">
      <c r="A3946" s="75">
        <v>34</v>
      </c>
      <c r="B3946" s="75">
        <v>169</v>
      </c>
      <c r="C3946" s="75" t="s">
        <v>10</v>
      </c>
      <c r="D3946" s="75">
        <v>206</v>
      </c>
      <c r="F3946" s="75" t="s">
        <v>10</v>
      </c>
      <c r="H3946" s="75" t="s">
        <v>10</v>
      </c>
      <c r="I3946" s="75">
        <v>19489</v>
      </c>
      <c r="K3946" s="75" t="str">
        <f>IFERROR(VLOOKUP(J3946,'NQ10'!$B$9:$C$145,2,0),"")</f>
        <v/>
      </c>
    </row>
    <row r="3947" spans="1:11" ht="15" customHeight="1" x14ac:dyDescent="0.25">
      <c r="A3947" s="75">
        <v>34</v>
      </c>
      <c r="B3947" s="75">
        <v>170</v>
      </c>
      <c r="C3947" s="75" t="s">
        <v>10</v>
      </c>
      <c r="D3947" s="75">
        <v>255</v>
      </c>
      <c r="F3947" s="75" t="s">
        <v>10</v>
      </c>
      <c r="H3947" s="75" t="s">
        <v>10</v>
      </c>
      <c r="I3947" s="75">
        <v>19489</v>
      </c>
      <c r="K3947" s="75" t="str">
        <f>IFERROR(VLOOKUP(J3947,'NQ10'!$B$9:$C$145,2,0),"")</f>
        <v/>
      </c>
    </row>
    <row r="3948" spans="1:11" ht="15" customHeight="1" x14ac:dyDescent="0.25">
      <c r="A3948" s="75">
        <v>34</v>
      </c>
      <c r="B3948" s="75">
        <v>171</v>
      </c>
      <c r="C3948" s="75" t="s">
        <v>10</v>
      </c>
      <c r="D3948" s="75">
        <v>184</v>
      </c>
      <c r="F3948" s="75" t="s">
        <v>10</v>
      </c>
      <c r="H3948" s="75" t="s">
        <v>10</v>
      </c>
      <c r="I3948" s="75">
        <v>19489</v>
      </c>
      <c r="K3948" s="75" t="str">
        <f>IFERROR(VLOOKUP(J3948,'NQ10'!$B$9:$C$145,2,0),"")</f>
        <v/>
      </c>
    </row>
    <row r="3949" spans="1:11" ht="15" customHeight="1" x14ac:dyDescent="0.25">
      <c r="A3949" s="75">
        <v>34</v>
      </c>
      <c r="B3949" s="75">
        <v>172</v>
      </c>
      <c r="C3949" s="75" t="s">
        <v>10</v>
      </c>
      <c r="D3949" s="75">
        <v>306</v>
      </c>
      <c r="F3949" s="75" t="s">
        <v>10</v>
      </c>
      <c r="H3949" s="75" t="s">
        <v>10</v>
      </c>
      <c r="I3949" s="75">
        <v>19489</v>
      </c>
      <c r="K3949" s="75" t="str">
        <f>IFERROR(VLOOKUP(J3949,'NQ10'!$B$9:$C$145,2,0),"")</f>
        <v/>
      </c>
    </row>
    <row r="3950" spans="1:11" ht="15" customHeight="1" x14ac:dyDescent="0.25">
      <c r="A3950" s="75">
        <v>34</v>
      </c>
      <c r="B3950" s="75">
        <v>175</v>
      </c>
      <c r="C3950" s="75" t="s">
        <v>10</v>
      </c>
      <c r="D3950" s="75">
        <v>242</v>
      </c>
      <c r="F3950" s="75" t="s">
        <v>10</v>
      </c>
      <c r="H3950" s="75" t="s">
        <v>10</v>
      </c>
      <c r="I3950" s="75">
        <v>19489</v>
      </c>
      <c r="K3950" s="75" t="str">
        <f>IFERROR(VLOOKUP(J3950,'NQ10'!$B$9:$C$145,2,0),"")</f>
        <v/>
      </c>
    </row>
    <row r="3951" spans="1:11" ht="15" customHeight="1" x14ac:dyDescent="0.25">
      <c r="A3951" s="75">
        <v>34</v>
      </c>
      <c r="B3951" s="75">
        <v>177</v>
      </c>
      <c r="C3951" s="75" t="s">
        <v>10</v>
      </c>
      <c r="D3951" s="75">
        <v>225</v>
      </c>
      <c r="F3951" s="75" t="s">
        <v>10</v>
      </c>
      <c r="H3951" s="75" t="s">
        <v>10</v>
      </c>
      <c r="I3951" s="75">
        <v>19489</v>
      </c>
      <c r="K3951" s="75" t="str">
        <f>IFERROR(VLOOKUP(J3951,'NQ10'!$B$9:$C$145,2,0),"")</f>
        <v/>
      </c>
    </row>
    <row r="3952" spans="1:11" ht="15" customHeight="1" x14ac:dyDescent="0.25">
      <c r="A3952" s="75">
        <v>34</v>
      </c>
      <c r="B3952" s="75">
        <v>178</v>
      </c>
      <c r="C3952" s="75" t="s">
        <v>10</v>
      </c>
      <c r="D3952" s="75">
        <v>176</v>
      </c>
      <c r="F3952" s="75" t="s">
        <v>10</v>
      </c>
      <c r="H3952" s="75" t="s">
        <v>10</v>
      </c>
      <c r="I3952" s="75">
        <v>19489</v>
      </c>
      <c r="K3952" s="75" t="str">
        <f>IFERROR(VLOOKUP(J3952,'NQ10'!$B$9:$C$145,2,0),"")</f>
        <v/>
      </c>
    </row>
    <row r="3953" spans="1:11" ht="15" customHeight="1" x14ac:dyDescent="0.25">
      <c r="A3953" s="75">
        <v>34</v>
      </c>
      <c r="B3953" s="75">
        <v>179</v>
      </c>
      <c r="C3953" s="75" t="s">
        <v>10</v>
      </c>
      <c r="D3953" s="75">
        <v>178</v>
      </c>
      <c r="F3953" s="75" t="s">
        <v>10</v>
      </c>
      <c r="H3953" s="75" t="s">
        <v>10</v>
      </c>
      <c r="I3953" s="75">
        <v>19489</v>
      </c>
      <c r="K3953" s="75" t="str">
        <f>IFERROR(VLOOKUP(J3953,'NQ10'!$B$9:$C$145,2,0),"")</f>
        <v/>
      </c>
    </row>
    <row r="3954" spans="1:11" ht="15" customHeight="1" x14ac:dyDescent="0.25">
      <c r="A3954" s="75">
        <v>34</v>
      </c>
      <c r="B3954" s="75">
        <v>180</v>
      </c>
      <c r="C3954" s="75" t="s">
        <v>10</v>
      </c>
      <c r="D3954" s="75">
        <v>187</v>
      </c>
      <c r="F3954" s="75" t="s">
        <v>10</v>
      </c>
      <c r="H3954" s="75" t="s">
        <v>10</v>
      </c>
      <c r="I3954" s="75">
        <v>19489</v>
      </c>
      <c r="K3954" s="75" t="str">
        <f>IFERROR(VLOOKUP(J3954,'NQ10'!$B$9:$C$145,2,0),"")</f>
        <v/>
      </c>
    </row>
    <row r="3955" spans="1:11" ht="15" customHeight="1" x14ac:dyDescent="0.25">
      <c r="A3955" s="75">
        <v>34</v>
      </c>
      <c r="B3955" s="75">
        <v>181</v>
      </c>
      <c r="C3955" s="75" t="s">
        <v>10</v>
      </c>
      <c r="D3955" s="75">
        <v>150</v>
      </c>
      <c r="F3955" s="75" t="s">
        <v>10</v>
      </c>
      <c r="H3955" s="75" t="s">
        <v>10</v>
      </c>
      <c r="I3955" s="75">
        <v>19489</v>
      </c>
      <c r="K3955" s="75" t="str">
        <f>IFERROR(VLOOKUP(J3955,'NQ10'!$B$9:$C$145,2,0),"")</f>
        <v/>
      </c>
    </row>
    <row r="3956" spans="1:11" ht="15" customHeight="1" x14ac:dyDescent="0.25">
      <c r="A3956" s="75">
        <v>34</v>
      </c>
      <c r="B3956" s="75">
        <v>182</v>
      </c>
      <c r="C3956" s="75" t="s">
        <v>10</v>
      </c>
      <c r="D3956" s="75">
        <v>1429</v>
      </c>
      <c r="F3956" s="75" t="s">
        <v>10</v>
      </c>
      <c r="H3956" s="75" t="s">
        <v>10</v>
      </c>
      <c r="I3956" s="75">
        <v>19489</v>
      </c>
      <c r="K3956" s="75" t="str">
        <f>IFERROR(VLOOKUP(J3956,'NQ10'!$B$9:$C$145,2,0),"")</f>
        <v/>
      </c>
    </row>
    <row r="3957" spans="1:11" ht="15" customHeight="1" x14ac:dyDescent="0.25">
      <c r="A3957" s="75">
        <v>34</v>
      </c>
      <c r="B3957" s="75">
        <v>183</v>
      </c>
      <c r="C3957" s="75" t="s">
        <v>10</v>
      </c>
      <c r="D3957" s="75">
        <v>1300</v>
      </c>
      <c r="F3957" s="75" t="s">
        <v>10</v>
      </c>
      <c r="H3957" s="75" t="s">
        <v>10</v>
      </c>
      <c r="I3957" s="75">
        <v>19489</v>
      </c>
      <c r="K3957" s="75" t="str">
        <f>IFERROR(VLOOKUP(J3957,'NQ10'!$B$9:$C$145,2,0),"")</f>
        <v/>
      </c>
    </row>
    <row r="3958" spans="1:11" ht="15" customHeight="1" x14ac:dyDescent="0.25">
      <c r="A3958" s="75">
        <v>34</v>
      </c>
      <c r="B3958" s="75">
        <v>184</v>
      </c>
      <c r="C3958" s="75" t="s">
        <v>10</v>
      </c>
      <c r="D3958" s="75">
        <v>285</v>
      </c>
      <c r="F3958" s="75" t="s">
        <v>10</v>
      </c>
      <c r="H3958" s="75" t="s">
        <v>10</v>
      </c>
      <c r="I3958" s="75">
        <v>19489</v>
      </c>
      <c r="K3958" s="75" t="str">
        <f>IFERROR(VLOOKUP(J3958,'NQ10'!$B$9:$C$145,2,0),"")</f>
        <v/>
      </c>
    </row>
    <row r="3959" spans="1:11" ht="15" customHeight="1" x14ac:dyDescent="0.25">
      <c r="A3959" s="75">
        <v>34</v>
      </c>
      <c r="B3959" s="75">
        <v>185</v>
      </c>
      <c r="C3959" s="75" t="s">
        <v>10</v>
      </c>
      <c r="D3959" s="75">
        <v>130</v>
      </c>
      <c r="F3959" s="75" t="s">
        <v>10</v>
      </c>
      <c r="H3959" s="75" t="s">
        <v>10</v>
      </c>
      <c r="I3959" s="75">
        <v>19489</v>
      </c>
      <c r="K3959" s="75" t="str">
        <f>IFERROR(VLOOKUP(J3959,'NQ10'!$B$9:$C$145,2,0),"")</f>
        <v/>
      </c>
    </row>
    <row r="3960" spans="1:11" ht="15" customHeight="1" x14ac:dyDescent="0.25">
      <c r="A3960" s="75">
        <v>34</v>
      </c>
      <c r="B3960" s="75">
        <v>186</v>
      </c>
      <c r="C3960" s="75" t="s">
        <v>10</v>
      </c>
      <c r="D3960" s="75">
        <v>232</v>
      </c>
      <c r="F3960" s="75" t="s">
        <v>10</v>
      </c>
      <c r="H3960" s="75" t="s">
        <v>10</v>
      </c>
      <c r="I3960" s="75">
        <v>19489</v>
      </c>
      <c r="K3960" s="75" t="str">
        <f>IFERROR(VLOOKUP(J3960,'NQ10'!$B$9:$C$145,2,0),"")</f>
        <v/>
      </c>
    </row>
    <row r="3961" spans="1:11" ht="15" customHeight="1" x14ac:dyDescent="0.25">
      <c r="A3961" s="75">
        <v>34</v>
      </c>
      <c r="B3961" s="75">
        <v>187</v>
      </c>
      <c r="C3961" s="75" t="s">
        <v>10</v>
      </c>
      <c r="D3961" s="75">
        <v>609</v>
      </c>
      <c r="F3961" s="75" t="s">
        <v>10</v>
      </c>
      <c r="H3961" s="75" t="s">
        <v>10</v>
      </c>
      <c r="I3961" s="75">
        <v>19489</v>
      </c>
      <c r="K3961" s="75" t="str">
        <f>IFERROR(VLOOKUP(J3961,'NQ10'!$B$9:$C$145,2,0),"")</f>
        <v/>
      </c>
    </row>
    <row r="3962" spans="1:11" ht="15" customHeight="1" x14ac:dyDescent="0.25">
      <c r="A3962" s="75">
        <v>34</v>
      </c>
      <c r="B3962" s="75">
        <v>188</v>
      </c>
      <c r="C3962" s="75" t="s">
        <v>10</v>
      </c>
      <c r="D3962" s="75">
        <v>952</v>
      </c>
      <c r="F3962" s="75" t="s">
        <v>10</v>
      </c>
      <c r="H3962" s="75" t="s">
        <v>10</v>
      </c>
      <c r="I3962" s="75">
        <v>19489</v>
      </c>
      <c r="K3962" s="75" t="str">
        <f>IFERROR(VLOOKUP(J3962,'NQ10'!$B$9:$C$145,2,0),"")</f>
        <v/>
      </c>
    </row>
    <row r="3963" spans="1:11" ht="15" customHeight="1" x14ac:dyDescent="0.25">
      <c r="A3963" s="75">
        <v>34</v>
      </c>
      <c r="B3963" s="75">
        <v>189</v>
      </c>
      <c r="C3963" s="75" t="s">
        <v>10</v>
      </c>
      <c r="D3963" s="75">
        <v>259</v>
      </c>
      <c r="F3963" s="75" t="s">
        <v>10</v>
      </c>
      <c r="H3963" s="75" t="s">
        <v>10</v>
      </c>
      <c r="I3963" s="75">
        <v>19489</v>
      </c>
      <c r="K3963" s="75" t="str">
        <f>IFERROR(VLOOKUP(J3963,'NQ10'!$B$9:$C$145,2,0),"")</f>
        <v/>
      </c>
    </row>
    <row r="3964" spans="1:11" ht="15" customHeight="1" x14ac:dyDescent="0.25">
      <c r="A3964" s="75">
        <v>34</v>
      </c>
      <c r="B3964" s="75">
        <v>190</v>
      </c>
      <c r="C3964" s="75" t="s">
        <v>10</v>
      </c>
      <c r="D3964" s="75">
        <v>411</v>
      </c>
      <c r="F3964" s="75" t="s">
        <v>10</v>
      </c>
      <c r="H3964" s="75" t="s">
        <v>10</v>
      </c>
      <c r="I3964" s="75">
        <v>19489</v>
      </c>
      <c r="K3964" s="75" t="str">
        <f>IFERROR(VLOOKUP(J3964,'NQ10'!$B$9:$C$145,2,0),"")</f>
        <v/>
      </c>
    </row>
    <row r="3965" spans="1:11" ht="15" customHeight="1" x14ac:dyDescent="0.25">
      <c r="A3965" s="75">
        <v>34</v>
      </c>
      <c r="B3965" s="75">
        <v>191</v>
      </c>
      <c r="C3965" s="75" t="s">
        <v>10</v>
      </c>
      <c r="D3965" s="75">
        <v>550</v>
      </c>
      <c r="F3965" s="75" t="s">
        <v>10</v>
      </c>
      <c r="H3965" s="75" t="s">
        <v>10</v>
      </c>
      <c r="I3965" s="75">
        <v>19489</v>
      </c>
      <c r="K3965" s="75" t="str">
        <f>IFERROR(VLOOKUP(J3965,'NQ10'!$B$9:$C$145,2,0),"")</f>
        <v/>
      </c>
    </row>
    <row r="3966" spans="1:11" ht="15" customHeight="1" x14ac:dyDescent="0.25">
      <c r="A3966" s="75">
        <v>34</v>
      </c>
      <c r="B3966" s="75">
        <v>192</v>
      </c>
      <c r="C3966" s="75" t="s">
        <v>10</v>
      </c>
      <c r="D3966" s="75">
        <v>2540</v>
      </c>
      <c r="F3966" s="75" t="s">
        <v>10</v>
      </c>
      <c r="H3966" s="75" t="s">
        <v>10</v>
      </c>
      <c r="I3966" s="75">
        <v>19489</v>
      </c>
      <c r="K3966" s="75" t="str">
        <f>IFERROR(VLOOKUP(J3966,'NQ10'!$B$9:$C$145,2,0),"")</f>
        <v/>
      </c>
    </row>
    <row r="3967" spans="1:11" ht="15" customHeight="1" x14ac:dyDescent="0.25">
      <c r="A3967" s="75">
        <v>34</v>
      </c>
      <c r="B3967" s="75">
        <v>193</v>
      </c>
      <c r="C3967" s="75" t="s">
        <v>10</v>
      </c>
      <c r="D3967" s="75">
        <v>265</v>
      </c>
      <c r="F3967" s="75" t="s">
        <v>10</v>
      </c>
      <c r="H3967" s="75" t="s">
        <v>10</v>
      </c>
      <c r="I3967" s="75">
        <v>19489</v>
      </c>
      <c r="K3967" s="75" t="str">
        <f>IFERROR(VLOOKUP(J3967,'NQ10'!$B$9:$C$145,2,0),"")</f>
        <v/>
      </c>
    </row>
    <row r="3968" spans="1:11" ht="15" customHeight="1" x14ac:dyDescent="0.25">
      <c r="A3968" s="75">
        <v>34</v>
      </c>
      <c r="B3968" s="75">
        <v>194</v>
      </c>
      <c r="C3968" s="75" t="s">
        <v>10</v>
      </c>
      <c r="D3968" s="75">
        <v>281</v>
      </c>
      <c r="F3968" s="75" t="s">
        <v>10</v>
      </c>
      <c r="H3968" s="75" t="s">
        <v>10</v>
      </c>
      <c r="I3968" s="75">
        <v>19489</v>
      </c>
      <c r="K3968" s="75" t="str">
        <f>IFERROR(VLOOKUP(J3968,'NQ10'!$B$9:$C$145,2,0),"")</f>
        <v/>
      </c>
    </row>
    <row r="3969" spans="1:11" ht="15" customHeight="1" x14ac:dyDescent="0.25">
      <c r="A3969" s="75">
        <v>34</v>
      </c>
      <c r="B3969" s="75">
        <v>195</v>
      </c>
      <c r="C3969" s="75" t="s">
        <v>10</v>
      </c>
      <c r="D3969" s="75">
        <v>266</v>
      </c>
      <c r="F3969" s="75" t="s">
        <v>10</v>
      </c>
      <c r="H3969" s="75" t="s">
        <v>10</v>
      </c>
      <c r="I3969" s="75">
        <v>19489</v>
      </c>
      <c r="K3969" s="75" t="str">
        <f>IFERROR(VLOOKUP(J3969,'NQ10'!$B$9:$C$145,2,0),"")</f>
        <v/>
      </c>
    </row>
    <row r="3970" spans="1:11" ht="15" customHeight="1" x14ac:dyDescent="0.25">
      <c r="A3970" s="75">
        <v>34</v>
      </c>
      <c r="B3970" s="75">
        <v>196</v>
      </c>
      <c r="C3970" s="75" t="s">
        <v>10</v>
      </c>
      <c r="D3970" s="75">
        <v>236</v>
      </c>
      <c r="F3970" s="75" t="s">
        <v>10</v>
      </c>
      <c r="H3970" s="75" t="s">
        <v>10</v>
      </c>
      <c r="I3970" s="75">
        <v>19489</v>
      </c>
      <c r="K3970" s="75" t="str">
        <f>IFERROR(VLOOKUP(J3970,'NQ10'!$B$9:$C$145,2,0),"")</f>
        <v/>
      </c>
    </row>
    <row r="3971" spans="1:11" ht="15" customHeight="1" x14ac:dyDescent="0.25">
      <c r="A3971" s="75">
        <v>34</v>
      </c>
      <c r="B3971" s="75">
        <v>197</v>
      </c>
      <c r="C3971" s="75" t="s">
        <v>10</v>
      </c>
      <c r="D3971" s="75">
        <v>181</v>
      </c>
      <c r="F3971" s="75" t="s">
        <v>10</v>
      </c>
      <c r="H3971" s="75" t="s">
        <v>10</v>
      </c>
      <c r="I3971" s="75">
        <v>19489</v>
      </c>
      <c r="K3971" s="75" t="str">
        <f>IFERROR(VLOOKUP(J3971,'NQ10'!$B$9:$C$145,2,0),"")</f>
        <v/>
      </c>
    </row>
    <row r="3972" spans="1:11" ht="15" customHeight="1" x14ac:dyDescent="0.25">
      <c r="A3972" s="75">
        <v>34</v>
      </c>
      <c r="B3972" s="75">
        <v>198</v>
      </c>
      <c r="C3972" s="75" t="s">
        <v>10</v>
      </c>
      <c r="D3972" s="75">
        <v>425</v>
      </c>
      <c r="F3972" s="75" t="s">
        <v>10</v>
      </c>
      <c r="H3972" s="75" t="s">
        <v>10</v>
      </c>
      <c r="I3972" s="75">
        <v>19489</v>
      </c>
      <c r="K3972" s="75" t="str">
        <f>IFERROR(VLOOKUP(J3972,'NQ10'!$B$9:$C$145,2,0),"")</f>
        <v/>
      </c>
    </row>
    <row r="3973" spans="1:11" ht="15" customHeight="1" x14ac:dyDescent="0.25">
      <c r="A3973" s="75">
        <v>34</v>
      </c>
      <c r="B3973" s="75">
        <v>199</v>
      </c>
      <c r="C3973" s="75" t="s">
        <v>10</v>
      </c>
      <c r="D3973" s="75">
        <v>236</v>
      </c>
      <c r="F3973" s="75" t="s">
        <v>10</v>
      </c>
      <c r="H3973" s="75" t="s">
        <v>10</v>
      </c>
      <c r="I3973" s="75">
        <v>19489</v>
      </c>
      <c r="K3973" s="75" t="str">
        <f>IFERROR(VLOOKUP(J3973,'NQ10'!$B$9:$C$145,2,0),"")</f>
        <v/>
      </c>
    </row>
    <row r="3974" spans="1:11" ht="15" customHeight="1" x14ac:dyDescent="0.25">
      <c r="A3974" s="75">
        <v>34</v>
      </c>
      <c r="B3974" s="75">
        <v>200</v>
      </c>
      <c r="C3974" s="75" t="s">
        <v>10</v>
      </c>
      <c r="D3974" s="75">
        <v>226</v>
      </c>
      <c r="F3974" s="75" t="s">
        <v>10</v>
      </c>
      <c r="H3974" s="75" t="s">
        <v>10</v>
      </c>
      <c r="I3974" s="75">
        <v>19489</v>
      </c>
      <c r="K3974" s="75" t="str">
        <f>IFERROR(VLOOKUP(J3974,'NQ10'!$B$9:$C$145,2,0),"")</f>
        <v/>
      </c>
    </row>
    <row r="3975" spans="1:11" ht="15" customHeight="1" x14ac:dyDescent="0.25">
      <c r="A3975" s="75">
        <v>34</v>
      </c>
      <c r="B3975" s="75">
        <v>202</v>
      </c>
      <c r="C3975" s="75" t="s">
        <v>10</v>
      </c>
      <c r="D3975" s="75">
        <v>228</v>
      </c>
      <c r="F3975" s="75" t="s">
        <v>10</v>
      </c>
      <c r="H3975" s="75" t="s">
        <v>10</v>
      </c>
      <c r="I3975" s="75">
        <v>19489</v>
      </c>
      <c r="K3975" s="75" t="str">
        <f>IFERROR(VLOOKUP(J3975,'NQ10'!$B$9:$C$145,2,0),"")</f>
        <v/>
      </c>
    </row>
    <row r="3976" spans="1:11" ht="15" customHeight="1" x14ac:dyDescent="0.25">
      <c r="A3976" s="75">
        <v>34</v>
      </c>
      <c r="B3976" s="75">
        <v>203</v>
      </c>
      <c r="C3976" s="75" t="s">
        <v>10</v>
      </c>
      <c r="D3976" s="75">
        <v>190</v>
      </c>
      <c r="F3976" s="75" t="s">
        <v>10</v>
      </c>
      <c r="H3976" s="75" t="s">
        <v>10</v>
      </c>
      <c r="I3976" s="75">
        <v>19489</v>
      </c>
      <c r="K3976" s="75" t="str">
        <f>IFERROR(VLOOKUP(J3976,'NQ10'!$B$9:$C$145,2,0),"")</f>
        <v/>
      </c>
    </row>
    <row r="3977" spans="1:11" ht="15" customHeight="1" x14ac:dyDescent="0.25">
      <c r="A3977" s="75">
        <v>34</v>
      </c>
      <c r="B3977" s="75">
        <v>204</v>
      </c>
      <c r="C3977" s="75" t="s">
        <v>10</v>
      </c>
      <c r="D3977" s="75">
        <v>711</v>
      </c>
      <c r="F3977" s="75" t="s">
        <v>10</v>
      </c>
      <c r="H3977" s="75" t="s">
        <v>10</v>
      </c>
      <c r="I3977" s="75">
        <v>19489</v>
      </c>
      <c r="K3977" s="75" t="str">
        <f>IFERROR(VLOOKUP(J3977,'NQ10'!$B$9:$C$145,2,0),"")</f>
        <v/>
      </c>
    </row>
    <row r="3978" spans="1:11" ht="15" customHeight="1" x14ac:dyDescent="0.25">
      <c r="A3978" s="75">
        <v>34</v>
      </c>
      <c r="B3978" s="75">
        <v>205</v>
      </c>
      <c r="C3978" s="75" t="s">
        <v>10</v>
      </c>
      <c r="D3978" s="75">
        <v>1403</v>
      </c>
      <c r="F3978" s="75" t="s">
        <v>10</v>
      </c>
      <c r="H3978" s="75" t="s">
        <v>10</v>
      </c>
      <c r="I3978" s="75">
        <v>19489</v>
      </c>
      <c r="K3978" s="75" t="str">
        <f>IFERROR(VLOOKUP(J3978,'NQ10'!$B$9:$C$145,2,0),"")</f>
        <v/>
      </c>
    </row>
    <row r="3979" spans="1:11" ht="15" customHeight="1" x14ac:dyDescent="0.25">
      <c r="A3979" s="75">
        <v>34</v>
      </c>
      <c r="B3979" s="75">
        <v>206</v>
      </c>
      <c r="C3979" s="75" t="s">
        <v>10</v>
      </c>
      <c r="D3979" s="75">
        <v>1923</v>
      </c>
      <c r="F3979" s="75" t="s">
        <v>10</v>
      </c>
      <c r="H3979" s="75" t="s">
        <v>10</v>
      </c>
      <c r="I3979" s="75">
        <v>19489</v>
      </c>
      <c r="K3979" s="75" t="str">
        <f>IFERROR(VLOOKUP(J3979,'NQ10'!$B$9:$C$145,2,0),"")</f>
        <v/>
      </c>
    </row>
    <row r="3980" spans="1:11" ht="15" customHeight="1" x14ac:dyDescent="0.25">
      <c r="A3980" s="75">
        <v>34</v>
      </c>
      <c r="B3980" s="75">
        <v>801</v>
      </c>
      <c r="C3980" s="75" t="s">
        <v>10</v>
      </c>
      <c r="D3980" s="75">
        <v>570</v>
      </c>
      <c r="F3980" s="75" t="s">
        <v>10</v>
      </c>
      <c r="H3980" s="75" t="s">
        <v>10</v>
      </c>
      <c r="I3980" s="75">
        <v>19489</v>
      </c>
      <c r="K3980" s="75" t="str">
        <f>IFERROR(VLOOKUP(J3980,'NQ10'!$B$9:$C$145,2,0),"")</f>
        <v/>
      </c>
    </row>
    <row r="3981" spans="1:11" ht="15" customHeight="1" x14ac:dyDescent="0.25">
      <c r="A3981" s="75">
        <v>34</v>
      </c>
      <c r="B3981" s="75">
        <v>802</v>
      </c>
      <c r="C3981" s="75" t="s">
        <v>10</v>
      </c>
      <c r="D3981" s="75">
        <v>644</v>
      </c>
      <c r="F3981" s="75" t="s">
        <v>10</v>
      </c>
      <c r="H3981" s="75" t="s">
        <v>10</v>
      </c>
      <c r="I3981" s="75">
        <v>19489</v>
      </c>
      <c r="K3981" s="75" t="str">
        <f>IFERROR(VLOOKUP(J3981,'NQ10'!$B$9:$C$145,2,0),"")</f>
        <v/>
      </c>
    </row>
    <row r="3982" spans="1:11" ht="15" customHeight="1" x14ac:dyDescent="0.25">
      <c r="A3982" s="75">
        <v>34</v>
      </c>
      <c r="B3982" s="75">
        <v>804</v>
      </c>
      <c r="C3982" s="75" t="s">
        <v>10</v>
      </c>
      <c r="D3982" s="75">
        <v>494</v>
      </c>
      <c r="F3982" s="75" t="s">
        <v>10</v>
      </c>
      <c r="H3982" s="75" t="s">
        <v>10</v>
      </c>
      <c r="I3982" s="75">
        <v>19489</v>
      </c>
      <c r="K3982" s="75" t="str">
        <f>IFERROR(VLOOKUP(J3982,'NQ10'!$B$9:$C$145,2,0),"")</f>
        <v/>
      </c>
    </row>
    <row r="3983" spans="1:11" ht="15" customHeight="1" x14ac:dyDescent="0.25">
      <c r="A3983" s="75">
        <v>34</v>
      </c>
      <c r="B3983" s="75">
        <v>811</v>
      </c>
      <c r="C3983" s="75" t="s">
        <v>10</v>
      </c>
      <c r="D3983" s="75">
        <v>600</v>
      </c>
      <c r="F3983" s="75" t="s">
        <v>10</v>
      </c>
      <c r="H3983" s="75" t="s">
        <v>10</v>
      </c>
      <c r="I3983" s="75">
        <v>19489</v>
      </c>
      <c r="K3983" s="75" t="str">
        <f>IFERROR(VLOOKUP(J3983,'NQ10'!$B$9:$C$145,2,0),"")</f>
        <v/>
      </c>
    </row>
    <row r="3984" spans="1:11" ht="15" customHeight="1" x14ac:dyDescent="0.25">
      <c r="A3984" s="75">
        <v>34</v>
      </c>
      <c r="B3984" s="75">
        <v>812</v>
      </c>
      <c r="C3984" s="75" t="s">
        <v>10</v>
      </c>
      <c r="D3984" s="75">
        <v>96</v>
      </c>
      <c r="F3984" s="75" t="s">
        <v>10</v>
      </c>
      <c r="H3984" s="75" t="s">
        <v>10</v>
      </c>
      <c r="I3984" s="75">
        <v>19489</v>
      </c>
      <c r="K3984" s="75" t="str">
        <f>IFERROR(VLOOKUP(J3984,'NQ10'!$B$9:$C$145,2,0),"")</f>
        <v/>
      </c>
    </row>
    <row r="3985" spans="1:11" ht="15" customHeight="1" x14ac:dyDescent="0.25">
      <c r="A3985" s="75">
        <v>34</v>
      </c>
      <c r="B3985" s="75">
        <v>821</v>
      </c>
      <c r="C3985" s="75" t="s">
        <v>10</v>
      </c>
      <c r="D3985" s="75">
        <v>266</v>
      </c>
      <c r="F3985" s="75" t="s">
        <v>10</v>
      </c>
      <c r="H3985" s="75" t="s">
        <v>10</v>
      </c>
      <c r="I3985" s="75">
        <v>19489</v>
      </c>
      <c r="K3985" s="75" t="str">
        <f>IFERROR(VLOOKUP(J3985,'NQ10'!$B$9:$C$145,2,0),"")</f>
        <v/>
      </c>
    </row>
    <row r="3986" spans="1:11" ht="15" customHeight="1" x14ac:dyDescent="0.25">
      <c r="A3986" s="75">
        <v>34</v>
      </c>
      <c r="B3986" s="75">
        <v>822</v>
      </c>
      <c r="C3986" s="75" t="s">
        <v>10</v>
      </c>
      <c r="D3986" s="75">
        <v>21340</v>
      </c>
      <c r="F3986" s="75" t="s">
        <v>10</v>
      </c>
      <c r="H3986" s="75" t="s">
        <v>10</v>
      </c>
      <c r="I3986" s="75">
        <v>19489</v>
      </c>
      <c r="K3986" s="75" t="str">
        <f>IFERROR(VLOOKUP(J3986,'NQ10'!$B$9:$C$145,2,0),"")</f>
        <v/>
      </c>
    </row>
    <row r="3987" spans="1:11" ht="15" customHeight="1" x14ac:dyDescent="0.25">
      <c r="A3987" s="75">
        <v>35</v>
      </c>
      <c r="C3987" s="75" t="s">
        <v>10</v>
      </c>
      <c r="D3987" s="75">
        <v>6518</v>
      </c>
      <c r="F3987" s="75" t="s">
        <v>10</v>
      </c>
      <c r="H3987" s="75" t="s">
        <v>10</v>
      </c>
      <c r="I3987" s="75">
        <v>19489</v>
      </c>
      <c r="K3987" s="75" t="str">
        <f>IFERROR(VLOOKUP(J3987,'NQ10'!$B$9:$C$145,2,0),"")</f>
        <v/>
      </c>
    </row>
    <row r="3988" spans="1:11" ht="15" customHeight="1" x14ac:dyDescent="0.25">
      <c r="A3988" s="75">
        <v>35</v>
      </c>
      <c r="C3988" s="75" t="s">
        <v>10</v>
      </c>
      <c r="D3988" s="75">
        <v>1113</v>
      </c>
      <c r="F3988" s="75" t="s">
        <v>10</v>
      </c>
      <c r="H3988" s="75" t="s">
        <v>10</v>
      </c>
      <c r="I3988" s="75">
        <v>19489</v>
      </c>
      <c r="K3988" s="75" t="str">
        <f>IFERROR(VLOOKUP(J3988,'NQ10'!$B$9:$C$145,2,0),"")</f>
        <v/>
      </c>
    </row>
    <row r="3989" spans="1:11" ht="15" customHeight="1" x14ac:dyDescent="0.25">
      <c r="A3989" s="75">
        <v>35</v>
      </c>
      <c r="C3989" s="75" t="s">
        <v>10</v>
      </c>
      <c r="D3989" s="75">
        <v>1394</v>
      </c>
      <c r="F3989" s="75" t="s">
        <v>10</v>
      </c>
      <c r="H3989" s="75" t="s">
        <v>10</v>
      </c>
      <c r="I3989" s="75">
        <v>19489</v>
      </c>
      <c r="K3989" s="75" t="str">
        <f>IFERROR(VLOOKUP(J3989,'NQ10'!$B$9:$C$145,2,0),"")</f>
        <v/>
      </c>
    </row>
    <row r="3990" spans="1:11" ht="15" customHeight="1" x14ac:dyDescent="0.25">
      <c r="A3990" s="75">
        <v>35</v>
      </c>
      <c r="C3990" s="75" t="s">
        <v>10</v>
      </c>
      <c r="D3990" s="75">
        <v>316</v>
      </c>
      <c r="F3990" s="75" t="s">
        <v>10</v>
      </c>
      <c r="H3990" s="75" t="s">
        <v>10</v>
      </c>
      <c r="I3990" s="75">
        <v>19489</v>
      </c>
      <c r="K3990" s="75" t="str">
        <f>IFERROR(VLOOKUP(J3990,'NQ10'!$B$9:$C$145,2,0),"")</f>
        <v/>
      </c>
    </row>
    <row r="3991" spans="1:11" ht="15" customHeight="1" x14ac:dyDescent="0.25">
      <c r="A3991" s="75">
        <v>35</v>
      </c>
      <c r="C3991" s="75" t="s">
        <v>10</v>
      </c>
      <c r="D3991" s="75">
        <v>7529</v>
      </c>
      <c r="F3991" s="75" t="s">
        <v>10</v>
      </c>
      <c r="H3991" s="75" t="s">
        <v>10</v>
      </c>
      <c r="I3991" s="75">
        <v>19489</v>
      </c>
      <c r="K3991" s="75" t="str">
        <f>IFERROR(VLOOKUP(J3991,'NQ10'!$B$9:$C$145,2,0),"")</f>
        <v/>
      </c>
    </row>
    <row r="3992" spans="1:11" ht="15" customHeight="1" x14ac:dyDescent="0.25">
      <c r="A3992" s="75">
        <v>35</v>
      </c>
      <c r="C3992" s="75" t="s">
        <v>10</v>
      </c>
      <c r="D3992" s="75">
        <v>1114</v>
      </c>
      <c r="F3992" s="75" t="s">
        <v>10</v>
      </c>
      <c r="H3992" s="75" t="s">
        <v>10</v>
      </c>
      <c r="I3992" s="75">
        <v>19489</v>
      </c>
      <c r="K3992" s="75" t="str">
        <f>IFERROR(VLOOKUP(J3992,'NQ10'!$B$9:$C$145,2,0),"")</f>
        <v/>
      </c>
    </row>
    <row r="3993" spans="1:11" ht="15" customHeight="1" x14ac:dyDescent="0.25">
      <c r="A3993" s="75">
        <v>35</v>
      </c>
      <c r="C3993" s="75" t="s">
        <v>10</v>
      </c>
      <c r="D3993" s="75">
        <v>364</v>
      </c>
      <c r="F3993" s="75" t="s">
        <v>10</v>
      </c>
      <c r="H3993" s="75" t="s">
        <v>10</v>
      </c>
      <c r="I3993" s="75">
        <v>19489</v>
      </c>
      <c r="K3993" s="75" t="str">
        <f>IFERROR(VLOOKUP(J3993,'NQ10'!$B$9:$C$145,2,0),"")</f>
        <v/>
      </c>
    </row>
    <row r="3994" spans="1:11" ht="15" customHeight="1" x14ac:dyDescent="0.25">
      <c r="A3994" s="75">
        <v>35</v>
      </c>
      <c r="C3994" s="75" t="s">
        <v>10</v>
      </c>
      <c r="D3994" s="75">
        <v>660</v>
      </c>
      <c r="F3994" s="75" t="s">
        <v>10</v>
      </c>
      <c r="H3994" s="75" t="s">
        <v>10</v>
      </c>
      <c r="I3994" s="75">
        <v>19489</v>
      </c>
      <c r="K3994" s="75" t="str">
        <f>IFERROR(VLOOKUP(J3994,'NQ10'!$B$9:$C$145,2,0),"")</f>
        <v/>
      </c>
    </row>
    <row r="3995" spans="1:11" ht="15" customHeight="1" x14ac:dyDescent="0.25">
      <c r="A3995" s="75">
        <v>35</v>
      </c>
      <c r="C3995" s="75" t="s">
        <v>10</v>
      </c>
      <c r="D3995" s="75">
        <v>808</v>
      </c>
      <c r="F3995" s="75" t="s">
        <v>10</v>
      </c>
      <c r="H3995" s="75" t="s">
        <v>10</v>
      </c>
      <c r="I3995" s="75">
        <v>19489</v>
      </c>
      <c r="K3995" s="75" t="str">
        <f>IFERROR(VLOOKUP(J3995,'NQ10'!$B$9:$C$145,2,0),"")</f>
        <v/>
      </c>
    </row>
    <row r="3996" spans="1:11" ht="15" customHeight="1" x14ac:dyDescent="0.25">
      <c r="A3996" s="75">
        <v>35</v>
      </c>
      <c r="C3996" s="75" t="s">
        <v>10</v>
      </c>
      <c r="D3996" s="75">
        <v>4859</v>
      </c>
      <c r="F3996" s="75" t="s">
        <v>10</v>
      </c>
      <c r="H3996" s="75" t="s">
        <v>10</v>
      </c>
      <c r="I3996" s="75">
        <v>19489</v>
      </c>
      <c r="K3996" s="75" t="str">
        <f>IFERROR(VLOOKUP(J3996,'NQ10'!$B$9:$C$145,2,0),"")</f>
        <v/>
      </c>
    </row>
    <row r="3997" spans="1:11" ht="15" customHeight="1" x14ac:dyDescent="0.25">
      <c r="A3997" s="75">
        <v>35</v>
      </c>
      <c r="C3997" s="75" t="s">
        <v>10</v>
      </c>
      <c r="D3997" s="75">
        <v>83</v>
      </c>
      <c r="F3997" s="75" t="s">
        <v>10</v>
      </c>
      <c r="H3997" s="75" t="s">
        <v>10</v>
      </c>
      <c r="I3997" s="75">
        <v>19489</v>
      </c>
      <c r="K3997" s="75" t="str">
        <f>IFERROR(VLOOKUP(J3997,'NQ10'!$B$9:$C$145,2,0),"")</f>
        <v/>
      </c>
    </row>
    <row r="3998" spans="1:11" ht="15" customHeight="1" x14ac:dyDescent="0.25">
      <c r="A3998" s="75">
        <v>35</v>
      </c>
      <c r="C3998" s="75" t="s">
        <v>10</v>
      </c>
      <c r="D3998" s="75">
        <v>283</v>
      </c>
      <c r="F3998" s="75" t="s">
        <v>10</v>
      </c>
      <c r="H3998" s="75" t="s">
        <v>10</v>
      </c>
      <c r="I3998" s="75">
        <v>19489</v>
      </c>
      <c r="K3998" s="75" t="str">
        <f>IFERROR(VLOOKUP(J3998,'NQ10'!$B$9:$C$145,2,0),"")</f>
        <v/>
      </c>
    </row>
    <row r="3999" spans="1:11" ht="15" customHeight="1" x14ac:dyDescent="0.25">
      <c r="A3999" s="75">
        <v>35</v>
      </c>
      <c r="C3999" s="75" t="s">
        <v>10</v>
      </c>
      <c r="D3999" s="75">
        <v>38665</v>
      </c>
      <c r="F3999" s="75" t="s">
        <v>10</v>
      </c>
      <c r="H3999" s="75" t="s">
        <v>10</v>
      </c>
      <c r="I3999" s="75">
        <v>19489</v>
      </c>
      <c r="K3999" s="75" t="str">
        <f>IFERROR(VLOOKUP(J3999,'NQ10'!$B$9:$C$145,2,0),"")</f>
        <v/>
      </c>
    </row>
    <row r="4000" spans="1:11" ht="15" customHeight="1" x14ac:dyDescent="0.25">
      <c r="A4000" s="75">
        <v>35</v>
      </c>
      <c r="C4000" s="75" t="s">
        <v>10</v>
      </c>
      <c r="D4000" s="75">
        <v>194</v>
      </c>
      <c r="F4000" s="75" t="s">
        <v>10</v>
      </c>
      <c r="H4000" s="75" t="s">
        <v>10</v>
      </c>
      <c r="I4000" s="75">
        <v>19489</v>
      </c>
      <c r="K4000" s="75" t="str">
        <f>IFERROR(VLOOKUP(J4000,'NQ10'!$B$9:$C$145,2,0),"")</f>
        <v/>
      </c>
    </row>
    <row r="4001" spans="1:11" ht="15" customHeight="1" x14ac:dyDescent="0.25">
      <c r="A4001" s="75">
        <v>35</v>
      </c>
      <c r="C4001" s="75" t="s">
        <v>10</v>
      </c>
      <c r="D4001" s="75">
        <v>165</v>
      </c>
      <c r="F4001" s="75" t="s">
        <v>10</v>
      </c>
      <c r="H4001" s="75" t="s">
        <v>10</v>
      </c>
      <c r="I4001" s="75">
        <v>19489</v>
      </c>
      <c r="K4001" s="75" t="str">
        <f>IFERROR(VLOOKUP(J4001,'NQ10'!$B$9:$C$145,2,0),"")</f>
        <v/>
      </c>
    </row>
    <row r="4002" spans="1:11" ht="15" customHeight="1" x14ac:dyDescent="0.25">
      <c r="A4002" s="75">
        <v>35</v>
      </c>
      <c r="C4002" s="75" t="s">
        <v>10</v>
      </c>
      <c r="D4002" s="75">
        <v>106</v>
      </c>
      <c r="F4002" s="75" t="s">
        <v>10</v>
      </c>
      <c r="H4002" s="75" t="s">
        <v>10</v>
      </c>
      <c r="I4002" s="75">
        <v>19489</v>
      </c>
      <c r="K4002" s="75" t="str">
        <f>IFERROR(VLOOKUP(J4002,'NQ10'!$B$9:$C$145,2,0),"")</f>
        <v/>
      </c>
    </row>
    <row r="4003" spans="1:11" ht="15" customHeight="1" x14ac:dyDescent="0.25">
      <c r="A4003" s="75">
        <v>35</v>
      </c>
      <c r="C4003" s="75" t="s">
        <v>10</v>
      </c>
      <c r="D4003" s="75">
        <v>1481</v>
      </c>
      <c r="F4003" s="75" t="s">
        <v>10</v>
      </c>
      <c r="H4003" s="75" t="s">
        <v>10</v>
      </c>
      <c r="I4003" s="75">
        <v>19489</v>
      </c>
      <c r="K4003" s="75" t="str">
        <f>IFERROR(VLOOKUP(J4003,'NQ10'!$B$9:$C$145,2,0),"")</f>
        <v/>
      </c>
    </row>
    <row r="4004" spans="1:11" ht="15" customHeight="1" x14ac:dyDescent="0.25">
      <c r="A4004" s="75">
        <v>35</v>
      </c>
      <c r="C4004" s="75" t="s">
        <v>10</v>
      </c>
      <c r="D4004" s="75">
        <v>374</v>
      </c>
      <c r="F4004" s="75" t="s">
        <v>10</v>
      </c>
      <c r="H4004" s="75" t="s">
        <v>10</v>
      </c>
      <c r="I4004" s="75">
        <v>19489</v>
      </c>
      <c r="K4004" s="75" t="str">
        <f>IFERROR(VLOOKUP(J4004,'NQ10'!$B$9:$C$145,2,0),"")</f>
        <v/>
      </c>
    </row>
    <row r="4005" spans="1:11" ht="15" customHeight="1" x14ac:dyDescent="0.25">
      <c r="A4005" s="75">
        <v>35</v>
      </c>
      <c r="C4005" s="75" t="s">
        <v>10</v>
      </c>
      <c r="D4005" s="75">
        <v>318</v>
      </c>
      <c r="F4005" s="75" t="s">
        <v>10</v>
      </c>
      <c r="H4005" s="75" t="s">
        <v>10</v>
      </c>
      <c r="I4005" s="75">
        <v>19489</v>
      </c>
      <c r="K4005" s="75" t="str">
        <f>IFERROR(VLOOKUP(J4005,'NQ10'!$B$9:$C$145,2,0),"")</f>
        <v/>
      </c>
    </row>
    <row r="4006" spans="1:11" ht="15" customHeight="1" x14ac:dyDescent="0.25">
      <c r="A4006" s="75">
        <v>35</v>
      </c>
      <c r="C4006" s="75" t="s">
        <v>10</v>
      </c>
      <c r="D4006" s="75">
        <v>192</v>
      </c>
      <c r="F4006" s="75" t="s">
        <v>10</v>
      </c>
      <c r="H4006" s="75" t="s">
        <v>10</v>
      </c>
      <c r="I4006" s="75">
        <v>19489</v>
      </c>
      <c r="K4006" s="75" t="str">
        <f>IFERROR(VLOOKUP(J4006,'NQ10'!$B$9:$C$145,2,0),"")</f>
        <v/>
      </c>
    </row>
    <row r="4007" spans="1:11" ht="15" customHeight="1" x14ac:dyDescent="0.25">
      <c r="A4007" s="75">
        <v>35</v>
      </c>
      <c r="C4007" s="75" t="s">
        <v>10</v>
      </c>
      <c r="D4007" s="75">
        <v>13831</v>
      </c>
      <c r="F4007" s="75" t="s">
        <v>10</v>
      </c>
      <c r="H4007" s="75" t="s">
        <v>10</v>
      </c>
      <c r="I4007" s="75">
        <v>19489</v>
      </c>
      <c r="K4007" s="75" t="str">
        <f>IFERROR(VLOOKUP(J4007,'NQ10'!$B$9:$C$145,2,0),"")</f>
        <v/>
      </c>
    </row>
    <row r="4008" spans="1:11" ht="15" customHeight="1" x14ac:dyDescent="0.25">
      <c r="A4008" s="75">
        <v>35</v>
      </c>
      <c r="C4008" s="75" t="s">
        <v>10</v>
      </c>
      <c r="D4008" s="75">
        <v>226</v>
      </c>
      <c r="F4008" s="75" t="s">
        <v>10</v>
      </c>
      <c r="H4008" s="75" t="s">
        <v>10</v>
      </c>
      <c r="I4008" s="75">
        <v>19489</v>
      </c>
      <c r="K4008" s="75" t="str">
        <f>IFERROR(VLOOKUP(J4008,'NQ10'!$B$9:$C$145,2,0),"")</f>
        <v/>
      </c>
    </row>
    <row r="4009" spans="1:11" ht="15" customHeight="1" x14ac:dyDescent="0.25">
      <c r="A4009" s="75">
        <v>35</v>
      </c>
      <c r="C4009" s="75" t="s">
        <v>10</v>
      </c>
      <c r="D4009" s="75">
        <v>5257</v>
      </c>
      <c r="F4009" s="75" t="s">
        <v>10</v>
      </c>
      <c r="H4009" s="75" t="s">
        <v>10</v>
      </c>
      <c r="I4009" s="75">
        <v>19489</v>
      </c>
      <c r="K4009" s="75" t="str">
        <f>IFERROR(VLOOKUP(J4009,'NQ10'!$B$9:$C$145,2,0),"")</f>
        <v/>
      </c>
    </row>
    <row r="4010" spans="1:11" ht="15" customHeight="1" x14ac:dyDescent="0.25">
      <c r="A4010" s="75">
        <v>35</v>
      </c>
      <c r="C4010" s="75" t="s">
        <v>10</v>
      </c>
      <c r="D4010" s="75">
        <v>5035</v>
      </c>
      <c r="F4010" s="75" t="s">
        <v>10</v>
      </c>
      <c r="H4010" s="75" t="s">
        <v>10</v>
      </c>
      <c r="I4010" s="75">
        <v>19489</v>
      </c>
      <c r="K4010" s="75" t="str">
        <f>IFERROR(VLOOKUP(J4010,'NQ10'!$B$9:$C$145,2,0),"")</f>
        <v/>
      </c>
    </row>
    <row r="4011" spans="1:11" ht="15" customHeight="1" x14ac:dyDescent="0.25">
      <c r="A4011" s="75">
        <v>35</v>
      </c>
      <c r="C4011" s="75" t="s">
        <v>10</v>
      </c>
      <c r="D4011" s="75">
        <v>345</v>
      </c>
      <c r="F4011" s="75" t="s">
        <v>10</v>
      </c>
      <c r="H4011" s="75" t="s">
        <v>10</v>
      </c>
      <c r="I4011" s="75">
        <v>19489</v>
      </c>
      <c r="K4011" s="75" t="str">
        <f>IFERROR(VLOOKUP(J4011,'NQ10'!$B$9:$C$145,2,0),"")</f>
        <v/>
      </c>
    </row>
    <row r="4012" spans="1:11" ht="15" customHeight="1" x14ac:dyDescent="0.25">
      <c r="A4012" s="75">
        <v>35</v>
      </c>
      <c r="C4012" s="75" t="s">
        <v>10</v>
      </c>
      <c r="D4012" s="75">
        <v>4446</v>
      </c>
      <c r="F4012" s="75" t="s">
        <v>10</v>
      </c>
      <c r="H4012" s="75" t="s">
        <v>10</v>
      </c>
      <c r="I4012" s="75">
        <v>19489</v>
      </c>
      <c r="K4012" s="75" t="str">
        <f>IFERROR(VLOOKUP(J4012,'NQ10'!$B$9:$C$145,2,0),"")</f>
        <v/>
      </c>
    </row>
    <row r="4013" spans="1:11" ht="15" customHeight="1" x14ac:dyDescent="0.25">
      <c r="A4013" s="75">
        <v>35</v>
      </c>
      <c r="C4013" s="75" t="s">
        <v>10</v>
      </c>
      <c r="D4013" s="75">
        <v>4610</v>
      </c>
      <c r="F4013" s="75" t="s">
        <v>10</v>
      </c>
      <c r="H4013" s="75" t="s">
        <v>10</v>
      </c>
      <c r="I4013" s="75">
        <v>19489</v>
      </c>
      <c r="K4013" s="75" t="str">
        <f>IFERROR(VLOOKUP(J4013,'NQ10'!$B$9:$C$145,2,0),"")</f>
        <v/>
      </c>
    </row>
    <row r="4014" spans="1:11" ht="15" customHeight="1" x14ac:dyDescent="0.25">
      <c r="A4014" s="75">
        <v>35</v>
      </c>
      <c r="C4014" s="75" t="s">
        <v>10</v>
      </c>
      <c r="D4014" s="75">
        <v>235</v>
      </c>
      <c r="F4014" s="75" t="s">
        <v>10</v>
      </c>
      <c r="H4014" s="75" t="s">
        <v>10</v>
      </c>
      <c r="I4014" s="75">
        <v>19489</v>
      </c>
      <c r="K4014" s="75" t="str">
        <f>IFERROR(VLOOKUP(J4014,'NQ10'!$B$9:$C$145,2,0),"")</f>
        <v/>
      </c>
    </row>
    <row r="4015" spans="1:11" ht="15" customHeight="1" x14ac:dyDescent="0.25">
      <c r="A4015" s="75">
        <v>35</v>
      </c>
      <c r="C4015" s="75" t="s">
        <v>10</v>
      </c>
      <c r="D4015" s="75">
        <v>1617</v>
      </c>
      <c r="F4015" s="75" t="s">
        <v>10</v>
      </c>
      <c r="H4015" s="75" t="s">
        <v>10</v>
      </c>
      <c r="I4015" s="75">
        <v>19489</v>
      </c>
      <c r="K4015" s="75" t="str">
        <f>IFERROR(VLOOKUP(J4015,'NQ10'!$B$9:$C$145,2,0),"")</f>
        <v/>
      </c>
    </row>
    <row r="4016" spans="1:11" ht="15" customHeight="1" x14ac:dyDescent="0.25">
      <c r="A4016" s="75">
        <v>35</v>
      </c>
      <c r="C4016" s="75" t="s">
        <v>10</v>
      </c>
      <c r="D4016" s="75">
        <v>1580</v>
      </c>
      <c r="F4016" s="75" t="s">
        <v>10</v>
      </c>
      <c r="H4016" s="75" t="s">
        <v>10</v>
      </c>
      <c r="I4016" s="75">
        <v>19489</v>
      </c>
      <c r="K4016" s="75" t="str">
        <f>IFERROR(VLOOKUP(J4016,'NQ10'!$B$9:$C$145,2,0),"")</f>
        <v/>
      </c>
    </row>
    <row r="4017" spans="1:11" ht="15" customHeight="1" x14ac:dyDescent="0.25">
      <c r="A4017" s="75">
        <v>35</v>
      </c>
      <c r="B4017" s="75">
        <v>1</v>
      </c>
      <c r="C4017" s="75" t="s">
        <v>10</v>
      </c>
      <c r="D4017" s="75">
        <v>2074</v>
      </c>
      <c r="F4017" s="75" t="s">
        <v>10</v>
      </c>
      <c r="H4017" s="75" t="s">
        <v>10</v>
      </c>
      <c r="I4017" s="75">
        <v>19489</v>
      </c>
      <c r="K4017" s="75" t="str">
        <f>IFERROR(VLOOKUP(J4017,'NQ10'!$B$9:$C$145,2,0),"")</f>
        <v/>
      </c>
    </row>
    <row r="4018" spans="1:11" ht="15" customHeight="1" x14ac:dyDescent="0.25">
      <c r="A4018" s="75">
        <v>35</v>
      </c>
      <c r="B4018" s="75">
        <v>2</v>
      </c>
      <c r="C4018" s="75" t="s">
        <v>10</v>
      </c>
      <c r="D4018" s="75">
        <v>1384</v>
      </c>
      <c r="F4018" s="75" t="s">
        <v>10</v>
      </c>
      <c r="H4018" s="75" t="s">
        <v>10</v>
      </c>
      <c r="I4018" s="75">
        <v>19489</v>
      </c>
      <c r="K4018" s="75" t="str">
        <f>IFERROR(VLOOKUP(J4018,'NQ10'!$B$9:$C$145,2,0),"")</f>
        <v/>
      </c>
    </row>
    <row r="4019" spans="1:11" ht="15" customHeight="1" x14ac:dyDescent="0.25">
      <c r="A4019" s="75">
        <v>35</v>
      </c>
      <c r="B4019" s="75">
        <v>3</v>
      </c>
      <c r="C4019" s="75" t="s">
        <v>10</v>
      </c>
      <c r="D4019" s="75">
        <v>5358</v>
      </c>
      <c r="F4019" s="75" t="s">
        <v>10</v>
      </c>
      <c r="H4019" s="75" t="s">
        <v>10</v>
      </c>
      <c r="I4019" s="75">
        <v>19489</v>
      </c>
      <c r="K4019" s="75" t="str">
        <f>IFERROR(VLOOKUP(J4019,'NQ10'!$B$9:$C$145,2,0),"")</f>
        <v/>
      </c>
    </row>
    <row r="4020" spans="1:11" ht="15" customHeight="1" x14ac:dyDescent="0.25">
      <c r="A4020" s="75">
        <v>35</v>
      </c>
      <c r="B4020" s="75">
        <v>5</v>
      </c>
      <c r="C4020" s="75" t="s">
        <v>10</v>
      </c>
      <c r="D4020" s="75">
        <v>510</v>
      </c>
      <c r="F4020" s="75" t="s">
        <v>10</v>
      </c>
      <c r="H4020" s="75" t="s">
        <v>10</v>
      </c>
      <c r="I4020" s="75">
        <v>19489</v>
      </c>
      <c r="K4020" s="75" t="str">
        <f>IFERROR(VLOOKUP(J4020,'NQ10'!$B$9:$C$145,2,0),"")</f>
        <v/>
      </c>
    </row>
    <row r="4021" spans="1:11" ht="15" customHeight="1" x14ac:dyDescent="0.25">
      <c r="A4021" s="75">
        <v>35</v>
      </c>
      <c r="B4021" s="75">
        <v>6</v>
      </c>
      <c r="C4021" s="75" t="s">
        <v>10</v>
      </c>
      <c r="D4021" s="75">
        <v>512</v>
      </c>
      <c r="F4021" s="75" t="s">
        <v>10</v>
      </c>
      <c r="H4021" s="75" t="s">
        <v>10</v>
      </c>
      <c r="I4021" s="75">
        <v>19489</v>
      </c>
      <c r="K4021" s="75" t="str">
        <f>IFERROR(VLOOKUP(J4021,'NQ10'!$B$9:$C$145,2,0),"")</f>
        <v/>
      </c>
    </row>
    <row r="4022" spans="1:11" ht="15" customHeight="1" x14ac:dyDescent="0.25">
      <c r="A4022" s="75">
        <v>35</v>
      </c>
      <c r="B4022" s="75">
        <v>7</v>
      </c>
      <c r="C4022" s="75" t="s">
        <v>10</v>
      </c>
      <c r="D4022" s="75">
        <v>727</v>
      </c>
      <c r="F4022" s="75" t="s">
        <v>10</v>
      </c>
      <c r="H4022" s="75" t="s">
        <v>10</v>
      </c>
      <c r="I4022" s="75">
        <v>19489</v>
      </c>
      <c r="K4022" s="75" t="str">
        <f>IFERROR(VLOOKUP(J4022,'NQ10'!$B$9:$C$145,2,0),"")</f>
        <v/>
      </c>
    </row>
    <row r="4023" spans="1:11" ht="15" customHeight="1" x14ac:dyDescent="0.25">
      <c r="A4023" s="75">
        <v>35</v>
      </c>
      <c r="B4023" s="75">
        <v>8</v>
      </c>
      <c r="C4023" s="75" t="s">
        <v>10</v>
      </c>
      <c r="D4023" s="75">
        <v>629</v>
      </c>
      <c r="F4023" s="75" t="s">
        <v>10</v>
      </c>
      <c r="H4023" s="75" t="s">
        <v>10</v>
      </c>
      <c r="I4023" s="75">
        <v>19489</v>
      </c>
      <c r="K4023" s="75" t="str">
        <f>IFERROR(VLOOKUP(J4023,'NQ10'!$B$9:$C$145,2,0),"")</f>
        <v/>
      </c>
    </row>
    <row r="4024" spans="1:11" ht="15" customHeight="1" x14ac:dyDescent="0.25">
      <c r="A4024" s="75">
        <v>35</v>
      </c>
      <c r="B4024" s="75">
        <v>9</v>
      </c>
      <c r="C4024" s="75" t="s">
        <v>10</v>
      </c>
      <c r="D4024" s="75">
        <v>5547</v>
      </c>
      <c r="F4024" s="75" t="s">
        <v>10</v>
      </c>
      <c r="H4024" s="75" t="s">
        <v>10</v>
      </c>
      <c r="I4024" s="75">
        <v>19489</v>
      </c>
      <c r="K4024" s="75" t="str">
        <f>IFERROR(VLOOKUP(J4024,'NQ10'!$B$9:$C$145,2,0),"")</f>
        <v/>
      </c>
    </row>
    <row r="4025" spans="1:11" ht="15" customHeight="1" x14ac:dyDescent="0.25">
      <c r="A4025" s="75">
        <v>35</v>
      </c>
      <c r="B4025" s="75">
        <v>10</v>
      </c>
      <c r="C4025" s="75" t="s">
        <v>10</v>
      </c>
      <c r="D4025" s="75">
        <v>2368</v>
      </c>
      <c r="F4025" s="75" t="s">
        <v>10</v>
      </c>
      <c r="H4025" s="75" t="s">
        <v>10</v>
      </c>
      <c r="I4025" s="75">
        <v>19489</v>
      </c>
      <c r="K4025" s="75" t="str">
        <f>IFERROR(VLOOKUP(J4025,'NQ10'!$B$9:$C$145,2,0),"")</f>
        <v/>
      </c>
    </row>
    <row r="4026" spans="1:11" ht="15" customHeight="1" x14ac:dyDescent="0.25">
      <c r="A4026" s="75">
        <v>35</v>
      </c>
      <c r="B4026" s="75">
        <v>12</v>
      </c>
      <c r="C4026" s="75" t="s">
        <v>10</v>
      </c>
      <c r="D4026" s="75">
        <v>5242</v>
      </c>
      <c r="F4026" s="75" t="s">
        <v>10</v>
      </c>
      <c r="H4026" s="75" t="s">
        <v>10</v>
      </c>
      <c r="I4026" s="75">
        <v>19489</v>
      </c>
      <c r="K4026" s="75" t="str">
        <f>IFERROR(VLOOKUP(J4026,'NQ10'!$B$9:$C$145,2,0),"")</f>
        <v/>
      </c>
    </row>
    <row r="4027" spans="1:11" ht="15" customHeight="1" x14ac:dyDescent="0.25">
      <c r="A4027" s="75">
        <v>35</v>
      </c>
      <c r="B4027" s="75">
        <v>13</v>
      </c>
      <c r="C4027" s="75" t="s">
        <v>10</v>
      </c>
      <c r="D4027" s="75">
        <v>829</v>
      </c>
      <c r="F4027" s="75" t="s">
        <v>10</v>
      </c>
      <c r="H4027" s="75" t="s">
        <v>10</v>
      </c>
      <c r="I4027" s="75">
        <v>19489</v>
      </c>
      <c r="K4027" s="75" t="str">
        <f>IFERROR(VLOOKUP(J4027,'NQ10'!$B$9:$C$145,2,0),"")</f>
        <v/>
      </c>
    </row>
    <row r="4028" spans="1:11" ht="15" customHeight="1" x14ac:dyDescent="0.25">
      <c r="A4028" s="75">
        <v>35</v>
      </c>
      <c r="B4028" s="75">
        <v>14</v>
      </c>
      <c r="C4028" s="75" t="s">
        <v>10</v>
      </c>
      <c r="D4028" s="75">
        <v>10115</v>
      </c>
      <c r="F4028" s="75" t="s">
        <v>10</v>
      </c>
      <c r="H4028" s="75" t="s">
        <v>10</v>
      </c>
      <c r="I4028" s="75">
        <v>19489</v>
      </c>
      <c r="K4028" s="75" t="str">
        <f>IFERROR(VLOOKUP(J4028,'NQ10'!$B$9:$C$145,2,0),"")</f>
        <v/>
      </c>
    </row>
    <row r="4029" spans="1:11" ht="15" customHeight="1" x14ac:dyDescent="0.25">
      <c r="A4029" s="75">
        <v>35</v>
      </c>
      <c r="B4029" s="75">
        <v>15</v>
      </c>
      <c r="C4029" s="75" t="s">
        <v>10</v>
      </c>
      <c r="D4029" s="75">
        <v>184</v>
      </c>
      <c r="F4029" s="75" t="s">
        <v>10</v>
      </c>
      <c r="H4029" s="75" t="s">
        <v>10</v>
      </c>
      <c r="I4029" s="75">
        <v>19489</v>
      </c>
      <c r="K4029" s="75" t="str">
        <f>IFERROR(VLOOKUP(J4029,'NQ10'!$B$9:$C$145,2,0),"")</f>
        <v/>
      </c>
    </row>
    <row r="4030" spans="1:11" ht="15" customHeight="1" x14ac:dyDescent="0.25">
      <c r="A4030" s="75">
        <v>35</v>
      </c>
      <c r="B4030" s="75">
        <v>16</v>
      </c>
      <c r="C4030" s="75" t="s">
        <v>10</v>
      </c>
      <c r="D4030" s="75">
        <v>5354</v>
      </c>
      <c r="F4030" s="75" t="s">
        <v>10</v>
      </c>
      <c r="H4030" s="75" t="s">
        <v>10</v>
      </c>
      <c r="I4030" s="75">
        <v>19489</v>
      </c>
      <c r="K4030" s="75" t="str">
        <f>IFERROR(VLOOKUP(J4030,'NQ10'!$B$9:$C$145,2,0),"")</f>
        <v/>
      </c>
    </row>
    <row r="4031" spans="1:11" ht="15" customHeight="1" x14ac:dyDescent="0.25">
      <c r="A4031" s="75">
        <v>35</v>
      </c>
      <c r="B4031" s="75">
        <v>17</v>
      </c>
      <c r="C4031" s="75" t="s">
        <v>10</v>
      </c>
      <c r="D4031" s="75">
        <v>15033</v>
      </c>
      <c r="F4031" s="75" t="s">
        <v>10</v>
      </c>
      <c r="H4031" s="75" t="s">
        <v>10</v>
      </c>
      <c r="I4031" s="75">
        <v>19489</v>
      </c>
      <c r="K4031" s="75" t="str">
        <f>IFERROR(VLOOKUP(J4031,'NQ10'!$B$9:$C$145,2,0),"")</f>
        <v/>
      </c>
    </row>
    <row r="4032" spans="1:11" ht="15" customHeight="1" x14ac:dyDescent="0.25">
      <c r="A4032" s="75">
        <v>35</v>
      </c>
      <c r="B4032" s="75">
        <v>19</v>
      </c>
      <c r="C4032" s="75" t="s">
        <v>10</v>
      </c>
      <c r="D4032" s="75">
        <v>5225</v>
      </c>
      <c r="F4032" s="75" t="s">
        <v>10</v>
      </c>
      <c r="H4032" s="75" t="s">
        <v>10</v>
      </c>
      <c r="I4032" s="75">
        <v>19489</v>
      </c>
      <c r="K4032" s="75" t="str">
        <f>IFERROR(VLOOKUP(J4032,'NQ10'!$B$9:$C$145,2,0),"")</f>
        <v/>
      </c>
    </row>
    <row r="4033" spans="1:11" ht="15" customHeight="1" x14ac:dyDescent="0.25">
      <c r="A4033" s="75">
        <v>35</v>
      </c>
      <c r="B4033" s="75">
        <v>20</v>
      </c>
      <c r="C4033" s="75" t="s">
        <v>10</v>
      </c>
      <c r="D4033" s="75">
        <v>5803</v>
      </c>
      <c r="F4033" s="75" t="s">
        <v>10</v>
      </c>
      <c r="H4033" s="75" t="s">
        <v>10</v>
      </c>
      <c r="I4033" s="75">
        <v>19489</v>
      </c>
      <c r="K4033" s="75" t="str">
        <f>IFERROR(VLOOKUP(J4033,'NQ10'!$B$9:$C$145,2,0),"")</f>
        <v/>
      </c>
    </row>
    <row r="4034" spans="1:11" ht="15" customHeight="1" x14ac:dyDescent="0.25">
      <c r="A4034" s="75">
        <v>35</v>
      </c>
      <c r="B4034" s="75">
        <v>21</v>
      </c>
      <c r="C4034" s="75" t="s">
        <v>10</v>
      </c>
      <c r="D4034" s="75">
        <v>8492</v>
      </c>
      <c r="F4034" s="75" t="s">
        <v>10</v>
      </c>
      <c r="H4034" s="75" t="s">
        <v>10</v>
      </c>
      <c r="I4034" s="75">
        <v>19489</v>
      </c>
      <c r="K4034" s="75" t="str">
        <f>IFERROR(VLOOKUP(J4034,'NQ10'!$B$9:$C$145,2,0),"")</f>
        <v/>
      </c>
    </row>
    <row r="4035" spans="1:11" ht="15" customHeight="1" x14ac:dyDescent="0.25">
      <c r="A4035" s="75">
        <v>35</v>
      </c>
      <c r="B4035" s="75">
        <v>22</v>
      </c>
      <c r="C4035" s="75" t="s">
        <v>10</v>
      </c>
      <c r="D4035" s="75">
        <v>264</v>
      </c>
      <c r="F4035" s="75" t="s">
        <v>10</v>
      </c>
      <c r="H4035" s="75" t="s">
        <v>10</v>
      </c>
      <c r="I4035" s="75">
        <v>19489</v>
      </c>
      <c r="K4035" s="75" t="str">
        <f>IFERROR(VLOOKUP(J4035,'NQ10'!$B$9:$C$145,2,0),"")</f>
        <v/>
      </c>
    </row>
    <row r="4036" spans="1:11" ht="15" customHeight="1" x14ac:dyDescent="0.25">
      <c r="A4036" s="75">
        <v>35</v>
      </c>
      <c r="B4036" s="75">
        <v>23</v>
      </c>
      <c r="C4036" s="75" t="s">
        <v>10</v>
      </c>
      <c r="D4036" s="75">
        <v>129</v>
      </c>
      <c r="F4036" s="75" t="s">
        <v>10</v>
      </c>
      <c r="H4036" s="75" t="s">
        <v>10</v>
      </c>
      <c r="I4036" s="75">
        <v>19489</v>
      </c>
      <c r="K4036" s="75" t="str">
        <f>IFERROR(VLOOKUP(J4036,'NQ10'!$B$9:$C$145,2,0),"")</f>
        <v/>
      </c>
    </row>
    <row r="4037" spans="1:11" ht="15" customHeight="1" x14ac:dyDescent="0.25">
      <c r="A4037" s="75">
        <v>35</v>
      </c>
      <c r="B4037" s="75">
        <v>24</v>
      </c>
      <c r="C4037" s="75" t="s">
        <v>10</v>
      </c>
      <c r="D4037" s="75">
        <v>21720</v>
      </c>
      <c r="F4037" s="75" t="s">
        <v>10</v>
      </c>
      <c r="H4037" s="75" t="s">
        <v>10</v>
      </c>
      <c r="I4037" s="75">
        <v>19489</v>
      </c>
      <c r="K4037" s="75" t="str">
        <f>IFERROR(VLOOKUP(J4037,'NQ10'!$B$9:$C$145,2,0),"")</f>
        <v/>
      </c>
    </row>
    <row r="4038" spans="1:11" ht="15" customHeight="1" x14ac:dyDescent="0.25">
      <c r="A4038" s="75">
        <v>35</v>
      </c>
      <c r="B4038" s="75">
        <v>26</v>
      </c>
      <c r="C4038" s="75" t="s">
        <v>10</v>
      </c>
      <c r="D4038" s="75">
        <v>3445</v>
      </c>
      <c r="F4038" s="75" t="s">
        <v>10</v>
      </c>
      <c r="H4038" s="75" t="s">
        <v>10</v>
      </c>
      <c r="I4038" s="75">
        <v>19489</v>
      </c>
      <c r="K4038" s="75" t="str">
        <f>IFERROR(VLOOKUP(J4038,'NQ10'!$B$9:$C$145,2,0),"")</f>
        <v/>
      </c>
    </row>
    <row r="4039" spans="1:11" ht="15" customHeight="1" x14ac:dyDescent="0.25">
      <c r="A4039" s="75">
        <v>35</v>
      </c>
      <c r="B4039" s="75">
        <v>27</v>
      </c>
      <c r="C4039" s="75" t="s">
        <v>10</v>
      </c>
      <c r="D4039" s="75">
        <v>5952</v>
      </c>
      <c r="F4039" s="75" t="s">
        <v>10</v>
      </c>
      <c r="H4039" s="75" t="s">
        <v>10</v>
      </c>
      <c r="I4039" s="75">
        <v>19489</v>
      </c>
      <c r="K4039" s="75" t="str">
        <f>IFERROR(VLOOKUP(J4039,'NQ10'!$B$9:$C$145,2,0),"")</f>
        <v/>
      </c>
    </row>
    <row r="4040" spans="1:11" ht="15" customHeight="1" x14ac:dyDescent="0.25">
      <c r="A4040" s="75">
        <v>35</v>
      </c>
      <c r="B4040" s="75">
        <v>28</v>
      </c>
      <c r="C4040" s="75" t="s">
        <v>10</v>
      </c>
      <c r="D4040" s="75">
        <v>3029</v>
      </c>
      <c r="F4040" s="75" t="s">
        <v>10</v>
      </c>
      <c r="H4040" s="75" t="s">
        <v>10</v>
      </c>
      <c r="I4040" s="75">
        <v>19489</v>
      </c>
      <c r="K4040" s="75" t="str">
        <f>IFERROR(VLOOKUP(J4040,'NQ10'!$B$9:$C$145,2,0),"")</f>
        <v/>
      </c>
    </row>
    <row r="4041" spans="1:11" ht="15" customHeight="1" x14ac:dyDescent="0.25">
      <c r="A4041" s="75">
        <v>35</v>
      </c>
      <c r="B4041" s="75">
        <v>29</v>
      </c>
      <c r="C4041" s="75" t="s">
        <v>10</v>
      </c>
      <c r="D4041" s="75">
        <v>352</v>
      </c>
      <c r="F4041" s="75" t="s">
        <v>10</v>
      </c>
      <c r="H4041" s="75" t="s">
        <v>10</v>
      </c>
      <c r="I4041" s="75">
        <v>19489</v>
      </c>
      <c r="K4041" s="75" t="str">
        <f>IFERROR(VLOOKUP(J4041,'NQ10'!$B$9:$C$145,2,0),"")</f>
        <v/>
      </c>
    </row>
    <row r="4042" spans="1:11" ht="15" customHeight="1" x14ac:dyDescent="0.25">
      <c r="A4042" s="75">
        <v>35</v>
      </c>
      <c r="B4042" s="75">
        <v>30</v>
      </c>
      <c r="C4042" s="75" t="s">
        <v>10</v>
      </c>
      <c r="D4042" s="75">
        <v>1225</v>
      </c>
      <c r="F4042" s="75" t="s">
        <v>10</v>
      </c>
      <c r="H4042" s="75" t="s">
        <v>10</v>
      </c>
      <c r="I4042" s="75">
        <v>19489</v>
      </c>
      <c r="K4042" s="75" t="str">
        <f>IFERROR(VLOOKUP(J4042,'NQ10'!$B$9:$C$145,2,0),"")</f>
        <v/>
      </c>
    </row>
    <row r="4043" spans="1:11" ht="15" customHeight="1" x14ac:dyDescent="0.25">
      <c r="A4043" s="75">
        <v>35</v>
      </c>
      <c r="B4043" s="75">
        <v>32</v>
      </c>
      <c r="C4043" s="75" t="s">
        <v>10</v>
      </c>
      <c r="D4043" s="75">
        <v>176</v>
      </c>
      <c r="F4043" s="75" t="s">
        <v>10</v>
      </c>
      <c r="H4043" s="75" t="s">
        <v>10</v>
      </c>
      <c r="I4043" s="75">
        <v>19489</v>
      </c>
      <c r="K4043" s="75" t="str">
        <f>IFERROR(VLOOKUP(J4043,'NQ10'!$B$9:$C$145,2,0),"")</f>
        <v/>
      </c>
    </row>
    <row r="4044" spans="1:11" ht="15" customHeight="1" x14ac:dyDescent="0.25">
      <c r="A4044" s="75">
        <v>35</v>
      </c>
      <c r="B4044" s="75">
        <v>33</v>
      </c>
      <c r="C4044" s="75" t="s">
        <v>10</v>
      </c>
      <c r="D4044" s="75">
        <v>4757</v>
      </c>
      <c r="F4044" s="75" t="s">
        <v>10</v>
      </c>
      <c r="H4044" s="75" t="s">
        <v>10</v>
      </c>
      <c r="I4044" s="75">
        <v>19489</v>
      </c>
      <c r="K4044" s="75" t="str">
        <f>IFERROR(VLOOKUP(J4044,'NQ10'!$B$9:$C$145,2,0),"")</f>
        <v/>
      </c>
    </row>
    <row r="4045" spans="1:11" ht="15" customHeight="1" x14ac:dyDescent="0.25">
      <c r="A4045" s="75">
        <v>35</v>
      </c>
      <c r="B4045" s="75">
        <v>34</v>
      </c>
      <c r="C4045" s="75" t="s">
        <v>10</v>
      </c>
      <c r="D4045" s="75">
        <v>4119</v>
      </c>
      <c r="F4045" s="75" t="s">
        <v>10</v>
      </c>
      <c r="H4045" s="75" t="s">
        <v>10</v>
      </c>
      <c r="I4045" s="75">
        <v>19489</v>
      </c>
      <c r="K4045" s="75" t="str">
        <f>IFERROR(VLOOKUP(J4045,'NQ10'!$B$9:$C$145,2,0),"")</f>
        <v/>
      </c>
    </row>
    <row r="4046" spans="1:11" ht="15" customHeight="1" x14ac:dyDescent="0.25">
      <c r="A4046" s="75">
        <v>35</v>
      </c>
      <c r="B4046" s="75">
        <v>36</v>
      </c>
      <c r="C4046" s="75" t="s">
        <v>10</v>
      </c>
      <c r="D4046" s="75">
        <v>5680</v>
      </c>
      <c r="F4046" s="75" t="s">
        <v>10</v>
      </c>
      <c r="H4046" s="75" t="s">
        <v>10</v>
      </c>
      <c r="I4046" s="75">
        <v>19489</v>
      </c>
      <c r="K4046" s="75" t="str">
        <f>IFERROR(VLOOKUP(J4046,'NQ10'!$B$9:$C$145,2,0),"")</f>
        <v/>
      </c>
    </row>
    <row r="4047" spans="1:11" ht="15" customHeight="1" x14ac:dyDescent="0.25">
      <c r="A4047" s="75">
        <v>35</v>
      </c>
      <c r="B4047" s="75">
        <v>37</v>
      </c>
      <c r="C4047" s="75" t="s">
        <v>10</v>
      </c>
      <c r="D4047" s="75">
        <v>4629</v>
      </c>
      <c r="F4047" s="75" t="s">
        <v>10</v>
      </c>
      <c r="H4047" s="75" t="s">
        <v>10</v>
      </c>
      <c r="I4047" s="75">
        <v>19489</v>
      </c>
      <c r="K4047" s="75" t="str">
        <f>IFERROR(VLOOKUP(J4047,'NQ10'!$B$9:$C$145,2,0),"")</f>
        <v/>
      </c>
    </row>
    <row r="4048" spans="1:11" ht="15" customHeight="1" x14ac:dyDescent="0.25">
      <c r="A4048" s="75">
        <v>35</v>
      </c>
      <c r="B4048" s="75">
        <v>39</v>
      </c>
      <c r="C4048" s="75" t="s">
        <v>10</v>
      </c>
      <c r="D4048" s="75">
        <v>3176</v>
      </c>
      <c r="F4048" s="75" t="s">
        <v>10</v>
      </c>
      <c r="H4048" s="75" t="s">
        <v>10</v>
      </c>
      <c r="I4048" s="75">
        <v>19489</v>
      </c>
      <c r="K4048" s="75" t="str">
        <f>IFERROR(VLOOKUP(J4048,'NQ10'!$B$9:$C$145,2,0),"")</f>
        <v/>
      </c>
    </row>
    <row r="4049" spans="1:11" ht="15" customHeight="1" x14ac:dyDescent="0.25">
      <c r="A4049" s="75">
        <v>35</v>
      </c>
      <c r="B4049" s="75">
        <v>40</v>
      </c>
      <c r="C4049" s="75" t="s">
        <v>10</v>
      </c>
      <c r="D4049" s="75">
        <v>4377</v>
      </c>
      <c r="F4049" s="75" t="s">
        <v>10</v>
      </c>
      <c r="H4049" s="75" t="s">
        <v>10</v>
      </c>
      <c r="I4049" s="75">
        <v>19489</v>
      </c>
      <c r="K4049" s="75" t="str">
        <f>IFERROR(VLOOKUP(J4049,'NQ10'!$B$9:$C$145,2,0),"")</f>
        <v/>
      </c>
    </row>
    <row r="4050" spans="1:11" ht="15" customHeight="1" x14ac:dyDescent="0.25">
      <c r="A4050" s="75">
        <v>35</v>
      </c>
      <c r="B4050" s="75">
        <v>41</v>
      </c>
      <c r="C4050" s="75" t="s">
        <v>10</v>
      </c>
      <c r="D4050" s="75">
        <v>1242</v>
      </c>
      <c r="F4050" s="75" t="s">
        <v>10</v>
      </c>
      <c r="H4050" s="75" t="s">
        <v>10</v>
      </c>
      <c r="I4050" s="75">
        <v>19489</v>
      </c>
      <c r="K4050" s="75" t="str">
        <f>IFERROR(VLOOKUP(J4050,'NQ10'!$B$9:$C$145,2,0),"")</f>
        <v/>
      </c>
    </row>
    <row r="4051" spans="1:11" ht="15" customHeight="1" x14ac:dyDescent="0.25">
      <c r="A4051" s="75">
        <v>35</v>
      </c>
      <c r="B4051" s="75">
        <v>42</v>
      </c>
      <c r="C4051" s="75" t="s">
        <v>10</v>
      </c>
      <c r="D4051" s="75">
        <v>17196</v>
      </c>
      <c r="F4051" s="75" t="s">
        <v>10</v>
      </c>
      <c r="H4051" s="75" t="s">
        <v>10</v>
      </c>
      <c r="I4051" s="75">
        <v>19489</v>
      </c>
      <c r="K4051" s="75" t="str">
        <f>IFERROR(VLOOKUP(J4051,'NQ10'!$B$9:$C$145,2,0),"")</f>
        <v/>
      </c>
    </row>
    <row r="4052" spans="1:11" ht="15" customHeight="1" x14ac:dyDescent="0.25">
      <c r="A4052" s="75">
        <v>35</v>
      </c>
      <c r="B4052" s="75">
        <v>43</v>
      </c>
      <c r="C4052" s="75" t="s">
        <v>10</v>
      </c>
      <c r="D4052" s="75">
        <v>11775</v>
      </c>
      <c r="F4052" s="75" t="s">
        <v>10</v>
      </c>
      <c r="H4052" s="75" t="s">
        <v>10</v>
      </c>
      <c r="I4052" s="75">
        <v>19489</v>
      </c>
      <c r="K4052" s="75" t="str">
        <f>IFERROR(VLOOKUP(J4052,'NQ10'!$B$9:$C$145,2,0),"")</f>
        <v/>
      </c>
    </row>
    <row r="4053" spans="1:11" ht="15" customHeight="1" x14ac:dyDescent="0.25">
      <c r="A4053" s="75">
        <v>35</v>
      </c>
      <c r="B4053" s="75">
        <v>44</v>
      </c>
      <c r="C4053" s="75" t="s">
        <v>10</v>
      </c>
      <c r="D4053" s="75">
        <v>5052</v>
      </c>
      <c r="F4053" s="75" t="s">
        <v>10</v>
      </c>
      <c r="H4053" s="75" t="s">
        <v>10</v>
      </c>
      <c r="I4053" s="75">
        <v>19489</v>
      </c>
      <c r="K4053" s="75" t="str">
        <f>IFERROR(VLOOKUP(J4053,'NQ10'!$B$9:$C$145,2,0),"")</f>
        <v/>
      </c>
    </row>
    <row r="4054" spans="1:11" ht="15" customHeight="1" x14ac:dyDescent="0.25">
      <c r="A4054" s="75">
        <v>35</v>
      </c>
      <c r="B4054" s="75">
        <v>45</v>
      </c>
      <c r="C4054" s="75" t="s">
        <v>10</v>
      </c>
      <c r="D4054" s="75">
        <v>2777</v>
      </c>
      <c r="F4054" s="75" t="s">
        <v>10</v>
      </c>
      <c r="H4054" s="75" t="s">
        <v>10</v>
      </c>
      <c r="I4054" s="75">
        <v>19489</v>
      </c>
      <c r="K4054" s="75" t="str">
        <f>IFERROR(VLOOKUP(J4054,'NQ10'!$B$9:$C$145,2,0),"")</f>
        <v/>
      </c>
    </row>
    <row r="4055" spans="1:11" ht="15" customHeight="1" x14ac:dyDescent="0.25">
      <c r="A4055" s="75">
        <v>35</v>
      </c>
      <c r="B4055" s="75">
        <v>46</v>
      </c>
      <c r="C4055" s="75" t="s">
        <v>10</v>
      </c>
      <c r="D4055" s="75">
        <v>17947</v>
      </c>
      <c r="F4055" s="75" t="s">
        <v>10</v>
      </c>
      <c r="H4055" s="75" t="s">
        <v>10</v>
      </c>
      <c r="I4055" s="75">
        <v>19489</v>
      </c>
      <c r="K4055" s="75" t="str">
        <f>IFERROR(VLOOKUP(J4055,'NQ10'!$B$9:$C$145,2,0),"")</f>
        <v/>
      </c>
    </row>
    <row r="4056" spans="1:11" ht="15" customHeight="1" x14ac:dyDescent="0.25">
      <c r="A4056" s="75">
        <v>35</v>
      </c>
      <c r="B4056" s="75">
        <v>47</v>
      </c>
      <c r="C4056" s="75" t="s">
        <v>10</v>
      </c>
      <c r="D4056" s="75">
        <v>9501</v>
      </c>
      <c r="F4056" s="75" t="s">
        <v>10</v>
      </c>
      <c r="H4056" s="75" t="s">
        <v>10</v>
      </c>
      <c r="I4056" s="75">
        <v>19489</v>
      </c>
      <c r="K4056" s="75" t="str">
        <f>IFERROR(VLOOKUP(J4056,'NQ10'!$B$9:$C$145,2,0),"")</f>
        <v/>
      </c>
    </row>
    <row r="4057" spans="1:11" ht="15" customHeight="1" x14ac:dyDescent="0.25">
      <c r="A4057" s="75">
        <v>35</v>
      </c>
      <c r="B4057" s="75">
        <v>49</v>
      </c>
      <c r="C4057" s="75" t="s">
        <v>10</v>
      </c>
      <c r="D4057" s="75">
        <v>3014</v>
      </c>
      <c r="F4057" s="75" t="s">
        <v>10</v>
      </c>
      <c r="H4057" s="75" t="s">
        <v>10</v>
      </c>
      <c r="I4057" s="75">
        <v>19489</v>
      </c>
      <c r="K4057" s="75" t="str">
        <f>IFERROR(VLOOKUP(J4057,'NQ10'!$B$9:$C$145,2,0),"")</f>
        <v/>
      </c>
    </row>
    <row r="4058" spans="1:11" ht="15" customHeight="1" x14ac:dyDescent="0.25">
      <c r="A4058" s="75">
        <v>35</v>
      </c>
      <c r="B4058" s="75">
        <v>50</v>
      </c>
      <c r="C4058" s="75" t="s">
        <v>10</v>
      </c>
      <c r="D4058" s="75">
        <v>735</v>
      </c>
      <c r="F4058" s="75" t="s">
        <v>10</v>
      </c>
      <c r="H4058" s="75" t="s">
        <v>10</v>
      </c>
      <c r="I4058" s="75">
        <v>19489</v>
      </c>
      <c r="K4058" s="75" t="str">
        <f>IFERROR(VLOOKUP(J4058,'NQ10'!$B$9:$C$145,2,0),"")</f>
        <v/>
      </c>
    </row>
    <row r="4059" spans="1:11" ht="15" customHeight="1" x14ac:dyDescent="0.25">
      <c r="A4059" s="75">
        <v>35</v>
      </c>
      <c r="B4059" s="75">
        <v>51</v>
      </c>
      <c r="C4059" s="75" t="s">
        <v>10</v>
      </c>
      <c r="D4059" s="75">
        <v>396</v>
      </c>
      <c r="F4059" s="75" t="s">
        <v>10</v>
      </c>
      <c r="H4059" s="75" t="s">
        <v>10</v>
      </c>
      <c r="I4059" s="75">
        <v>19489</v>
      </c>
      <c r="K4059" s="75" t="str">
        <f>IFERROR(VLOOKUP(J4059,'NQ10'!$B$9:$C$145,2,0),"")</f>
        <v/>
      </c>
    </row>
    <row r="4060" spans="1:11" ht="15" customHeight="1" x14ac:dyDescent="0.25">
      <c r="A4060" s="75">
        <v>35</v>
      </c>
      <c r="B4060" s="75">
        <v>53</v>
      </c>
      <c r="C4060" s="75" t="s">
        <v>10</v>
      </c>
      <c r="D4060" s="75">
        <v>9431</v>
      </c>
      <c r="F4060" s="75" t="s">
        <v>10</v>
      </c>
      <c r="H4060" s="75" t="s">
        <v>10</v>
      </c>
      <c r="I4060" s="75">
        <v>19489</v>
      </c>
      <c r="K4060" s="75" t="str">
        <f>IFERROR(VLOOKUP(J4060,'NQ10'!$B$9:$C$145,2,0),"")</f>
        <v/>
      </c>
    </row>
    <row r="4061" spans="1:11" ht="15" customHeight="1" x14ac:dyDescent="0.25">
      <c r="A4061" s="75">
        <v>35</v>
      </c>
      <c r="B4061" s="75">
        <v>54</v>
      </c>
      <c r="C4061" s="75" t="s">
        <v>10</v>
      </c>
      <c r="D4061" s="75">
        <v>11697</v>
      </c>
      <c r="F4061" s="75" t="s">
        <v>10</v>
      </c>
      <c r="H4061" s="75" t="s">
        <v>10</v>
      </c>
      <c r="I4061" s="75">
        <v>19489</v>
      </c>
      <c r="K4061" s="75" t="str">
        <f>IFERROR(VLOOKUP(J4061,'NQ10'!$B$9:$C$145,2,0),"")</f>
        <v/>
      </c>
    </row>
    <row r="4062" spans="1:11" ht="15" customHeight="1" x14ac:dyDescent="0.25">
      <c r="A4062" s="75">
        <v>35</v>
      </c>
      <c r="B4062" s="75">
        <v>55</v>
      </c>
      <c r="C4062" s="75" t="s">
        <v>10</v>
      </c>
      <c r="D4062" s="75">
        <v>10148</v>
      </c>
      <c r="F4062" s="75" t="s">
        <v>10</v>
      </c>
      <c r="H4062" s="75" t="s">
        <v>10</v>
      </c>
      <c r="I4062" s="75">
        <v>19489</v>
      </c>
      <c r="K4062" s="75" t="str">
        <f>IFERROR(VLOOKUP(J4062,'NQ10'!$B$9:$C$145,2,0),"")</f>
        <v/>
      </c>
    </row>
    <row r="4063" spans="1:11" ht="15" customHeight="1" x14ac:dyDescent="0.25">
      <c r="A4063" s="75">
        <v>35</v>
      </c>
      <c r="B4063" s="75">
        <v>56</v>
      </c>
      <c r="C4063" s="75" t="s">
        <v>10</v>
      </c>
      <c r="D4063" s="75">
        <v>10952</v>
      </c>
      <c r="F4063" s="75" t="s">
        <v>10</v>
      </c>
      <c r="H4063" s="75" t="s">
        <v>10</v>
      </c>
      <c r="I4063" s="75">
        <v>19489</v>
      </c>
      <c r="K4063" s="75" t="str">
        <f>IFERROR(VLOOKUP(J4063,'NQ10'!$B$9:$C$145,2,0),"")</f>
        <v/>
      </c>
    </row>
    <row r="4064" spans="1:11" ht="15" customHeight="1" x14ac:dyDescent="0.25">
      <c r="A4064" s="75">
        <v>35</v>
      </c>
      <c r="B4064" s="75">
        <v>57</v>
      </c>
      <c r="C4064" s="75" t="s">
        <v>10</v>
      </c>
      <c r="D4064" s="75">
        <v>1492</v>
      </c>
      <c r="F4064" s="75" t="s">
        <v>10</v>
      </c>
      <c r="H4064" s="75" t="s">
        <v>10</v>
      </c>
      <c r="I4064" s="75">
        <v>19489</v>
      </c>
      <c r="K4064" s="75" t="str">
        <f>IFERROR(VLOOKUP(J4064,'NQ10'!$B$9:$C$145,2,0),"")</f>
        <v/>
      </c>
    </row>
    <row r="4065" spans="1:11" ht="15" customHeight="1" x14ac:dyDescent="0.25">
      <c r="A4065" s="75">
        <v>35</v>
      </c>
      <c r="B4065" s="75">
        <v>58</v>
      </c>
      <c r="C4065" s="75" t="s">
        <v>10</v>
      </c>
      <c r="D4065" s="75">
        <v>8886</v>
      </c>
      <c r="F4065" s="75" t="s">
        <v>10</v>
      </c>
      <c r="H4065" s="75" t="s">
        <v>10</v>
      </c>
      <c r="I4065" s="75">
        <v>19489</v>
      </c>
      <c r="K4065" s="75" t="str">
        <f>IFERROR(VLOOKUP(J4065,'NQ10'!$B$9:$C$145,2,0),"")</f>
        <v/>
      </c>
    </row>
    <row r="4066" spans="1:11" ht="15" customHeight="1" x14ac:dyDescent="0.25">
      <c r="A4066" s="75">
        <v>35</v>
      </c>
      <c r="B4066" s="75">
        <v>59</v>
      </c>
      <c r="C4066" s="75" t="s">
        <v>10</v>
      </c>
      <c r="D4066" s="75">
        <v>678</v>
      </c>
      <c r="F4066" s="75" t="s">
        <v>10</v>
      </c>
      <c r="H4066" s="75" t="s">
        <v>10</v>
      </c>
      <c r="I4066" s="75">
        <v>19489</v>
      </c>
      <c r="K4066" s="75" t="str">
        <f>IFERROR(VLOOKUP(J4066,'NQ10'!$B$9:$C$145,2,0),"")</f>
        <v/>
      </c>
    </row>
    <row r="4067" spans="1:11" ht="15" customHeight="1" x14ac:dyDescent="0.25">
      <c r="A4067" s="75">
        <v>35</v>
      </c>
      <c r="B4067" s="75">
        <v>61</v>
      </c>
      <c r="C4067" s="75" t="s">
        <v>10</v>
      </c>
      <c r="D4067" s="75">
        <v>10168</v>
      </c>
      <c r="F4067" s="75" t="s">
        <v>10</v>
      </c>
      <c r="H4067" s="75" t="s">
        <v>10</v>
      </c>
      <c r="I4067" s="75">
        <v>19489</v>
      </c>
      <c r="K4067" s="75" t="str">
        <f>IFERROR(VLOOKUP(J4067,'NQ10'!$B$9:$C$145,2,0),"")</f>
        <v/>
      </c>
    </row>
    <row r="4068" spans="1:11" ht="15" customHeight="1" x14ac:dyDescent="0.25">
      <c r="A4068" s="75">
        <v>35</v>
      </c>
      <c r="B4068" s="75">
        <v>63</v>
      </c>
      <c r="C4068" s="75" t="s">
        <v>10</v>
      </c>
      <c r="D4068" s="75">
        <v>10763</v>
      </c>
      <c r="F4068" s="75" t="s">
        <v>10</v>
      </c>
      <c r="H4068" s="75" t="s">
        <v>10</v>
      </c>
      <c r="I4068" s="75">
        <v>19489</v>
      </c>
      <c r="K4068" s="75" t="str">
        <f>IFERROR(VLOOKUP(J4068,'NQ10'!$B$9:$C$145,2,0),"")</f>
        <v/>
      </c>
    </row>
    <row r="4069" spans="1:11" ht="15" customHeight="1" x14ac:dyDescent="0.25">
      <c r="A4069" s="75">
        <v>35</v>
      </c>
      <c r="B4069" s="75">
        <v>64</v>
      </c>
      <c r="C4069" s="75" t="s">
        <v>10</v>
      </c>
      <c r="D4069" s="75">
        <v>489</v>
      </c>
      <c r="F4069" s="75" t="s">
        <v>10</v>
      </c>
      <c r="H4069" s="75" t="s">
        <v>10</v>
      </c>
      <c r="I4069" s="75">
        <v>19489</v>
      </c>
      <c r="K4069" s="75" t="str">
        <f>IFERROR(VLOOKUP(J4069,'NQ10'!$B$9:$C$145,2,0),"")</f>
        <v/>
      </c>
    </row>
    <row r="4070" spans="1:11" ht="15" customHeight="1" x14ac:dyDescent="0.25">
      <c r="A4070" s="75">
        <v>35</v>
      </c>
      <c r="B4070" s="75">
        <v>65</v>
      </c>
      <c r="C4070" s="75" t="s">
        <v>10</v>
      </c>
      <c r="D4070" s="75">
        <v>4771</v>
      </c>
      <c r="F4070" s="75" t="s">
        <v>10</v>
      </c>
      <c r="H4070" s="75" t="s">
        <v>10</v>
      </c>
      <c r="I4070" s="75">
        <v>19489</v>
      </c>
      <c r="K4070" s="75" t="str">
        <f>IFERROR(VLOOKUP(J4070,'NQ10'!$B$9:$C$145,2,0),"")</f>
        <v/>
      </c>
    </row>
    <row r="4071" spans="1:11" ht="15" customHeight="1" x14ac:dyDescent="0.25">
      <c r="A4071" s="75">
        <v>35</v>
      </c>
      <c r="B4071" s="75">
        <v>66</v>
      </c>
      <c r="C4071" s="75" t="s">
        <v>10</v>
      </c>
      <c r="D4071" s="75">
        <v>450</v>
      </c>
      <c r="F4071" s="75" t="s">
        <v>10</v>
      </c>
      <c r="H4071" s="75" t="s">
        <v>10</v>
      </c>
      <c r="I4071" s="75">
        <v>19489</v>
      </c>
      <c r="K4071" s="75" t="str">
        <f>IFERROR(VLOOKUP(J4071,'NQ10'!$B$9:$C$145,2,0),"")</f>
        <v/>
      </c>
    </row>
    <row r="4072" spans="1:11" ht="15" customHeight="1" x14ac:dyDescent="0.25">
      <c r="A4072" s="75">
        <v>35</v>
      </c>
      <c r="B4072" s="75">
        <v>67</v>
      </c>
      <c r="C4072" s="75" t="s">
        <v>10</v>
      </c>
      <c r="D4072" s="75">
        <v>3342</v>
      </c>
      <c r="F4072" s="75" t="s">
        <v>10</v>
      </c>
      <c r="H4072" s="75" t="s">
        <v>10</v>
      </c>
      <c r="I4072" s="75">
        <v>19489</v>
      </c>
      <c r="K4072" s="75" t="str">
        <f>IFERROR(VLOOKUP(J4072,'NQ10'!$B$9:$C$145,2,0),"")</f>
        <v/>
      </c>
    </row>
    <row r="4073" spans="1:11" ht="15" customHeight="1" x14ac:dyDescent="0.25">
      <c r="A4073" s="75">
        <v>35</v>
      </c>
      <c r="B4073" s="75">
        <v>68</v>
      </c>
      <c r="C4073" s="75" t="s">
        <v>10</v>
      </c>
      <c r="D4073" s="75">
        <v>3572</v>
      </c>
      <c r="F4073" s="75" t="s">
        <v>10</v>
      </c>
      <c r="H4073" s="75" t="s">
        <v>10</v>
      </c>
      <c r="I4073" s="75">
        <v>19489</v>
      </c>
      <c r="K4073" s="75" t="str">
        <f>IFERROR(VLOOKUP(J4073,'NQ10'!$B$9:$C$145,2,0),"")</f>
        <v/>
      </c>
    </row>
    <row r="4074" spans="1:11" ht="15" customHeight="1" x14ac:dyDescent="0.25">
      <c r="A4074" s="75">
        <v>35</v>
      </c>
      <c r="B4074" s="75">
        <v>69</v>
      </c>
      <c r="C4074" s="75" t="s">
        <v>10</v>
      </c>
      <c r="D4074" s="75">
        <v>24456</v>
      </c>
      <c r="F4074" s="75" t="s">
        <v>10</v>
      </c>
      <c r="H4074" s="75" t="s">
        <v>10</v>
      </c>
      <c r="I4074" s="75">
        <v>19489</v>
      </c>
      <c r="K4074" s="75" t="str">
        <f>IFERROR(VLOOKUP(J4074,'NQ10'!$B$9:$C$145,2,0),"")</f>
        <v/>
      </c>
    </row>
    <row r="4075" spans="1:11" ht="15" customHeight="1" x14ac:dyDescent="0.25">
      <c r="A4075" s="75">
        <v>35</v>
      </c>
      <c r="B4075" s="75">
        <v>70</v>
      </c>
      <c r="C4075" s="75" t="s">
        <v>10</v>
      </c>
      <c r="D4075" s="75">
        <v>10615</v>
      </c>
      <c r="F4075" s="75" t="s">
        <v>10</v>
      </c>
      <c r="H4075" s="75" t="s">
        <v>10</v>
      </c>
      <c r="I4075" s="75">
        <v>19489</v>
      </c>
      <c r="K4075" s="75" t="str">
        <f>IFERROR(VLOOKUP(J4075,'NQ10'!$B$9:$C$145,2,0),"")</f>
        <v/>
      </c>
    </row>
    <row r="4076" spans="1:11" ht="15" customHeight="1" x14ac:dyDescent="0.25">
      <c r="A4076" s="75">
        <v>35</v>
      </c>
      <c r="B4076" s="75">
        <v>71</v>
      </c>
      <c r="C4076" s="75" t="s">
        <v>10</v>
      </c>
      <c r="D4076" s="75">
        <v>17973</v>
      </c>
      <c r="F4076" s="75" t="s">
        <v>10</v>
      </c>
      <c r="H4076" s="75" t="s">
        <v>10</v>
      </c>
      <c r="I4076" s="75">
        <v>19489</v>
      </c>
      <c r="K4076" s="75" t="str">
        <f>IFERROR(VLOOKUP(J4076,'NQ10'!$B$9:$C$145,2,0),"")</f>
        <v/>
      </c>
    </row>
    <row r="4077" spans="1:11" ht="15" customHeight="1" x14ac:dyDescent="0.25">
      <c r="A4077" s="75">
        <v>35</v>
      </c>
      <c r="B4077" s="75">
        <v>73</v>
      </c>
      <c r="C4077" s="75" t="s">
        <v>10</v>
      </c>
      <c r="D4077" s="75">
        <v>7049</v>
      </c>
      <c r="F4077" s="75" t="s">
        <v>10</v>
      </c>
      <c r="H4077" s="75" t="s">
        <v>10</v>
      </c>
      <c r="I4077" s="75">
        <v>19489</v>
      </c>
      <c r="K4077" s="75" t="str">
        <f>IFERROR(VLOOKUP(J4077,'NQ10'!$B$9:$C$145,2,0),"")</f>
        <v/>
      </c>
    </row>
    <row r="4078" spans="1:11" ht="15" customHeight="1" x14ac:dyDescent="0.25">
      <c r="A4078" s="75">
        <v>35</v>
      </c>
      <c r="B4078" s="75">
        <v>74</v>
      </c>
      <c r="C4078" s="75" t="s">
        <v>10</v>
      </c>
      <c r="D4078" s="75">
        <v>10368</v>
      </c>
      <c r="F4078" s="75" t="s">
        <v>10</v>
      </c>
      <c r="H4078" s="75" t="s">
        <v>10</v>
      </c>
      <c r="I4078" s="75">
        <v>19489</v>
      </c>
      <c r="K4078" s="75" t="str">
        <f>IFERROR(VLOOKUP(J4078,'NQ10'!$B$9:$C$145,2,0),"")</f>
        <v/>
      </c>
    </row>
    <row r="4079" spans="1:11" ht="15" customHeight="1" x14ac:dyDescent="0.25">
      <c r="A4079" s="75">
        <v>35</v>
      </c>
      <c r="B4079" s="75">
        <v>75</v>
      </c>
      <c r="C4079" s="75" t="s">
        <v>10</v>
      </c>
      <c r="D4079" s="75">
        <v>7249</v>
      </c>
      <c r="F4079" s="75" t="s">
        <v>10</v>
      </c>
      <c r="H4079" s="75" t="s">
        <v>10</v>
      </c>
      <c r="I4079" s="75">
        <v>19489</v>
      </c>
      <c r="K4079" s="75" t="str">
        <f>IFERROR(VLOOKUP(J4079,'NQ10'!$B$9:$C$145,2,0),"")</f>
        <v/>
      </c>
    </row>
    <row r="4080" spans="1:11" ht="15" customHeight="1" x14ac:dyDescent="0.25">
      <c r="A4080" s="75">
        <v>35</v>
      </c>
      <c r="B4080" s="75">
        <v>76</v>
      </c>
      <c r="C4080" s="75" t="s">
        <v>10</v>
      </c>
      <c r="D4080" s="75">
        <v>9850</v>
      </c>
      <c r="F4080" s="75" t="s">
        <v>10</v>
      </c>
      <c r="H4080" s="75" t="s">
        <v>10</v>
      </c>
      <c r="I4080" s="75">
        <v>19489</v>
      </c>
      <c r="K4080" s="75" t="str">
        <f>IFERROR(VLOOKUP(J4080,'NQ10'!$B$9:$C$145,2,0),"")</f>
        <v/>
      </c>
    </row>
    <row r="4081" spans="1:11" ht="15" customHeight="1" x14ac:dyDescent="0.25">
      <c r="A4081" s="75">
        <v>35</v>
      </c>
      <c r="B4081" s="75">
        <v>77</v>
      </c>
      <c r="C4081" s="75" t="s">
        <v>10</v>
      </c>
      <c r="D4081" s="75">
        <v>9345</v>
      </c>
      <c r="F4081" s="75" t="s">
        <v>10</v>
      </c>
      <c r="H4081" s="75" t="s">
        <v>10</v>
      </c>
      <c r="I4081" s="75">
        <v>19489</v>
      </c>
      <c r="K4081" s="75" t="str">
        <f>IFERROR(VLOOKUP(J4081,'NQ10'!$B$9:$C$145,2,0),"")</f>
        <v/>
      </c>
    </row>
    <row r="4082" spans="1:11" ht="15" customHeight="1" x14ac:dyDescent="0.25">
      <c r="A4082" s="75">
        <v>35</v>
      </c>
      <c r="B4082" s="75">
        <v>78</v>
      </c>
      <c r="C4082" s="75" t="s">
        <v>10</v>
      </c>
      <c r="D4082" s="75">
        <v>18565</v>
      </c>
      <c r="F4082" s="75" t="s">
        <v>10</v>
      </c>
      <c r="H4082" s="75" t="s">
        <v>10</v>
      </c>
      <c r="I4082" s="75">
        <v>19489</v>
      </c>
      <c r="K4082" s="75" t="str">
        <f>IFERROR(VLOOKUP(J4082,'NQ10'!$B$9:$C$145,2,0),"")</f>
        <v/>
      </c>
    </row>
    <row r="4083" spans="1:11" ht="15" customHeight="1" x14ac:dyDescent="0.25">
      <c r="A4083" s="75">
        <v>35</v>
      </c>
      <c r="B4083" s="75">
        <v>79</v>
      </c>
      <c r="C4083" s="75" t="s">
        <v>10</v>
      </c>
      <c r="D4083" s="75">
        <v>9778</v>
      </c>
      <c r="F4083" s="75" t="s">
        <v>10</v>
      </c>
      <c r="H4083" s="75" t="s">
        <v>10</v>
      </c>
      <c r="I4083" s="75">
        <v>19489</v>
      </c>
      <c r="K4083" s="75" t="str">
        <f>IFERROR(VLOOKUP(J4083,'NQ10'!$B$9:$C$145,2,0),"")</f>
        <v/>
      </c>
    </row>
    <row r="4084" spans="1:11" ht="15" customHeight="1" x14ac:dyDescent="0.25">
      <c r="A4084" s="75">
        <v>35</v>
      </c>
      <c r="B4084" s="75">
        <v>80</v>
      </c>
      <c r="C4084" s="75" t="s">
        <v>10</v>
      </c>
      <c r="D4084" s="75">
        <v>2939</v>
      </c>
      <c r="F4084" s="75" t="s">
        <v>10</v>
      </c>
      <c r="H4084" s="75" t="s">
        <v>10</v>
      </c>
      <c r="I4084" s="75">
        <v>19489</v>
      </c>
      <c r="K4084" s="75" t="str">
        <f>IFERROR(VLOOKUP(J4084,'NQ10'!$B$9:$C$145,2,0),"")</f>
        <v/>
      </c>
    </row>
    <row r="4085" spans="1:11" ht="15" customHeight="1" x14ac:dyDescent="0.25">
      <c r="A4085" s="75">
        <v>35</v>
      </c>
      <c r="B4085" s="75">
        <v>83</v>
      </c>
      <c r="C4085" s="75" t="s">
        <v>10</v>
      </c>
      <c r="D4085" s="75">
        <v>518</v>
      </c>
      <c r="F4085" s="75" t="s">
        <v>10</v>
      </c>
      <c r="H4085" s="75" t="s">
        <v>10</v>
      </c>
      <c r="I4085" s="75">
        <v>19489</v>
      </c>
      <c r="K4085" s="75" t="str">
        <f>IFERROR(VLOOKUP(J4085,'NQ10'!$B$9:$C$145,2,0),"")</f>
        <v/>
      </c>
    </row>
    <row r="4086" spans="1:11" ht="15" customHeight="1" x14ac:dyDescent="0.25">
      <c r="A4086" s="75">
        <v>35</v>
      </c>
      <c r="B4086" s="75">
        <v>85</v>
      </c>
      <c r="C4086" s="75" t="s">
        <v>10</v>
      </c>
      <c r="D4086" s="75">
        <v>733</v>
      </c>
      <c r="F4086" s="75" t="s">
        <v>10</v>
      </c>
      <c r="H4086" s="75" t="s">
        <v>10</v>
      </c>
      <c r="I4086" s="75">
        <v>19489</v>
      </c>
      <c r="K4086" s="75" t="str">
        <f>IFERROR(VLOOKUP(J4086,'NQ10'!$B$9:$C$145,2,0),"")</f>
        <v/>
      </c>
    </row>
    <row r="4087" spans="1:11" ht="15" customHeight="1" x14ac:dyDescent="0.25">
      <c r="A4087" s="75">
        <v>35</v>
      </c>
      <c r="B4087" s="75">
        <v>86</v>
      </c>
      <c r="C4087" s="75" t="s">
        <v>10</v>
      </c>
      <c r="D4087" s="75">
        <v>8622</v>
      </c>
      <c r="F4087" s="75" t="s">
        <v>10</v>
      </c>
      <c r="H4087" s="75" t="s">
        <v>10</v>
      </c>
      <c r="I4087" s="75">
        <v>19489</v>
      </c>
      <c r="K4087" s="75" t="str">
        <f>IFERROR(VLOOKUP(J4087,'NQ10'!$B$9:$C$145,2,0),"")</f>
        <v/>
      </c>
    </row>
    <row r="4088" spans="1:11" ht="15" customHeight="1" x14ac:dyDescent="0.25">
      <c r="A4088" s="75">
        <v>35</v>
      </c>
      <c r="B4088" s="75">
        <v>87</v>
      </c>
      <c r="C4088" s="75" t="s">
        <v>10</v>
      </c>
      <c r="D4088" s="75">
        <v>155</v>
      </c>
      <c r="F4088" s="75" t="s">
        <v>10</v>
      </c>
      <c r="H4088" s="75" t="s">
        <v>10</v>
      </c>
      <c r="I4088" s="75">
        <v>19489</v>
      </c>
      <c r="K4088" s="75" t="str">
        <f>IFERROR(VLOOKUP(J4088,'NQ10'!$B$9:$C$145,2,0),"")</f>
        <v/>
      </c>
    </row>
    <row r="4089" spans="1:11" ht="15" customHeight="1" x14ac:dyDescent="0.25">
      <c r="A4089" s="75">
        <v>35</v>
      </c>
      <c r="B4089" s="75">
        <v>88</v>
      </c>
      <c r="C4089" s="75" t="s">
        <v>10</v>
      </c>
      <c r="D4089" s="75">
        <v>141</v>
      </c>
      <c r="F4089" s="75" t="s">
        <v>10</v>
      </c>
      <c r="H4089" s="75" t="s">
        <v>10</v>
      </c>
      <c r="I4089" s="75">
        <v>19489</v>
      </c>
      <c r="K4089" s="75" t="str">
        <f>IFERROR(VLOOKUP(J4089,'NQ10'!$B$9:$C$145,2,0),"")</f>
        <v/>
      </c>
    </row>
    <row r="4090" spans="1:11" ht="15" customHeight="1" x14ac:dyDescent="0.25">
      <c r="A4090" s="75">
        <v>35</v>
      </c>
      <c r="B4090" s="75">
        <v>89</v>
      </c>
      <c r="C4090" s="75" t="s">
        <v>10</v>
      </c>
      <c r="D4090" s="75">
        <v>208</v>
      </c>
      <c r="F4090" s="75" t="s">
        <v>10</v>
      </c>
      <c r="H4090" s="75" t="s">
        <v>10</v>
      </c>
      <c r="I4090" s="75">
        <v>19489</v>
      </c>
      <c r="K4090" s="75" t="str">
        <f>IFERROR(VLOOKUP(J4090,'NQ10'!$B$9:$C$145,2,0),"")</f>
        <v/>
      </c>
    </row>
    <row r="4091" spans="1:11" ht="15" customHeight="1" x14ac:dyDescent="0.25">
      <c r="A4091" s="75">
        <v>35</v>
      </c>
      <c r="B4091" s="75">
        <v>90</v>
      </c>
      <c r="C4091" s="75" t="s">
        <v>10</v>
      </c>
      <c r="D4091" s="75">
        <v>12631</v>
      </c>
      <c r="F4091" s="75" t="s">
        <v>10</v>
      </c>
      <c r="H4091" s="75" t="s">
        <v>10</v>
      </c>
      <c r="I4091" s="75">
        <v>19489</v>
      </c>
      <c r="K4091" s="75" t="str">
        <f>IFERROR(VLOOKUP(J4091,'NQ10'!$B$9:$C$145,2,0),"")</f>
        <v/>
      </c>
    </row>
    <row r="4092" spans="1:11" ht="15" customHeight="1" x14ac:dyDescent="0.25">
      <c r="A4092" s="75">
        <v>35</v>
      </c>
      <c r="B4092" s="75">
        <v>91</v>
      </c>
      <c r="C4092" s="75" t="s">
        <v>10</v>
      </c>
      <c r="D4092" s="75">
        <v>2981</v>
      </c>
      <c r="F4092" s="75" t="s">
        <v>10</v>
      </c>
      <c r="H4092" s="75" t="s">
        <v>10</v>
      </c>
      <c r="I4092" s="75">
        <v>19489</v>
      </c>
      <c r="K4092" s="75" t="str">
        <f>IFERROR(VLOOKUP(J4092,'NQ10'!$B$9:$C$145,2,0),"")</f>
        <v/>
      </c>
    </row>
    <row r="4093" spans="1:11" ht="15" customHeight="1" x14ac:dyDescent="0.25">
      <c r="A4093" s="75">
        <v>35</v>
      </c>
      <c r="B4093" s="75">
        <v>92</v>
      </c>
      <c r="C4093" s="75" t="s">
        <v>10</v>
      </c>
      <c r="D4093" s="75">
        <v>1449</v>
      </c>
      <c r="F4093" s="75" t="s">
        <v>10</v>
      </c>
      <c r="H4093" s="75" t="s">
        <v>10</v>
      </c>
      <c r="I4093" s="75">
        <v>19489</v>
      </c>
      <c r="K4093" s="75" t="str">
        <f>IFERROR(VLOOKUP(J4093,'NQ10'!$B$9:$C$145,2,0),"")</f>
        <v/>
      </c>
    </row>
    <row r="4094" spans="1:11" ht="15" customHeight="1" x14ac:dyDescent="0.25">
      <c r="A4094" s="75">
        <v>35</v>
      </c>
      <c r="B4094" s="75">
        <v>93</v>
      </c>
      <c r="C4094" s="75" t="s">
        <v>10</v>
      </c>
      <c r="D4094" s="75">
        <v>193</v>
      </c>
      <c r="F4094" s="75" t="s">
        <v>10</v>
      </c>
      <c r="H4094" s="75" t="s">
        <v>10</v>
      </c>
      <c r="I4094" s="75">
        <v>19489</v>
      </c>
      <c r="K4094" s="75" t="str">
        <f>IFERROR(VLOOKUP(J4094,'NQ10'!$B$9:$C$145,2,0),"")</f>
        <v/>
      </c>
    </row>
    <row r="4095" spans="1:11" ht="15" customHeight="1" x14ac:dyDescent="0.25">
      <c r="A4095" s="75">
        <v>35</v>
      </c>
      <c r="B4095" s="75">
        <v>94</v>
      </c>
      <c r="C4095" s="75" t="s">
        <v>10</v>
      </c>
      <c r="D4095" s="75">
        <v>240</v>
      </c>
      <c r="F4095" s="75" t="s">
        <v>10</v>
      </c>
      <c r="H4095" s="75" t="s">
        <v>10</v>
      </c>
      <c r="I4095" s="75">
        <v>19489</v>
      </c>
      <c r="K4095" s="75" t="str">
        <f>IFERROR(VLOOKUP(J4095,'NQ10'!$B$9:$C$145,2,0),"")</f>
        <v/>
      </c>
    </row>
    <row r="4096" spans="1:11" ht="15" customHeight="1" x14ac:dyDescent="0.25">
      <c r="A4096" s="75">
        <v>35</v>
      </c>
      <c r="B4096" s="75">
        <v>95</v>
      </c>
      <c r="C4096" s="75" t="s">
        <v>10</v>
      </c>
      <c r="D4096" s="75">
        <v>170</v>
      </c>
      <c r="F4096" s="75" t="s">
        <v>10</v>
      </c>
      <c r="H4096" s="75" t="s">
        <v>10</v>
      </c>
      <c r="I4096" s="75">
        <v>19489</v>
      </c>
      <c r="K4096" s="75" t="str">
        <f>IFERROR(VLOOKUP(J4096,'NQ10'!$B$9:$C$145,2,0),"")</f>
        <v/>
      </c>
    </row>
    <row r="4097" spans="1:11" ht="15" customHeight="1" x14ac:dyDescent="0.25">
      <c r="A4097" s="75">
        <v>35</v>
      </c>
      <c r="B4097" s="75">
        <v>97</v>
      </c>
      <c r="C4097" s="75" t="s">
        <v>10</v>
      </c>
      <c r="D4097" s="75">
        <v>4621</v>
      </c>
      <c r="F4097" s="75" t="s">
        <v>10</v>
      </c>
      <c r="H4097" s="75" t="s">
        <v>10</v>
      </c>
      <c r="I4097" s="75">
        <v>19489</v>
      </c>
      <c r="K4097" s="75" t="str">
        <f>IFERROR(VLOOKUP(J4097,'NQ10'!$B$9:$C$145,2,0),"")</f>
        <v/>
      </c>
    </row>
    <row r="4098" spans="1:11" ht="15" customHeight="1" x14ac:dyDescent="0.25">
      <c r="A4098" s="75">
        <v>35</v>
      </c>
      <c r="B4098" s="75">
        <v>98</v>
      </c>
      <c r="C4098" s="75" t="s">
        <v>10</v>
      </c>
      <c r="D4098" s="75">
        <v>112</v>
      </c>
      <c r="F4098" s="75" t="s">
        <v>10</v>
      </c>
      <c r="H4098" s="75" t="s">
        <v>10</v>
      </c>
      <c r="I4098" s="75">
        <v>19489</v>
      </c>
      <c r="K4098" s="75" t="str">
        <f>IFERROR(VLOOKUP(J4098,'NQ10'!$B$9:$C$145,2,0),"")</f>
        <v/>
      </c>
    </row>
    <row r="4099" spans="1:11" ht="15" customHeight="1" x14ac:dyDescent="0.25">
      <c r="A4099" s="75">
        <v>35</v>
      </c>
      <c r="B4099" s="75">
        <v>99</v>
      </c>
      <c r="C4099" s="75" t="s">
        <v>10</v>
      </c>
      <c r="D4099" s="75">
        <v>185</v>
      </c>
      <c r="F4099" s="75" t="s">
        <v>10</v>
      </c>
      <c r="H4099" s="75" t="s">
        <v>10</v>
      </c>
      <c r="I4099" s="75">
        <v>19489</v>
      </c>
      <c r="K4099" s="75" t="str">
        <f>IFERROR(VLOOKUP(J4099,'NQ10'!$B$9:$C$145,2,0),"")</f>
        <v/>
      </c>
    </row>
    <row r="4100" spans="1:11" ht="15" customHeight="1" x14ac:dyDescent="0.25">
      <c r="A4100" s="75">
        <v>35</v>
      </c>
      <c r="B4100" s="75">
        <v>100</v>
      </c>
      <c r="C4100" s="75" t="s">
        <v>10</v>
      </c>
      <c r="D4100" s="75">
        <v>90</v>
      </c>
      <c r="F4100" s="75" t="s">
        <v>10</v>
      </c>
      <c r="H4100" s="75" t="s">
        <v>10</v>
      </c>
      <c r="I4100" s="75">
        <v>19489</v>
      </c>
      <c r="K4100" s="75" t="str">
        <f>IFERROR(VLOOKUP(J4100,'NQ10'!$B$9:$C$145,2,0),"")</f>
        <v/>
      </c>
    </row>
    <row r="4101" spans="1:11" ht="15" customHeight="1" x14ac:dyDescent="0.25">
      <c r="A4101" s="75">
        <v>35</v>
      </c>
      <c r="B4101" s="75">
        <v>102</v>
      </c>
      <c r="C4101" s="75" t="s">
        <v>10</v>
      </c>
      <c r="D4101" s="75">
        <v>8623</v>
      </c>
      <c r="F4101" s="75" t="s">
        <v>10</v>
      </c>
      <c r="H4101" s="75" t="s">
        <v>10</v>
      </c>
      <c r="I4101" s="75">
        <v>19489</v>
      </c>
      <c r="K4101" s="75" t="str">
        <f>IFERROR(VLOOKUP(J4101,'NQ10'!$B$9:$C$145,2,0),"")</f>
        <v/>
      </c>
    </row>
    <row r="4102" spans="1:11" ht="15" customHeight="1" x14ac:dyDescent="0.25">
      <c r="A4102" s="75">
        <v>35</v>
      </c>
      <c r="B4102" s="75">
        <v>103</v>
      </c>
      <c r="C4102" s="75" t="s">
        <v>10</v>
      </c>
      <c r="D4102" s="75">
        <v>418</v>
      </c>
      <c r="F4102" s="75" t="s">
        <v>10</v>
      </c>
      <c r="H4102" s="75" t="s">
        <v>10</v>
      </c>
      <c r="I4102" s="75">
        <v>19489</v>
      </c>
      <c r="K4102" s="75" t="str">
        <f>IFERROR(VLOOKUP(J4102,'NQ10'!$B$9:$C$145,2,0),"")</f>
        <v/>
      </c>
    </row>
    <row r="4103" spans="1:11" ht="15" customHeight="1" x14ac:dyDescent="0.25">
      <c r="A4103" s="75">
        <v>35</v>
      </c>
      <c r="B4103" s="75">
        <v>104</v>
      </c>
      <c r="C4103" s="75" t="s">
        <v>10</v>
      </c>
      <c r="D4103" s="75">
        <v>334</v>
      </c>
      <c r="F4103" s="75" t="s">
        <v>10</v>
      </c>
      <c r="H4103" s="75" t="s">
        <v>10</v>
      </c>
      <c r="I4103" s="75">
        <v>19489</v>
      </c>
      <c r="K4103" s="75" t="str">
        <f>IFERROR(VLOOKUP(J4103,'NQ10'!$B$9:$C$145,2,0),"")</f>
        <v/>
      </c>
    </row>
    <row r="4104" spans="1:11" ht="15" customHeight="1" x14ac:dyDescent="0.25">
      <c r="A4104" s="75">
        <v>35</v>
      </c>
      <c r="B4104" s="75">
        <v>105</v>
      </c>
      <c r="C4104" s="75" t="s">
        <v>10</v>
      </c>
      <c r="D4104" s="75">
        <v>282</v>
      </c>
      <c r="F4104" s="75" t="s">
        <v>10</v>
      </c>
      <c r="H4104" s="75" t="s">
        <v>10</v>
      </c>
      <c r="I4104" s="75">
        <v>19489</v>
      </c>
      <c r="K4104" s="75" t="str">
        <f>IFERROR(VLOOKUP(J4104,'NQ10'!$B$9:$C$145,2,0),"")</f>
        <v/>
      </c>
    </row>
    <row r="4105" spans="1:11" ht="15" customHeight="1" x14ac:dyDescent="0.25">
      <c r="A4105" s="75">
        <v>35</v>
      </c>
      <c r="B4105" s="75">
        <v>106</v>
      </c>
      <c r="C4105" s="75" t="s">
        <v>10</v>
      </c>
      <c r="D4105" s="75">
        <v>2411</v>
      </c>
      <c r="F4105" s="75" t="s">
        <v>10</v>
      </c>
      <c r="H4105" s="75" t="s">
        <v>10</v>
      </c>
      <c r="I4105" s="75">
        <v>19489</v>
      </c>
      <c r="K4105" s="75" t="str">
        <f>IFERROR(VLOOKUP(J4105,'NQ10'!$B$9:$C$145,2,0),"")</f>
        <v/>
      </c>
    </row>
    <row r="4106" spans="1:11" ht="15" customHeight="1" x14ac:dyDescent="0.25">
      <c r="A4106" s="75">
        <v>35</v>
      </c>
      <c r="B4106" s="75">
        <v>107</v>
      </c>
      <c r="C4106" s="75" t="s">
        <v>10</v>
      </c>
      <c r="D4106" s="75">
        <v>555</v>
      </c>
      <c r="F4106" s="75" t="s">
        <v>10</v>
      </c>
      <c r="H4106" s="75" t="s">
        <v>10</v>
      </c>
      <c r="I4106" s="75">
        <v>19489</v>
      </c>
      <c r="K4106" s="75" t="str">
        <f>IFERROR(VLOOKUP(J4106,'NQ10'!$B$9:$C$145,2,0),"")</f>
        <v/>
      </c>
    </row>
    <row r="4107" spans="1:11" ht="15" customHeight="1" x14ac:dyDescent="0.25">
      <c r="A4107" s="75">
        <v>35</v>
      </c>
      <c r="B4107" s="75">
        <v>109</v>
      </c>
      <c r="C4107" s="75" t="s">
        <v>10</v>
      </c>
      <c r="D4107" s="75">
        <v>3939</v>
      </c>
      <c r="F4107" s="75" t="s">
        <v>10</v>
      </c>
      <c r="H4107" s="75" t="s">
        <v>10</v>
      </c>
      <c r="I4107" s="75">
        <v>19489</v>
      </c>
      <c r="K4107" s="75" t="str">
        <f>IFERROR(VLOOKUP(J4107,'NQ10'!$B$9:$C$145,2,0),"")</f>
        <v/>
      </c>
    </row>
    <row r="4108" spans="1:11" ht="15" customHeight="1" x14ac:dyDescent="0.25">
      <c r="A4108" s="75">
        <v>35</v>
      </c>
      <c r="B4108" s="75">
        <v>111</v>
      </c>
      <c r="C4108" s="75" t="s">
        <v>10</v>
      </c>
      <c r="D4108" s="75">
        <v>182</v>
      </c>
      <c r="F4108" s="75" t="s">
        <v>10</v>
      </c>
      <c r="H4108" s="75" t="s">
        <v>10</v>
      </c>
      <c r="I4108" s="75">
        <v>19489</v>
      </c>
      <c r="K4108" s="75" t="str">
        <f>IFERROR(VLOOKUP(J4108,'NQ10'!$B$9:$C$145,2,0),"")</f>
        <v/>
      </c>
    </row>
    <row r="4109" spans="1:11" ht="15" customHeight="1" x14ac:dyDescent="0.25">
      <c r="A4109" s="75">
        <v>35</v>
      </c>
      <c r="B4109" s="75">
        <v>112</v>
      </c>
      <c r="C4109" s="75" t="s">
        <v>10</v>
      </c>
      <c r="D4109" s="75">
        <v>9238</v>
      </c>
      <c r="F4109" s="75" t="s">
        <v>10</v>
      </c>
      <c r="H4109" s="75" t="s">
        <v>10</v>
      </c>
      <c r="I4109" s="75">
        <v>19489</v>
      </c>
      <c r="K4109" s="75" t="str">
        <f>IFERROR(VLOOKUP(J4109,'NQ10'!$B$9:$C$145,2,0),"")</f>
        <v/>
      </c>
    </row>
    <row r="4110" spans="1:11" ht="15" customHeight="1" x14ac:dyDescent="0.25">
      <c r="A4110" s="75">
        <v>35</v>
      </c>
      <c r="B4110" s="75">
        <v>113</v>
      </c>
      <c r="C4110" s="75" t="s">
        <v>10</v>
      </c>
      <c r="D4110" s="75">
        <v>3271</v>
      </c>
      <c r="F4110" s="75" t="s">
        <v>10</v>
      </c>
      <c r="H4110" s="75" t="s">
        <v>10</v>
      </c>
      <c r="I4110" s="75">
        <v>19489</v>
      </c>
      <c r="K4110" s="75" t="str">
        <f>IFERROR(VLOOKUP(J4110,'NQ10'!$B$9:$C$145,2,0),"")</f>
        <v/>
      </c>
    </row>
    <row r="4111" spans="1:11" ht="15" customHeight="1" x14ac:dyDescent="0.25">
      <c r="A4111" s="75">
        <v>35</v>
      </c>
      <c r="B4111" s="75">
        <v>114</v>
      </c>
      <c r="C4111" s="75" t="s">
        <v>10</v>
      </c>
      <c r="D4111" s="75">
        <v>5153</v>
      </c>
      <c r="F4111" s="75" t="s">
        <v>10</v>
      </c>
      <c r="H4111" s="75" t="s">
        <v>10</v>
      </c>
      <c r="I4111" s="75">
        <v>19489</v>
      </c>
      <c r="K4111" s="75" t="str">
        <f>IFERROR(VLOOKUP(J4111,'NQ10'!$B$9:$C$145,2,0),"")</f>
        <v/>
      </c>
    </row>
    <row r="4112" spans="1:11" ht="15" customHeight="1" x14ac:dyDescent="0.25">
      <c r="A4112" s="75">
        <v>35</v>
      </c>
      <c r="B4112" s="75">
        <v>115</v>
      </c>
      <c r="C4112" s="75" t="s">
        <v>10</v>
      </c>
      <c r="D4112" s="75">
        <v>6713</v>
      </c>
      <c r="F4112" s="75" t="s">
        <v>10</v>
      </c>
      <c r="H4112" s="75" t="s">
        <v>10</v>
      </c>
      <c r="I4112" s="75">
        <v>19489</v>
      </c>
      <c r="K4112" s="75" t="str">
        <f>IFERROR(VLOOKUP(J4112,'NQ10'!$B$9:$C$145,2,0),"")</f>
        <v/>
      </c>
    </row>
    <row r="4113" spans="1:11" ht="15" customHeight="1" x14ac:dyDescent="0.25">
      <c r="A4113" s="75">
        <v>35</v>
      </c>
      <c r="B4113" s="75">
        <v>116</v>
      </c>
      <c r="C4113" s="75" t="s">
        <v>10</v>
      </c>
      <c r="D4113" s="75">
        <v>734</v>
      </c>
      <c r="F4113" s="75" t="s">
        <v>10</v>
      </c>
      <c r="H4113" s="75" t="s">
        <v>10</v>
      </c>
      <c r="I4113" s="75">
        <v>19489</v>
      </c>
      <c r="K4113" s="75" t="str">
        <f>IFERROR(VLOOKUP(J4113,'NQ10'!$B$9:$C$145,2,0),"")</f>
        <v/>
      </c>
    </row>
    <row r="4114" spans="1:11" ht="15" customHeight="1" x14ac:dyDescent="0.25">
      <c r="A4114" s="75">
        <v>35</v>
      </c>
      <c r="B4114" s="75">
        <v>117</v>
      </c>
      <c r="C4114" s="75" t="s">
        <v>10</v>
      </c>
      <c r="D4114" s="75">
        <v>2753</v>
      </c>
      <c r="F4114" s="75" t="s">
        <v>10</v>
      </c>
      <c r="H4114" s="75" t="s">
        <v>10</v>
      </c>
      <c r="I4114" s="75">
        <v>19489</v>
      </c>
      <c r="K4114" s="75" t="str">
        <f>IFERROR(VLOOKUP(J4114,'NQ10'!$B$9:$C$145,2,0),"")</f>
        <v/>
      </c>
    </row>
    <row r="4115" spans="1:11" ht="15" customHeight="1" x14ac:dyDescent="0.25">
      <c r="A4115" s="75">
        <v>35</v>
      </c>
      <c r="B4115" s="75">
        <v>118</v>
      </c>
      <c r="C4115" s="75" t="s">
        <v>10</v>
      </c>
      <c r="D4115" s="75">
        <v>4368</v>
      </c>
      <c r="F4115" s="75" t="s">
        <v>10</v>
      </c>
      <c r="H4115" s="75" t="s">
        <v>10</v>
      </c>
      <c r="I4115" s="75">
        <v>19489</v>
      </c>
      <c r="K4115" s="75" t="str">
        <f>IFERROR(VLOOKUP(J4115,'NQ10'!$B$9:$C$145,2,0),"")</f>
        <v/>
      </c>
    </row>
    <row r="4116" spans="1:11" ht="15" customHeight="1" x14ac:dyDescent="0.25">
      <c r="A4116" s="75">
        <v>35</v>
      </c>
      <c r="B4116" s="75">
        <v>119</v>
      </c>
      <c r="C4116" s="75" t="s">
        <v>10</v>
      </c>
      <c r="D4116" s="75">
        <v>6470</v>
      </c>
      <c r="F4116" s="75" t="s">
        <v>10</v>
      </c>
      <c r="H4116" s="75" t="s">
        <v>10</v>
      </c>
      <c r="I4116" s="75">
        <v>19489</v>
      </c>
      <c r="K4116" s="75" t="str">
        <f>IFERROR(VLOOKUP(J4116,'NQ10'!$B$9:$C$145,2,0),"")</f>
        <v/>
      </c>
    </row>
    <row r="4117" spans="1:11" ht="15" customHeight="1" x14ac:dyDescent="0.25">
      <c r="A4117" s="75">
        <v>35</v>
      </c>
      <c r="B4117" s="75">
        <v>120</v>
      </c>
      <c r="C4117" s="75" t="s">
        <v>10</v>
      </c>
      <c r="D4117" s="75">
        <v>455</v>
      </c>
      <c r="F4117" s="75" t="s">
        <v>10</v>
      </c>
      <c r="H4117" s="75" t="s">
        <v>10</v>
      </c>
      <c r="I4117" s="75">
        <v>19489</v>
      </c>
      <c r="K4117" s="75" t="str">
        <f>IFERROR(VLOOKUP(J4117,'NQ10'!$B$9:$C$145,2,0),"")</f>
        <v/>
      </c>
    </row>
    <row r="4118" spans="1:11" ht="15" customHeight="1" x14ac:dyDescent="0.25">
      <c r="A4118" s="75">
        <v>35</v>
      </c>
      <c r="B4118" s="75">
        <v>121</v>
      </c>
      <c r="C4118" s="75" t="s">
        <v>10</v>
      </c>
      <c r="D4118" s="75">
        <v>1964</v>
      </c>
      <c r="F4118" s="75" t="s">
        <v>10</v>
      </c>
      <c r="H4118" s="75" t="s">
        <v>10</v>
      </c>
      <c r="I4118" s="75">
        <v>19489</v>
      </c>
      <c r="K4118" s="75" t="str">
        <f>IFERROR(VLOOKUP(J4118,'NQ10'!$B$9:$C$145,2,0),"")</f>
        <v/>
      </c>
    </row>
    <row r="4119" spans="1:11" ht="15" customHeight="1" x14ac:dyDescent="0.25">
      <c r="A4119" s="75">
        <v>35</v>
      </c>
      <c r="B4119" s="75">
        <v>122</v>
      </c>
      <c r="C4119" s="75" t="s">
        <v>10</v>
      </c>
      <c r="D4119" s="75">
        <v>436</v>
      </c>
      <c r="F4119" s="75" t="s">
        <v>10</v>
      </c>
      <c r="H4119" s="75" t="s">
        <v>10</v>
      </c>
      <c r="I4119" s="75">
        <v>19489</v>
      </c>
      <c r="K4119" s="75" t="str">
        <f>IFERROR(VLOOKUP(J4119,'NQ10'!$B$9:$C$145,2,0),"")</f>
        <v/>
      </c>
    </row>
    <row r="4120" spans="1:11" ht="15" customHeight="1" x14ac:dyDescent="0.25">
      <c r="A4120" s="75">
        <v>35</v>
      </c>
      <c r="B4120" s="75">
        <v>123</v>
      </c>
      <c r="C4120" s="75" t="s">
        <v>10</v>
      </c>
      <c r="D4120" s="75">
        <v>220</v>
      </c>
      <c r="F4120" s="75" t="s">
        <v>10</v>
      </c>
      <c r="H4120" s="75" t="s">
        <v>10</v>
      </c>
      <c r="I4120" s="75">
        <v>19489</v>
      </c>
      <c r="K4120" s="75" t="str">
        <f>IFERROR(VLOOKUP(J4120,'NQ10'!$B$9:$C$145,2,0),"")</f>
        <v/>
      </c>
    </row>
    <row r="4121" spans="1:11" ht="15" customHeight="1" x14ac:dyDescent="0.25">
      <c r="A4121" s="75">
        <v>35</v>
      </c>
      <c r="B4121" s="75">
        <v>124</v>
      </c>
      <c r="C4121" s="75" t="s">
        <v>10</v>
      </c>
      <c r="D4121" s="75">
        <v>299</v>
      </c>
      <c r="F4121" s="75" t="s">
        <v>10</v>
      </c>
      <c r="H4121" s="75" t="s">
        <v>10</v>
      </c>
      <c r="I4121" s="75">
        <v>19489</v>
      </c>
      <c r="K4121" s="75" t="str">
        <f>IFERROR(VLOOKUP(J4121,'NQ10'!$B$9:$C$145,2,0),"")</f>
        <v/>
      </c>
    </row>
    <row r="4122" spans="1:11" ht="15" customHeight="1" x14ac:dyDescent="0.25">
      <c r="A4122" s="75">
        <v>35</v>
      </c>
      <c r="B4122" s="75">
        <v>126</v>
      </c>
      <c r="C4122" s="75" t="s">
        <v>10</v>
      </c>
      <c r="D4122" s="75">
        <v>10981</v>
      </c>
      <c r="F4122" s="75" t="s">
        <v>10</v>
      </c>
      <c r="H4122" s="75" t="s">
        <v>10</v>
      </c>
      <c r="I4122" s="75">
        <v>19489</v>
      </c>
      <c r="K4122" s="75" t="str">
        <f>IFERROR(VLOOKUP(J4122,'NQ10'!$B$9:$C$145,2,0),"")</f>
        <v/>
      </c>
    </row>
    <row r="4123" spans="1:11" ht="15" customHeight="1" x14ac:dyDescent="0.25">
      <c r="A4123" s="75">
        <v>35</v>
      </c>
      <c r="B4123" s="75">
        <v>127</v>
      </c>
      <c r="C4123" s="75" t="s">
        <v>10</v>
      </c>
      <c r="D4123" s="75">
        <v>240</v>
      </c>
      <c r="F4123" s="75" t="s">
        <v>10</v>
      </c>
      <c r="H4123" s="75" t="s">
        <v>10</v>
      </c>
      <c r="I4123" s="75">
        <v>19489</v>
      </c>
      <c r="K4123" s="75" t="str">
        <f>IFERROR(VLOOKUP(J4123,'NQ10'!$B$9:$C$145,2,0),"")</f>
        <v/>
      </c>
    </row>
    <row r="4124" spans="1:11" ht="15" customHeight="1" x14ac:dyDescent="0.25">
      <c r="A4124" s="75">
        <v>35</v>
      </c>
      <c r="B4124" s="75">
        <v>128</v>
      </c>
      <c r="C4124" s="75" t="s">
        <v>10</v>
      </c>
      <c r="D4124" s="75">
        <v>408</v>
      </c>
      <c r="F4124" s="75" t="s">
        <v>10</v>
      </c>
      <c r="H4124" s="75" t="s">
        <v>10</v>
      </c>
      <c r="I4124" s="75">
        <v>19489</v>
      </c>
      <c r="K4124" s="75" t="str">
        <f>IFERROR(VLOOKUP(J4124,'NQ10'!$B$9:$C$145,2,0),"")</f>
        <v/>
      </c>
    </row>
    <row r="4125" spans="1:11" ht="15" customHeight="1" x14ac:dyDescent="0.25">
      <c r="A4125" s="75">
        <v>35</v>
      </c>
      <c r="B4125" s="75">
        <v>129</v>
      </c>
      <c r="C4125" s="75" t="s">
        <v>10</v>
      </c>
      <c r="D4125" s="75">
        <v>3383</v>
      </c>
      <c r="F4125" s="75" t="s">
        <v>10</v>
      </c>
      <c r="H4125" s="75" t="s">
        <v>10</v>
      </c>
      <c r="I4125" s="75">
        <v>19489</v>
      </c>
      <c r="K4125" s="75" t="str">
        <f>IFERROR(VLOOKUP(J4125,'NQ10'!$B$9:$C$145,2,0),"")</f>
        <v/>
      </c>
    </row>
    <row r="4126" spans="1:11" ht="15" customHeight="1" x14ac:dyDescent="0.25">
      <c r="A4126" s="75">
        <v>35</v>
      </c>
      <c r="B4126" s="75">
        <v>130</v>
      </c>
      <c r="C4126" s="75" t="s">
        <v>10</v>
      </c>
      <c r="D4126" s="75">
        <v>318</v>
      </c>
      <c r="F4126" s="75" t="s">
        <v>10</v>
      </c>
      <c r="H4126" s="75" t="s">
        <v>10</v>
      </c>
      <c r="I4126" s="75">
        <v>19489</v>
      </c>
      <c r="K4126" s="75" t="str">
        <f>IFERROR(VLOOKUP(J4126,'NQ10'!$B$9:$C$145,2,0),"")</f>
        <v/>
      </c>
    </row>
    <row r="4127" spans="1:11" ht="15" customHeight="1" x14ac:dyDescent="0.25">
      <c r="A4127" s="75">
        <v>35</v>
      </c>
      <c r="B4127" s="75">
        <v>131</v>
      </c>
      <c r="C4127" s="75" t="s">
        <v>10</v>
      </c>
      <c r="D4127" s="75">
        <v>3469</v>
      </c>
      <c r="F4127" s="75" t="s">
        <v>10</v>
      </c>
      <c r="H4127" s="75" t="s">
        <v>10</v>
      </c>
      <c r="I4127" s="75">
        <v>19489</v>
      </c>
      <c r="K4127" s="75" t="str">
        <f>IFERROR(VLOOKUP(J4127,'NQ10'!$B$9:$C$145,2,0),"")</f>
        <v/>
      </c>
    </row>
    <row r="4128" spans="1:11" ht="15" customHeight="1" x14ac:dyDescent="0.25">
      <c r="A4128" s="75">
        <v>35</v>
      </c>
      <c r="B4128" s="75">
        <v>132</v>
      </c>
      <c r="C4128" s="75" t="s">
        <v>10</v>
      </c>
      <c r="D4128" s="75">
        <v>769</v>
      </c>
      <c r="F4128" s="75" t="s">
        <v>10</v>
      </c>
      <c r="H4128" s="75" t="s">
        <v>10</v>
      </c>
      <c r="I4128" s="75">
        <v>19489</v>
      </c>
      <c r="K4128" s="75" t="str">
        <f>IFERROR(VLOOKUP(J4128,'NQ10'!$B$9:$C$145,2,0),"")</f>
        <v/>
      </c>
    </row>
    <row r="4129" spans="1:11" ht="15" customHeight="1" x14ac:dyDescent="0.25">
      <c r="A4129" s="75">
        <v>35</v>
      </c>
      <c r="B4129" s="75">
        <v>133</v>
      </c>
      <c r="C4129" s="75" t="s">
        <v>10</v>
      </c>
      <c r="D4129" s="75">
        <v>6109</v>
      </c>
      <c r="F4129" s="75" t="s">
        <v>10</v>
      </c>
      <c r="H4129" s="75" t="s">
        <v>10</v>
      </c>
      <c r="I4129" s="75">
        <v>19489</v>
      </c>
      <c r="K4129" s="75" t="str">
        <f>IFERROR(VLOOKUP(J4129,'NQ10'!$B$9:$C$145,2,0),"")</f>
        <v/>
      </c>
    </row>
    <row r="4130" spans="1:11" ht="15" customHeight="1" x14ac:dyDescent="0.25">
      <c r="A4130" s="75">
        <v>35</v>
      </c>
      <c r="B4130" s="75">
        <v>134</v>
      </c>
      <c r="C4130" s="75" t="s">
        <v>10</v>
      </c>
      <c r="D4130" s="75">
        <v>537</v>
      </c>
      <c r="F4130" s="75" t="s">
        <v>10</v>
      </c>
      <c r="H4130" s="75" t="s">
        <v>10</v>
      </c>
      <c r="I4130" s="75">
        <v>19489</v>
      </c>
      <c r="K4130" s="75" t="str">
        <f>IFERROR(VLOOKUP(J4130,'NQ10'!$B$9:$C$145,2,0),"")</f>
        <v/>
      </c>
    </row>
    <row r="4131" spans="1:11" ht="15" customHeight="1" x14ac:dyDescent="0.25">
      <c r="A4131" s="75">
        <v>35</v>
      </c>
      <c r="B4131" s="75">
        <v>135</v>
      </c>
      <c r="C4131" s="75" t="s">
        <v>10</v>
      </c>
      <c r="D4131" s="75">
        <v>18508</v>
      </c>
      <c r="F4131" s="75" t="s">
        <v>10</v>
      </c>
      <c r="H4131" s="75" t="s">
        <v>10</v>
      </c>
      <c r="I4131" s="75">
        <v>19489</v>
      </c>
      <c r="K4131" s="75" t="str">
        <f>IFERROR(VLOOKUP(J4131,'NQ10'!$B$9:$C$145,2,0),"")</f>
        <v/>
      </c>
    </row>
    <row r="4132" spans="1:11" ht="15" customHeight="1" x14ac:dyDescent="0.25">
      <c r="A4132" s="75">
        <v>35</v>
      </c>
      <c r="B4132" s="75">
        <v>137</v>
      </c>
      <c r="C4132" s="75" t="s">
        <v>10</v>
      </c>
      <c r="D4132" s="75">
        <v>1128</v>
      </c>
      <c r="F4132" s="75" t="s">
        <v>10</v>
      </c>
      <c r="H4132" s="75" t="s">
        <v>10</v>
      </c>
      <c r="I4132" s="75">
        <v>19489</v>
      </c>
      <c r="K4132" s="75" t="str">
        <f>IFERROR(VLOOKUP(J4132,'NQ10'!$B$9:$C$145,2,0),"")</f>
        <v/>
      </c>
    </row>
    <row r="4133" spans="1:11" ht="15" customHeight="1" x14ac:dyDescent="0.25">
      <c r="A4133" s="75">
        <v>35</v>
      </c>
      <c r="B4133" s="75">
        <v>138</v>
      </c>
      <c r="C4133" s="75" t="s">
        <v>10</v>
      </c>
      <c r="D4133" s="75">
        <v>357</v>
      </c>
      <c r="F4133" s="75" t="s">
        <v>10</v>
      </c>
      <c r="H4133" s="75" t="s">
        <v>10</v>
      </c>
      <c r="I4133" s="75">
        <v>19489</v>
      </c>
      <c r="K4133" s="75" t="str">
        <f>IFERROR(VLOOKUP(J4133,'NQ10'!$B$9:$C$145,2,0),"")</f>
        <v/>
      </c>
    </row>
    <row r="4134" spans="1:11" ht="15" customHeight="1" x14ac:dyDescent="0.25">
      <c r="A4134" s="75">
        <v>35</v>
      </c>
      <c r="B4134" s="75">
        <v>139</v>
      </c>
      <c r="C4134" s="75" t="s">
        <v>10</v>
      </c>
      <c r="D4134" s="75">
        <v>241</v>
      </c>
      <c r="F4134" s="75" t="s">
        <v>10</v>
      </c>
      <c r="H4134" s="75" t="s">
        <v>10</v>
      </c>
      <c r="I4134" s="75">
        <v>19489</v>
      </c>
      <c r="K4134" s="75" t="str">
        <f>IFERROR(VLOOKUP(J4134,'NQ10'!$B$9:$C$145,2,0),"")</f>
        <v/>
      </c>
    </row>
    <row r="4135" spans="1:11" ht="15" customHeight="1" x14ac:dyDescent="0.25">
      <c r="A4135" s="75">
        <v>35</v>
      </c>
      <c r="B4135" s="75">
        <v>140</v>
      </c>
      <c r="C4135" s="75" t="s">
        <v>10</v>
      </c>
      <c r="D4135" s="75">
        <v>667</v>
      </c>
      <c r="F4135" s="75" t="s">
        <v>10</v>
      </c>
      <c r="H4135" s="75" t="s">
        <v>10</v>
      </c>
      <c r="I4135" s="75">
        <v>19489</v>
      </c>
      <c r="K4135" s="75" t="str">
        <f>IFERROR(VLOOKUP(J4135,'NQ10'!$B$9:$C$145,2,0),"")</f>
        <v/>
      </c>
    </row>
    <row r="4136" spans="1:11" ht="15" customHeight="1" x14ac:dyDescent="0.25">
      <c r="A4136" s="75">
        <v>35</v>
      </c>
      <c r="B4136" s="75">
        <v>141</v>
      </c>
      <c r="C4136" s="75" t="s">
        <v>10</v>
      </c>
      <c r="D4136" s="75">
        <v>285</v>
      </c>
      <c r="F4136" s="75" t="s">
        <v>10</v>
      </c>
      <c r="H4136" s="75" t="s">
        <v>10</v>
      </c>
      <c r="I4136" s="75">
        <v>19489</v>
      </c>
      <c r="K4136" s="75" t="str">
        <f>IFERROR(VLOOKUP(J4136,'NQ10'!$B$9:$C$145,2,0),"")</f>
        <v/>
      </c>
    </row>
    <row r="4137" spans="1:11" ht="15" customHeight="1" x14ac:dyDescent="0.25">
      <c r="A4137" s="75">
        <v>35</v>
      </c>
      <c r="B4137" s="75">
        <v>142</v>
      </c>
      <c r="C4137" s="75" t="s">
        <v>10</v>
      </c>
      <c r="D4137" s="75">
        <v>267</v>
      </c>
      <c r="F4137" s="75" t="s">
        <v>10</v>
      </c>
      <c r="H4137" s="75" t="s">
        <v>10</v>
      </c>
      <c r="I4137" s="75">
        <v>19489</v>
      </c>
      <c r="K4137" s="75" t="str">
        <f>IFERROR(VLOOKUP(J4137,'NQ10'!$B$9:$C$145,2,0),"")</f>
        <v/>
      </c>
    </row>
    <row r="4138" spans="1:11" ht="15" customHeight="1" x14ac:dyDescent="0.25">
      <c r="A4138" s="75">
        <v>35</v>
      </c>
      <c r="B4138" s="75">
        <v>143</v>
      </c>
      <c r="C4138" s="75" t="s">
        <v>10</v>
      </c>
      <c r="D4138" s="75">
        <v>318</v>
      </c>
      <c r="F4138" s="75" t="s">
        <v>10</v>
      </c>
      <c r="H4138" s="75" t="s">
        <v>10</v>
      </c>
      <c r="I4138" s="75">
        <v>19489</v>
      </c>
      <c r="K4138" s="75" t="str">
        <f>IFERROR(VLOOKUP(J4138,'NQ10'!$B$9:$C$145,2,0),"")</f>
        <v/>
      </c>
    </row>
    <row r="4139" spans="1:11" ht="15" customHeight="1" x14ac:dyDescent="0.25">
      <c r="A4139" s="75">
        <v>35</v>
      </c>
      <c r="B4139" s="75">
        <v>146</v>
      </c>
      <c r="C4139" s="75" t="s">
        <v>10</v>
      </c>
      <c r="D4139" s="75">
        <v>3357</v>
      </c>
      <c r="F4139" s="75" t="s">
        <v>10</v>
      </c>
      <c r="H4139" s="75" t="s">
        <v>10</v>
      </c>
      <c r="I4139" s="75">
        <v>19489</v>
      </c>
      <c r="K4139" s="75" t="str">
        <f>IFERROR(VLOOKUP(J4139,'NQ10'!$B$9:$C$145,2,0),"")</f>
        <v/>
      </c>
    </row>
    <row r="4140" spans="1:11" ht="15" customHeight="1" x14ac:dyDescent="0.25">
      <c r="A4140" s="75">
        <v>35</v>
      </c>
      <c r="B4140" s="75">
        <v>147</v>
      </c>
      <c r="C4140" s="75" t="s">
        <v>10</v>
      </c>
      <c r="D4140" s="75">
        <v>313</v>
      </c>
      <c r="F4140" s="75" t="s">
        <v>10</v>
      </c>
      <c r="H4140" s="75" t="s">
        <v>10</v>
      </c>
      <c r="I4140" s="75">
        <v>19489</v>
      </c>
      <c r="K4140" s="75" t="str">
        <f>IFERROR(VLOOKUP(J4140,'NQ10'!$B$9:$C$145,2,0),"")</f>
        <v/>
      </c>
    </row>
    <row r="4141" spans="1:11" ht="15" customHeight="1" x14ac:dyDescent="0.25">
      <c r="A4141" s="75">
        <v>35</v>
      </c>
      <c r="B4141" s="75">
        <v>148</v>
      </c>
      <c r="C4141" s="75" t="s">
        <v>10</v>
      </c>
      <c r="D4141" s="75">
        <v>230</v>
      </c>
      <c r="F4141" s="75" t="s">
        <v>10</v>
      </c>
      <c r="H4141" s="75" t="s">
        <v>10</v>
      </c>
      <c r="I4141" s="75">
        <v>19489</v>
      </c>
      <c r="K4141" s="75" t="str">
        <f>IFERROR(VLOOKUP(J4141,'NQ10'!$B$9:$C$145,2,0),"")</f>
        <v/>
      </c>
    </row>
    <row r="4142" spans="1:11" ht="15" customHeight="1" x14ac:dyDescent="0.25">
      <c r="A4142" s="75">
        <v>35</v>
      </c>
      <c r="B4142" s="75">
        <v>149</v>
      </c>
      <c r="C4142" s="75" t="s">
        <v>10</v>
      </c>
      <c r="D4142" s="75">
        <v>16911</v>
      </c>
      <c r="F4142" s="75" t="s">
        <v>10</v>
      </c>
      <c r="H4142" s="75" t="s">
        <v>10</v>
      </c>
      <c r="I4142" s="75">
        <v>19489</v>
      </c>
      <c r="K4142" s="75" t="str">
        <f>IFERROR(VLOOKUP(J4142,'NQ10'!$B$9:$C$145,2,0),"")</f>
        <v/>
      </c>
    </row>
    <row r="4143" spans="1:11" ht="15" customHeight="1" x14ac:dyDescent="0.25">
      <c r="A4143" s="75">
        <v>35</v>
      </c>
      <c r="B4143" s="75">
        <v>151</v>
      </c>
      <c r="C4143" s="75" t="s">
        <v>10</v>
      </c>
      <c r="D4143" s="75">
        <v>20579</v>
      </c>
      <c r="F4143" s="75" t="s">
        <v>10</v>
      </c>
      <c r="H4143" s="75" t="s">
        <v>10</v>
      </c>
      <c r="I4143" s="75">
        <v>19489</v>
      </c>
      <c r="K4143" s="75" t="str">
        <f>IFERROR(VLOOKUP(J4143,'NQ10'!$B$9:$C$145,2,0),"")</f>
        <v/>
      </c>
    </row>
    <row r="4144" spans="1:11" ht="15" customHeight="1" x14ac:dyDescent="0.25">
      <c r="A4144" s="75">
        <v>35</v>
      </c>
      <c r="B4144" s="75">
        <v>152</v>
      </c>
      <c r="C4144" s="75" t="s">
        <v>10</v>
      </c>
      <c r="D4144" s="75">
        <v>14370</v>
      </c>
      <c r="F4144" s="75" t="s">
        <v>10</v>
      </c>
      <c r="H4144" s="75" t="s">
        <v>10</v>
      </c>
      <c r="I4144" s="75">
        <v>19489</v>
      </c>
      <c r="K4144" s="75" t="str">
        <f>IFERROR(VLOOKUP(J4144,'NQ10'!$B$9:$C$145,2,0),"")</f>
        <v/>
      </c>
    </row>
    <row r="4145" spans="1:11" ht="15" customHeight="1" x14ac:dyDescent="0.25">
      <c r="A4145" s="75">
        <v>35</v>
      </c>
      <c r="B4145" s="75">
        <v>153</v>
      </c>
      <c r="C4145" s="75" t="s">
        <v>10</v>
      </c>
      <c r="D4145" s="75">
        <v>442</v>
      </c>
      <c r="F4145" s="75" t="s">
        <v>10</v>
      </c>
      <c r="H4145" s="75" t="s">
        <v>10</v>
      </c>
      <c r="I4145" s="75">
        <v>19489</v>
      </c>
      <c r="K4145" s="75" t="str">
        <f>IFERROR(VLOOKUP(J4145,'NQ10'!$B$9:$C$145,2,0),"")</f>
        <v/>
      </c>
    </row>
    <row r="4146" spans="1:11" ht="15" customHeight="1" x14ac:dyDescent="0.25">
      <c r="A4146" s="75">
        <v>35</v>
      </c>
      <c r="B4146" s="75">
        <v>154</v>
      </c>
      <c r="C4146" s="75" t="s">
        <v>10</v>
      </c>
      <c r="D4146" s="75">
        <v>318</v>
      </c>
      <c r="F4146" s="75" t="s">
        <v>10</v>
      </c>
      <c r="H4146" s="75" t="s">
        <v>10</v>
      </c>
      <c r="I4146" s="75">
        <v>19489</v>
      </c>
      <c r="K4146" s="75" t="str">
        <f>IFERROR(VLOOKUP(J4146,'NQ10'!$B$9:$C$145,2,0),"")</f>
        <v/>
      </c>
    </row>
    <row r="4147" spans="1:11" ht="15" customHeight="1" x14ac:dyDescent="0.25">
      <c r="A4147" s="75">
        <v>35</v>
      </c>
      <c r="B4147" s="75">
        <v>155</v>
      </c>
      <c r="C4147" s="75" t="s">
        <v>10</v>
      </c>
      <c r="D4147" s="75">
        <v>3220</v>
      </c>
      <c r="F4147" s="75" t="s">
        <v>10</v>
      </c>
      <c r="H4147" s="75" t="s">
        <v>10</v>
      </c>
      <c r="I4147" s="75">
        <v>19489</v>
      </c>
      <c r="K4147" s="75" t="str">
        <f>IFERROR(VLOOKUP(J4147,'NQ10'!$B$9:$C$145,2,0),"")</f>
        <v/>
      </c>
    </row>
    <row r="4148" spans="1:11" ht="15" customHeight="1" x14ac:dyDescent="0.25">
      <c r="A4148" s="75">
        <v>35</v>
      </c>
      <c r="B4148" s="75">
        <v>156</v>
      </c>
      <c r="C4148" s="75" t="s">
        <v>10</v>
      </c>
      <c r="D4148" s="75">
        <v>366</v>
      </c>
      <c r="F4148" s="75" t="s">
        <v>10</v>
      </c>
      <c r="H4148" s="75" t="s">
        <v>10</v>
      </c>
      <c r="I4148" s="75">
        <v>19489</v>
      </c>
      <c r="K4148" s="75" t="str">
        <f>IFERROR(VLOOKUP(J4148,'NQ10'!$B$9:$C$145,2,0),"")</f>
        <v/>
      </c>
    </row>
    <row r="4149" spans="1:11" ht="15" customHeight="1" x14ac:dyDescent="0.25">
      <c r="A4149" s="75">
        <v>35</v>
      </c>
      <c r="B4149" s="75">
        <v>157</v>
      </c>
      <c r="C4149" s="75" t="s">
        <v>10</v>
      </c>
      <c r="D4149" s="75">
        <v>5145</v>
      </c>
      <c r="F4149" s="75" t="s">
        <v>10</v>
      </c>
      <c r="H4149" s="75" t="s">
        <v>10</v>
      </c>
      <c r="I4149" s="75">
        <v>19489</v>
      </c>
      <c r="K4149" s="75" t="str">
        <f>IFERROR(VLOOKUP(J4149,'NQ10'!$B$9:$C$145,2,0),"")</f>
        <v/>
      </c>
    </row>
    <row r="4150" spans="1:11" ht="15" customHeight="1" x14ac:dyDescent="0.25">
      <c r="A4150" s="75">
        <v>35</v>
      </c>
      <c r="B4150" s="75">
        <v>159</v>
      </c>
      <c r="C4150" s="75" t="s">
        <v>10</v>
      </c>
      <c r="D4150" s="75">
        <v>1099</v>
      </c>
      <c r="F4150" s="75" t="s">
        <v>10</v>
      </c>
      <c r="H4150" s="75" t="s">
        <v>10</v>
      </c>
      <c r="I4150" s="75">
        <v>19489</v>
      </c>
      <c r="K4150" s="75" t="str">
        <f>IFERROR(VLOOKUP(J4150,'NQ10'!$B$9:$C$145,2,0),"")</f>
        <v/>
      </c>
    </row>
    <row r="4151" spans="1:11" ht="15" customHeight="1" x14ac:dyDescent="0.25">
      <c r="A4151" s="75">
        <v>35</v>
      </c>
      <c r="B4151" s="75">
        <v>160</v>
      </c>
      <c r="C4151" s="75" t="s">
        <v>10</v>
      </c>
      <c r="D4151" s="75">
        <v>347</v>
      </c>
      <c r="F4151" s="75" t="s">
        <v>10</v>
      </c>
      <c r="H4151" s="75" t="s">
        <v>10</v>
      </c>
      <c r="I4151" s="75">
        <v>19489</v>
      </c>
      <c r="K4151" s="75" t="str">
        <f>IFERROR(VLOOKUP(J4151,'NQ10'!$B$9:$C$145,2,0),"")</f>
        <v/>
      </c>
    </row>
    <row r="4152" spans="1:11" ht="15" customHeight="1" x14ac:dyDescent="0.25">
      <c r="A4152" s="75">
        <v>35</v>
      </c>
      <c r="B4152" s="75">
        <v>161</v>
      </c>
      <c r="C4152" s="75" t="s">
        <v>10</v>
      </c>
      <c r="D4152" s="75">
        <v>318</v>
      </c>
      <c r="F4152" s="75" t="s">
        <v>10</v>
      </c>
      <c r="H4152" s="75" t="s">
        <v>10</v>
      </c>
      <c r="I4152" s="75">
        <v>19489</v>
      </c>
      <c r="K4152" s="75" t="str">
        <f>IFERROR(VLOOKUP(J4152,'NQ10'!$B$9:$C$145,2,0),"")</f>
        <v/>
      </c>
    </row>
    <row r="4153" spans="1:11" ht="15" customHeight="1" x14ac:dyDescent="0.25">
      <c r="A4153" s="75">
        <v>35</v>
      </c>
      <c r="B4153" s="75">
        <v>165</v>
      </c>
      <c r="C4153" s="75" t="s">
        <v>10</v>
      </c>
      <c r="D4153" s="75">
        <v>1039</v>
      </c>
      <c r="F4153" s="75" t="s">
        <v>10</v>
      </c>
      <c r="H4153" s="75" t="s">
        <v>10</v>
      </c>
      <c r="I4153" s="75">
        <v>19489</v>
      </c>
      <c r="K4153" s="75" t="str">
        <f>IFERROR(VLOOKUP(J4153,'NQ10'!$B$9:$C$145,2,0),"")</f>
        <v/>
      </c>
    </row>
    <row r="4154" spans="1:11" ht="15" customHeight="1" x14ac:dyDescent="0.25">
      <c r="A4154" s="75">
        <v>35</v>
      </c>
      <c r="B4154" s="75">
        <v>166</v>
      </c>
      <c r="C4154" s="75" t="s">
        <v>10</v>
      </c>
      <c r="D4154" s="75">
        <v>6583</v>
      </c>
      <c r="F4154" s="75" t="s">
        <v>10</v>
      </c>
      <c r="H4154" s="75" t="s">
        <v>10</v>
      </c>
      <c r="I4154" s="75">
        <v>19489</v>
      </c>
      <c r="K4154" s="75" t="str">
        <f>IFERROR(VLOOKUP(J4154,'NQ10'!$B$9:$C$145,2,0),"")</f>
        <v/>
      </c>
    </row>
    <row r="4155" spans="1:11" ht="15" customHeight="1" x14ac:dyDescent="0.25">
      <c r="A4155" s="75">
        <v>35</v>
      </c>
      <c r="B4155" s="75">
        <v>167</v>
      </c>
      <c r="C4155" s="75" t="s">
        <v>10</v>
      </c>
      <c r="D4155" s="75">
        <v>1026</v>
      </c>
      <c r="F4155" s="75" t="s">
        <v>10</v>
      </c>
      <c r="H4155" s="75" t="s">
        <v>10</v>
      </c>
      <c r="I4155" s="75">
        <v>19489</v>
      </c>
      <c r="K4155" s="75" t="str">
        <f>IFERROR(VLOOKUP(J4155,'NQ10'!$B$9:$C$145,2,0),"")</f>
        <v/>
      </c>
    </row>
    <row r="4156" spans="1:11" ht="15" customHeight="1" x14ac:dyDescent="0.25">
      <c r="A4156" s="75">
        <v>35</v>
      </c>
      <c r="B4156" s="75">
        <v>168</v>
      </c>
      <c r="C4156" s="75" t="s">
        <v>10</v>
      </c>
      <c r="D4156" s="75">
        <v>2074</v>
      </c>
      <c r="F4156" s="75" t="s">
        <v>10</v>
      </c>
      <c r="H4156" s="75" t="s">
        <v>10</v>
      </c>
      <c r="I4156" s="75">
        <v>19489</v>
      </c>
      <c r="K4156" s="75" t="str">
        <f>IFERROR(VLOOKUP(J4156,'NQ10'!$B$9:$C$145,2,0),"")</f>
        <v/>
      </c>
    </row>
    <row r="4157" spans="1:11" ht="15" customHeight="1" x14ac:dyDescent="0.25">
      <c r="A4157" s="75">
        <v>35</v>
      </c>
      <c r="B4157" s="75">
        <v>169</v>
      </c>
      <c r="C4157" s="75" t="s">
        <v>10</v>
      </c>
      <c r="D4157" s="75">
        <v>96</v>
      </c>
      <c r="F4157" s="75" t="s">
        <v>10</v>
      </c>
      <c r="H4157" s="75" t="s">
        <v>10</v>
      </c>
      <c r="I4157" s="75">
        <v>19489</v>
      </c>
      <c r="K4157" s="75" t="str">
        <f>IFERROR(VLOOKUP(J4157,'NQ10'!$B$9:$C$145,2,0),"")</f>
        <v/>
      </c>
    </row>
    <row r="4158" spans="1:11" ht="15" customHeight="1" x14ac:dyDescent="0.25">
      <c r="A4158" s="75">
        <v>35</v>
      </c>
      <c r="B4158" s="75">
        <v>170</v>
      </c>
      <c r="C4158" s="75" t="s">
        <v>10</v>
      </c>
      <c r="D4158" s="75">
        <v>550</v>
      </c>
      <c r="F4158" s="75" t="s">
        <v>10</v>
      </c>
      <c r="H4158" s="75" t="s">
        <v>10</v>
      </c>
      <c r="I4158" s="75">
        <v>19489</v>
      </c>
      <c r="K4158" s="75" t="str">
        <f>IFERROR(VLOOKUP(J4158,'NQ10'!$B$9:$C$145,2,0),"")</f>
        <v/>
      </c>
    </row>
    <row r="4159" spans="1:11" ht="15" customHeight="1" x14ac:dyDescent="0.25">
      <c r="A4159" s="75">
        <v>35</v>
      </c>
      <c r="B4159" s="75">
        <v>171</v>
      </c>
      <c r="C4159" s="75" t="s">
        <v>10</v>
      </c>
      <c r="D4159" s="75">
        <v>4855</v>
      </c>
      <c r="F4159" s="75" t="s">
        <v>10</v>
      </c>
      <c r="H4159" s="75" t="s">
        <v>10</v>
      </c>
      <c r="I4159" s="75">
        <v>19489</v>
      </c>
      <c r="K4159" s="75" t="str">
        <f>IFERROR(VLOOKUP(J4159,'NQ10'!$B$9:$C$145,2,0),"")</f>
        <v/>
      </c>
    </row>
    <row r="4160" spans="1:11" ht="15" customHeight="1" x14ac:dyDescent="0.25">
      <c r="A4160" s="75">
        <v>35</v>
      </c>
      <c r="B4160" s="75">
        <v>173</v>
      </c>
      <c r="C4160" s="75" t="s">
        <v>10</v>
      </c>
      <c r="D4160" s="75">
        <v>6413</v>
      </c>
      <c r="F4160" s="75" t="s">
        <v>10</v>
      </c>
      <c r="H4160" s="75" t="s">
        <v>10</v>
      </c>
      <c r="I4160" s="75">
        <v>19489</v>
      </c>
      <c r="K4160" s="75" t="str">
        <f>IFERROR(VLOOKUP(J4160,'NQ10'!$B$9:$C$145,2,0),"")</f>
        <v/>
      </c>
    </row>
    <row r="4161" spans="1:11" ht="15" customHeight="1" x14ac:dyDescent="0.25">
      <c r="A4161" s="75">
        <v>35</v>
      </c>
      <c r="B4161" s="75">
        <v>174</v>
      </c>
      <c r="C4161" s="75" t="s">
        <v>10</v>
      </c>
      <c r="D4161" s="75">
        <v>301</v>
      </c>
      <c r="F4161" s="75" t="s">
        <v>10</v>
      </c>
      <c r="H4161" s="75" t="s">
        <v>10</v>
      </c>
      <c r="I4161" s="75">
        <v>19489</v>
      </c>
      <c r="K4161" s="75" t="str">
        <f>IFERROR(VLOOKUP(J4161,'NQ10'!$B$9:$C$145,2,0),"")</f>
        <v/>
      </c>
    </row>
    <row r="4162" spans="1:11" ht="15" customHeight="1" x14ac:dyDescent="0.25">
      <c r="A4162" s="75">
        <v>35</v>
      </c>
      <c r="B4162" s="75">
        <v>175</v>
      </c>
      <c r="C4162" s="75" t="s">
        <v>10</v>
      </c>
      <c r="D4162" s="75">
        <v>1852</v>
      </c>
      <c r="F4162" s="75" t="s">
        <v>10</v>
      </c>
      <c r="H4162" s="75" t="s">
        <v>10</v>
      </c>
      <c r="I4162" s="75">
        <v>19489</v>
      </c>
      <c r="K4162" s="75" t="str">
        <f>IFERROR(VLOOKUP(J4162,'NQ10'!$B$9:$C$145,2,0),"")</f>
        <v/>
      </c>
    </row>
    <row r="4163" spans="1:11" ht="15" customHeight="1" x14ac:dyDescent="0.25">
      <c r="A4163" s="75">
        <v>35</v>
      </c>
      <c r="B4163" s="75">
        <v>176</v>
      </c>
      <c r="C4163" s="75" t="s">
        <v>10</v>
      </c>
      <c r="D4163" s="75">
        <v>424</v>
      </c>
      <c r="F4163" s="75" t="s">
        <v>10</v>
      </c>
      <c r="H4163" s="75" t="s">
        <v>10</v>
      </c>
      <c r="I4163" s="75">
        <v>19489</v>
      </c>
      <c r="K4163" s="75" t="str">
        <f>IFERROR(VLOOKUP(J4163,'NQ10'!$B$9:$C$145,2,0),"")</f>
        <v/>
      </c>
    </row>
    <row r="4164" spans="1:11" ht="15" customHeight="1" x14ac:dyDescent="0.25">
      <c r="A4164" s="75">
        <v>35</v>
      </c>
      <c r="B4164" s="75">
        <v>177</v>
      </c>
      <c r="C4164" s="75" t="s">
        <v>10</v>
      </c>
      <c r="D4164" s="75">
        <v>2124</v>
      </c>
      <c r="F4164" s="75" t="s">
        <v>10</v>
      </c>
      <c r="H4164" s="75" t="s">
        <v>10</v>
      </c>
      <c r="I4164" s="75">
        <v>19489</v>
      </c>
      <c r="K4164" s="75" t="str">
        <f>IFERROR(VLOOKUP(J4164,'NQ10'!$B$9:$C$145,2,0),"")</f>
        <v/>
      </c>
    </row>
    <row r="4165" spans="1:11" ht="15" customHeight="1" x14ac:dyDescent="0.25">
      <c r="A4165" s="75">
        <v>35</v>
      </c>
      <c r="B4165" s="75">
        <v>178</v>
      </c>
      <c r="C4165" s="75" t="s">
        <v>10</v>
      </c>
      <c r="D4165" s="75">
        <v>800</v>
      </c>
      <c r="F4165" s="75" t="s">
        <v>10</v>
      </c>
      <c r="H4165" s="75" t="s">
        <v>10</v>
      </c>
      <c r="I4165" s="75">
        <v>19489</v>
      </c>
      <c r="K4165" s="75" t="str">
        <f>IFERROR(VLOOKUP(J4165,'NQ10'!$B$9:$C$145,2,0),"")</f>
        <v/>
      </c>
    </row>
    <row r="4166" spans="1:11" ht="15" customHeight="1" x14ac:dyDescent="0.25">
      <c r="A4166" s="75">
        <v>35</v>
      </c>
      <c r="B4166" s="75">
        <v>180</v>
      </c>
      <c r="C4166" s="75" t="s">
        <v>10</v>
      </c>
      <c r="D4166" s="75">
        <v>237</v>
      </c>
      <c r="F4166" s="75" t="s">
        <v>10</v>
      </c>
      <c r="H4166" s="75" t="s">
        <v>10</v>
      </c>
      <c r="I4166" s="75">
        <v>19489</v>
      </c>
      <c r="K4166" s="75" t="str">
        <f>IFERROR(VLOOKUP(J4166,'NQ10'!$B$9:$C$145,2,0),"")</f>
        <v/>
      </c>
    </row>
    <row r="4167" spans="1:11" ht="15" customHeight="1" x14ac:dyDescent="0.25">
      <c r="A4167" s="75">
        <v>35</v>
      </c>
      <c r="B4167" s="75">
        <v>181</v>
      </c>
      <c r="C4167" s="75" t="s">
        <v>10</v>
      </c>
      <c r="D4167" s="75">
        <v>10500</v>
      </c>
      <c r="F4167" s="75" t="s">
        <v>10</v>
      </c>
      <c r="H4167" s="75" t="s">
        <v>10</v>
      </c>
      <c r="I4167" s="75">
        <v>19489</v>
      </c>
      <c r="K4167" s="75" t="str">
        <f>IFERROR(VLOOKUP(J4167,'NQ10'!$B$9:$C$145,2,0),"")</f>
        <v/>
      </c>
    </row>
    <row r="4168" spans="1:11" ht="15" customHeight="1" x14ac:dyDescent="0.25">
      <c r="A4168" s="75">
        <v>35</v>
      </c>
      <c r="B4168" s="75">
        <v>182</v>
      </c>
      <c r="C4168" s="75" t="s">
        <v>10</v>
      </c>
      <c r="D4168" s="75">
        <v>112</v>
      </c>
      <c r="F4168" s="75" t="s">
        <v>10</v>
      </c>
      <c r="H4168" s="75" t="s">
        <v>10</v>
      </c>
      <c r="I4168" s="75">
        <v>19489</v>
      </c>
      <c r="K4168" s="75" t="str">
        <f>IFERROR(VLOOKUP(J4168,'NQ10'!$B$9:$C$145,2,0),"")</f>
        <v/>
      </c>
    </row>
    <row r="4169" spans="1:11" ht="15" customHeight="1" x14ac:dyDescent="0.25">
      <c r="A4169" s="75">
        <v>35</v>
      </c>
      <c r="B4169" s="75">
        <v>183</v>
      </c>
      <c r="C4169" s="75" t="s">
        <v>10</v>
      </c>
      <c r="D4169" s="75">
        <v>1001</v>
      </c>
      <c r="F4169" s="75" t="s">
        <v>10</v>
      </c>
      <c r="H4169" s="75" t="s">
        <v>10</v>
      </c>
      <c r="I4169" s="75">
        <v>19489</v>
      </c>
      <c r="K4169" s="75" t="str">
        <f>IFERROR(VLOOKUP(J4169,'NQ10'!$B$9:$C$145,2,0),"")</f>
        <v/>
      </c>
    </row>
    <row r="4170" spans="1:11" ht="15" customHeight="1" x14ac:dyDescent="0.25">
      <c r="A4170" s="75">
        <v>35</v>
      </c>
      <c r="B4170" s="75">
        <v>184</v>
      </c>
      <c r="C4170" s="75" t="s">
        <v>10</v>
      </c>
      <c r="D4170" s="75">
        <v>549</v>
      </c>
      <c r="F4170" s="75" t="s">
        <v>10</v>
      </c>
      <c r="H4170" s="75" t="s">
        <v>10</v>
      </c>
      <c r="I4170" s="75">
        <v>19489</v>
      </c>
      <c r="K4170" s="75" t="str">
        <f>IFERROR(VLOOKUP(J4170,'NQ10'!$B$9:$C$145,2,0),"")</f>
        <v/>
      </c>
    </row>
    <row r="4171" spans="1:11" ht="15" customHeight="1" x14ac:dyDescent="0.25">
      <c r="A4171" s="75">
        <v>35</v>
      </c>
      <c r="B4171" s="75">
        <v>185</v>
      </c>
      <c r="C4171" s="75" t="s">
        <v>10</v>
      </c>
      <c r="D4171" s="75">
        <v>650</v>
      </c>
      <c r="F4171" s="75" t="s">
        <v>10</v>
      </c>
      <c r="H4171" s="75" t="s">
        <v>10</v>
      </c>
      <c r="I4171" s="75">
        <v>19489</v>
      </c>
      <c r="K4171" s="75" t="str">
        <f>IFERROR(VLOOKUP(J4171,'NQ10'!$B$9:$C$145,2,0),"")</f>
        <v/>
      </c>
    </row>
    <row r="4172" spans="1:11" ht="15" customHeight="1" x14ac:dyDescent="0.25">
      <c r="A4172" s="75">
        <v>35</v>
      </c>
      <c r="B4172" s="75">
        <v>186</v>
      </c>
      <c r="C4172" s="75" t="s">
        <v>10</v>
      </c>
      <c r="D4172" s="75">
        <v>343</v>
      </c>
      <c r="F4172" s="75" t="s">
        <v>10</v>
      </c>
      <c r="H4172" s="75" t="s">
        <v>10</v>
      </c>
      <c r="I4172" s="75">
        <v>19489</v>
      </c>
      <c r="K4172" s="75" t="str">
        <f>IFERROR(VLOOKUP(J4172,'NQ10'!$B$9:$C$145,2,0),"")</f>
        <v/>
      </c>
    </row>
    <row r="4173" spans="1:11" ht="15" customHeight="1" x14ac:dyDescent="0.25">
      <c r="A4173" s="75">
        <v>35</v>
      </c>
      <c r="B4173" s="75">
        <v>187</v>
      </c>
      <c r="C4173" s="75" t="s">
        <v>10</v>
      </c>
      <c r="D4173" s="75">
        <v>5629</v>
      </c>
      <c r="F4173" s="75" t="s">
        <v>10</v>
      </c>
      <c r="H4173" s="75" t="s">
        <v>10</v>
      </c>
      <c r="I4173" s="75">
        <v>19489</v>
      </c>
      <c r="K4173" s="75" t="str">
        <f>IFERROR(VLOOKUP(J4173,'NQ10'!$B$9:$C$145,2,0),"")</f>
        <v/>
      </c>
    </row>
    <row r="4174" spans="1:11" ht="15" customHeight="1" x14ac:dyDescent="0.25">
      <c r="A4174" s="75">
        <v>35</v>
      </c>
      <c r="B4174" s="75">
        <v>188</v>
      </c>
      <c r="C4174" s="75" t="s">
        <v>10</v>
      </c>
      <c r="D4174" s="75">
        <v>151</v>
      </c>
      <c r="F4174" s="75" t="s">
        <v>10</v>
      </c>
      <c r="H4174" s="75" t="s">
        <v>10</v>
      </c>
      <c r="I4174" s="75">
        <v>19489</v>
      </c>
      <c r="K4174" s="75" t="str">
        <f>IFERROR(VLOOKUP(J4174,'NQ10'!$B$9:$C$145,2,0),"")</f>
        <v/>
      </c>
    </row>
    <row r="4175" spans="1:11" ht="15" customHeight="1" x14ac:dyDescent="0.25">
      <c r="A4175" s="75">
        <v>35</v>
      </c>
      <c r="B4175" s="75">
        <v>189</v>
      </c>
      <c r="C4175" s="75" t="s">
        <v>10</v>
      </c>
      <c r="D4175" s="75">
        <v>11977</v>
      </c>
      <c r="F4175" s="75" t="s">
        <v>10</v>
      </c>
      <c r="H4175" s="75" t="s">
        <v>10</v>
      </c>
      <c r="I4175" s="75">
        <v>19489</v>
      </c>
      <c r="K4175" s="75" t="str">
        <f>IFERROR(VLOOKUP(J4175,'NQ10'!$B$9:$C$145,2,0),"")</f>
        <v/>
      </c>
    </row>
    <row r="4176" spans="1:11" ht="15" customHeight="1" x14ac:dyDescent="0.25">
      <c r="A4176" s="75">
        <v>35</v>
      </c>
      <c r="B4176" s="75">
        <v>190</v>
      </c>
      <c r="C4176" s="75" t="s">
        <v>10</v>
      </c>
      <c r="D4176" s="75">
        <v>15596</v>
      </c>
      <c r="F4176" s="75" t="s">
        <v>10</v>
      </c>
      <c r="H4176" s="75" t="s">
        <v>10</v>
      </c>
      <c r="I4176" s="75">
        <v>19489</v>
      </c>
      <c r="K4176" s="75" t="str">
        <f>IFERROR(VLOOKUP(J4176,'NQ10'!$B$9:$C$145,2,0),"")</f>
        <v/>
      </c>
    </row>
    <row r="4177" spans="1:11" ht="15" customHeight="1" x14ac:dyDescent="0.25">
      <c r="A4177" s="75">
        <v>35</v>
      </c>
      <c r="B4177" s="75">
        <v>191</v>
      </c>
      <c r="C4177" s="75" t="s">
        <v>10</v>
      </c>
      <c r="D4177" s="75">
        <v>12096</v>
      </c>
      <c r="F4177" s="75" t="s">
        <v>10</v>
      </c>
      <c r="H4177" s="75" t="s">
        <v>10</v>
      </c>
      <c r="I4177" s="75">
        <v>19489</v>
      </c>
      <c r="K4177" s="75" t="str">
        <f>IFERROR(VLOOKUP(J4177,'NQ10'!$B$9:$C$145,2,0),"")</f>
        <v/>
      </c>
    </row>
    <row r="4178" spans="1:11" ht="15" customHeight="1" x14ac:dyDescent="0.25">
      <c r="A4178" s="75">
        <v>35</v>
      </c>
      <c r="B4178" s="75">
        <v>192</v>
      </c>
      <c r="C4178" s="75" t="s">
        <v>10</v>
      </c>
      <c r="D4178" s="75">
        <v>2048</v>
      </c>
      <c r="F4178" s="75" t="s">
        <v>10</v>
      </c>
      <c r="H4178" s="75" t="s">
        <v>10</v>
      </c>
      <c r="I4178" s="75">
        <v>19489</v>
      </c>
      <c r="K4178" s="75" t="str">
        <f>IFERROR(VLOOKUP(J4178,'NQ10'!$B$9:$C$145,2,0),"")</f>
        <v/>
      </c>
    </row>
    <row r="4179" spans="1:11" ht="15" customHeight="1" x14ac:dyDescent="0.25">
      <c r="A4179" s="75">
        <v>35</v>
      </c>
      <c r="B4179" s="75">
        <v>193</v>
      </c>
      <c r="C4179" s="75" t="s">
        <v>10</v>
      </c>
      <c r="D4179" s="75">
        <v>510</v>
      </c>
      <c r="F4179" s="75" t="s">
        <v>10</v>
      </c>
      <c r="H4179" s="75" t="s">
        <v>10</v>
      </c>
      <c r="I4179" s="75">
        <v>19489</v>
      </c>
      <c r="K4179" s="75" t="str">
        <f>IFERROR(VLOOKUP(J4179,'NQ10'!$B$9:$C$145,2,0),"")</f>
        <v/>
      </c>
    </row>
    <row r="4180" spans="1:11" ht="15" customHeight="1" x14ac:dyDescent="0.25">
      <c r="A4180" s="75">
        <v>35</v>
      </c>
      <c r="B4180" s="75">
        <v>194</v>
      </c>
      <c r="C4180" s="75" t="s">
        <v>10</v>
      </c>
      <c r="D4180" s="75">
        <v>1019</v>
      </c>
      <c r="F4180" s="75" t="s">
        <v>10</v>
      </c>
      <c r="H4180" s="75" t="s">
        <v>10</v>
      </c>
      <c r="I4180" s="75">
        <v>19489</v>
      </c>
      <c r="K4180" s="75" t="str">
        <f>IFERROR(VLOOKUP(J4180,'NQ10'!$B$9:$C$145,2,0),"")</f>
        <v/>
      </c>
    </row>
    <row r="4181" spans="1:11" ht="15" customHeight="1" x14ac:dyDescent="0.25">
      <c r="A4181" s="75">
        <v>35</v>
      </c>
      <c r="B4181" s="75">
        <v>195</v>
      </c>
      <c r="C4181" s="75" t="s">
        <v>10</v>
      </c>
      <c r="D4181" s="75">
        <v>2023</v>
      </c>
      <c r="F4181" s="75" t="s">
        <v>10</v>
      </c>
      <c r="H4181" s="75" t="s">
        <v>10</v>
      </c>
      <c r="I4181" s="75">
        <v>19489</v>
      </c>
      <c r="K4181" s="75" t="str">
        <f>IFERROR(VLOOKUP(J4181,'NQ10'!$B$9:$C$145,2,0),"")</f>
        <v/>
      </c>
    </row>
    <row r="4182" spans="1:11" ht="15" customHeight="1" x14ac:dyDescent="0.25">
      <c r="A4182" s="75">
        <v>35</v>
      </c>
      <c r="B4182" s="75">
        <v>196</v>
      </c>
      <c r="C4182" s="75" t="s">
        <v>10</v>
      </c>
      <c r="D4182" s="75">
        <v>7327</v>
      </c>
      <c r="F4182" s="75" t="s">
        <v>10</v>
      </c>
      <c r="H4182" s="75" t="s">
        <v>10</v>
      </c>
      <c r="I4182" s="75">
        <v>19489</v>
      </c>
      <c r="K4182" s="75" t="str">
        <f>IFERROR(VLOOKUP(J4182,'NQ10'!$B$9:$C$145,2,0),"")</f>
        <v/>
      </c>
    </row>
    <row r="4183" spans="1:11" ht="15" customHeight="1" x14ac:dyDescent="0.25">
      <c r="A4183" s="75">
        <v>35</v>
      </c>
      <c r="B4183" s="75">
        <v>197</v>
      </c>
      <c r="C4183" s="75" t="s">
        <v>10</v>
      </c>
      <c r="D4183" s="75">
        <v>15490</v>
      </c>
      <c r="F4183" s="75" t="s">
        <v>10</v>
      </c>
      <c r="H4183" s="75" t="s">
        <v>10</v>
      </c>
      <c r="I4183" s="75">
        <v>19489</v>
      </c>
      <c r="K4183" s="75" t="str">
        <f>IFERROR(VLOOKUP(J4183,'NQ10'!$B$9:$C$145,2,0),"")</f>
        <v/>
      </c>
    </row>
    <row r="4184" spans="1:11" ht="15" customHeight="1" x14ac:dyDescent="0.25">
      <c r="A4184" s="75">
        <v>35</v>
      </c>
      <c r="B4184" s="75">
        <v>199</v>
      </c>
      <c r="C4184" s="75" t="s">
        <v>10</v>
      </c>
      <c r="D4184" s="75">
        <v>5967</v>
      </c>
      <c r="F4184" s="75" t="s">
        <v>10</v>
      </c>
      <c r="H4184" s="75" t="s">
        <v>10</v>
      </c>
      <c r="I4184" s="75">
        <v>19489</v>
      </c>
      <c r="K4184" s="75" t="str">
        <f>IFERROR(VLOOKUP(J4184,'NQ10'!$B$9:$C$145,2,0),"")</f>
        <v/>
      </c>
    </row>
    <row r="4185" spans="1:11" ht="15" customHeight="1" x14ac:dyDescent="0.25">
      <c r="A4185" s="75">
        <v>35</v>
      </c>
      <c r="B4185" s="75">
        <v>200</v>
      </c>
      <c r="C4185" s="75" t="s">
        <v>10</v>
      </c>
      <c r="D4185" s="75">
        <v>1020</v>
      </c>
      <c r="F4185" s="75" t="s">
        <v>10</v>
      </c>
      <c r="H4185" s="75" t="s">
        <v>10</v>
      </c>
      <c r="I4185" s="75">
        <v>19489</v>
      </c>
      <c r="K4185" s="75" t="str">
        <f>IFERROR(VLOOKUP(J4185,'NQ10'!$B$9:$C$145,2,0),"")</f>
        <v/>
      </c>
    </row>
    <row r="4186" spans="1:11" ht="15" customHeight="1" x14ac:dyDescent="0.25">
      <c r="A4186" s="75">
        <v>35</v>
      </c>
      <c r="B4186" s="75">
        <v>201</v>
      </c>
      <c r="C4186" s="75" t="s">
        <v>10</v>
      </c>
      <c r="D4186" s="75">
        <v>496</v>
      </c>
      <c r="F4186" s="75" t="s">
        <v>10</v>
      </c>
      <c r="H4186" s="75" t="s">
        <v>10</v>
      </c>
      <c r="I4186" s="75">
        <v>19489</v>
      </c>
      <c r="K4186" s="75" t="str">
        <f>IFERROR(VLOOKUP(J4186,'NQ10'!$B$9:$C$145,2,0),"")</f>
        <v/>
      </c>
    </row>
    <row r="4187" spans="1:11" ht="15" customHeight="1" x14ac:dyDescent="0.25">
      <c r="A4187" s="75">
        <v>35</v>
      </c>
      <c r="B4187" s="75">
        <v>202</v>
      </c>
      <c r="C4187" s="75" t="s">
        <v>10</v>
      </c>
      <c r="D4187" s="75">
        <v>1514</v>
      </c>
      <c r="F4187" s="75" t="s">
        <v>10</v>
      </c>
      <c r="H4187" s="75" t="s">
        <v>10</v>
      </c>
      <c r="I4187" s="75">
        <v>19489</v>
      </c>
      <c r="K4187" s="75" t="str">
        <f>IFERROR(VLOOKUP(J4187,'NQ10'!$B$9:$C$145,2,0),"")</f>
        <v/>
      </c>
    </row>
    <row r="4188" spans="1:11" ht="15" customHeight="1" x14ac:dyDescent="0.25">
      <c r="A4188" s="75">
        <v>35</v>
      </c>
      <c r="B4188" s="75">
        <v>203</v>
      </c>
      <c r="C4188" s="75" t="s">
        <v>10</v>
      </c>
      <c r="D4188" s="75">
        <v>220</v>
      </c>
      <c r="F4188" s="75" t="s">
        <v>10</v>
      </c>
      <c r="H4188" s="75" t="s">
        <v>10</v>
      </c>
      <c r="I4188" s="75">
        <v>19489</v>
      </c>
      <c r="K4188" s="75" t="str">
        <f>IFERROR(VLOOKUP(J4188,'NQ10'!$B$9:$C$145,2,0),"")</f>
        <v/>
      </c>
    </row>
    <row r="4189" spans="1:11" ht="15" customHeight="1" x14ac:dyDescent="0.25">
      <c r="A4189" s="75">
        <v>35</v>
      </c>
      <c r="B4189" s="75">
        <v>204</v>
      </c>
      <c r="C4189" s="75" t="s">
        <v>10</v>
      </c>
      <c r="D4189" s="75">
        <v>745</v>
      </c>
      <c r="F4189" s="75" t="s">
        <v>10</v>
      </c>
      <c r="H4189" s="75" t="s">
        <v>10</v>
      </c>
      <c r="I4189" s="75">
        <v>19489</v>
      </c>
      <c r="K4189" s="75" t="str">
        <f>IFERROR(VLOOKUP(J4189,'NQ10'!$B$9:$C$145,2,0),"")</f>
        <v/>
      </c>
    </row>
    <row r="4190" spans="1:11" ht="15" customHeight="1" x14ac:dyDescent="0.25">
      <c r="A4190" s="75">
        <v>35</v>
      </c>
      <c r="B4190" s="75">
        <v>205</v>
      </c>
      <c r="C4190" s="75" t="s">
        <v>10</v>
      </c>
      <c r="D4190" s="75">
        <v>154</v>
      </c>
      <c r="F4190" s="75" t="s">
        <v>10</v>
      </c>
      <c r="H4190" s="75" t="s">
        <v>10</v>
      </c>
      <c r="I4190" s="75">
        <v>19489</v>
      </c>
      <c r="K4190" s="75" t="str">
        <f>IFERROR(VLOOKUP(J4190,'NQ10'!$B$9:$C$145,2,0),"")</f>
        <v/>
      </c>
    </row>
    <row r="4191" spans="1:11" ht="15" customHeight="1" x14ac:dyDescent="0.25">
      <c r="A4191" s="75">
        <v>35</v>
      </c>
      <c r="B4191" s="75">
        <v>206</v>
      </c>
      <c r="C4191" s="75" t="s">
        <v>10</v>
      </c>
      <c r="D4191" s="75">
        <v>148</v>
      </c>
      <c r="F4191" s="75" t="s">
        <v>10</v>
      </c>
      <c r="H4191" s="75" t="s">
        <v>10</v>
      </c>
      <c r="I4191" s="75">
        <v>19489</v>
      </c>
      <c r="K4191" s="75" t="str">
        <f>IFERROR(VLOOKUP(J4191,'NQ10'!$B$9:$C$145,2,0),"")</f>
        <v/>
      </c>
    </row>
    <row r="4192" spans="1:11" ht="15" customHeight="1" x14ac:dyDescent="0.25">
      <c r="A4192" s="75">
        <v>35</v>
      </c>
      <c r="B4192" s="75">
        <v>207</v>
      </c>
      <c r="C4192" s="75" t="s">
        <v>10</v>
      </c>
      <c r="D4192" s="75">
        <v>145</v>
      </c>
      <c r="F4192" s="75" t="s">
        <v>10</v>
      </c>
      <c r="H4192" s="75" t="s">
        <v>10</v>
      </c>
      <c r="I4192" s="75">
        <v>19489</v>
      </c>
      <c r="K4192" s="75" t="str">
        <f>IFERROR(VLOOKUP(J4192,'NQ10'!$B$9:$C$145,2,0),"")</f>
        <v/>
      </c>
    </row>
    <row r="4193" spans="1:11" ht="15" customHeight="1" x14ac:dyDescent="0.25">
      <c r="A4193" s="75">
        <v>35</v>
      </c>
      <c r="B4193" s="75">
        <v>208</v>
      </c>
      <c r="C4193" s="75" t="s">
        <v>10</v>
      </c>
      <c r="D4193" s="75">
        <v>2533</v>
      </c>
      <c r="F4193" s="75" t="s">
        <v>10</v>
      </c>
      <c r="H4193" s="75" t="s">
        <v>10</v>
      </c>
      <c r="I4193" s="75">
        <v>19489</v>
      </c>
      <c r="K4193" s="75" t="str">
        <f>IFERROR(VLOOKUP(J4193,'NQ10'!$B$9:$C$145,2,0),"")</f>
        <v/>
      </c>
    </row>
    <row r="4194" spans="1:11" ht="15" customHeight="1" x14ac:dyDescent="0.25">
      <c r="A4194" s="75">
        <v>35</v>
      </c>
      <c r="B4194" s="75">
        <v>210</v>
      </c>
      <c r="C4194" s="75" t="s">
        <v>10</v>
      </c>
      <c r="D4194" s="75">
        <v>8888</v>
      </c>
      <c r="F4194" s="75" t="s">
        <v>10</v>
      </c>
      <c r="H4194" s="75" t="s">
        <v>10</v>
      </c>
      <c r="I4194" s="75">
        <v>19489</v>
      </c>
      <c r="K4194" s="75" t="str">
        <f>IFERROR(VLOOKUP(J4194,'NQ10'!$B$9:$C$145,2,0),"")</f>
        <v/>
      </c>
    </row>
    <row r="4195" spans="1:11" ht="15" customHeight="1" x14ac:dyDescent="0.25">
      <c r="A4195" s="75">
        <v>35</v>
      </c>
      <c r="B4195" s="75">
        <v>212</v>
      </c>
      <c r="C4195" s="75" t="s">
        <v>10</v>
      </c>
      <c r="D4195" s="75">
        <v>1490</v>
      </c>
      <c r="F4195" s="75" t="s">
        <v>10</v>
      </c>
      <c r="H4195" s="75" t="s">
        <v>10</v>
      </c>
      <c r="I4195" s="75">
        <v>19489</v>
      </c>
      <c r="K4195" s="75" t="str">
        <f>IFERROR(VLOOKUP(J4195,'NQ10'!$B$9:$C$145,2,0),"")</f>
        <v/>
      </c>
    </row>
    <row r="4196" spans="1:11" ht="15" customHeight="1" x14ac:dyDescent="0.25">
      <c r="A4196" s="75">
        <v>35</v>
      </c>
      <c r="B4196" s="75">
        <v>213</v>
      </c>
      <c r="C4196" s="75" t="s">
        <v>10</v>
      </c>
      <c r="D4196" s="75">
        <v>136</v>
      </c>
      <c r="F4196" s="75" t="s">
        <v>10</v>
      </c>
      <c r="H4196" s="75" t="s">
        <v>10</v>
      </c>
      <c r="I4196" s="75">
        <v>19489</v>
      </c>
      <c r="K4196" s="75" t="str">
        <f>IFERROR(VLOOKUP(J4196,'NQ10'!$B$9:$C$145,2,0),"")</f>
        <v/>
      </c>
    </row>
    <row r="4197" spans="1:11" ht="15" customHeight="1" x14ac:dyDescent="0.25">
      <c r="A4197" s="75">
        <v>35</v>
      </c>
      <c r="B4197" s="75">
        <v>214</v>
      </c>
      <c r="C4197" s="75" t="s">
        <v>10</v>
      </c>
      <c r="D4197" s="75">
        <v>1949</v>
      </c>
      <c r="F4197" s="75" t="s">
        <v>10</v>
      </c>
      <c r="H4197" s="75" t="s">
        <v>10</v>
      </c>
      <c r="I4197" s="75">
        <v>19489</v>
      </c>
      <c r="K4197" s="75" t="str">
        <f>IFERROR(VLOOKUP(J4197,'NQ10'!$B$9:$C$145,2,0),"")</f>
        <v/>
      </c>
    </row>
    <row r="4198" spans="1:11" ht="15" customHeight="1" x14ac:dyDescent="0.25">
      <c r="A4198" s="75">
        <v>35</v>
      </c>
      <c r="B4198" s="75">
        <v>216</v>
      </c>
      <c r="C4198" s="75" t="s">
        <v>10</v>
      </c>
      <c r="D4198" s="75">
        <v>182</v>
      </c>
      <c r="F4198" s="75" t="s">
        <v>10</v>
      </c>
      <c r="H4198" s="75" t="s">
        <v>10</v>
      </c>
      <c r="I4198" s="75">
        <v>19489</v>
      </c>
      <c r="K4198" s="75" t="str">
        <f>IFERROR(VLOOKUP(J4198,'NQ10'!$B$9:$C$145,2,0),"")</f>
        <v/>
      </c>
    </row>
    <row r="4199" spans="1:11" ht="15" customHeight="1" x14ac:dyDescent="0.25">
      <c r="A4199" s="75">
        <v>35</v>
      </c>
      <c r="B4199" s="75">
        <v>217</v>
      </c>
      <c r="C4199" s="75" t="s">
        <v>10</v>
      </c>
      <c r="D4199" s="75">
        <v>159</v>
      </c>
      <c r="F4199" s="75" t="s">
        <v>10</v>
      </c>
      <c r="H4199" s="75" t="s">
        <v>10</v>
      </c>
      <c r="I4199" s="75">
        <v>19489</v>
      </c>
      <c r="K4199" s="75" t="str">
        <f>IFERROR(VLOOKUP(J4199,'NQ10'!$B$9:$C$145,2,0),"")</f>
        <v/>
      </c>
    </row>
    <row r="4200" spans="1:11" ht="15" customHeight="1" x14ac:dyDescent="0.25">
      <c r="A4200" s="75">
        <v>35</v>
      </c>
      <c r="B4200" s="75">
        <v>218</v>
      </c>
      <c r="C4200" s="75" t="s">
        <v>10</v>
      </c>
      <c r="D4200" s="75">
        <v>173</v>
      </c>
      <c r="F4200" s="75" t="s">
        <v>10</v>
      </c>
      <c r="H4200" s="75" t="s">
        <v>10</v>
      </c>
      <c r="I4200" s="75">
        <v>19489</v>
      </c>
      <c r="K4200" s="75" t="str">
        <f>IFERROR(VLOOKUP(J4200,'NQ10'!$B$9:$C$145,2,0),"")</f>
        <v/>
      </c>
    </row>
    <row r="4201" spans="1:11" ht="15" customHeight="1" x14ac:dyDescent="0.25">
      <c r="A4201" s="75">
        <v>35</v>
      </c>
      <c r="B4201" s="75">
        <v>219</v>
      </c>
      <c r="C4201" s="75" t="s">
        <v>10</v>
      </c>
      <c r="D4201" s="75">
        <v>145</v>
      </c>
      <c r="F4201" s="75" t="s">
        <v>10</v>
      </c>
      <c r="H4201" s="75" t="s">
        <v>10</v>
      </c>
      <c r="I4201" s="75">
        <v>19489</v>
      </c>
      <c r="K4201" s="75" t="str">
        <f>IFERROR(VLOOKUP(J4201,'NQ10'!$B$9:$C$145,2,0),"")</f>
        <v/>
      </c>
    </row>
    <row r="4202" spans="1:11" ht="15" customHeight="1" x14ac:dyDescent="0.25">
      <c r="A4202" s="75">
        <v>35</v>
      </c>
      <c r="B4202" s="75">
        <v>220</v>
      </c>
      <c r="C4202" s="75" t="s">
        <v>10</v>
      </c>
      <c r="D4202" s="75">
        <v>119</v>
      </c>
      <c r="F4202" s="75" t="s">
        <v>10</v>
      </c>
      <c r="H4202" s="75" t="s">
        <v>10</v>
      </c>
      <c r="I4202" s="75">
        <v>19489</v>
      </c>
      <c r="K4202" s="75" t="str">
        <f>IFERROR(VLOOKUP(J4202,'NQ10'!$B$9:$C$145,2,0),"")</f>
        <v/>
      </c>
    </row>
    <row r="4203" spans="1:11" ht="15" customHeight="1" x14ac:dyDescent="0.25">
      <c r="A4203" s="75">
        <v>35</v>
      </c>
      <c r="B4203" s="75">
        <v>221</v>
      </c>
      <c r="C4203" s="75" t="s">
        <v>10</v>
      </c>
      <c r="D4203" s="75">
        <v>194</v>
      </c>
      <c r="F4203" s="75" t="s">
        <v>10</v>
      </c>
      <c r="H4203" s="75" t="s">
        <v>10</v>
      </c>
      <c r="I4203" s="75">
        <v>19489</v>
      </c>
      <c r="K4203" s="75" t="str">
        <f>IFERROR(VLOOKUP(J4203,'NQ10'!$B$9:$C$145,2,0),"")</f>
        <v/>
      </c>
    </row>
    <row r="4204" spans="1:11" ht="15" customHeight="1" x14ac:dyDescent="0.25">
      <c r="A4204" s="75">
        <v>35</v>
      </c>
      <c r="B4204" s="75">
        <v>222</v>
      </c>
      <c r="C4204" s="75" t="s">
        <v>10</v>
      </c>
      <c r="D4204" s="75">
        <v>200</v>
      </c>
      <c r="F4204" s="75" t="s">
        <v>10</v>
      </c>
      <c r="H4204" s="75" t="s">
        <v>10</v>
      </c>
      <c r="I4204" s="75">
        <v>19489</v>
      </c>
      <c r="K4204" s="75" t="str">
        <f>IFERROR(VLOOKUP(J4204,'NQ10'!$B$9:$C$145,2,0),"")</f>
        <v/>
      </c>
    </row>
    <row r="4205" spans="1:11" ht="15" customHeight="1" x14ac:dyDescent="0.25">
      <c r="A4205" s="75">
        <v>35</v>
      </c>
      <c r="B4205" s="75">
        <v>223</v>
      </c>
      <c r="C4205" s="75" t="s">
        <v>10</v>
      </c>
      <c r="D4205" s="75">
        <v>559</v>
      </c>
      <c r="F4205" s="75" t="s">
        <v>10</v>
      </c>
      <c r="H4205" s="75" t="s">
        <v>10</v>
      </c>
      <c r="I4205" s="75">
        <v>19489</v>
      </c>
      <c r="K4205" s="75" t="str">
        <f>IFERROR(VLOOKUP(J4205,'NQ10'!$B$9:$C$145,2,0),"")</f>
        <v/>
      </c>
    </row>
    <row r="4206" spans="1:11" ht="15" customHeight="1" x14ac:dyDescent="0.25">
      <c r="A4206" s="75">
        <v>35</v>
      </c>
      <c r="B4206" s="75">
        <v>224</v>
      </c>
      <c r="C4206" s="75" t="s">
        <v>10</v>
      </c>
      <c r="D4206" s="75">
        <v>256</v>
      </c>
      <c r="F4206" s="75" t="s">
        <v>10</v>
      </c>
      <c r="H4206" s="75" t="s">
        <v>10</v>
      </c>
      <c r="I4206" s="75">
        <v>19489</v>
      </c>
      <c r="K4206" s="75" t="str">
        <f>IFERROR(VLOOKUP(J4206,'NQ10'!$B$9:$C$145,2,0),"")</f>
        <v/>
      </c>
    </row>
    <row r="4207" spans="1:11" ht="15" customHeight="1" x14ac:dyDescent="0.25">
      <c r="A4207" s="75">
        <v>35</v>
      </c>
      <c r="B4207" s="75">
        <v>225</v>
      </c>
      <c r="C4207" s="75" t="s">
        <v>10</v>
      </c>
      <c r="D4207" s="75">
        <v>10716</v>
      </c>
      <c r="F4207" s="75" t="s">
        <v>10</v>
      </c>
      <c r="H4207" s="75" t="s">
        <v>10</v>
      </c>
      <c r="I4207" s="75">
        <v>19489</v>
      </c>
      <c r="K4207" s="75" t="str">
        <f>IFERROR(VLOOKUP(J4207,'NQ10'!$B$9:$C$145,2,0),"")</f>
        <v/>
      </c>
    </row>
    <row r="4208" spans="1:11" ht="15" customHeight="1" x14ac:dyDescent="0.25">
      <c r="A4208" s="75">
        <v>35</v>
      </c>
      <c r="B4208" s="75">
        <v>227</v>
      </c>
      <c r="C4208" s="75" t="s">
        <v>10</v>
      </c>
      <c r="D4208" s="75">
        <v>546</v>
      </c>
      <c r="F4208" s="75" t="s">
        <v>10</v>
      </c>
      <c r="H4208" s="75" t="s">
        <v>10</v>
      </c>
      <c r="I4208" s="75">
        <v>19489</v>
      </c>
      <c r="K4208" s="75" t="str">
        <f>IFERROR(VLOOKUP(J4208,'NQ10'!$B$9:$C$145,2,0),"")</f>
        <v/>
      </c>
    </row>
    <row r="4209" spans="1:11" ht="15" customHeight="1" x14ac:dyDescent="0.25">
      <c r="A4209" s="75">
        <v>35</v>
      </c>
      <c r="B4209" s="75">
        <v>228</v>
      </c>
      <c r="C4209" s="75" t="s">
        <v>10</v>
      </c>
      <c r="D4209" s="75">
        <v>220</v>
      </c>
      <c r="F4209" s="75" t="s">
        <v>10</v>
      </c>
      <c r="H4209" s="75" t="s">
        <v>10</v>
      </c>
      <c r="I4209" s="75">
        <v>19489</v>
      </c>
      <c r="K4209" s="75" t="str">
        <f>IFERROR(VLOOKUP(J4209,'NQ10'!$B$9:$C$145,2,0),"")</f>
        <v/>
      </c>
    </row>
    <row r="4210" spans="1:11" ht="15" customHeight="1" x14ac:dyDescent="0.25">
      <c r="A4210" s="75">
        <v>35</v>
      </c>
      <c r="B4210" s="75">
        <v>229</v>
      </c>
      <c r="C4210" s="75" t="s">
        <v>10</v>
      </c>
      <c r="D4210" s="75">
        <v>202</v>
      </c>
      <c r="F4210" s="75" t="s">
        <v>10</v>
      </c>
      <c r="H4210" s="75" t="s">
        <v>10</v>
      </c>
      <c r="I4210" s="75">
        <v>19489</v>
      </c>
      <c r="K4210" s="75" t="str">
        <f>IFERROR(VLOOKUP(J4210,'NQ10'!$B$9:$C$145,2,0),"")</f>
        <v/>
      </c>
    </row>
    <row r="4211" spans="1:11" ht="15" customHeight="1" x14ac:dyDescent="0.25">
      <c r="A4211" s="75">
        <v>35</v>
      </c>
      <c r="B4211" s="75">
        <v>230</v>
      </c>
      <c r="C4211" s="75" t="s">
        <v>10</v>
      </c>
      <c r="D4211" s="75">
        <v>163</v>
      </c>
      <c r="F4211" s="75" t="s">
        <v>10</v>
      </c>
      <c r="H4211" s="75" t="s">
        <v>10</v>
      </c>
      <c r="I4211" s="75">
        <v>19489</v>
      </c>
      <c r="K4211" s="75" t="str">
        <f>IFERROR(VLOOKUP(J4211,'NQ10'!$B$9:$C$145,2,0),"")</f>
        <v/>
      </c>
    </row>
    <row r="4212" spans="1:11" ht="15" customHeight="1" x14ac:dyDescent="0.25">
      <c r="A4212" s="75">
        <v>35</v>
      </c>
      <c r="B4212" s="75">
        <v>231</v>
      </c>
      <c r="C4212" s="75" t="s">
        <v>10</v>
      </c>
      <c r="D4212" s="75">
        <v>173</v>
      </c>
      <c r="F4212" s="75" t="s">
        <v>10</v>
      </c>
      <c r="H4212" s="75" t="s">
        <v>10</v>
      </c>
      <c r="I4212" s="75">
        <v>19489</v>
      </c>
      <c r="K4212" s="75" t="str">
        <f>IFERROR(VLOOKUP(J4212,'NQ10'!$B$9:$C$145,2,0),"")</f>
        <v/>
      </c>
    </row>
    <row r="4213" spans="1:11" ht="15" customHeight="1" x14ac:dyDescent="0.25">
      <c r="A4213" s="75">
        <v>35</v>
      </c>
      <c r="B4213" s="75">
        <v>232</v>
      </c>
      <c r="C4213" s="75" t="s">
        <v>10</v>
      </c>
      <c r="D4213" s="75">
        <v>10857</v>
      </c>
      <c r="F4213" s="75" t="s">
        <v>10</v>
      </c>
      <c r="H4213" s="75" t="s">
        <v>10</v>
      </c>
      <c r="I4213" s="75">
        <v>19489</v>
      </c>
      <c r="K4213" s="75" t="str">
        <f>IFERROR(VLOOKUP(J4213,'NQ10'!$B$9:$C$145,2,0),"")</f>
        <v/>
      </c>
    </row>
    <row r="4214" spans="1:11" ht="15" customHeight="1" x14ac:dyDescent="0.25">
      <c r="A4214" s="75">
        <v>35</v>
      </c>
      <c r="B4214" s="75">
        <v>234</v>
      </c>
      <c r="C4214" s="75" t="s">
        <v>10</v>
      </c>
      <c r="D4214" s="75">
        <v>190</v>
      </c>
      <c r="F4214" s="75" t="s">
        <v>10</v>
      </c>
      <c r="H4214" s="75" t="s">
        <v>10</v>
      </c>
      <c r="I4214" s="75">
        <v>19489</v>
      </c>
      <c r="K4214" s="75" t="str">
        <f>IFERROR(VLOOKUP(J4214,'NQ10'!$B$9:$C$145,2,0),"")</f>
        <v/>
      </c>
    </row>
    <row r="4215" spans="1:11" ht="15" customHeight="1" x14ac:dyDescent="0.25">
      <c r="A4215" s="75">
        <v>35</v>
      </c>
      <c r="B4215" s="75">
        <v>235</v>
      </c>
      <c r="C4215" s="75" t="s">
        <v>10</v>
      </c>
      <c r="D4215" s="75">
        <v>219</v>
      </c>
      <c r="F4215" s="75" t="s">
        <v>10</v>
      </c>
      <c r="H4215" s="75" t="s">
        <v>10</v>
      </c>
      <c r="I4215" s="75">
        <v>19489</v>
      </c>
      <c r="K4215" s="75" t="str">
        <f>IFERROR(VLOOKUP(J4215,'NQ10'!$B$9:$C$145,2,0),"")</f>
        <v/>
      </c>
    </row>
    <row r="4216" spans="1:11" ht="15" customHeight="1" x14ac:dyDescent="0.25">
      <c r="A4216" s="75">
        <v>35</v>
      </c>
      <c r="B4216" s="75">
        <v>236</v>
      </c>
      <c r="C4216" s="75" t="s">
        <v>10</v>
      </c>
      <c r="D4216" s="75">
        <v>118</v>
      </c>
      <c r="F4216" s="75" t="s">
        <v>10</v>
      </c>
      <c r="H4216" s="75" t="s">
        <v>10</v>
      </c>
      <c r="I4216" s="75">
        <v>19489</v>
      </c>
      <c r="K4216" s="75" t="str">
        <f>IFERROR(VLOOKUP(J4216,'NQ10'!$B$9:$C$145,2,0),"")</f>
        <v/>
      </c>
    </row>
    <row r="4217" spans="1:11" ht="15" customHeight="1" x14ac:dyDescent="0.25">
      <c r="A4217" s="75">
        <v>35</v>
      </c>
      <c r="B4217" s="75">
        <v>238</v>
      </c>
      <c r="C4217" s="75" t="s">
        <v>10</v>
      </c>
      <c r="D4217" s="75">
        <v>302</v>
      </c>
      <c r="F4217" s="75" t="s">
        <v>10</v>
      </c>
      <c r="H4217" s="75" t="s">
        <v>10</v>
      </c>
      <c r="I4217" s="75">
        <v>19489</v>
      </c>
      <c r="K4217" s="75" t="str">
        <f>IFERROR(VLOOKUP(J4217,'NQ10'!$B$9:$C$145,2,0),"")</f>
        <v/>
      </c>
    </row>
    <row r="4218" spans="1:11" ht="15" customHeight="1" x14ac:dyDescent="0.25">
      <c r="A4218" s="75">
        <v>35</v>
      </c>
      <c r="B4218" s="75">
        <v>239</v>
      </c>
      <c r="C4218" s="75" t="s">
        <v>10</v>
      </c>
      <c r="D4218" s="75">
        <v>96</v>
      </c>
      <c r="F4218" s="75" t="s">
        <v>10</v>
      </c>
      <c r="H4218" s="75" t="s">
        <v>10</v>
      </c>
      <c r="I4218" s="75">
        <v>19489</v>
      </c>
      <c r="K4218" s="75" t="str">
        <f>IFERROR(VLOOKUP(J4218,'NQ10'!$B$9:$C$145,2,0),"")</f>
        <v/>
      </c>
    </row>
    <row r="4219" spans="1:11" ht="15" customHeight="1" x14ac:dyDescent="0.25">
      <c r="A4219" s="75">
        <v>35</v>
      </c>
      <c r="B4219" s="75">
        <v>240</v>
      </c>
      <c r="C4219" s="75" t="s">
        <v>10</v>
      </c>
      <c r="D4219" s="75">
        <v>444</v>
      </c>
      <c r="F4219" s="75" t="s">
        <v>10</v>
      </c>
      <c r="H4219" s="75" t="s">
        <v>10</v>
      </c>
      <c r="I4219" s="75">
        <v>19489</v>
      </c>
      <c r="K4219" s="75" t="str">
        <f>IFERROR(VLOOKUP(J4219,'NQ10'!$B$9:$C$145,2,0),"")</f>
        <v/>
      </c>
    </row>
    <row r="4220" spans="1:11" ht="15" customHeight="1" x14ac:dyDescent="0.25">
      <c r="A4220" s="75">
        <v>35</v>
      </c>
      <c r="B4220" s="75">
        <v>241</v>
      </c>
      <c r="C4220" s="75" t="s">
        <v>10</v>
      </c>
      <c r="D4220" s="75">
        <v>604</v>
      </c>
      <c r="F4220" s="75" t="s">
        <v>10</v>
      </c>
      <c r="H4220" s="75" t="s">
        <v>10</v>
      </c>
      <c r="I4220" s="75">
        <v>19489</v>
      </c>
      <c r="K4220" s="75" t="str">
        <f>IFERROR(VLOOKUP(J4220,'NQ10'!$B$9:$C$145,2,0),"")</f>
        <v/>
      </c>
    </row>
    <row r="4221" spans="1:11" ht="15" customHeight="1" x14ac:dyDescent="0.25">
      <c r="A4221" s="75">
        <v>35</v>
      </c>
      <c r="B4221" s="75">
        <v>242</v>
      </c>
      <c r="C4221" s="75" t="s">
        <v>10</v>
      </c>
      <c r="D4221" s="75">
        <v>428</v>
      </c>
      <c r="F4221" s="75" t="s">
        <v>10</v>
      </c>
      <c r="H4221" s="75" t="s">
        <v>10</v>
      </c>
      <c r="I4221" s="75">
        <v>19489</v>
      </c>
      <c r="K4221" s="75" t="str">
        <f>IFERROR(VLOOKUP(J4221,'NQ10'!$B$9:$C$145,2,0),"")</f>
        <v/>
      </c>
    </row>
    <row r="4222" spans="1:11" ht="15" customHeight="1" x14ac:dyDescent="0.25">
      <c r="A4222" s="75">
        <v>35</v>
      </c>
      <c r="B4222" s="75">
        <v>243</v>
      </c>
      <c r="C4222" s="75" t="s">
        <v>10</v>
      </c>
      <c r="D4222" s="75">
        <v>129</v>
      </c>
      <c r="F4222" s="75" t="s">
        <v>10</v>
      </c>
      <c r="H4222" s="75" t="s">
        <v>10</v>
      </c>
      <c r="I4222" s="75">
        <v>19489</v>
      </c>
      <c r="K4222" s="75" t="str">
        <f>IFERROR(VLOOKUP(J4222,'NQ10'!$B$9:$C$145,2,0),"")</f>
        <v/>
      </c>
    </row>
    <row r="4223" spans="1:11" ht="15" customHeight="1" x14ac:dyDescent="0.25">
      <c r="A4223" s="75">
        <v>35</v>
      </c>
      <c r="B4223" s="75">
        <v>244</v>
      </c>
      <c r="C4223" s="75" t="s">
        <v>10</v>
      </c>
      <c r="D4223" s="75">
        <v>176</v>
      </c>
      <c r="F4223" s="75" t="s">
        <v>10</v>
      </c>
      <c r="H4223" s="75" t="s">
        <v>10</v>
      </c>
      <c r="I4223" s="75">
        <v>19489</v>
      </c>
      <c r="K4223" s="75" t="str">
        <f>IFERROR(VLOOKUP(J4223,'NQ10'!$B$9:$C$145,2,0),"")</f>
        <v/>
      </c>
    </row>
    <row r="4224" spans="1:11" ht="15" customHeight="1" x14ac:dyDescent="0.25">
      <c r="A4224" s="75">
        <v>35</v>
      </c>
      <c r="B4224" s="75">
        <v>245</v>
      </c>
      <c r="C4224" s="75" t="s">
        <v>10</v>
      </c>
      <c r="D4224" s="75">
        <v>148</v>
      </c>
      <c r="F4224" s="75" t="s">
        <v>10</v>
      </c>
      <c r="H4224" s="75" t="s">
        <v>10</v>
      </c>
      <c r="I4224" s="75">
        <v>19489</v>
      </c>
      <c r="K4224" s="75" t="str">
        <f>IFERROR(VLOOKUP(J4224,'NQ10'!$B$9:$C$145,2,0),"")</f>
        <v/>
      </c>
    </row>
    <row r="4225" spans="1:11" ht="15" customHeight="1" x14ac:dyDescent="0.25">
      <c r="A4225" s="75">
        <v>35</v>
      </c>
      <c r="B4225" s="75">
        <v>246</v>
      </c>
      <c r="C4225" s="75" t="s">
        <v>10</v>
      </c>
      <c r="D4225" s="75">
        <v>244</v>
      </c>
      <c r="F4225" s="75" t="s">
        <v>10</v>
      </c>
      <c r="H4225" s="75" t="s">
        <v>10</v>
      </c>
      <c r="I4225" s="75">
        <v>19489</v>
      </c>
      <c r="K4225" s="75" t="str">
        <f>IFERROR(VLOOKUP(J4225,'NQ10'!$B$9:$C$145,2,0),"")</f>
        <v/>
      </c>
    </row>
    <row r="4226" spans="1:11" ht="15" customHeight="1" x14ac:dyDescent="0.25">
      <c r="A4226" s="75">
        <v>35</v>
      </c>
      <c r="B4226" s="75">
        <v>247</v>
      </c>
      <c r="C4226" s="75" t="s">
        <v>10</v>
      </c>
      <c r="D4226" s="75">
        <v>537</v>
      </c>
      <c r="F4226" s="75" t="s">
        <v>10</v>
      </c>
      <c r="H4226" s="75" t="s">
        <v>10</v>
      </c>
      <c r="I4226" s="75">
        <v>19489</v>
      </c>
      <c r="K4226" s="75" t="str">
        <f>IFERROR(VLOOKUP(J4226,'NQ10'!$B$9:$C$145,2,0),"")</f>
        <v/>
      </c>
    </row>
    <row r="4227" spans="1:11" ht="15" customHeight="1" x14ac:dyDescent="0.25">
      <c r="A4227" s="75">
        <v>35</v>
      </c>
      <c r="B4227" s="75">
        <v>248</v>
      </c>
      <c r="C4227" s="75" t="s">
        <v>10</v>
      </c>
      <c r="D4227" s="75">
        <v>521</v>
      </c>
      <c r="F4227" s="75" t="s">
        <v>10</v>
      </c>
      <c r="H4227" s="75" t="s">
        <v>10</v>
      </c>
      <c r="I4227" s="75">
        <v>19489</v>
      </c>
      <c r="K4227" s="75" t="str">
        <f>IFERROR(VLOOKUP(J4227,'NQ10'!$B$9:$C$145,2,0),"")</f>
        <v/>
      </c>
    </row>
    <row r="4228" spans="1:11" ht="15" customHeight="1" x14ac:dyDescent="0.25">
      <c r="A4228" s="75">
        <v>35</v>
      </c>
      <c r="B4228" s="75">
        <v>249</v>
      </c>
      <c r="C4228" s="75" t="s">
        <v>10</v>
      </c>
      <c r="D4228" s="75">
        <v>121</v>
      </c>
      <c r="F4228" s="75" t="s">
        <v>10</v>
      </c>
      <c r="H4228" s="75" t="s">
        <v>10</v>
      </c>
      <c r="I4228" s="75">
        <v>19489</v>
      </c>
      <c r="K4228" s="75" t="str">
        <f>IFERROR(VLOOKUP(J4228,'NQ10'!$B$9:$C$145,2,0),"")</f>
        <v/>
      </c>
    </row>
    <row r="4229" spans="1:11" ht="15" customHeight="1" x14ac:dyDescent="0.25">
      <c r="A4229" s="75">
        <v>35</v>
      </c>
      <c r="B4229" s="75">
        <v>250</v>
      </c>
      <c r="C4229" s="75" t="s">
        <v>10</v>
      </c>
      <c r="D4229" s="75">
        <v>484</v>
      </c>
      <c r="F4229" s="75" t="s">
        <v>10</v>
      </c>
      <c r="H4229" s="75" t="s">
        <v>10</v>
      </c>
      <c r="I4229" s="75">
        <v>19489</v>
      </c>
      <c r="K4229" s="75" t="str">
        <f>IFERROR(VLOOKUP(J4229,'NQ10'!$B$9:$C$145,2,0),"")</f>
        <v/>
      </c>
    </row>
    <row r="4230" spans="1:11" ht="15" customHeight="1" x14ac:dyDescent="0.25">
      <c r="A4230" s="75">
        <v>35</v>
      </c>
      <c r="B4230" s="75">
        <v>801</v>
      </c>
      <c r="C4230" s="75" t="s">
        <v>10</v>
      </c>
      <c r="D4230" s="75">
        <v>4941</v>
      </c>
      <c r="F4230" s="75" t="s">
        <v>10</v>
      </c>
      <c r="H4230" s="75" t="s">
        <v>10</v>
      </c>
      <c r="I4230" s="75">
        <v>19489</v>
      </c>
      <c r="K4230" s="75" t="str">
        <f>IFERROR(VLOOKUP(J4230,'NQ10'!$B$9:$C$145,2,0),"")</f>
        <v/>
      </c>
    </row>
    <row r="4231" spans="1:11" ht="15" customHeight="1" x14ac:dyDescent="0.25">
      <c r="A4231" s="75">
        <v>35</v>
      </c>
      <c r="B4231" s="75">
        <v>802</v>
      </c>
      <c r="C4231" s="75" t="s">
        <v>10</v>
      </c>
      <c r="D4231" s="75">
        <v>117</v>
      </c>
      <c r="F4231" s="75" t="s">
        <v>10</v>
      </c>
      <c r="H4231" s="75" t="s">
        <v>10</v>
      </c>
      <c r="I4231" s="75">
        <v>19489</v>
      </c>
      <c r="K4231" s="75" t="str">
        <f>IFERROR(VLOOKUP(J4231,'NQ10'!$B$9:$C$145,2,0),"")</f>
        <v/>
      </c>
    </row>
    <row r="4232" spans="1:11" ht="15" customHeight="1" x14ac:dyDescent="0.25">
      <c r="A4232" s="75">
        <v>35</v>
      </c>
      <c r="B4232" s="75">
        <v>803</v>
      </c>
      <c r="C4232" s="75" t="s">
        <v>10</v>
      </c>
      <c r="D4232" s="75">
        <v>342</v>
      </c>
      <c r="F4232" s="75" t="s">
        <v>10</v>
      </c>
      <c r="H4232" s="75" t="s">
        <v>10</v>
      </c>
      <c r="I4232" s="75">
        <v>19489</v>
      </c>
      <c r="K4232" s="75" t="str">
        <f>IFERROR(VLOOKUP(J4232,'NQ10'!$B$9:$C$145,2,0),"")</f>
        <v/>
      </c>
    </row>
    <row r="4233" spans="1:11" ht="15" customHeight="1" x14ac:dyDescent="0.25">
      <c r="A4233" s="75">
        <v>35</v>
      </c>
      <c r="B4233" s="75">
        <v>901</v>
      </c>
      <c r="C4233" s="75" t="s">
        <v>10</v>
      </c>
      <c r="D4233" s="75">
        <v>145</v>
      </c>
      <c r="F4233" s="75" t="s">
        <v>10</v>
      </c>
      <c r="H4233" s="75" t="s">
        <v>10</v>
      </c>
      <c r="I4233" s="75">
        <v>19489</v>
      </c>
      <c r="K4233" s="75" t="str">
        <f>IFERROR(VLOOKUP(J4233,'NQ10'!$B$9:$C$145,2,0),"")</f>
        <v/>
      </c>
    </row>
    <row r="4234" spans="1:11" ht="15" customHeight="1" x14ac:dyDescent="0.25">
      <c r="A4234" s="75">
        <v>35</v>
      </c>
      <c r="B4234" s="75">
        <v>902</v>
      </c>
      <c r="C4234" s="75" t="s">
        <v>10</v>
      </c>
      <c r="D4234" s="75">
        <v>397</v>
      </c>
      <c r="F4234" s="75" t="s">
        <v>10</v>
      </c>
      <c r="H4234" s="75" t="s">
        <v>10</v>
      </c>
      <c r="I4234" s="75">
        <v>19489</v>
      </c>
      <c r="K4234" s="75" t="str">
        <f>IFERROR(VLOOKUP(J4234,'NQ10'!$B$9:$C$145,2,0),"")</f>
        <v/>
      </c>
    </row>
    <row r="4235" spans="1:11" ht="15" customHeight="1" x14ac:dyDescent="0.25">
      <c r="A4235" s="75">
        <v>35</v>
      </c>
      <c r="B4235" s="75">
        <v>903</v>
      </c>
      <c r="C4235" s="75" t="s">
        <v>10</v>
      </c>
      <c r="D4235" s="75">
        <v>1475</v>
      </c>
      <c r="F4235" s="75" t="s">
        <v>10</v>
      </c>
      <c r="H4235" s="75" t="s">
        <v>10</v>
      </c>
      <c r="I4235" s="75">
        <v>19489</v>
      </c>
      <c r="K4235" s="75" t="str">
        <f>IFERROR(VLOOKUP(J4235,'NQ10'!$B$9:$C$145,2,0),"")</f>
        <v/>
      </c>
    </row>
    <row r="4236" spans="1:11" ht="15" customHeight="1" x14ac:dyDescent="0.25">
      <c r="A4236" s="75">
        <v>35</v>
      </c>
      <c r="B4236" s="75">
        <v>904</v>
      </c>
      <c r="C4236" s="75" t="s">
        <v>10</v>
      </c>
      <c r="D4236" s="75">
        <v>246</v>
      </c>
      <c r="F4236" s="75" t="s">
        <v>10</v>
      </c>
      <c r="H4236" s="75" t="s">
        <v>10</v>
      </c>
      <c r="I4236" s="75">
        <v>19489</v>
      </c>
      <c r="K4236" s="75" t="str">
        <f>IFERROR(VLOOKUP(J4236,'NQ10'!$B$9:$C$145,2,0),"")</f>
        <v/>
      </c>
    </row>
    <row r="4237" spans="1:11" ht="15" customHeight="1" x14ac:dyDescent="0.25">
      <c r="A4237" s="75">
        <v>35</v>
      </c>
      <c r="B4237" s="75">
        <v>911</v>
      </c>
      <c r="C4237" s="75" t="s">
        <v>10</v>
      </c>
      <c r="D4237" s="75">
        <v>906</v>
      </c>
      <c r="F4237" s="75" t="s">
        <v>10</v>
      </c>
      <c r="H4237" s="75" t="s">
        <v>10</v>
      </c>
      <c r="I4237" s="75">
        <v>19489</v>
      </c>
      <c r="K4237" s="75" t="str">
        <f>IFERROR(VLOOKUP(J4237,'NQ10'!$B$9:$C$145,2,0),"")</f>
        <v/>
      </c>
    </row>
    <row r="4238" spans="1:11" ht="15" customHeight="1" x14ac:dyDescent="0.25">
      <c r="A4238" s="75">
        <v>35</v>
      </c>
      <c r="B4238" s="75">
        <v>913</v>
      </c>
      <c r="C4238" s="75" t="s">
        <v>10</v>
      </c>
      <c r="D4238" s="75">
        <v>777</v>
      </c>
      <c r="F4238" s="75" t="s">
        <v>10</v>
      </c>
      <c r="H4238" s="75" t="s">
        <v>10</v>
      </c>
      <c r="I4238" s="75">
        <v>19489</v>
      </c>
      <c r="K4238" s="75" t="str">
        <f>IFERROR(VLOOKUP(J4238,'NQ10'!$B$9:$C$145,2,0),"")</f>
        <v/>
      </c>
    </row>
    <row r="4239" spans="1:11" ht="15" customHeight="1" x14ac:dyDescent="0.25">
      <c r="A4239" s="75">
        <v>36</v>
      </c>
      <c r="C4239" s="75" t="s">
        <v>10</v>
      </c>
      <c r="D4239" s="75">
        <v>237</v>
      </c>
      <c r="F4239" s="75" t="s">
        <v>10</v>
      </c>
      <c r="H4239" s="75" t="s">
        <v>10</v>
      </c>
      <c r="I4239" s="75">
        <v>19489</v>
      </c>
      <c r="K4239" s="75" t="str">
        <f>IFERROR(VLOOKUP(J4239,'NQ10'!$B$9:$C$145,2,0),"")</f>
        <v/>
      </c>
    </row>
    <row r="4240" spans="1:11" ht="15" customHeight="1" x14ac:dyDescent="0.25">
      <c r="A4240" s="75">
        <v>36</v>
      </c>
      <c r="C4240" s="75" t="s">
        <v>10</v>
      </c>
      <c r="D4240" s="75">
        <v>2433</v>
      </c>
      <c r="F4240" s="75" t="s">
        <v>10</v>
      </c>
      <c r="H4240" s="75" t="s">
        <v>10</v>
      </c>
      <c r="I4240" s="75">
        <v>19489</v>
      </c>
      <c r="K4240" s="75" t="str">
        <f>IFERROR(VLOOKUP(J4240,'NQ10'!$B$9:$C$145,2,0),"")</f>
        <v/>
      </c>
    </row>
    <row r="4241" spans="1:11" ht="15" customHeight="1" x14ac:dyDescent="0.25">
      <c r="A4241" s="75">
        <v>36</v>
      </c>
      <c r="C4241" s="75" t="s">
        <v>10</v>
      </c>
      <c r="D4241" s="75">
        <v>367</v>
      </c>
      <c r="F4241" s="75" t="s">
        <v>10</v>
      </c>
      <c r="H4241" s="75" t="s">
        <v>10</v>
      </c>
      <c r="I4241" s="75">
        <v>19489</v>
      </c>
      <c r="K4241" s="75" t="str">
        <f>IFERROR(VLOOKUP(J4241,'NQ10'!$B$9:$C$145,2,0),"")</f>
        <v/>
      </c>
    </row>
    <row r="4242" spans="1:11" ht="15" customHeight="1" x14ac:dyDescent="0.25">
      <c r="A4242" s="75">
        <v>36</v>
      </c>
      <c r="C4242" s="75" t="s">
        <v>10</v>
      </c>
      <c r="D4242" s="75">
        <v>4571</v>
      </c>
      <c r="F4242" s="75" t="s">
        <v>10</v>
      </c>
      <c r="H4242" s="75" t="s">
        <v>10</v>
      </c>
      <c r="I4242" s="75">
        <v>19489</v>
      </c>
      <c r="K4242" s="75" t="str">
        <f>IFERROR(VLOOKUP(J4242,'NQ10'!$B$9:$C$145,2,0),"")</f>
        <v/>
      </c>
    </row>
    <row r="4243" spans="1:11" ht="15" customHeight="1" x14ac:dyDescent="0.25">
      <c r="A4243" s="75">
        <v>36</v>
      </c>
      <c r="C4243" s="75" t="s">
        <v>10</v>
      </c>
      <c r="D4243" s="75">
        <v>4276</v>
      </c>
      <c r="F4243" s="75" t="s">
        <v>10</v>
      </c>
      <c r="H4243" s="75" t="s">
        <v>10</v>
      </c>
      <c r="I4243" s="75">
        <v>19489</v>
      </c>
      <c r="K4243" s="75" t="str">
        <f>IFERROR(VLOOKUP(J4243,'NQ10'!$B$9:$C$145,2,0),"")</f>
        <v/>
      </c>
    </row>
    <row r="4244" spans="1:11" ht="15" customHeight="1" x14ac:dyDescent="0.25">
      <c r="A4244" s="75">
        <v>36</v>
      </c>
      <c r="C4244" s="75" t="s">
        <v>10</v>
      </c>
      <c r="D4244" s="75">
        <v>8920</v>
      </c>
      <c r="F4244" s="75" t="s">
        <v>10</v>
      </c>
      <c r="H4244" s="75" t="s">
        <v>10</v>
      </c>
      <c r="I4244" s="75">
        <v>19489</v>
      </c>
      <c r="K4244" s="75" t="str">
        <f>IFERROR(VLOOKUP(J4244,'NQ10'!$B$9:$C$145,2,0),"")</f>
        <v/>
      </c>
    </row>
    <row r="4245" spans="1:11" ht="15" customHeight="1" x14ac:dyDescent="0.25">
      <c r="A4245" s="75">
        <v>36</v>
      </c>
      <c r="C4245" s="75" t="s">
        <v>10</v>
      </c>
      <c r="D4245" s="75">
        <v>7389</v>
      </c>
      <c r="F4245" s="75" t="s">
        <v>10</v>
      </c>
      <c r="H4245" s="75" t="s">
        <v>10</v>
      </c>
      <c r="I4245" s="75">
        <v>19489</v>
      </c>
      <c r="K4245" s="75" t="str">
        <f>IFERROR(VLOOKUP(J4245,'NQ10'!$B$9:$C$145,2,0),"")</f>
        <v/>
      </c>
    </row>
    <row r="4246" spans="1:11" ht="15" customHeight="1" x14ac:dyDescent="0.25">
      <c r="A4246" s="75">
        <v>36</v>
      </c>
      <c r="C4246" s="75" t="s">
        <v>10</v>
      </c>
      <c r="D4246" s="75">
        <v>130</v>
      </c>
      <c r="F4246" s="75" t="s">
        <v>10</v>
      </c>
      <c r="H4246" s="75" t="s">
        <v>10</v>
      </c>
      <c r="I4246" s="75">
        <v>19489</v>
      </c>
      <c r="K4246" s="75" t="str">
        <f>IFERROR(VLOOKUP(J4246,'NQ10'!$B$9:$C$145,2,0),"")</f>
        <v/>
      </c>
    </row>
    <row r="4247" spans="1:11" ht="15" customHeight="1" x14ac:dyDescent="0.25">
      <c r="A4247" s="75">
        <v>36</v>
      </c>
      <c r="C4247" s="75" t="s">
        <v>10</v>
      </c>
      <c r="D4247" s="75">
        <v>4754</v>
      </c>
      <c r="F4247" s="75" t="s">
        <v>10</v>
      </c>
      <c r="H4247" s="75" t="s">
        <v>10</v>
      </c>
      <c r="I4247" s="75">
        <v>19489</v>
      </c>
      <c r="K4247" s="75" t="str">
        <f>IFERROR(VLOOKUP(J4247,'NQ10'!$B$9:$C$145,2,0),"")</f>
        <v/>
      </c>
    </row>
    <row r="4248" spans="1:11" ht="15" customHeight="1" x14ac:dyDescent="0.25">
      <c r="A4248" s="75">
        <v>36</v>
      </c>
      <c r="C4248" s="75" t="s">
        <v>10</v>
      </c>
      <c r="D4248" s="75">
        <v>133</v>
      </c>
      <c r="F4248" s="75" t="s">
        <v>10</v>
      </c>
      <c r="H4248" s="75" t="s">
        <v>10</v>
      </c>
      <c r="I4248" s="75">
        <v>19489</v>
      </c>
      <c r="K4248" s="75" t="str">
        <f>IFERROR(VLOOKUP(J4248,'NQ10'!$B$9:$C$145,2,0),"")</f>
        <v/>
      </c>
    </row>
    <row r="4249" spans="1:11" ht="15" customHeight="1" x14ac:dyDescent="0.25">
      <c r="A4249" s="75">
        <v>36</v>
      </c>
      <c r="C4249" s="75" t="s">
        <v>10</v>
      </c>
      <c r="D4249" s="75">
        <v>1061</v>
      </c>
      <c r="F4249" s="75" t="s">
        <v>10</v>
      </c>
      <c r="H4249" s="75" t="s">
        <v>10</v>
      </c>
      <c r="I4249" s="75">
        <v>19489</v>
      </c>
      <c r="K4249" s="75" t="str">
        <f>IFERROR(VLOOKUP(J4249,'NQ10'!$B$9:$C$145,2,0),"")</f>
        <v/>
      </c>
    </row>
    <row r="4250" spans="1:11" ht="15" customHeight="1" x14ac:dyDescent="0.25">
      <c r="A4250" s="75">
        <v>36</v>
      </c>
      <c r="C4250" s="75" t="s">
        <v>10</v>
      </c>
      <c r="D4250" s="75">
        <v>275</v>
      </c>
      <c r="F4250" s="75" t="s">
        <v>10</v>
      </c>
      <c r="H4250" s="75" t="s">
        <v>10</v>
      </c>
      <c r="I4250" s="75">
        <v>19489</v>
      </c>
      <c r="K4250" s="75" t="str">
        <f>IFERROR(VLOOKUP(J4250,'NQ10'!$B$9:$C$145,2,0),"")</f>
        <v/>
      </c>
    </row>
    <row r="4251" spans="1:11" ht="15" customHeight="1" x14ac:dyDescent="0.25">
      <c r="A4251" s="75">
        <v>36</v>
      </c>
      <c r="C4251" s="75" t="s">
        <v>10</v>
      </c>
      <c r="D4251" s="75">
        <v>209</v>
      </c>
      <c r="F4251" s="75" t="s">
        <v>10</v>
      </c>
      <c r="H4251" s="75" t="s">
        <v>10</v>
      </c>
      <c r="I4251" s="75">
        <v>19489</v>
      </c>
      <c r="K4251" s="75" t="str">
        <f>IFERROR(VLOOKUP(J4251,'NQ10'!$B$9:$C$145,2,0),"")</f>
        <v/>
      </c>
    </row>
    <row r="4252" spans="1:11" ht="15" customHeight="1" x14ac:dyDescent="0.25">
      <c r="A4252" s="75">
        <v>36</v>
      </c>
      <c r="C4252" s="75" t="s">
        <v>10</v>
      </c>
      <c r="D4252" s="75">
        <v>139</v>
      </c>
      <c r="F4252" s="75" t="s">
        <v>10</v>
      </c>
      <c r="H4252" s="75" t="s">
        <v>10</v>
      </c>
      <c r="I4252" s="75">
        <v>19489</v>
      </c>
      <c r="K4252" s="75" t="str">
        <f>IFERROR(VLOOKUP(J4252,'NQ10'!$B$9:$C$145,2,0),"")</f>
        <v/>
      </c>
    </row>
    <row r="4253" spans="1:11" ht="15" customHeight="1" x14ac:dyDescent="0.25">
      <c r="A4253" s="75">
        <v>36</v>
      </c>
      <c r="C4253" s="75" t="s">
        <v>10</v>
      </c>
      <c r="D4253" s="75">
        <v>629</v>
      </c>
      <c r="F4253" s="75" t="s">
        <v>10</v>
      </c>
      <c r="H4253" s="75" t="s">
        <v>10</v>
      </c>
      <c r="I4253" s="75">
        <v>19489</v>
      </c>
      <c r="K4253" s="75" t="str">
        <f>IFERROR(VLOOKUP(J4253,'NQ10'!$B$9:$C$145,2,0),"")</f>
        <v/>
      </c>
    </row>
    <row r="4254" spans="1:11" ht="15" customHeight="1" x14ac:dyDescent="0.25">
      <c r="A4254" s="75">
        <v>36</v>
      </c>
      <c r="C4254" s="75" t="s">
        <v>10</v>
      </c>
      <c r="D4254" s="75">
        <v>1657</v>
      </c>
      <c r="F4254" s="75" t="s">
        <v>10</v>
      </c>
      <c r="H4254" s="75" t="s">
        <v>10</v>
      </c>
      <c r="I4254" s="75">
        <v>19489</v>
      </c>
      <c r="K4254" s="75" t="str">
        <f>IFERROR(VLOOKUP(J4254,'NQ10'!$B$9:$C$145,2,0),"")</f>
        <v/>
      </c>
    </row>
    <row r="4255" spans="1:11" ht="15" customHeight="1" x14ac:dyDescent="0.25">
      <c r="A4255" s="75">
        <v>36</v>
      </c>
      <c r="C4255" s="75" t="s">
        <v>10</v>
      </c>
      <c r="D4255" s="75">
        <v>474</v>
      </c>
      <c r="F4255" s="75" t="s">
        <v>10</v>
      </c>
      <c r="H4255" s="75" t="s">
        <v>10</v>
      </c>
      <c r="I4255" s="75">
        <v>19489</v>
      </c>
      <c r="K4255" s="75" t="str">
        <f>IFERROR(VLOOKUP(J4255,'NQ10'!$B$9:$C$145,2,0),"")</f>
        <v/>
      </c>
    </row>
    <row r="4256" spans="1:11" ht="15" customHeight="1" x14ac:dyDescent="0.25">
      <c r="A4256" s="75">
        <v>36</v>
      </c>
      <c r="C4256" s="75" t="s">
        <v>10</v>
      </c>
      <c r="D4256" s="75">
        <v>281</v>
      </c>
      <c r="F4256" s="75" t="s">
        <v>10</v>
      </c>
      <c r="H4256" s="75" t="s">
        <v>10</v>
      </c>
      <c r="I4256" s="75">
        <v>19489</v>
      </c>
      <c r="K4256" s="75" t="str">
        <f>IFERROR(VLOOKUP(J4256,'NQ10'!$B$9:$C$145,2,0),"")</f>
        <v/>
      </c>
    </row>
    <row r="4257" spans="1:11" ht="15" customHeight="1" x14ac:dyDescent="0.25">
      <c r="A4257" s="75">
        <v>36</v>
      </c>
      <c r="C4257" s="75" t="s">
        <v>10</v>
      </c>
      <c r="D4257" s="75">
        <v>681</v>
      </c>
      <c r="F4257" s="75" t="s">
        <v>10</v>
      </c>
      <c r="H4257" s="75" t="s">
        <v>10</v>
      </c>
      <c r="I4257" s="75">
        <v>19489</v>
      </c>
      <c r="K4257" s="75" t="str">
        <f>IFERROR(VLOOKUP(J4257,'NQ10'!$B$9:$C$145,2,0),"")</f>
        <v/>
      </c>
    </row>
    <row r="4258" spans="1:11" ht="15" customHeight="1" x14ac:dyDescent="0.25">
      <c r="A4258" s="75">
        <v>36</v>
      </c>
      <c r="C4258" s="75" t="s">
        <v>10</v>
      </c>
      <c r="D4258" s="75">
        <v>0</v>
      </c>
      <c r="F4258" s="75" t="s">
        <v>10</v>
      </c>
      <c r="H4258" s="75" t="s">
        <v>10</v>
      </c>
      <c r="I4258" s="75">
        <v>19489</v>
      </c>
      <c r="K4258" s="75" t="str">
        <f>IFERROR(VLOOKUP(J4258,'NQ10'!$B$9:$C$145,2,0),"")</f>
        <v/>
      </c>
    </row>
    <row r="4259" spans="1:11" ht="15" customHeight="1" x14ac:dyDescent="0.25">
      <c r="A4259" s="75">
        <v>36</v>
      </c>
      <c r="C4259" s="75" t="s">
        <v>10</v>
      </c>
      <c r="D4259" s="75">
        <v>0</v>
      </c>
      <c r="F4259" s="75" t="s">
        <v>10</v>
      </c>
      <c r="H4259" s="75" t="s">
        <v>10</v>
      </c>
      <c r="I4259" s="75">
        <v>19489</v>
      </c>
      <c r="K4259" s="75" t="str">
        <f>IFERROR(VLOOKUP(J4259,'NQ10'!$B$9:$C$145,2,0),"")</f>
        <v/>
      </c>
    </row>
    <row r="4260" spans="1:11" ht="15" customHeight="1" x14ac:dyDescent="0.25">
      <c r="A4260" s="75">
        <v>36</v>
      </c>
      <c r="C4260" s="75" t="s">
        <v>10</v>
      </c>
      <c r="D4260" s="75">
        <v>266</v>
      </c>
      <c r="F4260" s="75" t="s">
        <v>10</v>
      </c>
      <c r="H4260" s="75" t="s">
        <v>10</v>
      </c>
      <c r="I4260" s="75">
        <v>19489</v>
      </c>
      <c r="K4260" s="75" t="str">
        <f>IFERROR(VLOOKUP(J4260,'NQ10'!$B$9:$C$145,2,0),"")</f>
        <v/>
      </c>
    </row>
    <row r="4261" spans="1:11" ht="15" customHeight="1" x14ac:dyDescent="0.25">
      <c r="A4261" s="75">
        <v>36</v>
      </c>
      <c r="C4261" s="75" t="s">
        <v>10</v>
      </c>
      <c r="D4261" s="75">
        <v>781</v>
      </c>
      <c r="F4261" s="75" t="s">
        <v>10</v>
      </c>
      <c r="H4261" s="75" t="s">
        <v>10</v>
      </c>
      <c r="I4261" s="75">
        <v>19489</v>
      </c>
      <c r="K4261" s="75" t="str">
        <f>IFERROR(VLOOKUP(J4261,'NQ10'!$B$9:$C$145,2,0),"")</f>
        <v/>
      </c>
    </row>
    <row r="4262" spans="1:11" ht="15" customHeight="1" x14ac:dyDescent="0.25">
      <c r="A4262" s="75">
        <v>36</v>
      </c>
      <c r="C4262" s="75" t="s">
        <v>10</v>
      </c>
      <c r="D4262" s="75">
        <v>219</v>
      </c>
      <c r="F4262" s="75" t="s">
        <v>10</v>
      </c>
      <c r="H4262" s="75" t="s">
        <v>10</v>
      </c>
      <c r="I4262" s="75">
        <v>19489</v>
      </c>
      <c r="K4262" s="75" t="str">
        <f>IFERROR(VLOOKUP(J4262,'NQ10'!$B$9:$C$145,2,0),"")</f>
        <v/>
      </c>
    </row>
    <row r="4263" spans="1:11" ht="15" customHeight="1" x14ac:dyDescent="0.25">
      <c r="A4263" s="75">
        <v>36</v>
      </c>
      <c r="C4263" s="75" t="s">
        <v>10</v>
      </c>
      <c r="D4263" s="75">
        <v>1594</v>
      </c>
      <c r="F4263" s="75" t="s">
        <v>10</v>
      </c>
      <c r="H4263" s="75" t="s">
        <v>10</v>
      </c>
      <c r="I4263" s="75">
        <v>19489</v>
      </c>
      <c r="K4263" s="75" t="str">
        <f>IFERROR(VLOOKUP(J4263,'NQ10'!$B$9:$C$145,2,0),"")</f>
        <v/>
      </c>
    </row>
    <row r="4264" spans="1:11" ht="15" customHeight="1" x14ac:dyDescent="0.25">
      <c r="A4264" s="75">
        <v>36</v>
      </c>
      <c r="C4264" s="75" t="s">
        <v>10</v>
      </c>
      <c r="D4264" s="75">
        <v>930</v>
      </c>
      <c r="F4264" s="75" t="s">
        <v>10</v>
      </c>
      <c r="H4264" s="75" t="s">
        <v>10</v>
      </c>
      <c r="I4264" s="75">
        <v>19489</v>
      </c>
      <c r="K4264" s="75" t="str">
        <f>IFERROR(VLOOKUP(J4264,'NQ10'!$B$9:$C$145,2,0),"")</f>
        <v/>
      </c>
    </row>
    <row r="4265" spans="1:11" ht="15" customHeight="1" x14ac:dyDescent="0.25">
      <c r="A4265" s="75">
        <v>36</v>
      </c>
      <c r="C4265" s="75" t="s">
        <v>10</v>
      </c>
      <c r="D4265" s="75">
        <v>2202</v>
      </c>
      <c r="F4265" s="75" t="s">
        <v>10</v>
      </c>
      <c r="H4265" s="75" t="s">
        <v>10</v>
      </c>
      <c r="I4265" s="75">
        <v>19489</v>
      </c>
      <c r="K4265" s="75" t="str">
        <f>IFERROR(VLOOKUP(J4265,'NQ10'!$B$9:$C$145,2,0),"")</f>
        <v/>
      </c>
    </row>
    <row r="4266" spans="1:11" ht="15" customHeight="1" x14ac:dyDescent="0.25">
      <c r="A4266" s="75">
        <v>36</v>
      </c>
      <c r="C4266" s="75" t="s">
        <v>10</v>
      </c>
      <c r="D4266" s="75">
        <v>21808</v>
      </c>
      <c r="F4266" s="75" t="s">
        <v>10</v>
      </c>
      <c r="H4266" s="75" t="s">
        <v>10</v>
      </c>
      <c r="I4266" s="75">
        <v>19489</v>
      </c>
      <c r="K4266" s="75" t="str">
        <f>IFERROR(VLOOKUP(J4266,'NQ10'!$B$9:$C$145,2,0),"")</f>
        <v/>
      </c>
    </row>
    <row r="4267" spans="1:11" ht="15" customHeight="1" x14ac:dyDescent="0.25">
      <c r="A4267" s="75">
        <v>36</v>
      </c>
      <c r="C4267" s="75" t="s">
        <v>10</v>
      </c>
      <c r="D4267" s="75">
        <v>473</v>
      </c>
      <c r="F4267" s="75" t="s">
        <v>10</v>
      </c>
      <c r="H4267" s="75" t="s">
        <v>10</v>
      </c>
      <c r="I4267" s="75">
        <v>19489</v>
      </c>
      <c r="K4267" s="75" t="str">
        <f>IFERROR(VLOOKUP(J4267,'NQ10'!$B$9:$C$145,2,0),"")</f>
        <v/>
      </c>
    </row>
    <row r="4268" spans="1:11" ht="15" customHeight="1" x14ac:dyDescent="0.25">
      <c r="A4268" s="75">
        <v>36</v>
      </c>
      <c r="C4268" s="75" t="s">
        <v>10</v>
      </c>
      <c r="D4268" s="75">
        <v>2470</v>
      </c>
      <c r="F4268" s="75" t="s">
        <v>10</v>
      </c>
      <c r="H4268" s="75" t="s">
        <v>10</v>
      </c>
      <c r="I4268" s="75">
        <v>19489</v>
      </c>
      <c r="K4268" s="75" t="str">
        <f>IFERROR(VLOOKUP(J4268,'NQ10'!$B$9:$C$145,2,0),"")</f>
        <v/>
      </c>
    </row>
    <row r="4269" spans="1:11" ht="15" customHeight="1" x14ac:dyDescent="0.25">
      <c r="A4269" s="75">
        <v>36</v>
      </c>
      <c r="C4269" s="75" t="s">
        <v>10</v>
      </c>
      <c r="D4269" s="75">
        <v>981</v>
      </c>
      <c r="F4269" s="75" t="s">
        <v>10</v>
      </c>
      <c r="H4269" s="75" t="s">
        <v>10</v>
      </c>
      <c r="I4269" s="75">
        <v>19489</v>
      </c>
      <c r="K4269" s="75" t="str">
        <f>IFERROR(VLOOKUP(J4269,'NQ10'!$B$9:$C$145,2,0),"")</f>
        <v/>
      </c>
    </row>
    <row r="4270" spans="1:11" ht="15" customHeight="1" x14ac:dyDescent="0.25">
      <c r="A4270" s="75">
        <v>36</v>
      </c>
      <c r="C4270" s="75" t="s">
        <v>10</v>
      </c>
      <c r="D4270" s="75">
        <v>20612</v>
      </c>
      <c r="F4270" s="75" t="s">
        <v>10</v>
      </c>
      <c r="H4270" s="75" t="s">
        <v>10</v>
      </c>
      <c r="I4270" s="75">
        <v>19489</v>
      </c>
      <c r="K4270" s="75" t="str">
        <f>IFERROR(VLOOKUP(J4270,'NQ10'!$B$9:$C$145,2,0),"")</f>
        <v/>
      </c>
    </row>
    <row r="4271" spans="1:11" ht="15" customHeight="1" x14ac:dyDescent="0.25">
      <c r="A4271" s="75">
        <v>36</v>
      </c>
      <c r="C4271" s="75" t="s">
        <v>10</v>
      </c>
      <c r="D4271" s="75">
        <v>0</v>
      </c>
      <c r="F4271" s="75" t="s">
        <v>10</v>
      </c>
      <c r="H4271" s="75" t="s">
        <v>10</v>
      </c>
      <c r="I4271" s="75">
        <v>19489</v>
      </c>
      <c r="K4271" s="75" t="str">
        <f>IFERROR(VLOOKUP(J4271,'NQ10'!$B$9:$C$145,2,0),"")</f>
        <v/>
      </c>
    </row>
    <row r="4272" spans="1:11" ht="15" customHeight="1" x14ac:dyDescent="0.25">
      <c r="A4272" s="75">
        <v>36</v>
      </c>
      <c r="C4272" s="75" t="s">
        <v>10</v>
      </c>
      <c r="D4272" s="75">
        <v>127</v>
      </c>
      <c r="F4272" s="75" t="s">
        <v>10</v>
      </c>
      <c r="H4272" s="75" t="s">
        <v>10</v>
      </c>
      <c r="I4272" s="75">
        <v>19489</v>
      </c>
      <c r="K4272" s="75" t="str">
        <f>IFERROR(VLOOKUP(J4272,'NQ10'!$B$9:$C$145,2,0),"")</f>
        <v/>
      </c>
    </row>
    <row r="4273" spans="1:11" ht="15" customHeight="1" x14ac:dyDescent="0.25">
      <c r="A4273" s="75">
        <v>36</v>
      </c>
      <c r="C4273" s="75" t="s">
        <v>10</v>
      </c>
      <c r="D4273" s="75">
        <v>1867</v>
      </c>
      <c r="F4273" s="75" t="s">
        <v>10</v>
      </c>
      <c r="H4273" s="75" t="s">
        <v>10</v>
      </c>
      <c r="I4273" s="75">
        <v>19489</v>
      </c>
      <c r="K4273" s="75" t="str">
        <f>IFERROR(VLOOKUP(J4273,'NQ10'!$B$9:$C$145,2,0),"")</f>
        <v/>
      </c>
    </row>
    <row r="4274" spans="1:11" ht="15" customHeight="1" x14ac:dyDescent="0.25">
      <c r="A4274" s="75">
        <v>36</v>
      </c>
      <c r="C4274" s="75" t="s">
        <v>10</v>
      </c>
      <c r="D4274" s="75">
        <v>183</v>
      </c>
      <c r="F4274" s="75" t="s">
        <v>10</v>
      </c>
      <c r="H4274" s="75" t="s">
        <v>10</v>
      </c>
      <c r="I4274" s="75">
        <v>19489</v>
      </c>
      <c r="K4274" s="75" t="str">
        <f>IFERROR(VLOOKUP(J4274,'NQ10'!$B$9:$C$145,2,0),"")</f>
        <v/>
      </c>
    </row>
    <row r="4275" spans="1:11" ht="15" customHeight="1" x14ac:dyDescent="0.25">
      <c r="A4275" s="75">
        <v>36</v>
      </c>
      <c r="C4275" s="75" t="s">
        <v>10</v>
      </c>
      <c r="D4275" s="75">
        <v>463</v>
      </c>
      <c r="F4275" s="75" t="s">
        <v>10</v>
      </c>
      <c r="H4275" s="75" t="s">
        <v>10</v>
      </c>
      <c r="I4275" s="75">
        <v>19489</v>
      </c>
      <c r="K4275" s="75" t="str">
        <f>IFERROR(VLOOKUP(J4275,'NQ10'!$B$9:$C$145,2,0),"")</f>
        <v/>
      </c>
    </row>
    <row r="4276" spans="1:11" ht="15" customHeight="1" x14ac:dyDescent="0.25">
      <c r="A4276" s="75">
        <v>36</v>
      </c>
      <c r="C4276" s="75" t="s">
        <v>10</v>
      </c>
      <c r="D4276" s="75">
        <v>328</v>
      </c>
      <c r="F4276" s="75" t="s">
        <v>10</v>
      </c>
      <c r="H4276" s="75" t="s">
        <v>10</v>
      </c>
      <c r="I4276" s="75">
        <v>19489</v>
      </c>
      <c r="K4276" s="75" t="str">
        <f>IFERROR(VLOOKUP(J4276,'NQ10'!$B$9:$C$145,2,0),"")</f>
        <v/>
      </c>
    </row>
    <row r="4277" spans="1:11" ht="15" customHeight="1" x14ac:dyDescent="0.25">
      <c r="A4277" s="75">
        <v>36</v>
      </c>
      <c r="C4277" s="75" t="s">
        <v>10</v>
      </c>
      <c r="D4277" s="75">
        <v>113</v>
      </c>
      <c r="F4277" s="75" t="s">
        <v>10</v>
      </c>
      <c r="H4277" s="75" t="s">
        <v>10</v>
      </c>
      <c r="I4277" s="75">
        <v>19489</v>
      </c>
      <c r="K4277" s="75" t="str">
        <f>IFERROR(VLOOKUP(J4277,'NQ10'!$B$9:$C$145,2,0),"")</f>
        <v/>
      </c>
    </row>
    <row r="4278" spans="1:11" ht="15" customHeight="1" x14ac:dyDescent="0.25">
      <c r="A4278" s="75">
        <v>36</v>
      </c>
      <c r="C4278" s="75" t="s">
        <v>10</v>
      </c>
      <c r="D4278" s="75">
        <v>141</v>
      </c>
      <c r="F4278" s="75" t="s">
        <v>10</v>
      </c>
      <c r="H4278" s="75" t="s">
        <v>10</v>
      </c>
      <c r="I4278" s="75">
        <v>19489</v>
      </c>
      <c r="K4278" s="75" t="str">
        <f>IFERROR(VLOOKUP(J4278,'NQ10'!$B$9:$C$145,2,0),"")</f>
        <v/>
      </c>
    </row>
    <row r="4279" spans="1:11" ht="15" customHeight="1" x14ac:dyDescent="0.25">
      <c r="A4279" s="75">
        <v>36</v>
      </c>
      <c r="B4279" s="75" t="s">
        <v>556</v>
      </c>
      <c r="C4279" s="75" t="s">
        <v>10</v>
      </c>
      <c r="D4279" s="75">
        <v>7617</v>
      </c>
      <c r="F4279" s="75" t="s">
        <v>10</v>
      </c>
      <c r="H4279" s="75" t="s">
        <v>10</v>
      </c>
      <c r="I4279" s="75">
        <v>19489</v>
      </c>
      <c r="K4279" s="75" t="str">
        <f>IFERROR(VLOOKUP(J4279,'NQ10'!$B$9:$C$145,2,0),"")</f>
        <v/>
      </c>
    </row>
    <row r="4280" spans="1:11" ht="15" customHeight="1" x14ac:dyDescent="0.25">
      <c r="A4280" s="75">
        <v>36</v>
      </c>
      <c r="B4280" s="75" t="s">
        <v>557</v>
      </c>
      <c r="C4280" s="75" t="s">
        <v>10</v>
      </c>
      <c r="D4280" s="75">
        <v>5791</v>
      </c>
      <c r="F4280" s="75" t="s">
        <v>10</v>
      </c>
      <c r="H4280" s="75" t="s">
        <v>10</v>
      </c>
      <c r="I4280" s="75">
        <v>19489</v>
      </c>
      <c r="K4280" s="75" t="str">
        <f>IFERROR(VLOOKUP(J4280,'NQ10'!$B$9:$C$145,2,0),"")</f>
        <v/>
      </c>
    </row>
    <row r="4281" spans="1:11" ht="15" customHeight="1" x14ac:dyDescent="0.25">
      <c r="A4281" s="75">
        <v>36</v>
      </c>
      <c r="B4281" s="75">
        <v>2</v>
      </c>
      <c r="C4281" s="75" t="s">
        <v>10</v>
      </c>
      <c r="D4281" s="75">
        <v>5005</v>
      </c>
      <c r="F4281" s="75" t="s">
        <v>10</v>
      </c>
      <c r="H4281" s="75" t="s">
        <v>407</v>
      </c>
      <c r="I4281" s="75">
        <v>19489</v>
      </c>
      <c r="K4281" s="75" t="str">
        <f>IFERROR(VLOOKUP(J4281,'NQ10'!$B$9:$C$145,2,0),"")</f>
        <v/>
      </c>
    </row>
    <row r="4282" spans="1:11" ht="15" customHeight="1" x14ac:dyDescent="0.25">
      <c r="A4282" s="75">
        <v>36</v>
      </c>
      <c r="B4282" s="75">
        <v>3</v>
      </c>
      <c r="C4282" s="75" t="s">
        <v>10</v>
      </c>
      <c r="D4282" s="75">
        <v>282</v>
      </c>
      <c r="F4282" s="75" t="s">
        <v>10</v>
      </c>
      <c r="H4282" s="75" t="s">
        <v>10</v>
      </c>
      <c r="I4282" s="75">
        <v>19489</v>
      </c>
      <c r="K4282" s="75" t="str">
        <f>IFERROR(VLOOKUP(J4282,'NQ10'!$B$9:$C$145,2,0),"")</f>
        <v/>
      </c>
    </row>
    <row r="4283" spans="1:11" ht="15" customHeight="1" x14ac:dyDescent="0.25">
      <c r="A4283" s="75">
        <v>36</v>
      </c>
      <c r="B4283" s="75">
        <v>5</v>
      </c>
      <c r="C4283" s="75" t="s">
        <v>10</v>
      </c>
      <c r="D4283" s="75">
        <v>180</v>
      </c>
      <c r="F4283" s="75" t="s">
        <v>10</v>
      </c>
      <c r="H4283" s="75" t="s">
        <v>10</v>
      </c>
      <c r="I4283" s="75">
        <v>19489</v>
      </c>
      <c r="K4283" s="75" t="str">
        <f>IFERROR(VLOOKUP(J4283,'NQ10'!$B$9:$C$145,2,0),"")</f>
        <v/>
      </c>
    </row>
    <row r="4284" spans="1:11" ht="15" customHeight="1" x14ac:dyDescent="0.25">
      <c r="A4284" s="75">
        <v>36</v>
      </c>
      <c r="B4284" s="75">
        <v>6</v>
      </c>
      <c r="C4284" s="75" t="s">
        <v>10</v>
      </c>
      <c r="D4284" s="75">
        <v>5870</v>
      </c>
      <c r="F4284" s="75" t="s">
        <v>10</v>
      </c>
      <c r="H4284" s="75" t="s">
        <v>10</v>
      </c>
      <c r="I4284" s="75">
        <v>19489</v>
      </c>
      <c r="K4284" s="75" t="str">
        <f>IFERROR(VLOOKUP(J4284,'NQ10'!$B$9:$C$145,2,0),"")</f>
        <v/>
      </c>
    </row>
    <row r="4285" spans="1:11" ht="15" customHeight="1" x14ac:dyDescent="0.25">
      <c r="A4285" s="75">
        <v>36</v>
      </c>
      <c r="B4285" s="75">
        <v>7</v>
      </c>
      <c r="C4285" s="75" t="s">
        <v>10</v>
      </c>
      <c r="D4285" s="75">
        <v>1103</v>
      </c>
      <c r="F4285" s="75" t="s">
        <v>10</v>
      </c>
      <c r="H4285" s="75" t="s">
        <v>10</v>
      </c>
      <c r="I4285" s="75">
        <v>19489</v>
      </c>
      <c r="K4285" s="75" t="str">
        <f>IFERROR(VLOOKUP(J4285,'NQ10'!$B$9:$C$145,2,0),"")</f>
        <v/>
      </c>
    </row>
    <row r="4286" spans="1:11" ht="15" customHeight="1" x14ac:dyDescent="0.25">
      <c r="A4286" s="75">
        <v>36</v>
      </c>
      <c r="B4286" s="75">
        <v>8</v>
      </c>
      <c r="C4286" s="75" t="s">
        <v>10</v>
      </c>
      <c r="D4286" s="75">
        <v>250</v>
      </c>
      <c r="F4286" s="75" t="s">
        <v>10</v>
      </c>
      <c r="H4286" s="75" t="s">
        <v>10</v>
      </c>
      <c r="I4286" s="75">
        <v>19489</v>
      </c>
      <c r="K4286" s="75" t="str">
        <f>IFERROR(VLOOKUP(J4286,'NQ10'!$B$9:$C$145,2,0),"")</f>
        <v/>
      </c>
    </row>
    <row r="4287" spans="1:11" ht="15" customHeight="1" x14ac:dyDescent="0.25">
      <c r="A4287" s="75">
        <v>36</v>
      </c>
      <c r="B4287" s="75">
        <v>16</v>
      </c>
      <c r="C4287" s="75" t="s">
        <v>10</v>
      </c>
      <c r="D4287" s="75">
        <v>17500</v>
      </c>
      <c r="F4287" s="75" t="s">
        <v>10</v>
      </c>
      <c r="H4287" s="75" t="s">
        <v>10</v>
      </c>
      <c r="I4287" s="75">
        <v>19489</v>
      </c>
      <c r="K4287" s="75" t="str">
        <f>IFERROR(VLOOKUP(J4287,'NQ10'!$B$9:$C$145,2,0),"")</f>
        <v/>
      </c>
    </row>
    <row r="4288" spans="1:11" ht="15" customHeight="1" x14ac:dyDescent="0.25">
      <c r="A4288" s="75">
        <v>36</v>
      </c>
      <c r="B4288" s="75">
        <v>17</v>
      </c>
      <c r="C4288" s="75" t="s">
        <v>10</v>
      </c>
      <c r="D4288" s="75">
        <v>158</v>
      </c>
      <c r="F4288" s="75" t="s">
        <v>10</v>
      </c>
      <c r="H4288" s="75" t="s">
        <v>10</v>
      </c>
      <c r="I4288" s="75">
        <v>19489</v>
      </c>
      <c r="K4288" s="75" t="str">
        <f>IFERROR(VLOOKUP(J4288,'NQ10'!$B$9:$C$145,2,0),"")</f>
        <v/>
      </c>
    </row>
    <row r="4289" spans="1:11" ht="15" customHeight="1" x14ac:dyDescent="0.25">
      <c r="A4289" s="75">
        <v>36</v>
      </c>
      <c r="B4289" s="75">
        <v>18</v>
      </c>
      <c r="C4289" s="75" t="s">
        <v>10</v>
      </c>
      <c r="D4289" s="75">
        <v>8774</v>
      </c>
      <c r="F4289" s="75" t="s">
        <v>10</v>
      </c>
      <c r="H4289" s="75" t="s">
        <v>10</v>
      </c>
      <c r="I4289" s="75">
        <v>19489</v>
      </c>
      <c r="K4289" s="75" t="str">
        <f>IFERROR(VLOOKUP(J4289,'NQ10'!$B$9:$C$145,2,0),"")</f>
        <v/>
      </c>
    </row>
    <row r="4290" spans="1:11" ht="15" customHeight="1" x14ac:dyDescent="0.25">
      <c r="A4290" s="75">
        <v>36</v>
      </c>
      <c r="B4290" s="75">
        <v>20</v>
      </c>
      <c r="C4290" s="75" t="s">
        <v>10</v>
      </c>
      <c r="D4290" s="75">
        <v>4343</v>
      </c>
      <c r="F4290" s="75" t="s">
        <v>10</v>
      </c>
      <c r="H4290" s="75" t="s">
        <v>10</v>
      </c>
      <c r="I4290" s="75">
        <v>19489</v>
      </c>
      <c r="K4290" s="75" t="str">
        <f>IFERROR(VLOOKUP(J4290,'NQ10'!$B$9:$C$145,2,0),"")</f>
        <v/>
      </c>
    </row>
    <row r="4291" spans="1:11" ht="15" customHeight="1" x14ac:dyDescent="0.25">
      <c r="A4291" s="75">
        <v>36</v>
      </c>
      <c r="B4291" s="75">
        <v>22</v>
      </c>
      <c r="C4291" s="75" t="s">
        <v>10</v>
      </c>
      <c r="D4291" s="75">
        <v>6792</v>
      </c>
      <c r="F4291" s="75" t="s">
        <v>10</v>
      </c>
      <c r="H4291" s="75" t="s">
        <v>10</v>
      </c>
      <c r="I4291" s="75">
        <v>19489</v>
      </c>
      <c r="K4291" s="75" t="str">
        <f>IFERROR(VLOOKUP(J4291,'NQ10'!$B$9:$C$145,2,0),"")</f>
        <v/>
      </c>
    </row>
    <row r="4292" spans="1:11" ht="15" customHeight="1" x14ac:dyDescent="0.25">
      <c r="A4292" s="75">
        <v>36</v>
      </c>
      <c r="B4292" s="75">
        <v>23</v>
      </c>
      <c r="C4292" s="75" t="s">
        <v>10</v>
      </c>
      <c r="D4292" s="75">
        <v>1286</v>
      </c>
      <c r="F4292" s="75" t="s">
        <v>10</v>
      </c>
      <c r="H4292" s="75" t="s">
        <v>10</v>
      </c>
      <c r="I4292" s="75">
        <v>19489</v>
      </c>
      <c r="K4292" s="75" t="str">
        <f>IFERROR(VLOOKUP(J4292,'NQ10'!$B$9:$C$145,2,0),"")</f>
        <v/>
      </c>
    </row>
    <row r="4293" spans="1:11" ht="15" customHeight="1" x14ac:dyDescent="0.25">
      <c r="A4293" s="75">
        <v>36</v>
      </c>
      <c r="B4293" s="75">
        <v>24</v>
      </c>
      <c r="C4293" s="75" t="s">
        <v>10</v>
      </c>
      <c r="D4293" s="75">
        <v>5200</v>
      </c>
      <c r="F4293" s="75" t="s">
        <v>10</v>
      </c>
      <c r="H4293" s="75" t="s">
        <v>10</v>
      </c>
      <c r="I4293" s="75">
        <v>19489</v>
      </c>
      <c r="K4293" s="75" t="str">
        <f>IFERROR(VLOOKUP(J4293,'NQ10'!$B$9:$C$145,2,0),"")</f>
        <v/>
      </c>
    </row>
    <row r="4294" spans="1:11" ht="15" customHeight="1" x14ac:dyDescent="0.25">
      <c r="A4294" s="75">
        <v>36</v>
      </c>
      <c r="B4294" s="75">
        <v>25</v>
      </c>
      <c r="C4294" s="75" t="s">
        <v>10</v>
      </c>
      <c r="D4294" s="75">
        <v>4319</v>
      </c>
      <c r="F4294" s="75" t="s">
        <v>10</v>
      </c>
      <c r="H4294" s="75" t="s">
        <v>10</v>
      </c>
      <c r="I4294" s="75">
        <v>19489</v>
      </c>
      <c r="K4294" s="75" t="str">
        <f>IFERROR(VLOOKUP(J4294,'NQ10'!$B$9:$C$145,2,0),"")</f>
        <v/>
      </c>
    </row>
    <row r="4295" spans="1:11" ht="15" customHeight="1" x14ac:dyDescent="0.25">
      <c r="A4295" s="75">
        <v>36</v>
      </c>
      <c r="B4295" s="75">
        <v>26</v>
      </c>
      <c r="C4295" s="75" t="s">
        <v>10</v>
      </c>
      <c r="D4295" s="75">
        <v>267</v>
      </c>
      <c r="F4295" s="75" t="s">
        <v>10</v>
      </c>
      <c r="H4295" s="75" t="s">
        <v>10</v>
      </c>
      <c r="I4295" s="75">
        <v>19489</v>
      </c>
      <c r="K4295" s="75" t="str">
        <f>IFERROR(VLOOKUP(J4295,'NQ10'!$B$9:$C$145,2,0),"")</f>
        <v/>
      </c>
    </row>
    <row r="4296" spans="1:11" ht="15" customHeight="1" x14ac:dyDescent="0.25">
      <c r="A4296" s="75">
        <v>36</v>
      </c>
      <c r="B4296" s="75">
        <v>27</v>
      </c>
      <c r="C4296" s="75" t="s">
        <v>10</v>
      </c>
      <c r="D4296" s="75">
        <v>7098</v>
      </c>
      <c r="F4296" s="75" t="s">
        <v>10</v>
      </c>
      <c r="H4296" s="75" t="s">
        <v>10</v>
      </c>
      <c r="I4296" s="75">
        <v>19489</v>
      </c>
      <c r="K4296" s="75" t="str">
        <f>IFERROR(VLOOKUP(J4296,'NQ10'!$B$9:$C$145,2,0),"")</f>
        <v/>
      </c>
    </row>
    <row r="4297" spans="1:11" ht="15" customHeight="1" x14ac:dyDescent="0.25">
      <c r="A4297" s="75">
        <v>36</v>
      </c>
      <c r="B4297" s="75">
        <v>28</v>
      </c>
      <c r="C4297" s="75" t="s">
        <v>10</v>
      </c>
      <c r="D4297" s="75">
        <v>1470</v>
      </c>
      <c r="F4297" s="75" t="s">
        <v>10</v>
      </c>
      <c r="H4297" s="75" t="s">
        <v>10</v>
      </c>
      <c r="I4297" s="75">
        <v>19489</v>
      </c>
      <c r="K4297" s="75" t="str">
        <f>IFERROR(VLOOKUP(J4297,'NQ10'!$B$9:$C$145,2,0),"")</f>
        <v/>
      </c>
    </row>
    <row r="4298" spans="1:11" ht="15" customHeight="1" x14ac:dyDescent="0.25">
      <c r="A4298" s="75">
        <v>36</v>
      </c>
      <c r="B4298" s="75">
        <v>29</v>
      </c>
      <c r="C4298" s="75" t="s">
        <v>10</v>
      </c>
      <c r="D4298" s="75">
        <v>10724</v>
      </c>
      <c r="F4298" s="75" t="s">
        <v>10</v>
      </c>
      <c r="H4298" s="75" t="s">
        <v>10</v>
      </c>
      <c r="I4298" s="75">
        <v>19489</v>
      </c>
      <c r="K4298" s="75" t="str">
        <f>IFERROR(VLOOKUP(J4298,'NQ10'!$B$9:$C$145,2,0),"")</f>
        <v/>
      </c>
    </row>
    <row r="4299" spans="1:11" ht="15" customHeight="1" x14ac:dyDescent="0.25">
      <c r="A4299" s="75">
        <v>36</v>
      </c>
      <c r="B4299" s="75">
        <v>31</v>
      </c>
      <c r="C4299" s="75" t="s">
        <v>10</v>
      </c>
      <c r="D4299" s="75">
        <v>5993</v>
      </c>
      <c r="F4299" s="75" t="s">
        <v>10</v>
      </c>
      <c r="H4299" s="75" t="s">
        <v>10</v>
      </c>
      <c r="I4299" s="75">
        <v>19489</v>
      </c>
      <c r="K4299" s="75" t="str">
        <f>IFERROR(VLOOKUP(J4299,'NQ10'!$B$9:$C$145,2,0),"")</f>
        <v/>
      </c>
    </row>
    <row r="4300" spans="1:11" ht="15" customHeight="1" x14ac:dyDescent="0.25">
      <c r="A4300" s="75">
        <v>36</v>
      </c>
      <c r="B4300" s="75">
        <v>32</v>
      </c>
      <c r="C4300" s="75" t="s">
        <v>10</v>
      </c>
      <c r="D4300" s="75">
        <v>1517</v>
      </c>
      <c r="F4300" s="75" t="s">
        <v>10</v>
      </c>
      <c r="H4300" s="75" t="s">
        <v>10</v>
      </c>
      <c r="I4300" s="75">
        <v>19489</v>
      </c>
      <c r="K4300" s="75" t="str">
        <f>IFERROR(VLOOKUP(J4300,'NQ10'!$B$9:$C$145,2,0),"")</f>
        <v/>
      </c>
    </row>
    <row r="4301" spans="1:11" ht="15" customHeight="1" x14ac:dyDescent="0.25">
      <c r="A4301" s="75">
        <v>36</v>
      </c>
      <c r="B4301" s="75">
        <v>33</v>
      </c>
      <c r="C4301" s="75" t="s">
        <v>10</v>
      </c>
      <c r="D4301" s="75">
        <v>9004</v>
      </c>
      <c r="F4301" s="75" t="s">
        <v>10</v>
      </c>
      <c r="H4301" s="75" t="s">
        <v>10</v>
      </c>
      <c r="I4301" s="75">
        <v>19489</v>
      </c>
      <c r="K4301" s="75" t="str">
        <f>IFERROR(VLOOKUP(J4301,'NQ10'!$B$9:$C$145,2,0),"")</f>
        <v/>
      </c>
    </row>
    <row r="4302" spans="1:11" ht="15" customHeight="1" x14ac:dyDescent="0.25">
      <c r="A4302" s="75">
        <v>36</v>
      </c>
      <c r="B4302" s="75">
        <v>34</v>
      </c>
      <c r="C4302" s="75" t="s">
        <v>10</v>
      </c>
      <c r="D4302" s="75">
        <v>8934</v>
      </c>
      <c r="F4302" s="75" t="s">
        <v>10</v>
      </c>
      <c r="H4302" s="75" t="s">
        <v>10</v>
      </c>
      <c r="I4302" s="75">
        <v>19489</v>
      </c>
      <c r="K4302" s="75" t="str">
        <f>IFERROR(VLOOKUP(J4302,'NQ10'!$B$9:$C$145,2,0),"")</f>
        <v/>
      </c>
    </row>
    <row r="4303" spans="1:11" ht="15" customHeight="1" x14ac:dyDescent="0.25">
      <c r="A4303" s="75">
        <v>36</v>
      </c>
      <c r="B4303" s="75">
        <v>35</v>
      </c>
      <c r="C4303" s="75" t="s">
        <v>10</v>
      </c>
      <c r="D4303" s="75">
        <v>10764</v>
      </c>
      <c r="F4303" s="75" t="s">
        <v>10</v>
      </c>
      <c r="H4303" s="75" t="s">
        <v>10</v>
      </c>
      <c r="I4303" s="75">
        <v>19489</v>
      </c>
      <c r="K4303" s="75" t="str">
        <f>IFERROR(VLOOKUP(J4303,'NQ10'!$B$9:$C$145,2,0),"")</f>
        <v/>
      </c>
    </row>
    <row r="4304" spans="1:11" ht="15" customHeight="1" x14ac:dyDescent="0.25">
      <c r="A4304" s="75">
        <v>36</v>
      </c>
      <c r="B4304" s="75">
        <v>36</v>
      </c>
      <c r="C4304" s="75" t="s">
        <v>10</v>
      </c>
      <c r="D4304" s="75">
        <v>8197</v>
      </c>
      <c r="F4304" s="75" t="s">
        <v>10</v>
      </c>
      <c r="H4304" s="75" t="s">
        <v>10</v>
      </c>
      <c r="I4304" s="75">
        <v>19489</v>
      </c>
      <c r="K4304" s="75" t="str">
        <f>IFERROR(VLOOKUP(J4304,'NQ10'!$B$9:$C$145,2,0),"")</f>
        <v/>
      </c>
    </row>
    <row r="4305" spans="1:11" ht="15" customHeight="1" x14ac:dyDescent="0.25">
      <c r="A4305" s="75">
        <v>36</v>
      </c>
      <c r="B4305" s="75">
        <v>37</v>
      </c>
      <c r="C4305" s="75" t="s">
        <v>10</v>
      </c>
      <c r="D4305" s="75">
        <v>9695</v>
      </c>
      <c r="F4305" s="75" t="s">
        <v>10</v>
      </c>
      <c r="H4305" s="75" t="s">
        <v>10</v>
      </c>
      <c r="I4305" s="75">
        <v>19489</v>
      </c>
      <c r="K4305" s="75" t="str">
        <f>IFERROR(VLOOKUP(J4305,'NQ10'!$B$9:$C$145,2,0),"")</f>
        <v/>
      </c>
    </row>
    <row r="4306" spans="1:11" ht="15" customHeight="1" x14ac:dyDescent="0.25">
      <c r="A4306" s="75">
        <v>36</v>
      </c>
      <c r="B4306" s="75">
        <v>38</v>
      </c>
      <c r="C4306" s="75" t="s">
        <v>10</v>
      </c>
      <c r="D4306" s="75">
        <v>11237</v>
      </c>
      <c r="F4306" s="75" t="s">
        <v>10</v>
      </c>
      <c r="H4306" s="75" t="s">
        <v>10</v>
      </c>
      <c r="I4306" s="75">
        <v>19489</v>
      </c>
      <c r="K4306" s="75" t="str">
        <f>IFERROR(VLOOKUP(J4306,'NQ10'!$B$9:$C$145,2,0),"")</f>
        <v/>
      </c>
    </row>
    <row r="4307" spans="1:11" ht="15" customHeight="1" x14ac:dyDescent="0.25">
      <c r="A4307" s="75">
        <v>36</v>
      </c>
      <c r="B4307" s="75">
        <v>39</v>
      </c>
      <c r="C4307" s="75" t="s">
        <v>10</v>
      </c>
      <c r="D4307" s="75">
        <v>3723</v>
      </c>
      <c r="F4307" s="75" t="s">
        <v>10</v>
      </c>
      <c r="H4307" s="75" t="s">
        <v>10</v>
      </c>
      <c r="I4307" s="75">
        <v>19489</v>
      </c>
      <c r="K4307" s="75" t="str">
        <f>IFERROR(VLOOKUP(J4307,'NQ10'!$B$9:$C$145,2,0),"")</f>
        <v/>
      </c>
    </row>
    <row r="4308" spans="1:11" ht="15" customHeight="1" x14ac:dyDescent="0.25">
      <c r="A4308" s="75">
        <v>36</v>
      </c>
      <c r="B4308" s="75">
        <v>40</v>
      </c>
      <c r="C4308" s="75" t="s">
        <v>10</v>
      </c>
      <c r="D4308" s="75">
        <v>8973</v>
      </c>
      <c r="F4308" s="75" t="s">
        <v>10</v>
      </c>
      <c r="H4308" s="75" t="s">
        <v>10</v>
      </c>
      <c r="I4308" s="75">
        <v>19489</v>
      </c>
      <c r="K4308" s="75" t="str">
        <f>IFERROR(VLOOKUP(J4308,'NQ10'!$B$9:$C$145,2,0),"")</f>
        <v/>
      </c>
    </row>
    <row r="4309" spans="1:11" ht="15" customHeight="1" x14ac:dyDescent="0.25">
      <c r="A4309" s="75">
        <v>36</v>
      </c>
      <c r="B4309" s="75">
        <v>41</v>
      </c>
      <c r="C4309" s="75" t="s">
        <v>10</v>
      </c>
      <c r="D4309" s="75">
        <v>9956</v>
      </c>
      <c r="F4309" s="75" t="s">
        <v>10</v>
      </c>
      <c r="H4309" s="75" t="s">
        <v>10</v>
      </c>
      <c r="I4309" s="75">
        <v>19489</v>
      </c>
      <c r="K4309" s="75" t="str">
        <f>IFERROR(VLOOKUP(J4309,'NQ10'!$B$9:$C$145,2,0),"")</f>
        <v/>
      </c>
    </row>
    <row r="4310" spans="1:11" ht="15" customHeight="1" x14ac:dyDescent="0.25">
      <c r="A4310" s="75">
        <v>36</v>
      </c>
      <c r="B4310" s="75">
        <v>42</v>
      </c>
      <c r="C4310" s="75" t="s">
        <v>10</v>
      </c>
      <c r="D4310" s="75">
        <v>9306</v>
      </c>
      <c r="F4310" s="75" t="s">
        <v>10</v>
      </c>
      <c r="H4310" s="75" t="s">
        <v>10</v>
      </c>
      <c r="I4310" s="75">
        <v>19489</v>
      </c>
      <c r="K4310" s="75" t="str">
        <f>IFERROR(VLOOKUP(J4310,'NQ10'!$B$9:$C$145,2,0),"")</f>
        <v/>
      </c>
    </row>
    <row r="4311" spans="1:11" ht="15" customHeight="1" x14ac:dyDescent="0.25">
      <c r="A4311" s="75">
        <v>36</v>
      </c>
      <c r="B4311" s="75">
        <v>43</v>
      </c>
      <c r="C4311" s="75" t="s">
        <v>10</v>
      </c>
      <c r="D4311" s="75">
        <v>3012</v>
      </c>
      <c r="F4311" s="75" t="s">
        <v>10</v>
      </c>
      <c r="H4311" s="75" t="s">
        <v>10</v>
      </c>
      <c r="I4311" s="75">
        <v>19489</v>
      </c>
      <c r="K4311" s="75" t="str">
        <f>IFERROR(VLOOKUP(J4311,'NQ10'!$B$9:$C$145,2,0),"")</f>
        <v/>
      </c>
    </row>
    <row r="4312" spans="1:11" ht="15" customHeight="1" x14ac:dyDescent="0.25">
      <c r="A4312" s="75">
        <v>36</v>
      </c>
      <c r="B4312" s="75">
        <v>44</v>
      </c>
      <c r="C4312" s="75" t="s">
        <v>10</v>
      </c>
      <c r="D4312" s="75">
        <v>5956</v>
      </c>
      <c r="F4312" s="75" t="s">
        <v>10</v>
      </c>
      <c r="H4312" s="75" t="s">
        <v>10</v>
      </c>
      <c r="I4312" s="75">
        <v>19489</v>
      </c>
      <c r="K4312" s="75" t="str">
        <f>IFERROR(VLOOKUP(J4312,'NQ10'!$B$9:$C$145,2,0),"")</f>
        <v/>
      </c>
    </row>
    <row r="4313" spans="1:11" ht="15" customHeight="1" x14ac:dyDescent="0.25">
      <c r="A4313" s="75">
        <v>36</v>
      </c>
      <c r="B4313" s="75">
        <v>45</v>
      </c>
      <c r="C4313" s="75" t="s">
        <v>10</v>
      </c>
      <c r="D4313" s="75">
        <v>11870</v>
      </c>
      <c r="F4313" s="75" t="s">
        <v>10</v>
      </c>
      <c r="H4313" s="75" t="s">
        <v>10</v>
      </c>
      <c r="I4313" s="75">
        <v>19489</v>
      </c>
      <c r="K4313" s="75" t="str">
        <f>IFERROR(VLOOKUP(J4313,'NQ10'!$B$9:$C$145,2,0),"")</f>
        <v/>
      </c>
    </row>
    <row r="4314" spans="1:11" ht="15" customHeight="1" x14ac:dyDescent="0.25">
      <c r="A4314" s="75">
        <v>36</v>
      </c>
      <c r="B4314" s="75">
        <v>46</v>
      </c>
      <c r="C4314" s="75" t="s">
        <v>10</v>
      </c>
      <c r="D4314" s="75">
        <v>3485</v>
      </c>
      <c r="F4314" s="75" t="s">
        <v>10</v>
      </c>
      <c r="H4314" s="75" t="s">
        <v>10</v>
      </c>
      <c r="I4314" s="75">
        <v>19489</v>
      </c>
      <c r="K4314" s="75" t="str">
        <f>IFERROR(VLOOKUP(J4314,'NQ10'!$B$9:$C$145,2,0),"")</f>
        <v/>
      </c>
    </row>
    <row r="4315" spans="1:11" ht="15" customHeight="1" x14ac:dyDescent="0.25">
      <c r="A4315" s="75">
        <v>36</v>
      </c>
      <c r="B4315" s="75">
        <v>47</v>
      </c>
      <c r="C4315" s="75" t="s">
        <v>10</v>
      </c>
      <c r="D4315" s="75">
        <v>8895</v>
      </c>
      <c r="F4315" s="75" t="s">
        <v>10</v>
      </c>
      <c r="H4315" s="75" t="s">
        <v>10</v>
      </c>
      <c r="I4315" s="75">
        <v>19489</v>
      </c>
      <c r="K4315" s="75" t="str">
        <f>IFERROR(VLOOKUP(J4315,'NQ10'!$B$9:$C$145,2,0),"")</f>
        <v/>
      </c>
    </row>
    <row r="4316" spans="1:11" ht="15" customHeight="1" x14ac:dyDescent="0.25">
      <c r="A4316" s="75">
        <v>36</v>
      </c>
      <c r="B4316" s="75">
        <v>48</v>
      </c>
      <c r="C4316" s="75" t="s">
        <v>10</v>
      </c>
      <c r="D4316" s="75">
        <v>7631</v>
      </c>
      <c r="F4316" s="75" t="s">
        <v>10</v>
      </c>
      <c r="H4316" s="75" t="s">
        <v>10</v>
      </c>
      <c r="I4316" s="75">
        <v>19489</v>
      </c>
      <c r="K4316" s="75" t="str">
        <f>IFERROR(VLOOKUP(J4316,'NQ10'!$B$9:$C$145,2,0),"")</f>
        <v/>
      </c>
    </row>
    <row r="4317" spans="1:11" ht="15" customHeight="1" x14ac:dyDescent="0.25">
      <c r="A4317" s="75">
        <v>36</v>
      </c>
      <c r="B4317" s="75">
        <v>49</v>
      </c>
      <c r="C4317" s="75" t="s">
        <v>10</v>
      </c>
      <c r="D4317" s="75">
        <v>3614</v>
      </c>
      <c r="F4317" s="75" t="s">
        <v>10</v>
      </c>
      <c r="H4317" s="75" t="s">
        <v>10</v>
      </c>
      <c r="I4317" s="75">
        <v>19489</v>
      </c>
      <c r="K4317" s="75" t="str">
        <f>IFERROR(VLOOKUP(J4317,'NQ10'!$B$9:$C$145,2,0),"")</f>
        <v/>
      </c>
    </row>
    <row r="4318" spans="1:11" ht="15" customHeight="1" x14ac:dyDescent="0.25">
      <c r="A4318" s="75">
        <v>36</v>
      </c>
      <c r="B4318" s="75">
        <v>50</v>
      </c>
      <c r="C4318" s="75" t="s">
        <v>10</v>
      </c>
      <c r="D4318" s="75">
        <v>4476</v>
      </c>
      <c r="F4318" s="75" t="s">
        <v>10</v>
      </c>
      <c r="H4318" s="75" t="s">
        <v>10</v>
      </c>
      <c r="I4318" s="75">
        <v>19489</v>
      </c>
      <c r="K4318" s="75" t="str">
        <f>IFERROR(VLOOKUP(J4318,'NQ10'!$B$9:$C$145,2,0),"")</f>
        <v/>
      </c>
    </row>
    <row r="4319" spans="1:11" ht="15" customHeight="1" x14ac:dyDescent="0.25">
      <c r="A4319" s="75">
        <v>36</v>
      </c>
      <c r="B4319" s="75">
        <v>52</v>
      </c>
      <c r="C4319" s="75" t="s">
        <v>10</v>
      </c>
      <c r="D4319" s="75">
        <v>9068</v>
      </c>
      <c r="F4319" s="75" t="s">
        <v>10</v>
      </c>
      <c r="H4319" s="75" t="s">
        <v>10</v>
      </c>
      <c r="I4319" s="75">
        <v>19489</v>
      </c>
      <c r="K4319" s="75" t="str">
        <f>IFERROR(VLOOKUP(J4319,'NQ10'!$B$9:$C$145,2,0),"")</f>
        <v/>
      </c>
    </row>
    <row r="4320" spans="1:11" ht="15" customHeight="1" x14ac:dyDescent="0.25">
      <c r="A4320" s="75">
        <v>36</v>
      </c>
      <c r="B4320" s="75">
        <v>53</v>
      </c>
      <c r="C4320" s="75" t="s">
        <v>10</v>
      </c>
      <c r="D4320" s="75">
        <v>1685</v>
      </c>
      <c r="F4320" s="75" t="s">
        <v>10</v>
      </c>
      <c r="H4320" s="75" t="s">
        <v>10</v>
      </c>
      <c r="I4320" s="75">
        <v>19489</v>
      </c>
      <c r="K4320" s="75" t="str">
        <f>IFERROR(VLOOKUP(J4320,'NQ10'!$B$9:$C$145,2,0),"")</f>
        <v/>
      </c>
    </row>
    <row r="4321" spans="1:11" ht="15" customHeight="1" x14ac:dyDescent="0.25">
      <c r="A4321" s="75">
        <v>36</v>
      </c>
      <c r="B4321" s="75">
        <v>55</v>
      </c>
      <c r="C4321" s="75" t="s">
        <v>10</v>
      </c>
      <c r="D4321" s="75">
        <v>9312</v>
      </c>
      <c r="F4321" s="75" t="s">
        <v>10</v>
      </c>
      <c r="H4321" s="75" t="s">
        <v>10</v>
      </c>
      <c r="I4321" s="75">
        <v>19489</v>
      </c>
      <c r="K4321" s="75" t="str">
        <f>IFERROR(VLOOKUP(J4321,'NQ10'!$B$9:$C$145,2,0),"")</f>
        <v/>
      </c>
    </row>
    <row r="4322" spans="1:11" ht="15" customHeight="1" x14ac:dyDescent="0.25">
      <c r="A4322" s="75">
        <v>36</v>
      </c>
      <c r="B4322" s="75">
        <v>59</v>
      </c>
      <c r="C4322" s="75" t="s">
        <v>10</v>
      </c>
      <c r="D4322" s="75">
        <v>584</v>
      </c>
      <c r="F4322" s="75" t="s">
        <v>10</v>
      </c>
      <c r="H4322" s="75" t="s">
        <v>10</v>
      </c>
      <c r="I4322" s="75">
        <v>19489</v>
      </c>
      <c r="K4322" s="75" t="str">
        <f>IFERROR(VLOOKUP(J4322,'NQ10'!$B$9:$C$145,2,0),"")</f>
        <v/>
      </c>
    </row>
    <row r="4323" spans="1:11" ht="15" customHeight="1" x14ac:dyDescent="0.25">
      <c r="A4323" s="75">
        <v>36</v>
      </c>
      <c r="B4323" s="75">
        <v>60</v>
      </c>
      <c r="C4323" s="75" t="s">
        <v>10</v>
      </c>
      <c r="D4323" s="75">
        <v>5017</v>
      </c>
      <c r="F4323" s="75" t="s">
        <v>10</v>
      </c>
      <c r="H4323" s="75" t="s">
        <v>10</v>
      </c>
      <c r="I4323" s="75">
        <v>19489</v>
      </c>
      <c r="K4323" s="75" t="str">
        <f>IFERROR(VLOOKUP(J4323,'NQ10'!$B$9:$C$145,2,0),"")</f>
        <v/>
      </c>
    </row>
    <row r="4324" spans="1:11" ht="15" customHeight="1" x14ac:dyDescent="0.25">
      <c r="A4324" s="75">
        <v>36</v>
      </c>
      <c r="B4324" s="75">
        <v>61</v>
      </c>
      <c r="C4324" s="75" t="s">
        <v>10</v>
      </c>
      <c r="D4324" s="75">
        <v>9738</v>
      </c>
      <c r="F4324" s="75" t="s">
        <v>10</v>
      </c>
      <c r="H4324" s="75" t="s">
        <v>10</v>
      </c>
      <c r="I4324" s="75">
        <v>19489</v>
      </c>
      <c r="K4324" s="75" t="str">
        <f>IFERROR(VLOOKUP(J4324,'NQ10'!$B$9:$C$145,2,0),"")</f>
        <v/>
      </c>
    </row>
    <row r="4325" spans="1:11" ht="15" customHeight="1" x14ac:dyDescent="0.25">
      <c r="A4325" s="75">
        <v>36</v>
      </c>
      <c r="B4325" s="75">
        <v>63</v>
      </c>
      <c r="C4325" s="75" t="s">
        <v>10</v>
      </c>
      <c r="D4325" s="75">
        <v>413</v>
      </c>
      <c r="F4325" s="75" t="s">
        <v>10</v>
      </c>
      <c r="H4325" s="75" t="s">
        <v>10</v>
      </c>
      <c r="I4325" s="75">
        <v>19489</v>
      </c>
      <c r="K4325" s="75" t="str">
        <f>IFERROR(VLOOKUP(J4325,'NQ10'!$B$9:$C$145,2,0),"")</f>
        <v/>
      </c>
    </row>
    <row r="4326" spans="1:11" ht="15" customHeight="1" x14ac:dyDescent="0.25">
      <c r="A4326" s="75">
        <v>36</v>
      </c>
      <c r="B4326" s="75">
        <v>64</v>
      </c>
      <c r="C4326" s="75" t="s">
        <v>10</v>
      </c>
      <c r="D4326" s="75">
        <v>302</v>
      </c>
      <c r="F4326" s="75" t="s">
        <v>10</v>
      </c>
      <c r="H4326" s="75" t="s">
        <v>10</v>
      </c>
      <c r="I4326" s="75">
        <v>19489</v>
      </c>
      <c r="K4326" s="75" t="str">
        <f>IFERROR(VLOOKUP(J4326,'NQ10'!$B$9:$C$145,2,0),"")</f>
        <v/>
      </c>
    </row>
    <row r="4327" spans="1:11" ht="15" customHeight="1" x14ac:dyDescent="0.25">
      <c r="A4327" s="75">
        <v>36</v>
      </c>
      <c r="B4327" s="75">
        <v>67</v>
      </c>
      <c r="C4327" s="75" t="s">
        <v>10</v>
      </c>
      <c r="D4327" s="75">
        <v>613</v>
      </c>
      <c r="F4327" s="75" t="s">
        <v>10</v>
      </c>
      <c r="H4327" s="75" t="s">
        <v>10</v>
      </c>
      <c r="I4327" s="75">
        <v>19489</v>
      </c>
      <c r="K4327" s="75" t="str">
        <f>IFERROR(VLOOKUP(J4327,'NQ10'!$B$9:$C$145,2,0),"")</f>
        <v/>
      </c>
    </row>
    <row r="4328" spans="1:11" ht="15" customHeight="1" x14ac:dyDescent="0.25">
      <c r="A4328" s="75">
        <v>36</v>
      </c>
      <c r="B4328" s="75">
        <v>68</v>
      </c>
      <c r="C4328" s="75" t="s">
        <v>10</v>
      </c>
      <c r="D4328" s="75">
        <v>910</v>
      </c>
      <c r="F4328" s="75" t="s">
        <v>10</v>
      </c>
      <c r="H4328" s="75" t="s">
        <v>10</v>
      </c>
      <c r="I4328" s="75">
        <v>19489</v>
      </c>
      <c r="K4328" s="75" t="str">
        <f>IFERROR(VLOOKUP(J4328,'NQ10'!$B$9:$C$145,2,0),"")</f>
        <v/>
      </c>
    </row>
    <row r="4329" spans="1:11" ht="15" customHeight="1" x14ac:dyDescent="0.25">
      <c r="A4329" s="75">
        <v>36</v>
      </c>
      <c r="B4329" s="75">
        <v>69</v>
      </c>
      <c r="C4329" s="75" t="s">
        <v>10</v>
      </c>
      <c r="D4329" s="75">
        <v>1142</v>
      </c>
      <c r="F4329" s="75" t="s">
        <v>10</v>
      </c>
      <c r="H4329" s="75" t="s">
        <v>10</v>
      </c>
      <c r="I4329" s="75">
        <v>19489</v>
      </c>
      <c r="K4329" s="75" t="str">
        <f>IFERROR(VLOOKUP(J4329,'NQ10'!$B$9:$C$145,2,0),"")</f>
        <v/>
      </c>
    </row>
    <row r="4330" spans="1:11" ht="15" customHeight="1" x14ac:dyDescent="0.25">
      <c r="A4330" s="75">
        <v>36</v>
      </c>
      <c r="B4330" s="75">
        <v>70</v>
      </c>
      <c r="C4330" s="75" t="s">
        <v>10</v>
      </c>
      <c r="D4330" s="75">
        <v>653</v>
      </c>
      <c r="F4330" s="75" t="s">
        <v>10</v>
      </c>
      <c r="H4330" s="75" t="s">
        <v>10</v>
      </c>
      <c r="I4330" s="75">
        <v>19489</v>
      </c>
      <c r="K4330" s="75" t="str">
        <f>IFERROR(VLOOKUP(J4330,'NQ10'!$B$9:$C$145,2,0),"")</f>
        <v/>
      </c>
    </row>
    <row r="4331" spans="1:11" ht="15" customHeight="1" x14ac:dyDescent="0.25">
      <c r="A4331" s="75">
        <v>36</v>
      </c>
      <c r="B4331" s="75">
        <v>71</v>
      </c>
      <c r="C4331" s="75" t="s">
        <v>10</v>
      </c>
      <c r="D4331" s="75">
        <v>646</v>
      </c>
      <c r="F4331" s="75" t="s">
        <v>10</v>
      </c>
      <c r="H4331" s="75" t="s">
        <v>10</v>
      </c>
      <c r="I4331" s="75">
        <v>19489</v>
      </c>
      <c r="K4331" s="75" t="str">
        <f>IFERROR(VLOOKUP(J4331,'NQ10'!$B$9:$C$145,2,0),"")</f>
        <v/>
      </c>
    </row>
    <row r="4332" spans="1:11" ht="15" customHeight="1" x14ac:dyDescent="0.25">
      <c r="A4332" s="75">
        <v>36</v>
      </c>
      <c r="B4332" s="75">
        <v>72</v>
      </c>
      <c r="C4332" s="75" t="s">
        <v>10</v>
      </c>
      <c r="D4332" s="75">
        <v>3476</v>
      </c>
      <c r="F4332" s="75" t="s">
        <v>10</v>
      </c>
      <c r="H4332" s="75" t="s">
        <v>10</v>
      </c>
      <c r="I4332" s="75">
        <v>19489</v>
      </c>
      <c r="K4332" s="75" t="str">
        <f>IFERROR(VLOOKUP(J4332,'NQ10'!$B$9:$C$145,2,0),"")</f>
        <v/>
      </c>
    </row>
    <row r="4333" spans="1:11" ht="15" customHeight="1" x14ac:dyDescent="0.25">
      <c r="A4333" s="75">
        <v>36</v>
      </c>
      <c r="B4333" s="75">
        <v>73</v>
      </c>
      <c r="C4333" s="75" t="s">
        <v>10</v>
      </c>
      <c r="D4333" s="75">
        <v>5882</v>
      </c>
      <c r="F4333" s="75" t="s">
        <v>10</v>
      </c>
      <c r="H4333" s="75" t="s">
        <v>10</v>
      </c>
      <c r="I4333" s="75">
        <v>19489</v>
      </c>
      <c r="K4333" s="75" t="str">
        <f>IFERROR(VLOOKUP(J4333,'NQ10'!$B$9:$C$145,2,0),"")</f>
        <v/>
      </c>
    </row>
    <row r="4334" spans="1:11" ht="15" customHeight="1" x14ac:dyDescent="0.25">
      <c r="A4334" s="75">
        <v>36</v>
      </c>
      <c r="B4334" s="75">
        <v>75</v>
      </c>
      <c r="C4334" s="75" t="s">
        <v>10</v>
      </c>
      <c r="D4334" s="75">
        <v>643</v>
      </c>
      <c r="F4334" s="75" t="s">
        <v>10</v>
      </c>
      <c r="H4334" s="75" t="s">
        <v>10</v>
      </c>
      <c r="I4334" s="75">
        <v>19489</v>
      </c>
      <c r="K4334" s="75" t="str">
        <f>IFERROR(VLOOKUP(J4334,'NQ10'!$B$9:$C$145,2,0),"")</f>
        <v/>
      </c>
    </row>
    <row r="4335" spans="1:11" ht="15" customHeight="1" x14ac:dyDescent="0.25">
      <c r="A4335" s="75">
        <v>36</v>
      </c>
      <c r="B4335" s="75">
        <v>79</v>
      </c>
      <c r="C4335" s="75" t="s">
        <v>10</v>
      </c>
      <c r="D4335" s="75">
        <v>7431</v>
      </c>
      <c r="F4335" s="75" t="s">
        <v>10</v>
      </c>
      <c r="H4335" s="75" t="s">
        <v>10</v>
      </c>
      <c r="I4335" s="75">
        <v>19489</v>
      </c>
      <c r="K4335" s="75" t="str">
        <f>IFERROR(VLOOKUP(J4335,'NQ10'!$B$9:$C$145,2,0),"")</f>
        <v/>
      </c>
    </row>
    <row r="4336" spans="1:11" ht="15" customHeight="1" x14ac:dyDescent="0.25">
      <c r="A4336" s="75">
        <v>36</v>
      </c>
      <c r="B4336" s="75">
        <v>81</v>
      </c>
      <c r="C4336" s="75" t="s">
        <v>10</v>
      </c>
      <c r="D4336" s="75">
        <v>10324</v>
      </c>
      <c r="F4336" s="75" t="s">
        <v>10</v>
      </c>
      <c r="H4336" s="75" t="s">
        <v>10</v>
      </c>
      <c r="I4336" s="75">
        <v>19489</v>
      </c>
      <c r="K4336" s="75" t="str">
        <f>IFERROR(VLOOKUP(J4336,'NQ10'!$B$9:$C$145,2,0),"")</f>
        <v/>
      </c>
    </row>
    <row r="4337" spans="1:11" ht="15" customHeight="1" x14ac:dyDescent="0.25">
      <c r="A4337" s="75">
        <v>36</v>
      </c>
      <c r="B4337" s="75">
        <v>82</v>
      </c>
      <c r="C4337" s="75" t="s">
        <v>10</v>
      </c>
      <c r="D4337" s="75">
        <v>4506</v>
      </c>
      <c r="F4337" s="75" t="s">
        <v>10</v>
      </c>
      <c r="H4337" s="75" t="s">
        <v>10</v>
      </c>
      <c r="I4337" s="75">
        <v>19489</v>
      </c>
      <c r="K4337" s="75" t="str">
        <f>IFERROR(VLOOKUP(J4337,'NQ10'!$B$9:$C$145,2,0),"")</f>
        <v/>
      </c>
    </row>
    <row r="4338" spans="1:11" ht="15" customHeight="1" x14ac:dyDescent="0.25">
      <c r="A4338" s="75">
        <v>36</v>
      </c>
      <c r="B4338" s="75">
        <v>84</v>
      </c>
      <c r="C4338" s="75" t="s">
        <v>10</v>
      </c>
      <c r="D4338" s="75">
        <v>12270</v>
      </c>
      <c r="F4338" s="75" t="s">
        <v>10</v>
      </c>
      <c r="H4338" s="75" t="s">
        <v>10</v>
      </c>
      <c r="I4338" s="75">
        <v>19489</v>
      </c>
      <c r="K4338" s="75" t="str">
        <f>IFERROR(VLOOKUP(J4338,'NQ10'!$B$9:$C$145,2,0),"")</f>
        <v/>
      </c>
    </row>
    <row r="4339" spans="1:11" ht="15" customHeight="1" x14ac:dyDescent="0.25">
      <c r="A4339" s="75">
        <v>36</v>
      </c>
      <c r="B4339" s="75">
        <v>85</v>
      </c>
      <c r="C4339" s="75" t="s">
        <v>10</v>
      </c>
      <c r="D4339" s="75">
        <v>10520</v>
      </c>
      <c r="F4339" s="75" t="s">
        <v>10</v>
      </c>
      <c r="H4339" s="75" t="s">
        <v>10</v>
      </c>
      <c r="I4339" s="75">
        <v>19489</v>
      </c>
      <c r="K4339" s="75" t="str">
        <f>IFERROR(VLOOKUP(J4339,'NQ10'!$B$9:$C$145,2,0),"")</f>
        <v/>
      </c>
    </row>
    <row r="4340" spans="1:11" ht="15" customHeight="1" x14ac:dyDescent="0.25">
      <c r="A4340" s="75">
        <v>36</v>
      </c>
      <c r="B4340" s="75">
        <v>86</v>
      </c>
      <c r="C4340" s="75" t="s">
        <v>10</v>
      </c>
      <c r="D4340" s="75">
        <v>4205</v>
      </c>
      <c r="F4340" s="75" t="s">
        <v>10</v>
      </c>
      <c r="H4340" s="75" t="s">
        <v>10</v>
      </c>
      <c r="I4340" s="75">
        <v>19489</v>
      </c>
      <c r="K4340" s="75" t="str">
        <f>IFERROR(VLOOKUP(J4340,'NQ10'!$B$9:$C$145,2,0),"")</f>
        <v/>
      </c>
    </row>
    <row r="4341" spans="1:11" ht="15" customHeight="1" x14ac:dyDescent="0.25">
      <c r="A4341" s="75">
        <v>36</v>
      </c>
      <c r="B4341" s="75">
        <v>87</v>
      </c>
      <c r="C4341" s="75" t="s">
        <v>10</v>
      </c>
      <c r="D4341" s="75">
        <v>5667</v>
      </c>
      <c r="F4341" s="75" t="s">
        <v>10</v>
      </c>
      <c r="H4341" s="75" t="s">
        <v>10</v>
      </c>
      <c r="I4341" s="75">
        <v>19489</v>
      </c>
      <c r="K4341" s="75" t="str">
        <f>IFERROR(VLOOKUP(J4341,'NQ10'!$B$9:$C$145,2,0),"")</f>
        <v/>
      </c>
    </row>
    <row r="4342" spans="1:11" ht="15" customHeight="1" x14ac:dyDescent="0.25">
      <c r="A4342" s="75">
        <v>36</v>
      </c>
      <c r="B4342" s="75">
        <v>88</v>
      </c>
      <c r="C4342" s="75" t="s">
        <v>10</v>
      </c>
      <c r="D4342" s="75">
        <v>11222</v>
      </c>
      <c r="F4342" s="75" t="s">
        <v>10</v>
      </c>
      <c r="H4342" s="75" t="s">
        <v>10</v>
      </c>
      <c r="I4342" s="75">
        <v>19489</v>
      </c>
      <c r="K4342" s="75" t="str">
        <f>IFERROR(VLOOKUP(J4342,'NQ10'!$B$9:$C$145,2,0),"")</f>
        <v/>
      </c>
    </row>
    <row r="4343" spans="1:11" ht="15" customHeight="1" x14ac:dyDescent="0.25">
      <c r="A4343" s="75">
        <v>36</v>
      </c>
      <c r="B4343" s="75">
        <v>89</v>
      </c>
      <c r="C4343" s="75" t="s">
        <v>10</v>
      </c>
      <c r="D4343" s="75">
        <v>5614</v>
      </c>
      <c r="F4343" s="75" t="s">
        <v>10</v>
      </c>
      <c r="H4343" s="75" t="s">
        <v>10</v>
      </c>
      <c r="I4343" s="75">
        <v>19489</v>
      </c>
      <c r="K4343" s="75" t="str">
        <f>IFERROR(VLOOKUP(J4343,'NQ10'!$B$9:$C$145,2,0),"")</f>
        <v/>
      </c>
    </row>
    <row r="4344" spans="1:11" ht="15" customHeight="1" x14ac:dyDescent="0.25">
      <c r="A4344" s="75">
        <v>36</v>
      </c>
      <c r="B4344" s="75">
        <v>90</v>
      </c>
      <c r="C4344" s="75" t="s">
        <v>10</v>
      </c>
      <c r="D4344" s="75">
        <v>2599</v>
      </c>
      <c r="F4344" s="75" t="s">
        <v>10</v>
      </c>
      <c r="H4344" s="75" t="s">
        <v>10</v>
      </c>
      <c r="I4344" s="75">
        <v>19489</v>
      </c>
      <c r="K4344" s="75" t="str">
        <f>IFERROR(VLOOKUP(J4344,'NQ10'!$B$9:$C$145,2,0),"")</f>
        <v/>
      </c>
    </row>
    <row r="4345" spans="1:11" ht="15" customHeight="1" x14ac:dyDescent="0.25">
      <c r="A4345" s="75">
        <v>36</v>
      </c>
      <c r="B4345" s="75">
        <v>91</v>
      </c>
      <c r="C4345" s="75" t="s">
        <v>10</v>
      </c>
      <c r="D4345" s="75">
        <v>10391</v>
      </c>
      <c r="F4345" s="75" t="s">
        <v>10</v>
      </c>
      <c r="H4345" s="75" t="s">
        <v>10</v>
      </c>
      <c r="I4345" s="75">
        <v>19489</v>
      </c>
      <c r="K4345" s="75" t="str">
        <f>IFERROR(VLOOKUP(J4345,'NQ10'!$B$9:$C$145,2,0),"")</f>
        <v/>
      </c>
    </row>
    <row r="4346" spans="1:11" ht="15" customHeight="1" x14ac:dyDescent="0.25">
      <c r="A4346" s="75">
        <v>36</v>
      </c>
      <c r="B4346" s="75">
        <v>92</v>
      </c>
      <c r="C4346" s="75" t="s">
        <v>10</v>
      </c>
      <c r="D4346" s="75">
        <v>5957</v>
      </c>
      <c r="F4346" s="75" t="s">
        <v>10</v>
      </c>
      <c r="H4346" s="75" t="s">
        <v>10</v>
      </c>
      <c r="I4346" s="75">
        <v>19489</v>
      </c>
      <c r="K4346" s="75" t="str">
        <f>IFERROR(VLOOKUP(J4346,'NQ10'!$B$9:$C$145,2,0),"")</f>
        <v/>
      </c>
    </row>
    <row r="4347" spans="1:11" ht="15" customHeight="1" x14ac:dyDescent="0.25">
      <c r="A4347" s="75">
        <v>36</v>
      </c>
      <c r="B4347" s="75">
        <v>93</v>
      </c>
      <c r="C4347" s="75" t="s">
        <v>10</v>
      </c>
      <c r="D4347" s="75">
        <v>698</v>
      </c>
      <c r="F4347" s="75" t="s">
        <v>10</v>
      </c>
      <c r="H4347" s="75" t="s">
        <v>10</v>
      </c>
      <c r="I4347" s="75">
        <v>19489</v>
      </c>
      <c r="K4347" s="75" t="str">
        <f>IFERROR(VLOOKUP(J4347,'NQ10'!$B$9:$C$145,2,0),"")</f>
        <v/>
      </c>
    </row>
    <row r="4348" spans="1:11" ht="15" customHeight="1" x14ac:dyDescent="0.25">
      <c r="A4348" s="75">
        <v>36</v>
      </c>
      <c r="B4348" s="75">
        <v>94</v>
      </c>
      <c r="C4348" s="75" t="s">
        <v>10</v>
      </c>
      <c r="D4348" s="75">
        <v>10343</v>
      </c>
      <c r="F4348" s="75" t="s">
        <v>10</v>
      </c>
      <c r="H4348" s="75" t="s">
        <v>10</v>
      </c>
      <c r="I4348" s="75">
        <v>19489</v>
      </c>
      <c r="K4348" s="75" t="str">
        <f>IFERROR(VLOOKUP(J4348,'NQ10'!$B$9:$C$145,2,0),"")</f>
        <v/>
      </c>
    </row>
    <row r="4349" spans="1:11" ht="15" customHeight="1" x14ac:dyDescent="0.25">
      <c r="A4349" s="75">
        <v>36</v>
      </c>
      <c r="B4349" s="75">
        <v>97</v>
      </c>
      <c r="C4349" s="75" t="s">
        <v>10</v>
      </c>
      <c r="D4349" s="75">
        <v>3601</v>
      </c>
      <c r="F4349" s="75" t="s">
        <v>10</v>
      </c>
      <c r="H4349" s="75" t="s">
        <v>10</v>
      </c>
      <c r="I4349" s="75">
        <v>19489</v>
      </c>
      <c r="K4349" s="75" t="str">
        <f>IFERROR(VLOOKUP(J4349,'NQ10'!$B$9:$C$145,2,0),"")</f>
        <v/>
      </c>
    </row>
    <row r="4350" spans="1:11" ht="15" customHeight="1" x14ac:dyDescent="0.25">
      <c r="A4350" s="75">
        <v>36</v>
      </c>
      <c r="B4350" s="75">
        <v>98</v>
      </c>
      <c r="C4350" s="75" t="s">
        <v>10</v>
      </c>
      <c r="D4350" s="75">
        <v>8093</v>
      </c>
      <c r="F4350" s="75" t="s">
        <v>10</v>
      </c>
      <c r="H4350" s="75" t="s">
        <v>10</v>
      </c>
      <c r="I4350" s="75">
        <v>19489</v>
      </c>
      <c r="K4350" s="75" t="str">
        <f>IFERROR(VLOOKUP(J4350,'NQ10'!$B$9:$C$145,2,0),"")</f>
        <v/>
      </c>
    </row>
    <row r="4351" spans="1:11" ht="15" customHeight="1" x14ac:dyDescent="0.25">
      <c r="A4351" s="75">
        <v>36</v>
      </c>
      <c r="B4351" s="75">
        <v>99</v>
      </c>
      <c r="C4351" s="75" t="s">
        <v>10</v>
      </c>
      <c r="D4351" s="75">
        <v>12493</v>
      </c>
      <c r="F4351" s="75" t="s">
        <v>10</v>
      </c>
      <c r="H4351" s="75" t="s">
        <v>10</v>
      </c>
      <c r="I4351" s="75">
        <v>19489</v>
      </c>
      <c r="K4351" s="75" t="str">
        <f>IFERROR(VLOOKUP(J4351,'NQ10'!$B$9:$C$145,2,0),"")</f>
        <v/>
      </c>
    </row>
    <row r="4352" spans="1:11" ht="15" customHeight="1" x14ac:dyDescent="0.25">
      <c r="A4352" s="75">
        <v>36</v>
      </c>
      <c r="B4352" s="75">
        <v>100</v>
      </c>
      <c r="C4352" s="75" t="s">
        <v>10</v>
      </c>
      <c r="D4352" s="75">
        <v>10428</v>
      </c>
      <c r="F4352" s="75" t="s">
        <v>10</v>
      </c>
      <c r="H4352" s="75" t="s">
        <v>10</v>
      </c>
      <c r="I4352" s="75">
        <v>19489</v>
      </c>
      <c r="K4352" s="75" t="str">
        <f>IFERROR(VLOOKUP(J4352,'NQ10'!$B$9:$C$145,2,0),"")</f>
        <v/>
      </c>
    </row>
    <row r="4353" spans="1:11" ht="15" customHeight="1" x14ac:dyDescent="0.25">
      <c r="A4353" s="75">
        <v>36</v>
      </c>
      <c r="B4353" s="75">
        <v>101</v>
      </c>
      <c r="C4353" s="75" t="s">
        <v>10</v>
      </c>
      <c r="D4353" s="75">
        <v>9290</v>
      </c>
      <c r="F4353" s="75" t="s">
        <v>10</v>
      </c>
      <c r="H4353" s="75" t="s">
        <v>10</v>
      </c>
      <c r="I4353" s="75">
        <v>19489</v>
      </c>
      <c r="K4353" s="75" t="str">
        <f>IFERROR(VLOOKUP(J4353,'NQ10'!$B$9:$C$145,2,0),"")</f>
        <v/>
      </c>
    </row>
    <row r="4354" spans="1:11" ht="15" customHeight="1" x14ac:dyDescent="0.25">
      <c r="A4354" s="75">
        <v>36</v>
      </c>
      <c r="B4354" s="75">
        <v>102</v>
      </c>
      <c r="C4354" s="75" t="s">
        <v>10</v>
      </c>
      <c r="D4354" s="75">
        <v>28930</v>
      </c>
      <c r="F4354" s="75" t="s">
        <v>10</v>
      </c>
      <c r="H4354" s="75" t="s">
        <v>10</v>
      </c>
      <c r="I4354" s="75">
        <v>19489</v>
      </c>
      <c r="K4354" s="75" t="str">
        <f>IFERROR(VLOOKUP(J4354,'NQ10'!$B$9:$C$145,2,0),"")</f>
        <v/>
      </c>
    </row>
    <row r="4355" spans="1:11" ht="15" customHeight="1" x14ac:dyDescent="0.25">
      <c r="A4355" s="75">
        <v>36</v>
      </c>
      <c r="B4355" s="75">
        <v>103</v>
      </c>
      <c r="C4355" s="75" t="s">
        <v>10</v>
      </c>
      <c r="D4355" s="75">
        <v>10615</v>
      </c>
      <c r="F4355" s="75" t="s">
        <v>10</v>
      </c>
      <c r="H4355" s="75" t="s">
        <v>10</v>
      </c>
      <c r="I4355" s="75">
        <v>19489</v>
      </c>
      <c r="K4355" s="75" t="str">
        <f>IFERROR(VLOOKUP(J4355,'NQ10'!$B$9:$C$145,2,0),"")</f>
        <v/>
      </c>
    </row>
    <row r="4356" spans="1:11" ht="15" customHeight="1" x14ac:dyDescent="0.25">
      <c r="A4356" s="75">
        <v>36</v>
      </c>
      <c r="B4356" s="75">
        <v>105</v>
      </c>
      <c r="C4356" s="75" t="s">
        <v>10</v>
      </c>
      <c r="D4356" s="75">
        <v>2178</v>
      </c>
      <c r="F4356" s="75" t="s">
        <v>10</v>
      </c>
      <c r="H4356" s="75" t="s">
        <v>10</v>
      </c>
      <c r="I4356" s="75">
        <v>19489</v>
      </c>
      <c r="K4356" s="75" t="str">
        <f>IFERROR(VLOOKUP(J4356,'NQ10'!$B$9:$C$145,2,0),"")</f>
        <v/>
      </c>
    </row>
    <row r="4357" spans="1:11" ht="15" customHeight="1" x14ac:dyDescent="0.25">
      <c r="A4357" s="75">
        <v>36</v>
      </c>
      <c r="B4357" s="75">
        <v>106</v>
      </c>
      <c r="C4357" s="75" t="s">
        <v>10</v>
      </c>
      <c r="D4357" s="75">
        <v>2763</v>
      </c>
      <c r="F4357" s="75" t="s">
        <v>10</v>
      </c>
      <c r="H4357" s="75" t="s">
        <v>10</v>
      </c>
      <c r="I4357" s="75">
        <v>19489</v>
      </c>
      <c r="K4357" s="75" t="str">
        <f>IFERROR(VLOOKUP(J4357,'NQ10'!$B$9:$C$145,2,0),"")</f>
        <v/>
      </c>
    </row>
    <row r="4358" spans="1:11" ht="15" customHeight="1" x14ac:dyDescent="0.25">
      <c r="A4358" s="75">
        <v>36</v>
      </c>
      <c r="B4358" s="75">
        <v>107</v>
      </c>
      <c r="C4358" s="75" t="s">
        <v>10</v>
      </c>
      <c r="D4358" s="75">
        <v>631</v>
      </c>
      <c r="F4358" s="75" t="s">
        <v>10</v>
      </c>
      <c r="H4358" s="75" t="s">
        <v>10</v>
      </c>
      <c r="I4358" s="75">
        <v>19489</v>
      </c>
      <c r="K4358" s="75" t="str">
        <f>IFERROR(VLOOKUP(J4358,'NQ10'!$B$9:$C$145,2,0),"")</f>
        <v/>
      </c>
    </row>
    <row r="4359" spans="1:11" ht="15" customHeight="1" x14ac:dyDescent="0.25">
      <c r="A4359" s="75">
        <v>36</v>
      </c>
      <c r="B4359" s="75">
        <v>108</v>
      </c>
      <c r="C4359" s="75" t="s">
        <v>10</v>
      </c>
      <c r="D4359" s="75">
        <v>11081</v>
      </c>
      <c r="F4359" s="75" t="s">
        <v>10</v>
      </c>
      <c r="H4359" s="75" t="s">
        <v>10</v>
      </c>
      <c r="I4359" s="75">
        <v>19489</v>
      </c>
      <c r="K4359" s="75" t="str">
        <f>IFERROR(VLOOKUP(J4359,'NQ10'!$B$9:$C$145,2,0),"")</f>
        <v/>
      </c>
    </row>
    <row r="4360" spans="1:11" ht="15" customHeight="1" x14ac:dyDescent="0.25">
      <c r="A4360" s="75">
        <v>36</v>
      </c>
      <c r="B4360" s="75">
        <v>109</v>
      </c>
      <c r="C4360" s="75" t="s">
        <v>10</v>
      </c>
      <c r="D4360" s="75">
        <v>13520</v>
      </c>
      <c r="F4360" s="75" t="s">
        <v>10</v>
      </c>
      <c r="H4360" s="75" t="s">
        <v>10</v>
      </c>
      <c r="I4360" s="75">
        <v>19489</v>
      </c>
      <c r="K4360" s="75" t="str">
        <f>IFERROR(VLOOKUP(J4360,'NQ10'!$B$9:$C$145,2,0),"")</f>
        <v/>
      </c>
    </row>
    <row r="4361" spans="1:11" ht="15" customHeight="1" x14ac:dyDescent="0.25">
      <c r="A4361" s="75">
        <v>36</v>
      </c>
      <c r="B4361" s="75">
        <v>110</v>
      </c>
      <c r="C4361" s="75" t="s">
        <v>10</v>
      </c>
      <c r="D4361" s="75">
        <v>9256</v>
      </c>
      <c r="F4361" s="75" t="s">
        <v>10</v>
      </c>
      <c r="H4361" s="75" t="s">
        <v>10</v>
      </c>
      <c r="I4361" s="75">
        <v>19489</v>
      </c>
      <c r="K4361" s="75" t="str">
        <f>IFERROR(VLOOKUP(J4361,'NQ10'!$B$9:$C$145,2,0),"")</f>
        <v/>
      </c>
    </row>
    <row r="4362" spans="1:11" ht="15" customHeight="1" x14ac:dyDescent="0.25">
      <c r="A4362" s="75">
        <v>36</v>
      </c>
      <c r="B4362" s="75">
        <v>111</v>
      </c>
      <c r="C4362" s="75" t="s">
        <v>10</v>
      </c>
      <c r="D4362" s="75">
        <v>4119</v>
      </c>
      <c r="F4362" s="75" t="s">
        <v>10</v>
      </c>
      <c r="H4362" s="75" t="s">
        <v>10</v>
      </c>
      <c r="I4362" s="75">
        <v>19489</v>
      </c>
      <c r="K4362" s="75" t="str">
        <f>IFERROR(VLOOKUP(J4362,'NQ10'!$B$9:$C$145,2,0),"")</f>
        <v/>
      </c>
    </row>
    <row r="4363" spans="1:11" ht="15" customHeight="1" x14ac:dyDescent="0.25">
      <c r="A4363" s="75">
        <v>36</v>
      </c>
      <c r="B4363" s="75">
        <v>112</v>
      </c>
      <c r="C4363" s="75" t="s">
        <v>10</v>
      </c>
      <c r="D4363" s="75">
        <v>3975</v>
      </c>
      <c r="F4363" s="75" t="s">
        <v>10</v>
      </c>
      <c r="H4363" s="75" t="s">
        <v>10</v>
      </c>
      <c r="I4363" s="75">
        <v>19489</v>
      </c>
      <c r="K4363" s="75" t="str">
        <f>IFERROR(VLOOKUP(J4363,'NQ10'!$B$9:$C$145,2,0),"")</f>
        <v/>
      </c>
    </row>
    <row r="4364" spans="1:11" ht="15" customHeight="1" x14ac:dyDescent="0.25">
      <c r="A4364" s="75">
        <v>36</v>
      </c>
      <c r="B4364" s="75">
        <v>114</v>
      </c>
      <c r="C4364" s="75" t="s">
        <v>10</v>
      </c>
      <c r="D4364" s="75">
        <v>5518</v>
      </c>
      <c r="F4364" s="75" t="s">
        <v>10</v>
      </c>
      <c r="H4364" s="75" t="s">
        <v>10</v>
      </c>
      <c r="I4364" s="75">
        <v>19489</v>
      </c>
      <c r="K4364" s="75" t="str">
        <f>IFERROR(VLOOKUP(J4364,'NQ10'!$B$9:$C$145,2,0),"")</f>
        <v/>
      </c>
    </row>
    <row r="4365" spans="1:11" ht="15" customHeight="1" x14ac:dyDescent="0.25">
      <c r="A4365" s="75">
        <v>36</v>
      </c>
      <c r="B4365" s="75">
        <v>115</v>
      </c>
      <c r="C4365" s="75" t="s">
        <v>10</v>
      </c>
      <c r="D4365" s="75">
        <v>12579</v>
      </c>
      <c r="F4365" s="75" t="s">
        <v>10</v>
      </c>
      <c r="H4365" s="75" t="s">
        <v>10</v>
      </c>
      <c r="I4365" s="75">
        <v>19489</v>
      </c>
      <c r="K4365" s="75" t="str">
        <f>IFERROR(VLOOKUP(J4365,'NQ10'!$B$9:$C$145,2,0),"")</f>
        <v/>
      </c>
    </row>
    <row r="4366" spans="1:11" ht="15" customHeight="1" x14ac:dyDescent="0.25">
      <c r="A4366" s="75">
        <v>36</v>
      </c>
      <c r="B4366" s="75">
        <v>117</v>
      </c>
      <c r="C4366" s="75" t="s">
        <v>10</v>
      </c>
      <c r="D4366" s="75">
        <v>1029</v>
      </c>
      <c r="F4366" s="75" t="s">
        <v>10</v>
      </c>
      <c r="H4366" s="75" t="s">
        <v>10</v>
      </c>
      <c r="I4366" s="75">
        <v>19489</v>
      </c>
      <c r="K4366" s="75" t="str">
        <f>IFERROR(VLOOKUP(J4366,'NQ10'!$B$9:$C$145,2,0),"")</f>
        <v/>
      </c>
    </row>
    <row r="4367" spans="1:11" ht="15" customHeight="1" x14ac:dyDescent="0.25">
      <c r="A4367" s="75">
        <v>36</v>
      </c>
      <c r="B4367" s="75">
        <v>119</v>
      </c>
      <c r="C4367" s="75" t="s">
        <v>10</v>
      </c>
      <c r="D4367" s="75">
        <v>10125</v>
      </c>
      <c r="F4367" s="75" t="s">
        <v>10</v>
      </c>
      <c r="H4367" s="75" t="s">
        <v>10</v>
      </c>
      <c r="I4367" s="75">
        <v>19489</v>
      </c>
      <c r="K4367" s="75" t="str">
        <f>IFERROR(VLOOKUP(J4367,'NQ10'!$B$9:$C$145,2,0),"")</f>
        <v/>
      </c>
    </row>
    <row r="4368" spans="1:11" ht="15" customHeight="1" x14ac:dyDescent="0.25">
      <c r="A4368" s="75">
        <v>36</v>
      </c>
      <c r="B4368" s="75">
        <v>122</v>
      </c>
      <c r="C4368" s="75" t="s">
        <v>10</v>
      </c>
      <c r="D4368" s="75">
        <v>4350</v>
      </c>
      <c r="F4368" s="75" t="s">
        <v>10</v>
      </c>
      <c r="H4368" s="75" t="s">
        <v>10</v>
      </c>
      <c r="I4368" s="75">
        <v>19489</v>
      </c>
      <c r="K4368" s="75" t="str">
        <f>IFERROR(VLOOKUP(J4368,'NQ10'!$B$9:$C$145,2,0),"")</f>
        <v/>
      </c>
    </row>
    <row r="4369" spans="1:11" ht="15" customHeight="1" x14ac:dyDescent="0.25">
      <c r="A4369" s="75">
        <v>36</v>
      </c>
      <c r="B4369" s="75">
        <v>129</v>
      </c>
      <c r="C4369" s="75" t="s">
        <v>10</v>
      </c>
      <c r="D4369" s="75">
        <v>3104</v>
      </c>
      <c r="F4369" s="75" t="s">
        <v>10</v>
      </c>
      <c r="H4369" s="75" t="s">
        <v>10</v>
      </c>
      <c r="I4369" s="75">
        <v>19489</v>
      </c>
      <c r="K4369" s="75" t="str">
        <f>IFERROR(VLOOKUP(J4369,'NQ10'!$B$9:$C$145,2,0),"")</f>
        <v/>
      </c>
    </row>
    <row r="4370" spans="1:11" ht="15" customHeight="1" x14ac:dyDescent="0.25">
      <c r="A4370" s="75">
        <v>36</v>
      </c>
      <c r="B4370" s="75">
        <v>801</v>
      </c>
      <c r="C4370" s="75" t="s">
        <v>10</v>
      </c>
      <c r="D4370" s="75">
        <v>362</v>
      </c>
      <c r="F4370" s="75" t="s">
        <v>10</v>
      </c>
      <c r="H4370" s="75" t="s">
        <v>10</v>
      </c>
      <c r="I4370" s="75">
        <v>19489</v>
      </c>
      <c r="K4370" s="75" t="str">
        <f>IFERROR(VLOOKUP(J4370,'NQ10'!$B$9:$C$145,2,0),"")</f>
        <v/>
      </c>
    </row>
    <row r="4371" spans="1:11" ht="15" customHeight="1" x14ac:dyDescent="0.25">
      <c r="A4371" s="75">
        <v>36</v>
      </c>
      <c r="B4371" s="75">
        <v>802</v>
      </c>
      <c r="C4371" s="75" t="s">
        <v>10</v>
      </c>
      <c r="D4371" s="75">
        <v>3897</v>
      </c>
      <c r="F4371" s="75" t="s">
        <v>10</v>
      </c>
      <c r="H4371" s="75" t="s">
        <v>10</v>
      </c>
      <c r="I4371" s="75">
        <v>19489</v>
      </c>
      <c r="K4371" s="75" t="str">
        <f>IFERROR(VLOOKUP(J4371,'NQ10'!$B$9:$C$145,2,0),"")</f>
        <v/>
      </c>
    </row>
    <row r="4372" spans="1:11" ht="15" customHeight="1" x14ac:dyDescent="0.25">
      <c r="A4372" s="75">
        <v>36</v>
      </c>
      <c r="B4372" s="75">
        <v>803</v>
      </c>
      <c r="C4372" s="75" t="s">
        <v>10</v>
      </c>
      <c r="D4372" s="75">
        <v>610</v>
      </c>
      <c r="F4372" s="75" t="s">
        <v>10</v>
      </c>
      <c r="H4372" s="75" t="s">
        <v>10</v>
      </c>
      <c r="I4372" s="75">
        <v>19489</v>
      </c>
      <c r="K4372" s="75" t="str">
        <f>IFERROR(VLOOKUP(J4372,'NQ10'!$B$9:$C$145,2,0),"")</f>
        <v/>
      </c>
    </row>
    <row r="4373" spans="1:11" ht="15" customHeight="1" x14ac:dyDescent="0.25">
      <c r="A4373" s="75">
        <v>36</v>
      </c>
      <c r="B4373" s="75">
        <v>804</v>
      </c>
      <c r="C4373" s="75" t="s">
        <v>10</v>
      </c>
      <c r="D4373" s="75">
        <v>15715</v>
      </c>
      <c r="F4373" s="75" t="s">
        <v>10</v>
      </c>
      <c r="H4373" s="75" t="s">
        <v>10</v>
      </c>
      <c r="I4373" s="75">
        <v>19489</v>
      </c>
      <c r="K4373" s="75" t="str">
        <f>IFERROR(VLOOKUP(J4373,'NQ10'!$B$9:$C$145,2,0),"")</f>
        <v/>
      </c>
    </row>
    <row r="4374" spans="1:11" ht="15" customHeight="1" x14ac:dyDescent="0.25">
      <c r="A4374" s="75">
        <v>36</v>
      </c>
      <c r="B4374" s="75">
        <v>812</v>
      </c>
      <c r="C4374" s="75" t="s">
        <v>10</v>
      </c>
      <c r="D4374" s="75">
        <v>111</v>
      </c>
      <c r="F4374" s="75" t="s">
        <v>10</v>
      </c>
      <c r="H4374" s="75" t="s">
        <v>10</v>
      </c>
      <c r="I4374" s="75">
        <v>19489</v>
      </c>
      <c r="K4374" s="75" t="str">
        <f>IFERROR(VLOOKUP(J4374,'NQ10'!$B$9:$C$145,2,0),"")</f>
        <v/>
      </c>
    </row>
    <row r="4375" spans="1:11" ht="15" customHeight="1" x14ac:dyDescent="0.25">
      <c r="A4375" s="75">
        <v>37</v>
      </c>
      <c r="C4375" s="75" t="s">
        <v>10</v>
      </c>
      <c r="D4375" s="75">
        <v>151</v>
      </c>
      <c r="F4375" s="75" t="s">
        <v>10</v>
      </c>
      <c r="H4375" s="75" t="s">
        <v>10</v>
      </c>
      <c r="I4375" s="75">
        <v>19489</v>
      </c>
      <c r="K4375" s="75" t="str">
        <f>IFERROR(VLOOKUP(J4375,'NQ10'!$B$9:$C$145,2,0),"")</f>
        <v/>
      </c>
    </row>
    <row r="4376" spans="1:11" ht="15" customHeight="1" x14ac:dyDescent="0.25">
      <c r="A4376" s="75">
        <v>37</v>
      </c>
      <c r="C4376" s="75" t="s">
        <v>10</v>
      </c>
      <c r="D4376" s="75">
        <v>214</v>
      </c>
      <c r="F4376" s="75" t="s">
        <v>10</v>
      </c>
      <c r="H4376" s="75" t="s">
        <v>10</v>
      </c>
      <c r="I4376" s="75">
        <v>19489</v>
      </c>
      <c r="K4376" s="75" t="str">
        <f>IFERROR(VLOOKUP(J4376,'NQ10'!$B$9:$C$145,2,0),"")</f>
        <v/>
      </c>
    </row>
    <row r="4377" spans="1:11" ht="15" customHeight="1" x14ac:dyDescent="0.25">
      <c r="A4377" s="75">
        <v>37</v>
      </c>
      <c r="C4377" s="75" t="s">
        <v>10</v>
      </c>
      <c r="D4377" s="75">
        <v>3633</v>
      </c>
      <c r="F4377" s="75" t="s">
        <v>10</v>
      </c>
      <c r="H4377" s="75" t="s">
        <v>10</v>
      </c>
      <c r="I4377" s="75">
        <v>19489</v>
      </c>
      <c r="K4377" s="75" t="str">
        <f>IFERROR(VLOOKUP(J4377,'NQ10'!$B$9:$C$145,2,0),"")</f>
        <v/>
      </c>
    </row>
    <row r="4378" spans="1:11" ht="15" customHeight="1" x14ac:dyDescent="0.25">
      <c r="A4378" s="75">
        <v>37</v>
      </c>
      <c r="C4378" s="75" t="s">
        <v>10</v>
      </c>
      <c r="D4378" s="75">
        <v>364</v>
      </c>
      <c r="F4378" s="75" t="s">
        <v>10</v>
      </c>
      <c r="H4378" s="75" t="s">
        <v>10</v>
      </c>
      <c r="I4378" s="75">
        <v>19489</v>
      </c>
      <c r="K4378" s="75" t="str">
        <f>IFERROR(VLOOKUP(J4378,'NQ10'!$B$9:$C$145,2,0),"")</f>
        <v/>
      </c>
    </row>
    <row r="4379" spans="1:11" ht="15" customHeight="1" x14ac:dyDescent="0.25">
      <c r="A4379" s="75">
        <v>37</v>
      </c>
      <c r="B4379" s="75">
        <v>1</v>
      </c>
      <c r="C4379" s="75" t="s">
        <v>10</v>
      </c>
      <c r="D4379" s="75">
        <v>527</v>
      </c>
      <c r="F4379" s="75" t="s">
        <v>10</v>
      </c>
      <c r="H4379" s="75" t="s">
        <v>10</v>
      </c>
      <c r="I4379" s="75">
        <v>19489</v>
      </c>
      <c r="K4379" s="75" t="str">
        <f>IFERROR(VLOOKUP(J4379,'NQ10'!$B$9:$C$145,2,0),"")</f>
        <v/>
      </c>
    </row>
    <row r="4380" spans="1:11" ht="15" customHeight="1" x14ac:dyDescent="0.25">
      <c r="A4380" s="75">
        <v>37</v>
      </c>
      <c r="B4380" s="75">
        <v>2</v>
      </c>
      <c r="C4380" s="75" t="s">
        <v>10</v>
      </c>
      <c r="D4380" s="75">
        <v>1152</v>
      </c>
      <c r="F4380" s="75" t="s">
        <v>10</v>
      </c>
      <c r="H4380" s="75" t="s">
        <v>10</v>
      </c>
      <c r="I4380" s="75">
        <v>19489</v>
      </c>
      <c r="K4380" s="75" t="str">
        <f>IFERROR(VLOOKUP(J4380,'NQ10'!$B$9:$C$145,2,0),"")</f>
        <v/>
      </c>
    </row>
    <row r="4381" spans="1:11" ht="15" customHeight="1" x14ac:dyDescent="0.25">
      <c r="A4381" s="75">
        <v>37</v>
      </c>
      <c r="B4381" s="75">
        <v>3</v>
      </c>
      <c r="C4381" s="75" t="s">
        <v>10</v>
      </c>
      <c r="D4381" s="75">
        <v>176</v>
      </c>
      <c r="F4381" s="75" t="s">
        <v>10</v>
      </c>
      <c r="H4381" s="75" t="s">
        <v>10</v>
      </c>
      <c r="I4381" s="75">
        <v>19489</v>
      </c>
      <c r="K4381" s="75" t="str">
        <f>IFERROR(VLOOKUP(J4381,'NQ10'!$B$9:$C$145,2,0),"")</f>
        <v/>
      </c>
    </row>
    <row r="4382" spans="1:11" ht="15" customHeight="1" x14ac:dyDescent="0.25">
      <c r="A4382" s="75">
        <v>37</v>
      </c>
      <c r="B4382" s="75">
        <v>4</v>
      </c>
      <c r="C4382" s="75" t="s">
        <v>10</v>
      </c>
      <c r="D4382" s="75">
        <v>648</v>
      </c>
      <c r="F4382" s="75" t="s">
        <v>10</v>
      </c>
      <c r="H4382" s="75" t="s">
        <v>10</v>
      </c>
      <c r="I4382" s="75">
        <v>19489</v>
      </c>
      <c r="K4382" s="75" t="str">
        <f>IFERROR(VLOOKUP(J4382,'NQ10'!$B$9:$C$145,2,0),"")</f>
        <v/>
      </c>
    </row>
    <row r="4383" spans="1:11" ht="15" customHeight="1" x14ac:dyDescent="0.25">
      <c r="A4383" s="75">
        <v>37</v>
      </c>
      <c r="B4383" s="75">
        <v>5</v>
      </c>
      <c r="C4383" s="75" t="s">
        <v>10</v>
      </c>
      <c r="D4383" s="75">
        <v>225</v>
      </c>
      <c r="F4383" s="75" t="s">
        <v>10</v>
      </c>
      <c r="H4383" s="75" t="s">
        <v>10</v>
      </c>
      <c r="I4383" s="75">
        <v>19489</v>
      </c>
      <c r="K4383" s="75" t="str">
        <f>IFERROR(VLOOKUP(J4383,'NQ10'!$B$9:$C$145,2,0),"")</f>
        <v/>
      </c>
    </row>
    <row r="4384" spans="1:11" ht="15" customHeight="1" x14ac:dyDescent="0.25">
      <c r="A4384" s="75">
        <v>37</v>
      </c>
      <c r="B4384" s="75">
        <v>6</v>
      </c>
      <c r="C4384" s="75" t="s">
        <v>10</v>
      </c>
      <c r="D4384" s="75">
        <v>151</v>
      </c>
      <c r="F4384" s="75" t="s">
        <v>10</v>
      </c>
      <c r="H4384" s="75" t="s">
        <v>10</v>
      </c>
      <c r="I4384" s="75">
        <v>19489</v>
      </c>
      <c r="K4384" s="75" t="str">
        <f>IFERROR(VLOOKUP(J4384,'NQ10'!$B$9:$C$145,2,0),"")</f>
        <v/>
      </c>
    </row>
    <row r="4385" spans="1:11" ht="15" customHeight="1" x14ac:dyDescent="0.25">
      <c r="A4385" s="75">
        <v>37</v>
      </c>
      <c r="B4385" s="75">
        <v>7</v>
      </c>
      <c r="C4385" s="75" t="s">
        <v>10</v>
      </c>
      <c r="D4385" s="75">
        <v>195</v>
      </c>
      <c r="F4385" s="75" t="s">
        <v>10</v>
      </c>
      <c r="H4385" s="75" t="s">
        <v>10</v>
      </c>
      <c r="I4385" s="75">
        <v>19489</v>
      </c>
      <c r="K4385" s="75" t="str">
        <f>IFERROR(VLOOKUP(J4385,'NQ10'!$B$9:$C$145,2,0),"")</f>
        <v/>
      </c>
    </row>
    <row r="4386" spans="1:11" ht="15" customHeight="1" x14ac:dyDescent="0.25">
      <c r="A4386" s="75">
        <v>37</v>
      </c>
      <c r="B4386" s="75">
        <v>9</v>
      </c>
      <c r="C4386" s="75" t="s">
        <v>10</v>
      </c>
      <c r="D4386" s="75">
        <v>286</v>
      </c>
      <c r="F4386" s="75" t="s">
        <v>10</v>
      </c>
      <c r="H4386" s="75" t="s">
        <v>10</v>
      </c>
      <c r="I4386" s="75">
        <v>19489</v>
      </c>
      <c r="K4386" s="75" t="str">
        <f>IFERROR(VLOOKUP(J4386,'NQ10'!$B$9:$C$145,2,0),"")</f>
        <v/>
      </c>
    </row>
    <row r="4387" spans="1:11" ht="15" customHeight="1" x14ac:dyDescent="0.25">
      <c r="A4387" s="75">
        <v>37</v>
      </c>
      <c r="B4387" s="75">
        <v>10</v>
      </c>
      <c r="C4387" s="75" t="s">
        <v>10</v>
      </c>
      <c r="D4387" s="75">
        <v>393</v>
      </c>
      <c r="F4387" s="75" t="s">
        <v>10</v>
      </c>
      <c r="H4387" s="75" t="s">
        <v>10</v>
      </c>
      <c r="I4387" s="75">
        <v>19489</v>
      </c>
      <c r="K4387" s="75" t="str">
        <f>IFERROR(VLOOKUP(J4387,'NQ10'!$B$9:$C$145,2,0),"")</f>
        <v/>
      </c>
    </row>
    <row r="4388" spans="1:11" ht="15" customHeight="1" x14ac:dyDescent="0.25">
      <c r="A4388" s="75">
        <v>37</v>
      </c>
      <c r="B4388" s="75">
        <v>13</v>
      </c>
      <c r="C4388" s="75" t="s">
        <v>10</v>
      </c>
      <c r="D4388" s="75">
        <v>92</v>
      </c>
      <c r="F4388" s="75" t="s">
        <v>10</v>
      </c>
      <c r="H4388" s="75" t="s">
        <v>10</v>
      </c>
      <c r="I4388" s="75">
        <v>19489</v>
      </c>
      <c r="K4388" s="75" t="str">
        <f>IFERROR(VLOOKUP(J4388,'NQ10'!$B$9:$C$145,2,0),"")</f>
        <v/>
      </c>
    </row>
    <row r="4389" spans="1:11" ht="15" customHeight="1" x14ac:dyDescent="0.25">
      <c r="A4389" s="75">
        <v>37</v>
      </c>
      <c r="B4389" s="75">
        <v>14</v>
      </c>
      <c r="C4389" s="75" t="s">
        <v>10</v>
      </c>
      <c r="D4389" s="75">
        <v>140</v>
      </c>
      <c r="F4389" s="75" t="s">
        <v>10</v>
      </c>
      <c r="H4389" s="75" t="s">
        <v>10</v>
      </c>
      <c r="I4389" s="75">
        <v>19489</v>
      </c>
      <c r="K4389" s="75" t="str">
        <f>IFERROR(VLOOKUP(J4389,'NQ10'!$B$9:$C$145,2,0),"")</f>
        <v/>
      </c>
    </row>
    <row r="4390" spans="1:11" ht="15" customHeight="1" x14ac:dyDescent="0.25">
      <c r="A4390" s="75">
        <v>37</v>
      </c>
      <c r="B4390" s="75">
        <v>15</v>
      </c>
      <c r="C4390" s="75" t="s">
        <v>10</v>
      </c>
      <c r="D4390" s="75">
        <v>140</v>
      </c>
      <c r="F4390" s="75" t="s">
        <v>10</v>
      </c>
      <c r="H4390" s="75" t="s">
        <v>10</v>
      </c>
      <c r="I4390" s="75">
        <v>19489</v>
      </c>
      <c r="K4390" s="75" t="str">
        <f>IFERROR(VLOOKUP(J4390,'NQ10'!$B$9:$C$145,2,0),"")</f>
        <v/>
      </c>
    </row>
    <row r="4391" spans="1:11" ht="15" customHeight="1" x14ac:dyDescent="0.25">
      <c r="A4391" s="75">
        <v>37</v>
      </c>
      <c r="B4391" s="75">
        <v>16</v>
      </c>
      <c r="C4391" s="75" t="s">
        <v>10</v>
      </c>
      <c r="D4391" s="75">
        <v>122</v>
      </c>
      <c r="F4391" s="75" t="s">
        <v>10</v>
      </c>
      <c r="H4391" s="75" t="s">
        <v>10</v>
      </c>
      <c r="I4391" s="75">
        <v>19489</v>
      </c>
      <c r="K4391" s="75" t="str">
        <f>IFERROR(VLOOKUP(J4391,'NQ10'!$B$9:$C$145,2,0),"")</f>
        <v/>
      </c>
    </row>
    <row r="4392" spans="1:11" ht="15" customHeight="1" x14ac:dyDescent="0.25">
      <c r="A4392" s="75">
        <v>37</v>
      </c>
      <c r="B4392" s="75">
        <v>17</v>
      </c>
      <c r="C4392" s="75" t="s">
        <v>10</v>
      </c>
      <c r="D4392" s="75">
        <v>112</v>
      </c>
      <c r="F4392" s="75" t="s">
        <v>10</v>
      </c>
      <c r="H4392" s="75" t="s">
        <v>10</v>
      </c>
      <c r="I4392" s="75">
        <v>19489</v>
      </c>
      <c r="K4392" s="75" t="str">
        <f>IFERROR(VLOOKUP(J4392,'NQ10'!$B$9:$C$145,2,0),"")</f>
        <v/>
      </c>
    </row>
    <row r="4393" spans="1:11" ht="15" customHeight="1" x14ac:dyDescent="0.25">
      <c r="A4393" s="75">
        <v>37</v>
      </c>
      <c r="B4393" s="75">
        <v>18</v>
      </c>
      <c r="C4393" s="75" t="s">
        <v>10</v>
      </c>
      <c r="D4393" s="75">
        <v>115</v>
      </c>
      <c r="F4393" s="75" t="s">
        <v>10</v>
      </c>
      <c r="H4393" s="75" t="s">
        <v>10</v>
      </c>
      <c r="I4393" s="75">
        <v>19489</v>
      </c>
      <c r="K4393" s="75" t="str">
        <f>IFERROR(VLOOKUP(J4393,'NQ10'!$B$9:$C$145,2,0),"")</f>
        <v/>
      </c>
    </row>
    <row r="4394" spans="1:11" ht="15" customHeight="1" x14ac:dyDescent="0.25">
      <c r="A4394" s="75">
        <v>37</v>
      </c>
      <c r="B4394" s="75">
        <v>19</v>
      </c>
      <c r="C4394" s="75" t="s">
        <v>10</v>
      </c>
      <c r="D4394" s="75">
        <v>237</v>
      </c>
      <c r="F4394" s="75" t="s">
        <v>10</v>
      </c>
      <c r="H4394" s="75" t="s">
        <v>10</v>
      </c>
      <c r="I4394" s="75">
        <v>19489</v>
      </c>
      <c r="K4394" s="75" t="str">
        <f>IFERROR(VLOOKUP(J4394,'NQ10'!$B$9:$C$145,2,0),"")</f>
        <v/>
      </c>
    </row>
    <row r="4395" spans="1:11" ht="15" customHeight="1" x14ac:dyDescent="0.25">
      <c r="A4395" s="75">
        <v>37</v>
      </c>
      <c r="B4395" s="75">
        <v>20</v>
      </c>
      <c r="C4395" s="75" t="s">
        <v>10</v>
      </c>
      <c r="D4395" s="75">
        <v>359</v>
      </c>
      <c r="F4395" s="75" t="s">
        <v>10</v>
      </c>
      <c r="H4395" s="75" t="s">
        <v>10</v>
      </c>
      <c r="I4395" s="75">
        <v>19489</v>
      </c>
      <c r="K4395" s="75" t="str">
        <f>IFERROR(VLOOKUP(J4395,'NQ10'!$B$9:$C$145,2,0),"")</f>
        <v/>
      </c>
    </row>
    <row r="4396" spans="1:11" ht="15" customHeight="1" x14ac:dyDescent="0.25">
      <c r="A4396" s="75">
        <v>37</v>
      </c>
      <c r="B4396" s="75">
        <v>21</v>
      </c>
      <c r="C4396" s="75" t="s">
        <v>10</v>
      </c>
      <c r="D4396" s="75">
        <v>167</v>
      </c>
      <c r="F4396" s="75" t="s">
        <v>10</v>
      </c>
      <c r="H4396" s="75" t="s">
        <v>10</v>
      </c>
      <c r="I4396" s="75">
        <v>19489</v>
      </c>
      <c r="K4396" s="75" t="str">
        <f>IFERROR(VLOOKUP(J4396,'NQ10'!$B$9:$C$145,2,0),"")</f>
        <v/>
      </c>
    </row>
    <row r="4397" spans="1:11" ht="15" customHeight="1" x14ac:dyDescent="0.25">
      <c r="A4397" s="75">
        <v>37</v>
      </c>
      <c r="B4397" s="75">
        <v>22</v>
      </c>
      <c r="C4397" s="75" t="s">
        <v>10</v>
      </c>
      <c r="D4397" s="75">
        <v>355</v>
      </c>
      <c r="F4397" s="75" t="s">
        <v>10</v>
      </c>
      <c r="H4397" s="75" t="s">
        <v>10</v>
      </c>
      <c r="I4397" s="75">
        <v>19489</v>
      </c>
      <c r="K4397" s="75" t="str">
        <f>IFERROR(VLOOKUP(J4397,'NQ10'!$B$9:$C$145,2,0),"")</f>
        <v/>
      </c>
    </row>
    <row r="4398" spans="1:11" ht="15" customHeight="1" x14ac:dyDescent="0.25">
      <c r="A4398" s="75">
        <v>37</v>
      </c>
      <c r="B4398" s="75">
        <v>23</v>
      </c>
      <c r="C4398" s="75" t="s">
        <v>10</v>
      </c>
      <c r="D4398" s="75">
        <v>254</v>
      </c>
      <c r="F4398" s="75" t="s">
        <v>10</v>
      </c>
      <c r="H4398" s="75" t="s">
        <v>10</v>
      </c>
      <c r="I4398" s="75">
        <v>19489</v>
      </c>
      <c r="K4398" s="75" t="str">
        <f>IFERROR(VLOOKUP(J4398,'NQ10'!$B$9:$C$145,2,0),"")</f>
        <v/>
      </c>
    </row>
    <row r="4399" spans="1:11" ht="15" customHeight="1" x14ac:dyDescent="0.25">
      <c r="A4399" s="75">
        <v>37</v>
      </c>
      <c r="B4399" s="75">
        <v>24</v>
      </c>
      <c r="C4399" s="75" t="s">
        <v>10</v>
      </c>
      <c r="D4399" s="75">
        <v>2450</v>
      </c>
      <c r="F4399" s="75" t="s">
        <v>10</v>
      </c>
      <c r="H4399" s="75" t="s">
        <v>10</v>
      </c>
      <c r="I4399" s="75">
        <v>19489</v>
      </c>
      <c r="K4399" s="75" t="str">
        <f>IFERROR(VLOOKUP(J4399,'NQ10'!$B$9:$C$145,2,0),"")</f>
        <v/>
      </c>
    </row>
    <row r="4400" spans="1:11" ht="15" customHeight="1" x14ac:dyDescent="0.25">
      <c r="A4400" s="75">
        <v>37</v>
      </c>
      <c r="B4400" s="75">
        <v>25</v>
      </c>
      <c r="C4400" s="75" t="s">
        <v>10</v>
      </c>
      <c r="D4400" s="75">
        <v>1364</v>
      </c>
      <c r="F4400" s="75" t="s">
        <v>10</v>
      </c>
      <c r="H4400" s="75" t="s">
        <v>10</v>
      </c>
      <c r="I4400" s="75">
        <v>19489</v>
      </c>
      <c r="K4400" s="75" t="str">
        <f>IFERROR(VLOOKUP(J4400,'NQ10'!$B$9:$C$145,2,0),"")</f>
        <v/>
      </c>
    </row>
    <row r="4401" spans="1:11" ht="15" customHeight="1" x14ac:dyDescent="0.25">
      <c r="A4401" s="75">
        <v>37</v>
      </c>
      <c r="B4401" s="75">
        <v>26</v>
      </c>
      <c r="C4401" s="75" t="s">
        <v>10</v>
      </c>
      <c r="D4401" s="75">
        <v>456</v>
      </c>
      <c r="F4401" s="75" t="s">
        <v>10</v>
      </c>
      <c r="H4401" s="75" t="s">
        <v>10</v>
      </c>
      <c r="I4401" s="75">
        <v>19489</v>
      </c>
      <c r="K4401" s="75" t="str">
        <f>IFERROR(VLOOKUP(J4401,'NQ10'!$B$9:$C$145,2,0),"")</f>
        <v/>
      </c>
    </row>
    <row r="4402" spans="1:11" ht="15" customHeight="1" x14ac:dyDescent="0.25">
      <c r="A4402" s="75">
        <v>37</v>
      </c>
      <c r="B4402" s="75">
        <v>27</v>
      </c>
      <c r="C4402" s="75" t="s">
        <v>10</v>
      </c>
      <c r="D4402" s="75">
        <v>230</v>
      </c>
      <c r="F4402" s="75" t="s">
        <v>10</v>
      </c>
      <c r="H4402" s="75" t="s">
        <v>10</v>
      </c>
      <c r="I4402" s="75">
        <v>19489</v>
      </c>
      <c r="K4402" s="75" t="str">
        <f>IFERROR(VLOOKUP(J4402,'NQ10'!$B$9:$C$145,2,0),"")</f>
        <v/>
      </c>
    </row>
    <row r="4403" spans="1:11" ht="15" customHeight="1" x14ac:dyDescent="0.25">
      <c r="A4403" s="75">
        <v>37</v>
      </c>
      <c r="B4403" s="75">
        <v>28</v>
      </c>
      <c r="C4403" s="75" t="s">
        <v>10</v>
      </c>
      <c r="D4403" s="75">
        <v>556</v>
      </c>
      <c r="F4403" s="75" t="s">
        <v>10</v>
      </c>
      <c r="H4403" s="75" t="s">
        <v>10</v>
      </c>
      <c r="I4403" s="75">
        <v>19489</v>
      </c>
      <c r="K4403" s="75" t="str">
        <f>IFERROR(VLOOKUP(J4403,'NQ10'!$B$9:$C$145,2,0),"")</f>
        <v/>
      </c>
    </row>
    <row r="4404" spans="1:11" ht="15" customHeight="1" x14ac:dyDescent="0.25">
      <c r="A4404" s="75">
        <v>37</v>
      </c>
      <c r="B4404" s="75">
        <v>29</v>
      </c>
      <c r="C4404" s="75" t="s">
        <v>10</v>
      </c>
      <c r="D4404" s="75">
        <v>1449</v>
      </c>
      <c r="F4404" s="75" t="s">
        <v>10</v>
      </c>
      <c r="H4404" s="75" t="s">
        <v>10</v>
      </c>
      <c r="I4404" s="75">
        <v>19489</v>
      </c>
      <c r="K4404" s="75" t="str">
        <f>IFERROR(VLOOKUP(J4404,'NQ10'!$B$9:$C$145,2,0),"")</f>
        <v/>
      </c>
    </row>
    <row r="4405" spans="1:11" ht="15" customHeight="1" x14ac:dyDescent="0.25">
      <c r="A4405" s="75">
        <v>37</v>
      </c>
      <c r="B4405" s="75">
        <v>30</v>
      </c>
      <c r="C4405" s="75" t="s">
        <v>10</v>
      </c>
      <c r="D4405" s="75">
        <v>1763</v>
      </c>
      <c r="F4405" s="75" t="s">
        <v>10</v>
      </c>
      <c r="H4405" s="75" t="s">
        <v>10</v>
      </c>
      <c r="I4405" s="75">
        <v>19489</v>
      </c>
      <c r="K4405" s="75" t="str">
        <f>IFERROR(VLOOKUP(J4405,'NQ10'!$B$9:$C$145,2,0),"")</f>
        <v/>
      </c>
    </row>
    <row r="4406" spans="1:11" ht="15" customHeight="1" x14ac:dyDescent="0.25">
      <c r="A4406" s="75">
        <v>37</v>
      </c>
      <c r="B4406" s="75">
        <v>31</v>
      </c>
      <c r="C4406" s="75" t="s">
        <v>10</v>
      </c>
      <c r="D4406" s="75">
        <v>941</v>
      </c>
      <c r="F4406" s="75" t="s">
        <v>10</v>
      </c>
      <c r="H4406" s="75" t="s">
        <v>10</v>
      </c>
      <c r="I4406" s="75">
        <v>19489</v>
      </c>
      <c r="K4406" s="75" t="str">
        <f>IFERROR(VLOOKUP(J4406,'NQ10'!$B$9:$C$145,2,0),"")</f>
        <v/>
      </c>
    </row>
    <row r="4407" spans="1:11" ht="15" customHeight="1" x14ac:dyDescent="0.25">
      <c r="A4407" s="75">
        <v>37</v>
      </c>
      <c r="B4407" s="75">
        <v>32</v>
      </c>
      <c r="C4407" s="75" t="s">
        <v>10</v>
      </c>
      <c r="D4407" s="75">
        <v>1429</v>
      </c>
      <c r="F4407" s="75" t="s">
        <v>10</v>
      </c>
      <c r="H4407" s="75" t="s">
        <v>10</v>
      </c>
      <c r="I4407" s="75">
        <v>19489</v>
      </c>
      <c r="K4407" s="75" t="str">
        <f>IFERROR(VLOOKUP(J4407,'NQ10'!$B$9:$C$145,2,0),"")</f>
        <v/>
      </c>
    </row>
    <row r="4408" spans="1:11" ht="15" customHeight="1" x14ac:dyDescent="0.25">
      <c r="A4408" s="75">
        <v>37</v>
      </c>
      <c r="B4408" s="75">
        <v>33</v>
      </c>
      <c r="C4408" s="75" t="s">
        <v>10</v>
      </c>
      <c r="D4408" s="75">
        <v>784</v>
      </c>
      <c r="F4408" s="75" t="s">
        <v>10</v>
      </c>
      <c r="H4408" s="75" t="s">
        <v>10</v>
      </c>
      <c r="I4408" s="75">
        <v>19489</v>
      </c>
      <c r="K4408" s="75" t="str">
        <f>IFERROR(VLOOKUP(J4408,'NQ10'!$B$9:$C$145,2,0),"")</f>
        <v/>
      </c>
    </row>
    <row r="4409" spans="1:11" ht="15" customHeight="1" x14ac:dyDescent="0.25">
      <c r="A4409" s="75">
        <v>37</v>
      </c>
      <c r="B4409" s="75">
        <v>34</v>
      </c>
      <c r="C4409" s="75" t="s">
        <v>10</v>
      </c>
      <c r="D4409" s="75">
        <v>411</v>
      </c>
      <c r="F4409" s="75" t="s">
        <v>10</v>
      </c>
      <c r="H4409" s="75" t="s">
        <v>10</v>
      </c>
      <c r="I4409" s="75">
        <v>19489</v>
      </c>
      <c r="K4409" s="75" t="str">
        <f>IFERROR(VLOOKUP(J4409,'NQ10'!$B$9:$C$145,2,0),"")</f>
        <v/>
      </c>
    </row>
    <row r="4410" spans="1:11" ht="15" customHeight="1" x14ac:dyDescent="0.25">
      <c r="A4410" s="75">
        <v>37</v>
      </c>
      <c r="B4410" s="75">
        <v>35</v>
      </c>
      <c r="C4410" s="75" t="s">
        <v>10</v>
      </c>
      <c r="D4410" s="75">
        <v>153</v>
      </c>
      <c r="F4410" s="75" t="s">
        <v>10</v>
      </c>
      <c r="H4410" s="75" t="s">
        <v>10</v>
      </c>
      <c r="I4410" s="75">
        <v>19489</v>
      </c>
      <c r="K4410" s="75" t="str">
        <f>IFERROR(VLOOKUP(J4410,'NQ10'!$B$9:$C$145,2,0),"")</f>
        <v/>
      </c>
    </row>
    <row r="4411" spans="1:11" ht="15" customHeight="1" x14ac:dyDescent="0.25">
      <c r="A4411" s="75">
        <v>37</v>
      </c>
      <c r="B4411" s="75">
        <v>36</v>
      </c>
      <c r="C4411" s="75" t="s">
        <v>10</v>
      </c>
      <c r="D4411" s="75">
        <v>146</v>
      </c>
      <c r="F4411" s="75" t="s">
        <v>10</v>
      </c>
      <c r="H4411" s="75" t="s">
        <v>10</v>
      </c>
      <c r="I4411" s="75">
        <v>19489</v>
      </c>
      <c r="K4411" s="75" t="str">
        <f>IFERROR(VLOOKUP(J4411,'NQ10'!$B$9:$C$145,2,0),"")</f>
        <v/>
      </c>
    </row>
    <row r="4412" spans="1:11" ht="15" customHeight="1" x14ac:dyDescent="0.25">
      <c r="A4412" s="75">
        <v>37</v>
      </c>
      <c r="B4412" s="75">
        <v>37</v>
      </c>
      <c r="C4412" s="75" t="s">
        <v>10</v>
      </c>
      <c r="D4412" s="75">
        <v>282</v>
      </c>
      <c r="F4412" s="75" t="s">
        <v>10</v>
      </c>
      <c r="H4412" s="75" t="s">
        <v>10</v>
      </c>
      <c r="I4412" s="75">
        <v>19489</v>
      </c>
      <c r="K4412" s="75" t="str">
        <f>IFERROR(VLOOKUP(J4412,'NQ10'!$B$9:$C$145,2,0),"")</f>
        <v/>
      </c>
    </row>
    <row r="4413" spans="1:11" ht="15" customHeight="1" x14ac:dyDescent="0.25">
      <c r="A4413" s="75">
        <v>37</v>
      </c>
      <c r="B4413" s="75">
        <v>38</v>
      </c>
      <c r="C4413" s="75" t="s">
        <v>10</v>
      </c>
      <c r="D4413" s="75">
        <v>153</v>
      </c>
      <c r="F4413" s="75" t="s">
        <v>10</v>
      </c>
      <c r="H4413" s="75" t="s">
        <v>10</v>
      </c>
      <c r="I4413" s="75">
        <v>19489</v>
      </c>
      <c r="K4413" s="75" t="str">
        <f>IFERROR(VLOOKUP(J4413,'NQ10'!$B$9:$C$145,2,0),"")</f>
        <v/>
      </c>
    </row>
    <row r="4414" spans="1:11" ht="15" customHeight="1" x14ac:dyDescent="0.25">
      <c r="A4414" s="75">
        <v>37</v>
      </c>
      <c r="B4414" s="75">
        <v>39</v>
      </c>
      <c r="C4414" s="75" t="s">
        <v>10</v>
      </c>
      <c r="D4414" s="75">
        <v>216</v>
      </c>
      <c r="F4414" s="75" t="s">
        <v>10</v>
      </c>
      <c r="H4414" s="75" t="s">
        <v>10</v>
      </c>
      <c r="I4414" s="75">
        <v>19489</v>
      </c>
      <c r="K4414" s="75" t="str">
        <f>IFERROR(VLOOKUP(J4414,'NQ10'!$B$9:$C$145,2,0),"")</f>
        <v/>
      </c>
    </row>
    <row r="4415" spans="1:11" ht="15" customHeight="1" x14ac:dyDescent="0.25">
      <c r="A4415" s="75">
        <v>37</v>
      </c>
      <c r="B4415" s="75">
        <v>40</v>
      </c>
      <c r="C4415" s="75" t="s">
        <v>10</v>
      </c>
      <c r="D4415" s="75">
        <v>233</v>
      </c>
      <c r="F4415" s="75" t="s">
        <v>10</v>
      </c>
      <c r="H4415" s="75" t="s">
        <v>10</v>
      </c>
      <c r="I4415" s="75">
        <v>19489</v>
      </c>
      <c r="K4415" s="75" t="str">
        <f>IFERROR(VLOOKUP(J4415,'NQ10'!$B$9:$C$145,2,0),"")</f>
        <v/>
      </c>
    </row>
    <row r="4416" spans="1:11" ht="15" customHeight="1" x14ac:dyDescent="0.25">
      <c r="A4416" s="75">
        <v>37</v>
      </c>
      <c r="B4416" s="75">
        <v>41</v>
      </c>
      <c r="C4416" s="75" t="s">
        <v>10</v>
      </c>
      <c r="D4416" s="75">
        <v>123</v>
      </c>
      <c r="F4416" s="75" t="s">
        <v>10</v>
      </c>
      <c r="H4416" s="75" t="s">
        <v>10</v>
      </c>
      <c r="I4416" s="75">
        <v>19489</v>
      </c>
      <c r="K4416" s="75" t="str">
        <f>IFERROR(VLOOKUP(J4416,'NQ10'!$B$9:$C$145,2,0),"")</f>
        <v/>
      </c>
    </row>
    <row r="4417" spans="1:11" ht="15" customHeight="1" x14ac:dyDescent="0.25">
      <c r="A4417" s="75">
        <v>37</v>
      </c>
      <c r="B4417" s="75">
        <v>42</v>
      </c>
      <c r="C4417" s="75" t="s">
        <v>10</v>
      </c>
      <c r="D4417" s="75">
        <v>314</v>
      </c>
      <c r="F4417" s="75" t="s">
        <v>10</v>
      </c>
      <c r="H4417" s="75" t="s">
        <v>10</v>
      </c>
      <c r="I4417" s="75">
        <v>19489</v>
      </c>
      <c r="K4417" s="75" t="str">
        <f>IFERROR(VLOOKUP(J4417,'NQ10'!$B$9:$C$145,2,0),"")</f>
        <v/>
      </c>
    </row>
    <row r="4418" spans="1:11" ht="15" customHeight="1" x14ac:dyDescent="0.25">
      <c r="A4418" s="75">
        <v>37</v>
      </c>
      <c r="B4418" s="75">
        <v>43</v>
      </c>
      <c r="C4418" s="75" t="s">
        <v>10</v>
      </c>
      <c r="D4418" s="75">
        <v>452</v>
      </c>
      <c r="F4418" s="75" t="s">
        <v>10</v>
      </c>
      <c r="H4418" s="75" t="s">
        <v>10</v>
      </c>
      <c r="I4418" s="75">
        <v>19489</v>
      </c>
      <c r="K4418" s="75" t="str">
        <f>IFERROR(VLOOKUP(J4418,'NQ10'!$B$9:$C$145,2,0),"")</f>
        <v/>
      </c>
    </row>
    <row r="4419" spans="1:11" ht="15" customHeight="1" x14ac:dyDescent="0.25">
      <c r="A4419" s="75">
        <v>37</v>
      </c>
      <c r="B4419" s="75">
        <v>44</v>
      </c>
      <c r="C4419" s="75" t="s">
        <v>10</v>
      </c>
      <c r="D4419" s="75">
        <v>218</v>
      </c>
      <c r="F4419" s="75" t="s">
        <v>10</v>
      </c>
      <c r="H4419" s="75" t="s">
        <v>10</v>
      </c>
      <c r="I4419" s="75">
        <v>19489</v>
      </c>
      <c r="K4419" s="75" t="str">
        <f>IFERROR(VLOOKUP(J4419,'NQ10'!$B$9:$C$145,2,0),"")</f>
        <v/>
      </c>
    </row>
    <row r="4420" spans="1:11" ht="15" customHeight="1" x14ac:dyDescent="0.25">
      <c r="A4420" s="75">
        <v>37</v>
      </c>
      <c r="B4420" s="75">
        <v>45</v>
      </c>
      <c r="C4420" s="75" t="s">
        <v>10</v>
      </c>
      <c r="D4420" s="75">
        <v>152</v>
      </c>
      <c r="F4420" s="75" t="s">
        <v>10</v>
      </c>
      <c r="H4420" s="75" t="s">
        <v>10</v>
      </c>
      <c r="I4420" s="75">
        <v>19489</v>
      </c>
      <c r="K4420" s="75" t="str">
        <f>IFERROR(VLOOKUP(J4420,'NQ10'!$B$9:$C$145,2,0),"")</f>
        <v/>
      </c>
    </row>
    <row r="4421" spans="1:11" ht="15" customHeight="1" x14ac:dyDescent="0.25">
      <c r="A4421" s="75">
        <v>37</v>
      </c>
      <c r="B4421" s="75">
        <v>46</v>
      </c>
      <c r="C4421" s="75" t="s">
        <v>10</v>
      </c>
      <c r="D4421" s="75">
        <v>142</v>
      </c>
      <c r="F4421" s="75" t="s">
        <v>10</v>
      </c>
      <c r="H4421" s="75" t="s">
        <v>10</v>
      </c>
      <c r="I4421" s="75">
        <v>19489</v>
      </c>
      <c r="K4421" s="75" t="str">
        <f>IFERROR(VLOOKUP(J4421,'NQ10'!$B$9:$C$145,2,0),"")</f>
        <v/>
      </c>
    </row>
    <row r="4422" spans="1:11" ht="15" customHeight="1" x14ac:dyDescent="0.25">
      <c r="A4422" s="75">
        <v>37</v>
      </c>
      <c r="B4422" s="75">
        <v>47</v>
      </c>
      <c r="C4422" s="75" t="s">
        <v>10</v>
      </c>
      <c r="D4422" s="75">
        <v>247</v>
      </c>
      <c r="F4422" s="75" t="s">
        <v>10</v>
      </c>
      <c r="H4422" s="75" t="s">
        <v>10</v>
      </c>
      <c r="I4422" s="75">
        <v>19489</v>
      </c>
      <c r="K4422" s="75" t="str">
        <f>IFERROR(VLOOKUP(J4422,'NQ10'!$B$9:$C$145,2,0),"")</f>
        <v/>
      </c>
    </row>
    <row r="4423" spans="1:11" ht="15" customHeight="1" x14ac:dyDescent="0.25">
      <c r="A4423" s="75">
        <v>37</v>
      </c>
      <c r="B4423" s="75">
        <v>48</v>
      </c>
      <c r="C4423" s="75" t="s">
        <v>10</v>
      </c>
      <c r="D4423" s="75">
        <v>212</v>
      </c>
      <c r="F4423" s="75" t="s">
        <v>10</v>
      </c>
      <c r="H4423" s="75" t="s">
        <v>10</v>
      </c>
      <c r="I4423" s="75">
        <v>19489</v>
      </c>
      <c r="K4423" s="75" t="str">
        <f>IFERROR(VLOOKUP(J4423,'NQ10'!$B$9:$C$145,2,0),"")</f>
        <v/>
      </c>
    </row>
    <row r="4424" spans="1:11" ht="15" customHeight="1" x14ac:dyDescent="0.25">
      <c r="A4424" s="75">
        <v>37</v>
      </c>
      <c r="B4424" s="75">
        <v>50</v>
      </c>
      <c r="C4424" s="75" t="s">
        <v>10</v>
      </c>
      <c r="D4424" s="75">
        <v>359</v>
      </c>
      <c r="F4424" s="75" t="s">
        <v>10</v>
      </c>
      <c r="H4424" s="75" t="s">
        <v>10</v>
      </c>
      <c r="I4424" s="75">
        <v>19489</v>
      </c>
      <c r="K4424" s="75" t="str">
        <f>IFERROR(VLOOKUP(J4424,'NQ10'!$B$9:$C$145,2,0),"")</f>
        <v/>
      </c>
    </row>
    <row r="4425" spans="1:11" ht="15" customHeight="1" x14ac:dyDescent="0.25">
      <c r="A4425" s="75">
        <v>37</v>
      </c>
      <c r="B4425" s="75">
        <v>51</v>
      </c>
      <c r="C4425" s="75" t="s">
        <v>10</v>
      </c>
      <c r="D4425" s="75">
        <v>1643</v>
      </c>
      <c r="F4425" s="75" t="s">
        <v>10</v>
      </c>
      <c r="H4425" s="75" t="s">
        <v>10</v>
      </c>
      <c r="I4425" s="75">
        <v>19489</v>
      </c>
      <c r="K4425" s="75" t="str">
        <f>IFERROR(VLOOKUP(J4425,'NQ10'!$B$9:$C$145,2,0),"")</f>
        <v/>
      </c>
    </row>
    <row r="4426" spans="1:11" ht="15" customHeight="1" x14ac:dyDescent="0.25">
      <c r="A4426" s="75">
        <v>37</v>
      </c>
      <c r="B4426" s="75">
        <v>52</v>
      </c>
      <c r="C4426" s="75" t="s">
        <v>10</v>
      </c>
      <c r="D4426" s="75">
        <v>632</v>
      </c>
      <c r="F4426" s="75" t="s">
        <v>10</v>
      </c>
      <c r="H4426" s="75" t="s">
        <v>10</v>
      </c>
      <c r="I4426" s="75">
        <v>19489</v>
      </c>
      <c r="K4426" s="75" t="str">
        <f>IFERROR(VLOOKUP(J4426,'NQ10'!$B$9:$C$145,2,0),"")</f>
        <v/>
      </c>
    </row>
    <row r="4427" spans="1:11" ht="15" customHeight="1" x14ac:dyDescent="0.25">
      <c r="A4427" s="75">
        <v>37</v>
      </c>
      <c r="B4427" s="75">
        <v>53</v>
      </c>
      <c r="C4427" s="75" t="s">
        <v>10</v>
      </c>
      <c r="D4427" s="75">
        <v>910</v>
      </c>
      <c r="F4427" s="75" t="s">
        <v>10</v>
      </c>
      <c r="H4427" s="75" t="s">
        <v>10</v>
      </c>
      <c r="I4427" s="75">
        <v>19489</v>
      </c>
      <c r="K4427" s="75" t="str">
        <f>IFERROR(VLOOKUP(J4427,'NQ10'!$B$9:$C$145,2,0),"")</f>
        <v/>
      </c>
    </row>
    <row r="4428" spans="1:11" ht="15" customHeight="1" x14ac:dyDescent="0.25">
      <c r="A4428" s="75">
        <v>37</v>
      </c>
      <c r="B4428" s="75">
        <v>54</v>
      </c>
      <c r="C4428" s="75" t="s">
        <v>10</v>
      </c>
      <c r="D4428" s="75">
        <v>419</v>
      </c>
      <c r="F4428" s="75" t="s">
        <v>10</v>
      </c>
      <c r="H4428" s="75" t="s">
        <v>10</v>
      </c>
      <c r="I4428" s="75">
        <v>19489</v>
      </c>
      <c r="K4428" s="75" t="str">
        <f>IFERROR(VLOOKUP(J4428,'NQ10'!$B$9:$C$145,2,0),"")</f>
        <v/>
      </c>
    </row>
    <row r="4429" spans="1:11" ht="15" customHeight="1" x14ac:dyDescent="0.25">
      <c r="A4429" s="75">
        <v>37</v>
      </c>
      <c r="B4429" s="75">
        <v>55</v>
      </c>
      <c r="C4429" s="75" t="s">
        <v>10</v>
      </c>
      <c r="D4429" s="75">
        <v>5447</v>
      </c>
      <c r="F4429" s="75" t="s">
        <v>10</v>
      </c>
      <c r="H4429" s="75" t="s">
        <v>10</v>
      </c>
      <c r="I4429" s="75">
        <v>19489</v>
      </c>
      <c r="K4429" s="75" t="str">
        <f>IFERROR(VLOOKUP(J4429,'NQ10'!$B$9:$C$145,2,0),"")</f>
        <v/>
      </c>
    </row>
    <row r="4430" spans="1:11" ht="15" customHeight="1" x14ac:dyDescent="0.25">
      <c r="A4430" s="75">
        <v>37</v>
      </c>
      <c r="B4430" s="75">
        <v>56</v>
      </c>
      <c r="C4430" s="75" t="s">
        <v>10</v>
      </c>
      <c r="D4430" s="75">
        <v>878</v>
      </c>
      <c r="F4430" s="75" t="s">
        <v>10</v>
      </c>
      <c r="H4430" s="75" t="s">
        <v>10</v>
      </c>
      <c r="I4430" s="75">
        <v>19489</v>
      </c>
      <c r="K4430" s="75" t="str">
        <f>IFERROR(VLOOKUP(J4430,'NQ10'!$B$9:$C$145,2,0),"")</f>
        <v/>
      </c>
    </row>
    <row r="4431" spans="1:11" ht="15" customHeight="1" x14ac:dyDescent="0.25">
      <c r="A4431" s="75">
        <v>37</v>
      </c>
      <c r="B4431" s="75">
        <v>58</v>
      </c>
      <c r="C4431" s="75" t="s">
        <v>10</v>
      </c>
      <c r="D4431" s="75">
        <v>911</v>
      </c>
      <c r="F4431" s="75" t="s">
        <v>10</v>
      </c>
      <c r="H4431" s="75" t="s">
        <v>10</v>
      </c>
      <c r="I4431" s="75">
        <v>19489</v>
      </c>
      <c r="K4431" s="75" t="str">
        <f>IFERROR(VLOOKUP(J4431,'NQ10'!$B$9:$C$145,2,0),"")</f>
        <v/>
      </c>
    </row>
    <row r="4432" spans="1:11" ht="15" customHeight="1" x14ac:dyDescent="0.25">
      <c r="A4432" s="75">
        <v>37</v>
      </c>
      <c r="B4432" s="75">
        <v>59</v>
      </c>
      <c r="C4432" s="75" t="s">
        <v>10</v>
      </c>
      <c r="D4432" s="75">
        <v>246</v>
      </c>
      <c r="F4432" s="75" t="s">
        <v>10</v>
      </c>
      <c r="H4432" s="75" t="s">
        <v>10</v>
      </c>
      <c r="I4432" s="75">
        <v>19489</v>
      </c>
      <c r="K4432" s="75" t="str">
        <f>IFERROR(VLOOKUP(J4432,'NQ10'!$B$9:$C$145,2,0),"")</f>
        <v/>
      </c>
    </row>
    <row r="4433" spans="1:11" ht="15" customHeight="1" x14ac:dyDescent="0.25">
      <c r="A4433" s="75">
        <v>37</v>
      </c>
      <c r="B4433" s="75">
        <v>60</v>
      </c>
      <c r="C4433" s="75" t="s">
        <v>10</v>
      </c>
      <c r="D4433" s="75">
        <v>345</v>
      </c>
      <c r="F4433" s="75" t="s">
        <v>10</v>
      </c>
      <c r="H4433" s="75" t="s">
        <v>10</v>
      </c>
      <c r="I4433" s="75">
        <v>19489</v>
      </c>
      <c r="K4433" s="75" t="str">
        <f>IFERROR(VLOOKUP(J4433,'NQ10'!$B$9:$C$145,2,0),"")</f>
        <v/>
      </c>
    </row>
    <row r="4434" spans="1:11" ht="15" customHeight="1" x14ac:dyDescent="0.25">
      <c r="A4434" s="75">
        <v>37</v>
      </c>
      <c r="B4434" s="75">
        <v>61</v>
      </c>
      <c r="C4434" s="75" t="s">
        <v>10</v>
      </c>
      <c r="D4434" s="75">
        <v>255</v>
      </c>
      <c r="F4434" s="75" t="s">
        <v>10</v>
      </c>
      <c r="H4434" s="75" t="s">
        <v>10</v>
      </c>
      <c r="I4434" s="75">
        <v>19489</v>
      </c>
      <c r="K4434" s="75" t="str">
        <f>IFERROR(VLOOKUP(J4434,'NQ10'!$B$9:$C$145,2,0),"")</f>
        <v/>
      </c>
    </row>
    <row r="4435" spans="1:11" ht="15" customHeight="1" x14ac:dyDescent="0.25">
      <c r="A4435" s="75">
        <v>37</v>
      </c>
      <c r="B4435" s="75">
        <v>62</v>
      </c>
      <c r="C4435" s="75" t="s">
        <v>10</v>
      </c>
      <c r="D4435" s="75">
        <v>299</v>
      </c>
      <c r="F4435" s="75" t="s">
        <v>10</v>
      </c>
      <c r="H4435" s="75" t="s">
        <v>10</v>
      </c>
      <c r="I4435" s="75">
        <v>19489</v>
      </c>
      <c r="K4435" s="75" t="str">
        <f>IFERROR(VLOOKUP(J4435,'NQ10'!$B$9:$C$145,2,0),"")</f>
        <v/>
      </c>
    </row>
    <row r="4436" spans="1:11" ht="15" customHeight="1" x14ac:dyDescent="0.25">
      <c r="A4436" s="75">
        <v>37</v>
      </c>
      <c r="B4436" s="75">
        <v>63</v>
      </c>
      <c r="C4436" s="75" t="s">
        <v>10</v>
      </c>
      <c r="D4436" s="75">
        <v>373</v>
      </c>
      <c r="F4436" s="75" t="s">
        <v>10</v>
      </c>
      <c r="H4436" s="75" t="s">
        <v>10</v>
      </c>
      <c r="I4436" s="75">
        <v>19489</v>
      </c>
      <c r="K4436" s="75" t="str">
        <f>IFERROR(VLOOKUP(J4436,'NQ10'!$B$9:$C$145,2,0),"")</f>
        <v/>
      </c>
    </row>
    <row r="4437" spans="1:11" ht="15" customHeight="1" x14ac:dyDescent="0.25">
      <c r="A4437" s="75">
        <v>37</v>
      </c>
      <c r="B4437" s="75">
        <v>65</v>
      </c>
      <c r="C4437" s="75" t="s">
        <v>10</v>
      </c>
      <c r="D4437" s="75">
        <v>1740</v>
      </c>
      <c r="F4437" s="75" t="s">
        <v>10</v>
      </c>
      <c r="H4437" s="75" t="s">
        <v>10</v>
      </c>
      <c r="I4437" s="75">
        <v>19489</v>
      </c>
      <c r="K4437" s="75" t="str">
        <f>IFERROR(VLOOKUP(J4437,'NQ10'!$B$9:$C$145,2,0),"")</f>
        <v/>
      </c>
    </row>
    <row r="4438" spans="1:11" ht="15" customHeight="1" x14ac:dyDescent="0.25">
      <c r="A4438" s="75">
        <v>37</v>
      </c>
      <c r="B4438" s="75">
        <v>66</v>
      </c>
      <c r="C4438" s="75" t="s">
        <v>10</v>
      </c>
      <c r="D4438" s="75">
        <v>247</v>
      </c>
      <c r="F4438" s="75" t="s">
        <v>10</v>
      </c>
      <c r="H4438" s="75" t="s">
        <v>10</v>
      </c>
      <c r="I4438" s="75">
        <v>19489</v>
      </c>
      <c r="K4438" s="75" t="str">
        <f>IFERROR(VLOOKUP(J4438,'NQ10'!$B$9:$C$145,2,0),"")</f>
        <v/>
      </c>
    </row>
    <row r="4439" spans="1:11" ht="15" customHeight="1" x14ac:dyDescent="0.25">
      <c r="A4439" s="75">
        <v>37</v>
      </c>
      <c r="B4439" s="75">
        <v>67</v>
      </c>
      <c r="C4439" s="75" t="s">
        <v>10</v>
      </c>
      <c r="D4439" s="75">
        <v>145</v>
      </c>
      <c r="F4439" s="75" t="s">
        <v>10</v>
      </c>
      <c r="H4439" s="75" t="s">
        <v>10</v>
      </c>
      <c r="I4439" s="75">
        <v>19489</v>
      </c>
      <c r="K4439" s="75" t="str">
        <f>IFERROR(VLOOKUP(J4439,'NQ10'!$B$9:$C$145,2,0),"")</f>
        <v/>
      </c>
    </row>
    <row r="4440" spans="1:11" ht="15" customHeight="1" x14ac:dyDescent="0.25">
      <c r="A4440" s="75">
        <v>37</v>
      </c>
      <c r="B4440" s="75">
        <v>68</v>
      </c>
      <c r="C4440" s="75" t="s">
        <v>10</v>
      </c>
      <c r="D4440" s="75">
        <v>842</v>
      </c>
      <c r="F4440" s="75" t="s">
        <v>10</v>
      </c>
      <c r="H4440" s="75" t="s">
        <v>10</v>
      </c>
      <c r="I4440" s="75">
        <v>19489</v>
      </c>
      <c r="K4440" s="75" t="str">
        <f>IFERROR(VLOOKUP(J4440,'NQ10'!$B$9:$C$145,2,0),"")</f>
        <v/>
      </c>
    </row>
    <row r="4441" spans="1:11" ht="15" customHeight="1" x14ac:dyDescent="0.25">
      <c r="A4441" s="75">
        <v>37</v>
      </c>
      <c r="B4441" s="75">
        <v>69</v>
      </c>
      <c r="C4441" s="75" t="s">
        <v>10</v>
      </c>
      <c r="D4441" s="75">
        <v>1044</v>
      </c>
      <c r="F4441" s="75" t="s">
        <v>10</v>
      </c>
      <c r="H4441" s="75" t="s">
        <v>10</v>
      </c>
      <c r="I4441" s="75">
        <v>19489</v>
      </c>
      <c r="K4441" s="75" t="str">
        <f>IFERROR(VLOOKUP(J4441,'NQ10'!$B$9:$C$145,2,0),"")</f>
        <v/>
      </c>
    </row>
    <row r="4442" spans="1:11" ht="15" customHeight="1" x14ac:dyDescent="0.25">
      <c r="A4442" s="75">
        <v>37</v>
      </c>
      <c r="B4442" s="75">
        <v>70</v>
      </c>
      <c r="C4442" s="75" t="s">
        <v>10</v>
      </c>
      <c r="D4442" s="75">
        <v>669</v>
      </c>
      <c r="F4442" s="75" t="s">
        <v>10</v>
      </c>
      <c r="H4442" s="75" t="s">
        <v>10</v>
      </c>
      <c r="I4442" s="75">
        <v>19489</v>
      </c>
      <c r="K4442" s="75" t="str">
        <f>IFERROR(VLOOKUP(J4442,'NQ10'!$B$9:$C$145,2,0),"")</f>
        <v/>
      </c>
    </row>
    <row r="4443" spans="1:11" ht="15" customHeight="1" x14ac:dyDescent="0.25">
      <c r="A4443" s="75">
        <v>37</v>
      </c>
      <c r="B4443" s="75">
        <v>71</v>
      </c>
      <c r="C4443" s="75" t="s">
        <v>10</v>
      </c>
      <c r="D4443" s="75">
        <v>7068</v>
      </c>
      <c r="F4443" s="75" t="s">
        <v>10</v>
      </c>
      <c r="H4443" s="75" t="s">
        <v>10</v>
      </c>
      <c r="I4443" s="75">
        <v>19489</v>
      </c>
      <c r="K4443" s="75" t="str">
        <f>IFERROR(VLOOKUP(J4443,'NQ10'!$B$9:$C$145,2,0),"")</f>
        <v/>
      </c>
    </row>
    <row r="4444" spans="1:11" ht="15" customHeight="1" x14ac:dyDescent="0.25">
      <c r="A4444" s="75">
        <v>37</v>
      </c>
      <c r="B4444" s="75">
        <v>72</v>
      </c>
      <c r="C4444" s="75" t="s">
        <v>10</v>
      </c>
      <c r="D4444" s="75">
        <v>717</v>
      </c>
      <c r="F4444" s="75" t="s">
        <v>10</v>
      </c>
      <c r="H4444" s="75" t="s">
        <v>10</v>
      </c>
      <c r="I4444" s="75">
        <v>19489</v>
      </c>
      <c r="K4444" s="75" t="str">
        <f>IFERROR(VLOOKUP(J4444,'NQ10'!$B$9:$C$145,2,0),"")</f>
        <v/>
      </c>
    </row>
    <row r="4445" spans="1:11" ht="15" customHeight="1" x14ac:dyDescent="0.25">
      <c r="A4445" s="75">
        <v>37</v>
      </c>
      <c r="B4445" s="75">
        <v>73</v>
      </c>
      <c r="C4445" s="75" t="s">
        <v>10</v>
      </c>
      <c r="D4445" s="75">
        <v>568</v>
      </c>
      <c r="F4445" s="75" t="s">
        <v>10</v>
      </c>
      <c r="H4445" s="75" t="s">
        <v>10</v>
      </c>
      <c r="I4445" s="75">
        <v>19489</v>
      </c>
      <c r="K4445" s="75" t="str">
        <f>IFERROR(VLOOKUP(J4445,'NQ10'!$B$9:$C$145,2,0),"")</f>
        <v/>
      </c>
    </row>
    <row r="4446" spans="1:11" ht="15" customHeight="1" x14ac:dyDescent="0.25">
      <c r="A4446" s="75">
        <v>37</v>
      </c>
      <c r="B4446" s="75">
        <v>74</v>
      </c>
      <c r="C4446" s="75" t="s">
        <v>10</v>
      </c>
      <c r="D4446" s="75">
        <v>282</v>
      </c>
      <c r="F4446" s="75" t="s">
        <v>10</v>
      </c>
      <c r="H4446" s="75" t="s">
        <v>10</v>
      </c>
      <c r="I4446" s="75">
        <v>19489</v>
      </c>
      <c r="K4446" s="75" t="str">
        <f>IFERROR(VLOOKUP(J4446,'NQ10'!$B$9:$C$145,2,0),"")</f>
        <v/>
      </c>
    </row>
    <row r="4447" spans="1:11" ht="15" customHeight="1" x14ac:dyDescent="0.25">
      <c r="A4447" s="75">
        <v>37</v>
      </c>
      <c r="B4447" s="75">
        <v>75</v>
      </c>
      <c r="C4447" s="75" t="s">
        <v>10</v>
      </c>
      <c r="D4447" s="75">
        <v>3441</v>
      </c>
      <c r="F4447" s="75" t="s">
        <v>10</v>
      </c>
      <c r="H4447" s="75" t="s">
        <v>10</v>
      </c>
      <c r="I4447" s="75">
        <v>19489</v>
      </c>
      <c r="K4447" s="75" t="str">
        <f>IFERROR(VLOOKUP(J4447,'NQ10'!$B$9:$C$145,2,0),"")</f>
        <v/>
      </c>
    </row>
    <row r="4448" spans="1:11" ht="15" customHeight="1" x14ac:dyDescent="0.25">
      <c r="A4448" s="75">
        <v>37</v>
      </c>
      <c r="B4448" s="75">
        <v>76</v>
      </c>
      <c r="C4448" s="75" t="s">
        <v>10</v>
      </c>
      <c r="D4448" s="75">
        <v>14942</v>
      </c>
      <c r="F4448" s="75" t="s">
        <v>10</v>
      </c>
      <c r="H4448" s="75" t="s">
        <v>10</v>
      </c>
      <c r="I4448" s="75">
        <v>19489</v>
      </c>
      <c r="K4448" s="75" t="str">
        <f>IFERROR(VLOOKUP(J4448,'NQ10'!$B$9:$C$145,2,0),"")</f>
        <v/>
      </c>
    </row>
    <row r="4449" spans="1:11" ht="15" customHeight="1" x14ac:dyDescent="0.25">
      <c r="A4449" s="75">
        <v>37</v>
      </c>
      <c r="B4449" s="75">
        <v>77</v>
      </c>
      <c r="C4449" s="75" t="s">
        <v>10</v>
      </c>
      <c r="D4449" s="75">
        <v>1208</v>
      </c>
      <c r="F4449" s="75" t="s">
        <v>10</v>
      </c>
      <c r="H4449" s="75" t="s">
        <v>10</v>
      </c>
      <c r="I4449" s="75">
        <v>19489</v>
      </c>
      <c r="K4449" s="75" t="str">
        <f>IFERROR(VLOOKUP(J4449,'NQ10'!$B$9:$C$145,2,0),"")</f>
        <v/>
      </c>
    </row>
    <row r="4450" spans="1:11" ht="15" customHeight="1" x14ac:dyDescent="0.25">
      <c r="A4450" s="75">
        <v>37</v>
      </c>
      <c r="B4450" s="75">
        <v>78</v>
      </c>
      <c r="C4450" s="75" t="s">
        <v>10</v>
      </c>
      <c r="D4450" s="75">
        <v>14621</v>
      </c>
      <c r="F4450" s="75" t="s">
        <v>10</v>
      </c>
      <c r="H4450" s="75" t="s">
        <v>10</v>
      </c>
      <c r="I4450" s="75">
        <v>19489</v>
      </c>
      <c r="K4450" s="75" t="str">
        <f>IFERROR(VLOOKUP(J4450,'NQ10'!$B$9:$C$145,2,0),"")</f>
        <v/>
      </c>
    </row>
    <row r="4451" spans="1:11" ht="15" customHeight="1" x14ac:dyDescent="0.25">
      <c r="A4451" s="75">
        <v>37</v>
      </c>
      <c r="B4451" s="75">
        <v>79</v>
      </c>
      <c r="C4451" s="75" t="s">
        <v>10</v>
      </c>
      <c r="D4451" s="75">
        <v>8389</v>
      </c>
      <c r="F4451" s="75" t="s">
        <v>10</v>
      </c>
      <c r="H4451" s="75" t="s">
        <v>10</v>
      </c>
      <c r="I4451" s="75">
        <v>19489</v>
      </c>
      <c r="K4451" s="75" t="str">
        <f>IFERROR(VLOOKUP(J4451,'NQ10'!$B$9:$C$145,2,0),"")</f>
        <v/>
      </c>
    </row>
    <row r="4452" spans="1:11" ht="15" customHeight="1" x14ac:dyDescent="0.25">
      <c r="A4452" s="75">
        <v>37</v>
      </c>
      <c r="B4452" s="75">
        <v>80</v>
      </c>
      <c r="C4452" s="75" t="s">
        <v>10</v>
      </c>
      <c r="D4452" s="75">
        <v>719</v>
      </c>
      <c r="F4452" s="75" t="s">
        <v>10</v>
      </c>
      <c r="H4452" s="75" t="s">
        <v>10</v>
      </c>
      <c r="I4452" s="75">
        <v>19489</v>
      </c>
      <c r="K4452" s="75" t="str">
        <f>IFERROR(VLOOKUP(J4452,'NQ10'!$B$9:$C$145,2,0),"")</f>
        <v/>
      </c>
    </row>
    <row r="4453" spans="1:11" ht="15" customHeight="1" x14ac:dyDescent="0.25">
      <c r="A4453" s="75">
        <v>37</v>
      </c>
      <c r="B4453" s="75">
        <v>81</v>
      </c>
      <c r="C4453" s="75" t="s">
        <v>10</v>
      </c>
      <c r="D4453" s="75">
        <v>3874</v>
      </c>
      <c r="F4453" s="75" t="s">
        <v>10</v>
      </c>
      <c r="H4453" s="75" t="s">
        <v>10</v>
      </c>
      <c r="I4453" s="75">
        <v>19489</v>
      </c>
      <c r="K4453" s="75" t="str">
        <f>IFERROR(VLOOKUP(J4453,'NQ10'!$B$9:$C$145,2,0),"")</f>
        <v/>
      </c>
    </row>
    <row r="4454" spans="1:11" ht="15" customHeight="1" x14ac:dyDescent="0.25">
      <c r="A4454" s="75">
        <v>37</v>
      </c>
      <c r="B4454" s="75">
        <v>82</v>
      </c>
      <c r="C4454" s="75" t="s">
        <v>10</v>
      </c>
      <c r="D4454" s="75">
        <v>12031</v>
      </c>
      <c r="F4454" s="75" t="s">
        <v>10</v>
      </c>
      <c r="H4454" s="75" t="s">
        <v>10</v>
      </c>
      <c r="I4454" s="75">
        <v>19489</v>
      </c>
      <c r="K4454" s="75" t="str">
        <f>IFERROR(VLOOKUP(J4454,'NQ10'!$B$9:$C$145,2,0),"")</f>
        <v/>
      </c>
    </row>
    <row r="4455" spans="1:11" ht="15" customHeight="1" x14ac:dyDescent="0.25">
      <c r="A4455" s="75">
        <v>37</v>
      </c>
      <c r="B4455" s="75">
        <v>83</v>
      </c>
      <c r="C4455" s="75" t="s">
        <v>10</v>
      </c>
      <c r="D4455" s="75">
        <v>5596</v>
      </c>
      <c r="F4455" s="75" t="s">
        <v>10</v>
      </c>
      <c r="H4455" s="75" t="s">
        <v>10</v>
      </c>
      <c r="I4455" s="75">
        <v>19489</v>
      </c>
      <c r="K4455" s="75" t="str">
        <f>IFERROR(VLOOKUP(J4455,'NQ10'!$B$9:$C$145,2,0),"")</f>
        <v/>
      </c>
    </row>
    <row r="4456" spans="1:11" ht="15" customHeight="1" x14ac:dyDescent="0.25">
      <c r="A4456" s="75">
        <v>37</v>
      </c>
      <c r="B4456" s="75">
        <v>85</v>
      </c>
      <c r="C4456" s="75" t="s">
        <v>10</v>
      </c>
      <c r="D4456" s="75">
        <v>1811</v>
      </c>
      <c r="F4456" s="75" t="s">
        <v>10</v>
      </c>
      <c r="H4456" s="75" t="s">
        <v>10</v>
      </c>
      <c r="I4456" s="75">
        <v>19489</v>
      </c>
      <c r="K4456" s="75" t="str">
        <f>IFERROR(VLOOKUP(J4456,'NQ10'!$B$9:$C$145,2,0),"")</f>
        <v/>
      </c>
    </row>
    <row r="4457" spans="1:11" ht="15" customHeight="1" x14ac:dyDescent="0.25">
      <c r="A4457" s="75">
        <v>37</v>
      </c>
      <c r="B4457" s="75">
        <v>86</v>
      </c>
      <c r="C4457" s="75" t="s">
        <v>10</v>
      </c>
      <c r="D4457" s="75">
        <v>6225</v>
      </c>
      <c r="F4457" s="75" t="s">
        <v>10</v>
      </c>
      <c r="H4457" s="75" t="s">
        <v>10</v>
      </c>
      <c r="I4457" s="75">
        <v>19489</v>
      </c>
      <c r="K4457" s="75" t="str">
        <f>IFERROR(VLOOKUP(J4457,'NQ10'!$B$9:$C$145,2,0),"")</f>
        <v/>
      </c>
    </row>
    <row r="4458" spans="1:11" ht="15" customHeight="1" x14ac:dyDescent="0.25">
      <c r="A4458" s="75">
        <v>37</v>
      </c>
      <c r="B4458" s="75">
        <v>87</v>
      </c>
      <c r="C4458" s="75" t="s">
        <v>10</v>
      </c>
      <c r="D4458" s="75">
        <v>7788</v>
      </c>
      <c r="F4458" s="75" t="s">
        <v>10</v>
      </c>
      <c r="H4458" s="75" t="s">
        <v>10</v>
      </c>
      <c r="I4458" s="75">
        <v>19489</v>
      </c>
      <c r="K4458" s="75" t="str">
        <f>IFERROR(VLOOKUP(J4458,'NQ10'!$B$9:$C$145,2,0),"")</f>
        <v/>
      </c>
    </row>
    <row r="4459" spans="1:11" ht="15" customHeight="1" x14ac:dyDescent="0.25">
      <c r="A4459" s="75">
        <v>37</v>
      </c>
      <c r="B4459" s="75">
        <v>89</v>
      </c>
      <c r="C4459" s="75" t="s">
        <v>10</v>
      </c>
      <c r="D4459" s="75">
        <v>17077</v>
      </c>
      <c r="F4459" s="75" t="s">
        <v>10</v>
      </c>
      <c r="H4459" s="75" t="s">
        <v>10</v>
      </c>
      <c r="I4459" s="75">
        <v>19489</v>
      </c>
      <c r="K4459" s="75" t="str">
        <f>IFERROR(VLOOKUP(J4459,'NQ10'!$B$9:$C$145,2,0),"")</f>
        <v/>
      </c>
    </row>
    <row r="4460" spans="1:11" ht="15" customHeight="1" x14ac:dyDescent="0.25">
      <c r="A4460" s="75">
        <v>37</v>
      </c>
      <c r="B4460" s="75">
        <v>90</v>
      </c>
      <c r="C4460" s="75" t="s">
        <v>10</v>
      </c>
      <c r="D4460" s="75">
        <v>4021</v>
      </c>
      <c r="F4460" s="75" t="s">
        <v>10</v>
      </c>
      <c r="H4460" s="75" t="s">
        <v>10</v>
      </c>
      <c r="I4460" s="75">
        <v>19489</v>
      </c>
      <c r="K4460" s="75" t="str">
        <f>IFERROR(VLOOKUP(J4460,'NQ10'!$B$9:$C$145,2,0),"")</f>
        <v/>
      </c>
    </row>
    <row r="4461" spans="1:11" ht="15" customHeight="1" x14ac:dyDescent="0.25">
      <c r="A4461" s="75">
        <v>37</v>
      </c>
      <c r="B4461" s="75">
        <v>92</v>
      </c>
      <c r="C4461" s="75" t="s">
        <v>10</v>
      </c>
      <c r="D4461" s="75">
        <v>6776</v>
      </c>
      <c r="F4461" s="75" t="s">
        <v>10</v>
      </c>
      <c r="H4461" s="75" t="s">
        <v>10</v>
      </c>
      <c r="I4461" s="75">
        <v>19489</v>
      </c>
      <c r="K4461" s="75" t="str">
        <f>IFERROR(VLOOKUP(J4461,'NQ10'!$B$9:$C$145,2,0),"")</f>
        <v/>
      </c>
    </row>
    <row r="4462" spans="1:11" ht="15" customHeight="1" x14ac:dyDescent="0.25">
      <c r="A4462" s="75">
        <v>37</v>
      </c>
      <c r="B4462" s="75">
        <v>801</v>
      </c>
      <c r="C4462" s="75" t="s">
        <v>10</v>
      </c>
      <c r="D4462" s="75">
        <v>78</v>
      </c>
      <c r="F4462" s="75" t="s">
        <v>10</v>
      </c>
      <c r="H4462" s="75" t="s">
        <v>10</v>
      </c>
      <c r="I4462" s="75">
        <v>19489</v>
      </c>
      <c r="K4462" s="75" t="str">
        <f>IFERROR(VLOOKUP(J4462,'NQ10'!$B$9:$C$145,2,0),"")</f>
        <v/>
      </c>
    </row>
    <row r="4463" spans="1:11" ht="15" customHeight="1" x14ac:dyDescent="0.25">
      <c r="A4463" s="75">
        <v>37</v>
      </c>
      <c r="B4463" s="75">
        <v>802</v>
      </c>
      <c r="C4463" s="75" t="s">
        <v>10</v>
      </c>
      <c r="D4463" s="75">
        <v>440</v>
      </c>
      <c r="F4463" s="75" t="s">
        <v>10</v>
      </c>
      <c r="H4463" s="75" t="s">
        <v>10</v>
      </c>
      <c r="I4463" s="75">
        <v>19489</v>
      </c>
      <c r="K4463" s="75" t="str">
        <f>IFERROR(VLOOKUP(J4463,'NQ10'!$B$9:$C$145,2,0),"")</f>
        <v/>
      </c>
    </row>
    <row r="4464" spans="1:11" ht="15" customHeight="1" x14ac:dyDescent="0.25">
      <c r="A4464" s="75">
        <v>37</v>
      </c>
      <c r="B4464" s="75">
        <v>811</v>
      </c>
      <c r="C4464" s="75" t="s">
        <v>10</v>
      </c>
      <c r="D4464" s="75">
        <v>139</v>
      </c>
      <c r="F4464" s="75" t="s">
        <v>10</v>
      </c>
      <c r="H4464" s="75" t="s">
        <v>10</v>
      </c>
      <c r="I4464" s="75">
        <v>19489</v>
      </c>
      <c r="K4464" s="75" t="str">
        <f>IFERROR(VLOOKUP(J4464,'NQ10'!$B$9:$C$145,2,0),"")</f>
        <v/>
      </c>
    </row>
    <row r="4465" spans="1:11" ht="15" customHeight="1" x14ac:dyDescent="0.25">
      <c r="A4465" s="75">
        <v>38</v>
      </c>
      <c r="C4465" s="75" t="s">
        <v>10</v>
      </c>
      <c r="D4465" s="75">
        <v>1679</v>
      </c>
      <c r="F4465" s="75" t="s">
        <v>10</v>
      </c>
      <c r="H4465" s="75" t="s">
        <v>10</v>
      </c>
      <c r="I4465" s="75">
        <v>19489</v>
      </c>
      <c r="K4465" s="75" t="str">
        <f>IFERROR(VLOOKUP(J4465,'NQ10'!$B$9:$C$145,2,0),"")</f>
        <v/>
      </c>
    </row>
    <row r="4466" spans="1:11" ht="15" customHeight="1" x14ac:dyDescent="0.25">
      <c r="A4466" s="75">
        <v>38</v>
      </c>
      <c r="C4466" s="75" t="s">
        <v>10</v>
      </c>
      <c r="D4466" s="75">
        <v>14614</v>
      </c>
      <c r="F4466" s="75" t="s">
        <v>10</v>
      </c>
      <c r="H4466" s="75" t="s">
        <v>10</v>
      </c>
      <c r="I4466" s="75">
        <v>19489</v>
      </c>
      <c r="K4466" s="75" t="str">
        <f>IFERROR(VLOOKUP(J4466,'NQ10'!$B$9:$C$145,2,0),"")</f>
        <v/>
      </c>
    </row>
    <row r="4467" spans="1:11" ht="15" customHeight="1" x14ac:dyDescent="0.25">
      <c r="A4467" s="75">
        <v>38</v>
      </c>
      <c r="C4467" s="75" t="s">
        <v>10</v>
      </c>
      <c r="D4467" s="75">
        <v>3774</v>
      </c>
      <c r="F4467" s="75" t="s">
        <v>10</v>
      </c>
      <c r="H4467" s="75" t="s">
        <v>10</v>
      </c>
      <c r="I4467" s="75">
        <v>19489</v>
      </c>
      <c r="K4467" s="75" t="str">
        <f>IFERROR(VLOOKUP(J4467,'NQ10'!$B$9:$C$145,2,0),"")</f>
        <v/>
      </c>
    </row>
    <row r="4468" spans="1:11" ht="15" customHeight="1" x14ac:dyDescent="0.25">
      <c r="A4468" s="75">
        <v>38</v>
      </c>
      <c r="C4468" s="75" t="s">
        <v>10</v>
      </c>
      <c r="D4468" s="75">
        <v>416</v>
      </c>
      <c r="F4468" s="75" t="s">
        <v>10</v>
      </c>
      <c r="H4468" s="75" t="s">
        <v>10</v>
      </c>
      <c r="I4468" s="75">
        <v>19489</v>
      </c>
      <c r="K4468" s="75" t="str">
        <f>IFERROR(VLOOKUP(J4468,'NQ10'!$B$9:$C$145,2,0),"")</f>
        <v/>
      </c>
    </row>
    <row r="4469" spans="1:11" ht="15" customHeight="1" x14ac:dyDescent="0.25">
      <c r="A4469" s="75">
        <v>38</v>
      </c>
      <c r="C4469" s="75" t="s">
        <v>10</v>
      </c>
      <c r="D4469" s="75">
        <v>5115</v>
      </c>
      <c r="F4469" s="75" t="s">
        <v>10</v>
      </c>
      <c r="H4469" s="75" t="s">
        <v>10</v>
      </c>
      <c r="I4469" s="75">
        <v>19489</v>
      </c>
      <c r="K4469" s="75" t="str">
        <f>IFERROR(VLOOKUP(J4469,'NQ10'!$B$9:$C$145,2,0),"")</f>
        <v/>
      </c>
    </row>
    <row r="4470" spans="1:11" ht="15" customHeight="1" x14ac:dyDescent="0.25">
      <c r="A4470" s="75">
        <v>38</v>
      </c>
      <c r="C4470" s="75" t="s">
        <v>10</v>
      </c>
      <c r="D4470" s="75">
        <v>182</v>
      </c>
      <c r="F4470" s="75" t="s">
        <v>10</v>
      </c>
      <c r="H4470" s="75" t="s">
        <v>10</v>
      </c>
      <c r="I4470" s="75">
        <v>19489</v>
      </c>
      <c r="K4470" s="75" t="str">
        <f>IFERROR(VLOOKUP(J4470,'NQ10'!$B$9:$C$145,2,0),"")</f>
        <v/>
      </c>
    </row>
    <row r="4471" spans="1:11" ht="15" customHeight="1" x14ac:dyDescent="0.25">
      <c r="A4471" s="75">
        <v>38</v>
      </c>
      <c r="C4471" s="75" t="s">
        <v>10</v>
      </c>
      <c r="D4471" s="75">
        <v>2103</v>
      </c>
      <c r="F4471" s="75" t="s">
        <v>10</v>
      </c>
      <c r="H4471" s="75" t="s">
        <v>10</v>
      </c>
      <c r="I4471" s="75">
        <v>19489</v>
      </c>
      <c r="K4471" s="75" t="str">
        <f>IFERROR(VLOOKUP(J4471,'NQ10'!$B$9:$C$145,2,0),"")</f>
        <v/>
      </c>
    </row>
    <row r="4472" spans="1:11" ht="15" customHeight="1" x14ac:dyDescent="0.25">
      <c r="A4472" s="75">
        <v>38</v>
      </c>
      <c r="C4472" s="75" t="s">
        <v>10</v>
      </c>
      <c r="D4472" s="75">
        <v>0</v>
      </c>
      <c r="F4472" s="75" t="s">
        <v>10</v>
      </c>
      <c r="H4472" s="75" t="s">
        <v>10</v>
      </c>
      <c r="I4472" s="75">
        <v>19489</v>
      </c>
      <c r="K4472" s="75" t="str">
        <f>IFERROR(VLOOKUP(J4472,'NQ10'!$B$9:$C$145,2,0),"")</f>
        <v/>
      </c>
    </row>
    <row r="4473" spans="1:11" ht="15" customHeight="1" x14ac:dyDescent="0.25">
      <c r="A4473" s="75">
        <v>38</v>
      </c>
      <c r="C4473" s="75" t="s">
        <v>10</v>
      </c>
      <c r="D4473" s="75">
        <v>373</v>
      </c>
      <c r="F4473" s="75" t="s">
        <v>10</v>
      </c>
      <c r="H4473" s="75" t="s">
        <v>10</v>
      </c>
      <c r="I4473" s="75">
        <v>19489</v>
      </c>
      <c r="K4473" s="75" t="str">
        <f>IFERROR(VLOOKUP(J4473,'NQ10'!$B$9:$C$145,2,0),"")</f>
        <v/>
      </c>
    </row>
    <row r="4474" spans="1:11" ht="15" customHeight="1" x14ac:dyDescent="0.25">
      <c r="A4474" s="75">
        <v>38</v>
      </c>
      <c r="C4474" s="75" t="s">
        <v>10</v>
      </c>
      <c r="D4474" s="75">
        <v>2109</v>
      </c>
      <c r="F4474" s="75" t="s">
        <v>10</v>
      </c>
      <c r="H4474" s="75" t="s">
        <v>10</v>
      </c>
      <c r="I4474" s="75">
        <v>19489</v>
      </c>
      <c r="K4474" s="75" t="str">
        <f>IFERROR(VLOOKUP(J4474,'NQ10'!$B$9:$C$145,2,0),"")</f>
        <v/>
      </c>
    </row>
    <row r="4475" spans="1:11" ht="15" customHeight="1" x14ac:dyDescent="0.25">
      <c r="A4475" s="75">
        <v>38</v>
      </c>
      <c r="C4475" s="75" t="s">
        <v>10</v>
      </c>
      <c r="D4475" s="75">
        <v>186</v>
      </c>
      <c r="F4475" s="75" t="s">
        <v>10</v>
      </c>
      <c r="H4475" s="75" t="s">
        <v>10</v>
      </c>
      <c r="I4475" s="75">
        <v>19489</v>
      </c>
      <c r="K4475" s="75" t="str">
        <f>IFERROR(VLOOKUP(J4475,'NQ10'!$B$9:$C$145,2,0),"")</f>
        <v/>
      </c>
    </row>
    <row r="4476" spans="1:11" ht="15" customHeight="1" x14ac:dyDescent="0.25">
      <c r="A4476" s="75">
        <v>38</v>
      </c>
      <c r="C4476" s="75" t="s">
        <v>10</v>
      </c>
      <c r="D4476" s="75">
        <v>1823</v>
      </c>
      <c r="F4476" s="75" t="s">
        <v>10</v>
      </c>
      <c r="H4476" s="75" t="s">
        <v>10</v>
      </c>
      <c r="I4476" s="75">
        <v>19489</v>
      </c>
      <c r="K4476" s="75" t="str">
        <f>IFERROR(VLOOKUP(J4476,'NQ10'!$B$9:$C$145,2,0),"")</f>
        <v/>
      </c>
    </row>
    <row r="4477" spans="1:11" ht="15" customHeight="1" x14ac:dyDescent="0.25">
      <c r="A4477" s="75">
        <v>38</v>
      </c>
      <c r="C4477" s="75" t="s">
        <v>10</v>
      </c>
      <c r="D4477" s="75">
        <v>13098</v>
      </c>
      <c r="F4477" s="75" t="s">
        <v>10</v>
      </c>
      <c r="H4477" s="75" t="s">
        <v>10</v>
      </c>
      <c r="I4477" s="75">
        <v>19489</v>
      </c>
      <c r="K4477" s="75" t="str">
        <f>IFERROR(VLOOKUP(J4477,'NQ10'!$B$9:$C$145,2,0),"")</f>
        <v/>
      </c>
    </row>
    <row r="4478" spans="1:11" ht="15" customHeight="1" x14ac:dyDescent="0.25">
      <c r="A4478" s="75">
        <v>38</v>
      </c>
      <c r="C4478" s="75" t="s">
        <v>10</v>
      </c>
      <c r="D4478" s="75">
        <v>99</v>
      </c>
      <c r="F4478" s="75" t="s">
        <v>10</v>
      </c>
      <c r="H4478" s="75" t="s">
        <v>10</v>
      </c>
      <c r="I4478" s="75">
        <v>19489</v>
      </c>
      <c r="K4478" s="75" t="str">
        <f>IFERROR(VLOOKUP(J4478,'NQ10'!$B$9:$C$145,2,0),"")</f>
        <v/>
      </c>
    </row>
    <row r="4479" spans="1:11" ht="15" customHeight="1" x14ac:dyDescent="0.25">
      <c r="A4479" s="75">
        <v>38</v>
      </c>
      <c r="C4479" s="75" t="s">
        <v>10</v>
      </c>
      <c r="D4479" s="75">
        <v>2025</v>
      </c>
      <c r="F4479" s="75" t="s">
        <v>10</v>
      </c>
      <c r="H4479" s="75" t="s">
        <v>10</v>
      </c>
      <c r="I4479" s="75">
        <v>19489</v>
      </c>
      <c r="K4479" s="75" t="str">
        <f>IFERROR(VLOOKUP(J4479,'NQ10'!$B$9:$C$145,2,0),"")</f>
        <v/>
      </c>
    </row>
    <row r="4480" spans="1:11" ht="15" customHeight="1" x14ac:dyDescent="0.25">
      <c r="A4480" s="75">
        <v>38</v>
      </c>
      <c r="C4480" s="75" t="s">
        <v>10</v>
      </c>
      <c r="D4480" s="75">
        <v>741</v>
      </c>
      <c r="F4480" s="75" t="s">
        <v>10</v>
      </c>
      <c r="H4480" s="75" t="s">
        <v>10</v>
      </c>
      <c r="I4480" s="75">
        <v>19489</v>
      </c>
      <c r="K4480" s="75" t="str">
        <f>IFERROR(VLOOKUP(J4480,'NQ10'!$B$9:$C$145,2,0),"")</f>
        <v/>
      </c>
    </row>
    <row r="4481" spans="1:11" ht="15" customHeight="1" x14ac:dyDescent="0.25">
      <c r="A4481" s="75">
        <v>38</v>
      </c>
      <c r="B4481" s="75">
        <v>1</v>
      </c>
      <c r="C4481" s="75" t="s">
        <v>10</v>
      </c>
      <c r="D4481" s="75">
        <v>102</v>
      </c>
      <c r="F4481" s="75" t="s">
        <v>10</v>
      </c>
      <c r="H4481" s="75" t="s">
        <v>10</v>
      </c>
      <c r="I4481" s="75">
        <v>19489</v>
      </c>
      <c r="K4481" s="75" t="str">
        <f>IFERROR(VLOOKUP(J4481,'NQ10'!$B$9:$C$145,2,0),"")</f>
        <v/>
      </c>
    </row>
    <row r="4482" spans="1:11" ht="15" customHeight="1" x14ac:dyDescent="0.25">
      <c r="A4482" s="75">
        <v>38</v>
      </c>
      <c r="B4482" s="75">
        <v>2</v>
      </c>
      <c r="C4482" s="75" t="s">
        <v>10</v>
      </c>
      <c r="D4482" s="75">
        <v>114</v>
      </c>
      <c r="F4482" s="75" t="s">
        <v>10</v>
      </c>
      <c r="H4482" s="75" t="s">
        <v>10</v>
      </c>
      <c r="I4482" s="75">
        <v>19489</v>
      </c>
      <c r="K4482" s="75" t="str">
        <f>IFERROR(VLOOKUP(J4482,'NQ10'!$B$9:$C$145,2,0),"")</f>
        <v/>
      </c>
    </row>
    <row r="4483" spans="1:11" ht="15" customHeight="1" x14ac:dyDescent="0.25">
      <c r="A4483" s="75">
        <v>38</v>
      </c>
      <c r="B4483" s="75">
        <v>3</v>
      </c>
      <c r="C4483" s="75" t="s">
        <v>10</v>
      </c>
      <c r="D4483" s="75">
        <v>181</v>
      </c>
      <c r="F4483" s="75" t="s">
        <v>10</v>
      </c>
      <c r="H4483" s="75" t="s">
        <v>10</v>
      </c>
      <c r="I4483" s="75">
        <v>19489</v>
      </c>
      <c r="K4483" s="75" t="str">
        <f>IFERROR(VLOOKUP(J4483,'NQ10'!$B$9:$C$145,2,0),"")</f>
        <v/>
      </c>
    </row>
    <row r="4484" spans="1:11" ht="15" customHeight="1" x14ac:dyDescent="0.25">
      <c r="A4484" s="75">
        <v>38</v>
      </c>
      <c r="B4484" s="75">
        <v>4</v>
      </c>
      <c r="C4484" s="75" t="s">
        <v>10</v>
      </c>
      <c r="D4484" s="75">
        <v>184</v>
      </c>
      <c r="F4484" s="75" t="s">
        <v>10</v>
      </c>
      <c r="H4484" s="75" t="s">
        <v>10</v>
      </c>
      <c r="I4484" s="75">
        <v>19489</v>
      </c>
      <c r="K4484" s="75" t="str">
        <f>IFERROR(VLOOKUP(J4484,'NQ10'!$B$9:$C$145,2,0),"")</f>
        <v/>
      </c>
    </row>
    <row r="4485" spans="1:11" ht="15" customHeight="1" x14ac:dyDescent="0.25">
      <c r="A4485" s="75">
        <v>38</v>
      </c>
      <c r="B4485" s="75">
        <v>5</v>
      </c>
      <c r="C4485" s="75" t="s">
        <v>10</v>
      </c>
      <c r="D4485" s="75">
        <v>182</v>
      </c>
      <c r="F4485" s="75" t="s">
        <v>10</v>
      </c>
      <c r="H4485" s="75" t="s">
        <v>10</v>
      </c>
      <c r="I4485" s="75">
        <v>19489</v>
      </c>
      <c r="K4485" s="75" t="str">
        <f>IFERROR(VLOOKUP(J4485,'NQ10'!$B$9:$C$145,2,0),"")</f>
        <v/>
      </c>
    </row>
    <row r="4486" spans="1:11" ht="15" customHeight="1" x14ac:dyDescent="0.25">
      <c r="A4486" s="75">
        <v>38</v>
      </c>
      <c r="B4486" s="75">
        <v>6</v>
      </c>
      <c r="C4486" s="75" t="s">
        <v>10</v>
      </c>
      <c r="D4486" s="75">
        <v>214</v>
      </c>
      <c r="F4486" s="75" t="s">
        <v>10</v>
      </c>
      <c r="H4486" s="75" t="s">
        <v>10</v>
      </c>
      <c r="I4486" s="75">
        <v>19489</v>
      </c>
      <c r="K4486" s="75" t="str">
        <f>IFERROR(VLOOKUP(J4486,'NQ10'!$B$9:$C$145,2,0),"")</f>
        <v/>
      </c>
    </row>
    <row r="4487" spans="1:11" ht="15" customHeight="1" x14ac:dyDescent="0.25">
      <c r="A4487" s="75">
        <v>38</v>
      </c>
      <c r="B4487" s="75">
        <v>7</v>
      </c>
      <c r="C4487" s="75" t="s">
        <v>10</v>
      </c>
      <c r="D4487" s="75">
        <v>243</v>
      </c>
      <c r="F4487" s="75" t="s">
        <v>10</v>
      </c>
      <c r="H4487" s="75" t="s">
        <v>10</v>
      </c>
      <c r="I4487" s="75">
        <v>19489</v>
      </c>
      <c r="K4487" s="75" t="str">
        <f>IFERROR(VLOOKUP(J4487,'NQ10'!$B$9:$C$145,2,0),"")</f>
        <v/>
      </c>
    </row>
    <row r="4488" spans="1:11" ht="15" customHeight="1" x14ac:dyDescent="0.25">
      <c r="A4488" s="75">
        <v>38</v>
      </c>
      <c r="B4488" s="75">
        <v>8</v>
      </c>
      <c r="C4488" s="75" t="s">
        <v>10</v>
      </c>
      <c r="D4488" s="75">
        <v>630</v>
      </c>
      <c r="F4488" s="75" t="s">
        <v>10</v>
      </c>
      <c r="H4488" s="75" t="s">
        <v>10</v>
      </c>
      <c r="I4488" s="75">
        <v>19489</v>
      </c>
      <c r="K4488" s="75" t="str">
        <f>IFERROR(VLOOKUP(J4488,'NQ10'!$B$9:$C$145,2,0),"")</f>
        <v/>
      </c>
    </row>
    <row r="4489" spans="1:11" ht="15" customHeight="1" x14ac:dyDescent="0.25">
      <c r="A4489" s="75">
        <v>38</v>
      </c>
      <c r="B4489" s="75">
        <v>9</v>
      </c>
      <c r="C4489" s="75" t="s">
        <v>10</v>
      </c>
      <c r="D4489" s="75">
        <v>491</v>
      </c>
      <c r="F4489" s="75" t="s">
        <v>10</v>
      </c>
      <c r="H4489" s="75" t="s">
        <v>10</v>
      </c>
      <c r="I4489" s="75">
        <v>19489</v>
      </c>
      <c r="K4489" s="75" t="str">
        <f>IFERROR(VLOOKUP(J4489,'NQ10'!$B$9:$C$145,2,0),"")</f>
        <v/>
      </c>
    </row>
    <row r="4490" spans="1:11" ht="15" customHeight="1" x14ac:dyDescent="0.25">
      <c r="A4490" s="75">
        <v>38</v>
      </c>
      <c r="B4490" s="75">
        <v>11</v>
      </c>
      <c r="C4490" s="75" t="s">
        <v>10</v>
      </c>
      <c r="D4490" s="75">
        <v>3553</v>
      </c>
      <c r="F4490" s="75" t="s">
        <v>10</v>
      </c>
      <c r="H4490" s="75" t="s">
        <v>10</v>
      </c>
      <c r="I4490" s="75">
        <v>19489</v>
      </c>
      <c r="K4490" s="75" t="str">
        <f>IFERROR(VLOOKUP(J4490,'NQ10'!$B$9:$C$145,2,0),"")</f>
        <v/>
      </c>
    </row>
    <row r="4491" spans="1:11" ht="15" customHeight="1" x14ac:dyDescent="0.25">
      <c r="A4491" s="75">
        <v>38</v>
      </c>
      <c r="B4491" s="75">
        <v>12</v>
      </c>
      <c r="C4491" s="75" t="s">
        <v>10</v>
      </c>
      <c r="D4491" s="75">
        <v>2034</v>
      </c>
      <c r="F4491" s="75" t="s">
        <v>10</v>
      </c>
      <c r="H4491" s="75" t="s">
        <v>10</v>
      </c>
      <c r="I4491" s="75">
        <v>19489</v>
      </c>
      <c r="K4491" s="75" t="str">
        <f>IFERROR(VLOOKUP(J4491,'NQ10'!$B$9:$C$145,2,0),"")</f>
        <v/>
      </c>
    </row>
    <row r="4492" spans="1:11" ht="15" customHeight="1" x14ac:dyDescent="0.25">
      <c r="A4492" s="75">
        <v>38</v>
      </c>
      <c r="B4492" s="75">
        <v>13</v>
      </c>
      <c r="C4492" s="75" t="s">
        <v>10</v>
      </c>
      <c r="D4492" s="75">
        <v>350</v>
      </c>
      <c r="F4492" s="75" t="s">
        <v>10</v>
      </c>
      <c r="H4492" s="75" t="s">
        <v>10</v>
      </c>
      <c r="I4492" s="75">
        <v>19489</v>
      </c>
      <c r="K4492" s="75" t="str">
        <f>IFERROR(VLOOKUP(J4492,'NQ10'!$B$9:$C$145,2,0),"")</f>
        <v/>
      </c>
    </row>
    <row r="4493" spans="1:11" ht="15" customHeight="1" x14ac:dyDescent="0.25">
      <c r="A4493" s="75">
        <v>38</v>
      </c>
      <c r="B4493" s="75">
        <v>14</v>
      </c>
      <c r="C4493" s="75" t="s">
        <v>10</v>
      </c>
      <c r="D4493" s="75">
        <v>230</v>
      </c>
      <c r="F4493" s="75" t="s">
        <v>10</v>
      </c>
      <c r="H4493" s="75" t="s">
        <v>10</v>
      </c>
      <c r="I4493" s="75">
        <v>19489</v>
      </c>
      <c r="K4493" s="75" t="str">
        <f>IFERROR(VLOOKUP(J4493,'NQ10'!$B$9:$C$145,2,0),"")</f>
        <v/>
      </c>
    </row>
    <row r="4494" spans="1:11" ht="15" customHeight="1" x14ac:dyDescent="0.25">
      <c r="A4494" s="75">
        <v>38</v>
      </c>
      <c r="B4494" s="75">
        <v>15</v>
      </c>
      <c r="C4494" s="75" t="s">
        <v>10</v>
      </c>
      <c r="D4494" s="75">
        <v>219</v>
      </c>
      <c r="F4494" s="75" t="s">
        <v>10</v>
      </c>
      <c r="H4494" s="75" t="s">
        <v>10</v>
      </c>
      <c r="I4494" s="75">
        <v>19489</v>
      </c>
      <c r="K4494" s="75" t="str">
        <f>IFERROR(VLOOKUP(J4494,'NQ10'!$B$9:$C$145,2,0),"")</f>
        <v/>
      </c>
    </row>
    <row r="4495" spans="1:11" ht="15" customHeight="1" x14ac:dyDescent="0.25">
      <c r="A4495" s="75">
        <v>38</v>
      </c>
      <c r="B4495" s="75">
        <v>16</v>
      </c>
      <c r="C4495" s="75" t="s">
        <v>10</v>
      </c>
      <c r="D4495" s="75">
        <v>232</v>
      </c>
      <c r="F4495" s="75" t="s">
        <v>10</v>
      </c>
      <c r="H4495" s="75" t="s">
        <v>10</v>
      </c>
      <c r="I4495" s="75">
        <v>19489</v>
      </c>
      <c r="K4495" s="75" t="str">
        <f>IFERROR(VLOOKUP(J4495,'NQ10'!$B$9:$C$145,2,0),"")</f>
        <v/>
      </c>
    </row>
    <row r="4496" spans="1:11" ht="15" customHeight="1" x14ac:dyDescent="0.25">
      <c r="A4496" s="75">
        <v>38</v>
      </c>
      <c r="B4496" s="75">
        <v>17</v>
      </c>
      <c r="C4496" s="75" t="s">
        <v>10</v>
      </c>
      <c r="D4496" s="75">
        <v>187</v>
      </c>
      <c r="F4496" s="75" t="s">
        <v>10</v>
      </c>
      <c r="H4496" s="75" t="s">
        <v>10</v>
      </c>
      <c r="I4496" s="75">
        <v>19489</v>
      </c>
      <c r="K4496" s="75" t="str">
        <f>IFERROR(VLOOKUP(J4496,'NQ10'!$B$9:$C$145,2,0),"")</f>
        <v/>
      </c>
    </row>
    <row r="4497" spans="1:11" ht="15" customHeight="1" x14ac:dyDescent="0.25">
      <c r="A4497" s="75">
        <v>38</v>
      </c>
      <c r="B4497" s="75">
        <v>18</v>
      </c>
      <c r="C4497" s="75" t="s">
        <v>10</v>
      </c>
      <c r="D4497" s="75">
        <v>181</v>
      </c>
      <c r="F4497" s="75" t="s">
        <v>10</v>
      </c>
      <c r="H4497" s="75" t="s">
        <v>10</v>
      </c>
      <c r="I4497" s="75">
        <v>19489</v>
      </c>
      <c r="K4497" s="75" t="str">
        <f>IFERROR(VLOOKUP(J4497,'NQ10'!$B$9:$C$145,2,0),"")</f>
        <v/>
      </c>
    </row>
    <row r="4498" spans="1:11" ht="15" customHeight="1" x14ac:dyDescent="0.25">
      <c r="A4498" s="75">
        <v>38</v>
      </c>
      <c r="B4498" s="75">
        <v>19</v>
      </c>
      <c r="C4498" s="75" t="s">
        <v>10</v>
      </c>
      <c r="D4498" s="75">
        <v>111</v>
      </c>
      <c r="F4498" s="75" t="s">
        <v>10</v>
      </c>
      <c r="H4498" s="75" t="s">
        <v>10</v>
      </c>
      <c r="I4498" s="75">
        <v>19489</v>
      </c>
      <c r="K4498" s="75" t="str">
        <f>IFERROR(VLOOKUP(J4498,'NQ10'!$B$9:$C$145,2,0),"")</f>
        <v/>
      </c>
    </row>
    <row r="4499" spans="1:11" ht="15" customHeight="1" x14ac:dyDescent="0.25">
      <c r="A4499" s="75">
        <v>38</v>
      </c>
      <c r="B4499" s="75">
        <v>20</v>
      </c>
      <c r="C4499" s="75" t="s">
        <v>10</v>
      </c>
      <c r="D4499" s="75">
        <v>117</v>
      </c>
      <c r="F4499" s="75" t="s">
        <v>10</v>
      </c>
      <c r="H4499" s="75" t="s">
        <v>10</v>
      </c>
      <c r="I4499" s="75">
        <v>19489</v>
      </c>
      <c r="K4499" s="75" t="str">
        <f>IFERROR(VLOOKUP(J4499,'NQ10'!$B$9:$C$145,2,0),"")</f>
        <v/>
      </c>
    </row>
    <row r="4500" spans="1:11" ht="15" customHeight="1" x14ac:dyDescent="0.25">
      <c r="A4500" s="75">
        <v>38</v>
      </c>
      <c r="B4500" s="75">
        <v>21</v>
      </c>
      <c r="C4500" s="75" t="s">
        <v>10</v>
      </c>
      <c r="D4500" s="75">
        <v>99</v>
      </c>
      <c r="F4500" s="75" t="s">
        <v>10</v>
      </c>
      <c r="H4500" s="75" t="s">
        <v>10</v>
      </c>
      <c r="I4500" s="75">
        <v>19489</v>
      </c>
      <c r="K4500" s="75" t="str">
        <f>IFERROR(VLOOKUP(J4500,'NQ10'!$B$9:$C$145,2,0),"")</f>
        <v/>
      </c>
    </row>
    <row r="4501" spans="1:11" ht="15" customHeight="1" x14ac:dyDescent="0.25">
      <c r="A4501" s="75">
        <v>38</v>
      </c>
      <c r="B4501" s="75">
        <v>22</v>
      </c>
      <c r="C4501" s="75" t="s">
        <v>10</v>
      </c>
      <c r="D4501" s="75">
        <v>99</v>
      </c>
      <c r="F4501" s="75" t="s">
        <v>10</v>
      </c>
      <c r="H4501" s="75" t="s">
        <v>10</v>
      </c>
      <c r="I4501" s="75">
        <v>19489</v>
      </c>
      <c r="K4501" s="75" t="str">
        <f>IFERROR(VLOOKUP(J4501,'NQ10'!$B$9:$C$145,2,0),"")</f>
        <v/>
      </c>
    </row>
    <row r="4502" spans="1:11" ht="15" customHeight="1" x14ac:dyDescent="0.25">
      <c r="A4502" s="75">
        <v>38</v>
      </c>
      <c r="B4502" s="75">
        <v>23</v>
      </c>
      <c r="C4502" s="75" t="s">
        <v>10</v>
      </c>
      <c r="D4502" s="75">
        <v>110</v>
      </c>
      <c r="F4502" s="75" t="s">
        <v>10</v>
      </c>
      <c r="H4502" s="75" t="s">
        <v>10</v>
      </c>
      <c r="I4502" s="75">
        <v>19489</v>
      </c>
      <c r="K4502" s="75" t="str">
        <f>IFERROR(VLOOKUP(J4502,'NQ10'!$B$9:$C$145,2,0),"")</f>
        <v/>
      </c>
    </row>
    <row r="4503" spans="1:11" ht="15" customHeight="1" x14ac:dyDescent="0.25">
      <c r="A4503" s="75">
        <v>38</v>
      </c>
      <c r="B4503" s="75">
        <v>24</v>
      </c>
      <c r="C4503" s="75" t="s">
        <v>10</v>
      </c>
      <c r="D4503" s="75">
        <v>105</v>
      </c>
      <c r="F4503" s="75" t="s">
        <v>10</v>
      </c>
      <c r="H4503" s="75" t="s">
        <v>10</v>
      </c>
      <c r="I4503" s="75">
        <v>19489</v>
      </c>
      <c r="K4503" s="75" t="str">
        <f>IFERROR(VLOOKUP(J4503,'NQ10'!$B$9:$C$145,2,0),"")</f>
        <v/>
      </c>
    </row>
    <row r="4504" spans="1:11" ht="15" customHeight="1" x14ac:dyDescent="0.25">
      <c r="A4504" s="75">
        <v>38</v>
      </c>
      <c r="B4504" s="75">
        <v>25</v>
      </c>
      <c r="C4504" s="75" t="s">
        <v>10</v>
      </c>
      <c r="D4504" s="75">
        <v>185</v>
      </c>
      <c r="F4504" s="75" t="s">
        <v>10</v>
      </c>
      <c r="H4504" s="75" t="s">
        <v>10</v>
      </c>
      <c r="I4504" s="75">
        <v>19489</v>
      </c>
      <c r="K4504" s="75" t="str">
        <f>IFERROR(VLOOKUP(J4504,'NQ10'!$B$9:$C$145,2,0),"")</f>
        <v/>
      </c>
    </row>
    <row r="4505" spans="1:11" ht="15" customHeight="1" x14ac:dyDescent="0.25">
      <c r="A4505" s="75">
        <v>38</v>
      </c>
      <c r="B4505" s="75">
        <v>26</v>
      </c>
      <c r="C4505" s="75" t="s">
        <v>10</v>
      </c>
      <c r="D4505" s="75">
        <v>101</v>
      </c>
      <c r="F4505" s="75" t="s">
        <v>10</v>
      </c>
      <c r="H4505" s="75" t="s">
        <v>10</v>
      </c>
      <c r="I4505" s="75">
        <v>19489</v>
      </c>
      <c r="K4505" s="75" t="str">
        <f>IFERROR(VLOOKUP(J4505,'NQ10'!$B$9:$C$145,2,0),"")</f>
        <v/>
      </c>
    </row>
    <row r="4506" spans="1:11" ht="15" customHeight="1" x14ac:dyDescent="0.25">
      <c r="A4506" s="75">
        <v>38</v>
      </c>
      <c r="B4506" s="75">
        <v>27</v>
      </c>
      <c r="C4506" s="75" t="s">
        <v>10</v>
      </c>
      <c r="D4506" s="75">
        <v>98</v>
      </c>
      <c r="F4506" s="75" t="s">
        <v>10</v>
      </c>
      <c r="H4506" s="75" t="s">
        <v>10</v>
      </c>
      <c r="I4506" s="75">
        <v>19489</v>
      </c>
      <c r="K4506" s="75" t="str">
        <f>IFERROR(VLOOKUP(J4506,'NQ10'!$B$9:$C$145,2,0),"")</f>
        <v/>
      </c>
    </row>
    <row r="4507" spans="1:11" ht="15" customHeight="1" x14ac:dyDescent="0.25">
      <c r="A4507" s="75">
        <v>38</v>
      </c>
      <c r="B4507" s="75">
        <v>28</v>
      </c>
      <c r="C4507" s="75" t="s">
        <v>10</v>
      </c>
      <c r="D4507" s="75">
        <v>106</v>
      </c>
      <c r="F4507" s="75" t="s">
        <v>10</v>
      </c>
      <c r="H4507" s="75" t="s">
        <v>10</v>
      </c>
      <c r="I4507" s="75">
        <v>19489</v>
      </c>
      <c r="K4507" s="75" t="str">
        <f>IFERROR(VLOOKUP(J4507,'NQ10'!$B$9:$C$145,2,0),"")</f>
        <v/>
      </c>
    </row>
    <row r="4508" spans="1:11" ht="15" customHeight="1" x14ac:dyDescent="0.25">
      <c r="A4508" s="75">
        <v>38</v>
      </c>
      <c r="B4508" s="75">
        <v>29</v>
      </c>
      <c r="C4508" s="75" t="s">
        <v>10</v>
      </c>
      <c r="D4508" s="75">
        <v>105</v>
      </c>
      <c r="F4508" s="75" t="s">
        <v>10</v>
      </c>
      <c r="H4508" s="75" t="s">
        <v>10</v>
      </c>
      <c r="I4508" s="75">
        <v>19489</v>
      </c>
      <c r="K4508" s="75" t="str">
        <f>IFERROR(VLOOKUP(J4508,'NQ10'!$B$9:$C$145,2,0),"")</f>
        <v/>
      </c>
    </row>
    <row r="4509" spans="1:11" ht="15" customHeight="1" x14ac:dyDescent="0.25">
      <c r="A4509" s="75">
        <v>38</v>
      </c>
      <c r="B4509" s="75">
        <v>30</v>
      </c>
      <c r="C4509" s="75" t="s">
        <v>10</v>
      </c>
      <c r="D4509" s="75">
        <v>190</v>
      </c>
      <c r="F4509" s="75" t="s">
        <v>10</v>
      </c>
      <c r="H4509" s="75" t="s">
        <v>10</v>
      </c>
      <c r="I4509" s="75">
        <v>19489</v>
      </c>
      <c r="K4509" s="75" t="str">
        <f>IFERROR(VLOOKUP(J4509,'NQ10'!$B$9:$C$145,2,0),"")</f>
        <v/>
      </c>
    </row>
    <row r="4510" spans="1:11" ht="15" customHeight="1" x14ac:dyDescent="0.25">
      <c r="A4510" s="75">
        <v>38</v>
      </c>
      <c r="B4510" s="75">
        <v>31</v>
      </c>
      <c r="C4510" s="75" t="s">
        <v>10</v>
      </c>
      <c r="D4510" s="75">
        <v>194</v>
      </c>
      <c r="F4510" s="75" t="s">
        <v>10</v>
      </c>
      <c r="H4510" s="75" t="s">
        <v>10</v>
      </c>
      <c r="I4510" s="75">
        <v>19489</v>
      </c>
      <c r="K4510" s="75" t="str">
        <f>IFERROR(VLOOKUP(J4510,'NQ10'!$B$9:$C$145,2,0),"")</f>
        <v/>
      </c>
    </row>
    <row r="4511" spans="1:11" ht="15" customHeight="1" x14ac:dyDescent="0.25">
      <c r="A4511" s="75">
        <v>38</v>
      </c>
      <c r="B4511" s="75">
        <v>32</v>
      </c>
      <c r="C4511" s="75" t="s">
        <v>10</v>
      </c>
      <c r="D4511" s="75">
        <v>257</v>
      </c>
      <c r="F4511" s="75" t="s">
        <v>10</v>
      </c>
      <c r="H4511" s="75" t="s">
        <v>10</v>
      </c>
      <c r="I4511" s="75">
        <v>19489</v>
      </c>
      <c r="K4511" s="75" t="str">
        <f>IFERROR(VLOOKUP(J4511,'NQ10'!$B$9:$C$145,2,0),"")</f>
        <v/>
      </c>
    </row>
    <row r="4512" spans="1:11" ht="15" customHeight="1" x14ac:dyDescent="0.25">
      <c r="A4512" s="75">
        <v>38</v>
      </c>
      <c r="B4512" s="75">
        <v>33</v>
      </c>
      <c r="C4512" s="75" t="s">
        <v>10</v>
      </c>
      <c r="D4512" s="75">
        <v>209</v>
      </c>
      <c r="F4512" s="75" t="s">
        <v>10</v>
      </c>
      <c r="H4512" s="75" t="s">
        <v>10</v>
      </c>
      <c r="I4512" s="75">
        <v>19489</v>
      </c>
      <c r="K4512" s="75" t="str">
        <f>IFERROR(VLOOKUP(J4512,'NQ10'!$B$9:$C$145,2,0),"")</f>
        <v/>
      </c>
    </row>
    <row r="4513" spans="1:11" ht="15" customHeight="1" x14ac:dyDescent="0.25">
      <c r="A4513" s="75">
        <v>38</v>
      </c>
      <c r="B4513" s="75">
        <v>34</v>
      </c>
      <c r="C4513" s="75" t="s">
        <v>10</v>
      </c>
      <c r="D4513" s="75">
        <v>274</v>
      </c>
      <c r="F4513" s="75" t="s">
        <v>10</v>
      </c>
      <c r="H4513" s="75" t="s">
        <v>10</v>
      </c>
      <c r="I4513" s="75">
        <v>19489</v>
      </c>
      <c r="K4513" s="75" t="str">
        <f>IFERROR(VLOOKUP(J4513,'NQ10'!$B$9:$C$145,2,0),"")</f>
        <v/>
      </c>
    </row>
    <row r="4514" spans="1:11" ht="15" customHeight="1" x14ac:dyDescent="0.25">
      <c r="A4514" s="75">
        <v>38</v>
      </c>
      <c r="B4514" s="75">
        <v>35</v>
      </c>
      <c r="C4514" s="75" t="s">
        <v>10</v>
      </c>
      <c r="D4514" s="75">
        <v>1698</v>
      </c>
      <c r="F4514" s="75" t="s">
        <v>10</v>
      </c>
      <c r="H4514" s="75" t="s">
        <v>10</v>
      </c>
      <c r="I4514" s="75">
        <v>19489</v>
      </c>
      <c r="K4514" s="75" t="str">
        <f>IFERROR(VLOOKUP(J4514,'NQ10'!$B$9:$C$145,2,0),"")</f>
        <v/>
      </c>
    </row>
    <row r="4515" spans="1:11" ht="15" customHeight="1" x14ac:dyDescent="0.25">
      <c r="A4515" s="75">
        <v>38</v>
      </c>
      <c r="B4515" s="75">
        <v>36</v>
      </c>
      <c r="C4515" s="75" t="s">
        <v>10</v>
      </c>
      <c r="D4515" s="75">
        <v>10900</v>
      </c>
      <c r="F4515" s="75" t="s">
        <v>10</v>
      </c>
      <c r="H4515" s="75" t="s">
        <v>10</v>
      </c>
      <c r="I4515" s="75">
        <v>19489</v>
      </c>
      <c r="K4515" s="75" t="str">
        <f>IFERROR(VLOOKUP(J4515,'NQ10'!$B$9:$C$145,2,0),"")</f>
        <v/>
      </c>
    </row>
    <row r="4516" spans="1:11" ht="15" customHeight="1" x14ac:dyDescent="0.25">
      <c r="A4516" s="75">
        <v>38</v>
      </c>
      <c r="B4516" s="75">
        <v>37</v>
      </c>
      <c r="C4516" s="75" t="s">
        <v>10</v>
      </c>
      <c r="D4516" s="75">
        <v>30122</v>
      </c>
      <c r="F4516" s="75" t="s">
        <v>10</v>
      </c>
      <c r="H4516" s="75" t="s">
        <v>10</v>
      </c>
      <c r="I4516" s="75">
        <v>19489</v>
      </c>
      <c r="K4516" s="75" t="str">
        <f>IFERROR(VLOOKUP(J4516,'NQ10'!$B$9:$C$145,2,0),"")</f>
        <v/>
      </c>
    </row>
    <row r="4517" spans="1:11" ht="15" customHeight="1" x14ac:dyDescent="0.25">
      <c r="A4517" s="75">
        <v>38</v>
      </c>
      <c r="B4517" s="75">
        <v>38</v>
      </c>
      <c r="C4517" s="75" t="s">
        <v>10</v>
      </c>
      <c r="D4517" s="75">
        <v>4387</v>
      </c>
      <c r="F4517" s="75" t="s">
        <v>10</v>
      </c>
      <c r="H4517" s="75" t="s">
        <v>10</v>
      </c>
      <c r="I4517" s="75">
        <v>19489</v>
      </c>
      <c r="K4517" s="75" t="str">
        <f>IFERROR(VLOOKUP(J4517,'NQ10'!$B$9:$C$145,2,0),"")</f>
        <v/>
      </c>
    </row>
    <row r="4518" spans="1:11" ht="15" customHeight="1" x14ac:dyDescent="0.25">
      <c r="A4518" s="75">
        <v>38</v>
      </c>
      <c r="B4518" s="75">
        <v>40</v>
      </c>
      <c r="C4518" s="75" t="s">
        <v>10</v>
      </c>
      <c r="D4518" s="75">
        <v>14815</v>
      </c>
      <c r="F4518" s="75" t="s">
        <v>10</v>
      </c>
      <c r="H4518" s="75" t="s">
        <v>10</v>
      </c>
      <c r="I4518" s="75">
        <v>19489</v>
      </c>
      <c r="K4518" s="75" t="str">
        <f>IFERROR(VLOOKUP(J4518,'NQ10'!$B$9:$C$145,2,0),"")</f>
        <v/>
      </c>
    </row>
    <row r="4519" spans="1:11" ht="15" customHeight="1" x14ac:dyDescent="0.25">
      <c r="A4519" s="75">
        <v>38</v>
      </c>
      <c r="B4519" s="75">
        <v>41</v>
      </c>
      <c r="C4519" s="75" t="s">
        <v>10</v>
      </c>
      <c r="D4519" s="75">
        <v>993</v>
      </c>
      <c r="F4519" s="75" t="s">
        <v>10</v>
      </c>
      <c r="H4519" s="75" t="s">
        <v>10</v>
      </c>
      <c r="I4519" s="75">
        <v>19489</v>
      </c>
      <c r="K4519" s="75" t="str">
        <f>IFERROR(VLOOKUP(J4519,'NQ10'!$B$9:$C$145,2,0),"")</f>
        <v/>
      </c>
    </row>
    <row r="4520" spans="1:11" ht="15" customHeight="1" x14ac:dyDescent="0.25">
      <c r="A4520" s="75">
        <v>38</v>
      </c>
      <c r="B4520" s="75">
        <v>42</v>
      </c>
      <c r="C4520" s="75" t="s">
        <v>10</v>
      </c>
      <c r="D4520" s="75">
        <v>311</v>
      </c>
      <c r="F4520" s="75" t="s">
        <v>10</v>
      </c>
      <c r="H4520" s="75" t="s">
        <v>10</v>
      </c>
      <c r="I4520" s="75">
        <v>19489</v>
      </c>
      <c r="K4520" s="75" t="str">
        <f>IFERROR(VLOOKUP(J4520,'NQ10'!$B$9:$C$145,2,0),"")</f>
        <v/>
      </c>
    </row>
    <row r="4521" spans="1:11" ht="15" customHeight="1" x14ac:dyDescent="0.25">
      <c r="A4521" s="75">
        <v>38</v>
      </c>
      <c r="B4521" s="75">
        <v>43</v>
      </c>
      <c r="C4521" s="75" t="s">
        <v>10</v>
      </c>
      <c r="D4521" s="75">
        <v>160</v>
      </c>
      <c r="F4521" s="75" t="s">
        <v>10</v>
      </c>
      <c r="H4521" s="75" t="s">
        <v>10</v>
      </c>
      <c r="I4521" s="75">
        <v>19489</v>
      </c>
      <c r="K4521" s="75" t="str">
        <f>IFERROR(VLOOKUP(J4521,'NQ10'!$B$9:$C$145,2,0),"")</f>
        <v/>
      </c>
    </row>
    <row r="4522" spans="1:11" ht="15" customHeight="1" x14ac:dyDescent="0.25">
      <c r="A4522" s="75">
        <v>38</v>
      </c>
      <c r="B4522" s="75">
        <v>44</v>
      </c>
      <c r="C4522" s="75" t="s">
        <v>10</v>
      </c>
      <c r="D4522" s="75">
        <v>106</v>
      </c>
      <c r="F4522" s="75" t="s">
        <v>10</v>
      </c>
      <c r="H4522" s="75" t="s">
        <v>10</v>
      </c>
      <c r="I4522" s="75">
        <v>19489</v>
      </c>
      <c r="K4522" s="75" t="str">
        <f>IFERROR(VLOOKUP(J4522,'NQ10'!$B$9:$C$145,2,0),"")</f>
        <v/>
      </c>
    </row>
    <row r="4523" spans="1:11" ht="15" customHeight="1" x14ac:dyDescent="0.25">
      <c r="A4523" s="75">
        <v>38</v>
      </c>
      <c r="B4523" s="75">
        <v>45</v>
      </c>
      <c r="C4523" s="75" t="s">
        <v>10</v>
      </c>
      <c r="D4523" s="75">
        <v>114</v>
      </c>
      <c r="F4523" s="75" t="s">
        <v>10</v>
      </c>
      <c r="H4523" s="75" t="s">
        <v>10</v>
      </c>
      <c r="I4523" s="75">
        <v>19489</v>
      </c>
      <c r="K4523" s="75" t="str">
        <f>IFERROR(VLOOKUP(J4523,'NQ10'!$B$9:$C$145,2,0),"")</f>
        <v/>
      </c>
    </row>
    <row r="4524" spans="1:11" ht="15" customHeight="1" x14ac:dyDescent="0.25">
      <c r="A4524" s="75">
        <v>38</v>
      </c>
      <c r="B4524" s="75">
        <v>46</v>
      </c>
      <c r="C4524" s="75" t="s">
        <v>10</v>
      </c>
      <c r="D4524" s="75">
        <v>225</v>
      </c>
      <c r="F4524" s="75" t="s">
        <v>10</v>
      </c>
      <c r="H4524" s="75" t="s">
        <v>10</v>
      </c>
      <c r="I4524" s="75">
        <v>19489</v>
      </c>
      <c r="K4524" s="75" t="str">
        <f>IFERROR(VLOOKUP(J4524,'NQ10'!$B$9:$C$145,2,0),"")</f>
        <v/>
      </c>
    </row>
    <row r="4525" spans="1:11" ht="15" customHeight="1" x14ac:dyDescent="0.25">
      <c r="A4525" s="75">
        <v>38</v>
      </c>
      <c r="B4525" s="75">
        <v>47</v>
      </c>
      <c r="C4525" s="75" t="s">
        <v>10</v>
      </c>
      <c r="D4525" s="75">
        <v>105</v>
      </c>
      <c r="F4525" s="75" t="s">
        <v>10</v>
      </c>
      <c r="H4525" s="75" t="s">
        <v>10</v>
      </c>
      <c r="I4525" s="75">
        <v>19489</v>
      </c>
      <c r="K4525" s="75" t="str">
        <f>IFERROR(VLOOKUP(J4525,'NQ10'!$B$9:$C$145,2,0),"")</f>
        <v/>
      </c>
    </row>
    <row r="4526" spans="1:11" ht="15" customHeight="1" x14ac:dyDescent="0.25">
      <c r="A4526" s="75">
        <v>38</v>
      </c>
      <c r="B4526" s="75">
        <v>48</v>
      </c>
      <c r="C4526" s="75" t="s">
        <v>10</v>
      </c>
      <c r="D4526" s="75">
        <v>96</v>
      </c>
      <c r="F4526" s="75" t="s">
        <v>10</v>
      </c>
      <c r="H4526" s="75" t="s">
        <v>10</v>
      </c>
      <c r="I4526" s="75">
        <v>19489</v>
      </c>
      <c r="K4526" s="75" t="str">
        <f>IFERROR(VLOOKUP(J4526,'NQ10'!$B$9:$C$145,2,0),"")</f>
        <v/>
      </c>
    </row>
    <row r="4527" spans="1:11" ht="15" customHeight="1" x14ac:dyDescent="0.25">
      <c r="A4527" s="75">
        <v>38</v>
      </c>
      <c r="B4527" s="75">
        <v>49</v>
      </c>
      <c r="C4527" s="75" t="s">
        <v>10</v>
      </c>
      <c r="D4527" s="75">
        <v>123</v>
      </c>
      <c r="F4527" s="75" t="s">
        <v>10</v>
      </c>
      <c r="H4527" s="75" t="s">
        <v>10</v>
      </c>
      <c r="I4527" s="75">
        <v>19489</v>
      </c>
      <c r="K4527" s="75" t="str">
        <f>IFERROR(VLOOKUP(J4527,'NQ10'!$B$9:$C$145,2,0),"")</f>
        <v/>
      </c>
    </row>
    <row r="4528" spans="1:11" ht="15" customHeight="1" x14ac:dyDescent="0.25">
      <c r="A4528" s="75">
        <v>38</v>
      </c>
      <c r="B4528" s="75">
        <v>50</v>
      </c>
      <c r="C4528" s="75" t="s">
        <v>10</v>
      </c>
      <c r="D4528" s="75">
        <v>251</v>
      </c>
      <c r="F4528" s="75" t="s">
        <v>10</v>
      </c>
      <c r="H4528" s="75" t="s">
        <v>10</v>
      </c>
      <c r="I4528" s="75">
        <v>19489</v>
      </c>
      <c r="K4528" s="75" t="str">
        <f>IFERROR(VLOOKUP(J4528,'NQ10'!$B$9:$C$145,2,0),"")</f>
        <v/>
      </c>
    </row>
    <row r="4529" spans="1:11" ht="15" customHeight="1" x14ac:dyDescent="0.25">
      <c r="A4529" s="75">
        <v>38</v>
      </c>
      <c r="B4529" s="75">
        <v>51</v>
      </c>
      <c r="C4529" s="75" t="s">
        <v>10</v>
      </c>
      <c r="D4529" s="75">
        <v>150</v>
      </c>
      <c r="F4529" s="75" t="s">
        <v>10</v>
      </c>
      <c r="H4529" s="75" t="s">
        <v>10</v>
      </c>
      <c r="I4529" s="75">
        <v>19489</v>
      </c>
      <c r="K4529" s="75" t="str">
        <f>IFERROR(VLOOKUP(J4529,'NQ10'!$B$9:$C$145,2,0),"")</f>
        <v/>
      </c>
    </row>
    <row r="4530" spans="1:11" ht="15" customHeight="1" x14ac:dyDescent="0.25">
      <c r="A4530" s="75">
        <v>38</v>
      </c>
      <c r="B4530" s="75">
        <v>52</v>
      </c>
      <c r="C4530" s="75" t="s">
        <v>10</v>
      </c>
      <c r="D4530" s="75">
        <v>135</v>
      </c>
      <c r="F4530" s="75" t="s">
        <v>10</v>
      </c>
      <c r="H4530" s="75" t="s">
        <v>10</v>
      </c>
      <c r="I4530" s="75">
        <v>19489</v>
      </c>
      <c r="K4530" s="75" t="str">
        <f>IFERROR(VLOOKUP(J4530,'NQ10'!$B$9:$C$145,2,0),"")</f>
        <v/>
      </c>
    </row>
    <row r="4531" spans="1:11" ht="15" customHeight="1" x14ac:dyDescent="0.25">
      <c r="A4531" s="75">
        <v>38</v>
      </c>
      <c r="B4531" s="75">
        <v>53</v>
      </c>
      <c r="C4531" s="75" t="s">
        <v>10</v>
      </c>
      <c r="D4531" s="75">
        <v>127</v>
      </c>
      <c r="F4531" s="75" t="s">
        <v>10</v>
      </c>
      <c r="H4531" s="75" t="s">
        <v>10</v>
      </c>
      <c r="I4531" s="75">
        <v>19489</v>
      </c>
      <c r="K4531" s="75" t="str">
        <f>IFERROR(VLOOKUP(J4531,'NQ10'!$B$9:$C$145,2,0),"")</f>
        <v/>
      </c>
    </row>
    <row r="4532" spans="1:11" ht="15" customHeight="1" x14ac:dyDescent="0.25">
      <c r="A4532" s="75">
        <v>38</v>
      </c>
      <c r="B4532" s="75">
        <v>54</v>
      </c>
      <c r="C4532" s="75" t="s">
        <v>10</v>
      </c>
      <c r="D4532" s="75">
        <v>373</v>
      </c>
      <c r="F4532" s="75" t="s">
        <v>10</v>
      </c>
      <c r="H4532" s="75" t="s">
        <v>10</v>
      </c>
      <c r="I4532" s="75">
        <v>19489</v>
      </c>
      <c r="K4532" s="75" t="str">
        <f>IFERROR(VLOOKUP(J4532,'NQ10'!$B$9:$C$145,2,0),"")</f>
        <v/>
      </c>
    </row>
    <row r="4533" spans="1:11" ht="15" customHeight="1" x14ac:dyDescent="0.25">
      <c r="A4533" s="75">
        <v>38</v>
      </c>
      <c r="B4533" s="75">
        <v>57</v>
      </c>
      <c r="C4533" s="75" t="s">
        <v>10</v>
      </c>
      <c r="D4533" s="75">
        <v>3848</v>
      </c>
      <c r="F4533" s="75" t="s">
        <v>10</v>
      </c>
      <c r="H4533" s="75" t="s">
        <v>10</v>
      </c>
      <c r="I4533" s="75">
        <v>19489</v>
      </c>
      <c r="K4533" s="75" t="str">
        <f>IFERROR(VLOOKUP(J4533,'NQ10'!$B$9:$C$145,2,0),"")</f>
        <v/>
      </c>
    </row>
    <row r="4534" spans="1:11" ht="15" customHeight="1" x14ac:dyDescent="0.25">
      <c r="A4534" s="75">
        <v>38</v>
      </c>
      <c r="B4534" s="75">
        <v>58</v>
      </c>
      <c r="C4534" s="75" t="s">
        <v>10</v>
      </c>
      <c r="D4534" s="75">
        <v>5910</v>
      </c>
      <c r="F4534" s="75" t="s">
        <v>10</v>
      </c>
      <c r="H4534" s="75" t="s">
        <v>10</v>
      </c>
      <c r="I4534" s="75">
        <v>19489</v>
      </c>
      <c r="K4534" s="75" t="str">
        <f>IFERROR(VLOOKUP(J4534,'NQ10'!$B$9:$C$145,2,0),"")</f>
        <v/>
      </c>
    </row>
    <row r="4535" spans="1:11" ht="15" customHeight="1" x14ac:dyDescent="0.25">
      <c r="A4535" s="75">
        <v>38</v>
      </c>
      <c r="B4535" s="75">
        <v>59</v>
      </c>
      <c r="C4535" s="75" t="s">
        <v>10</v>
      </c>
      <c r="D4535" s="75">
        <v>1958</v>
      </c>
      <c r="F4535" s="75" t="s">
        <v>10</v>
      </c>
      <c r="H4535" s="75" t="s">
        <v>10</v>
      </c>
      <c r="I4535" s="75">
        <v>19489</v>
      </c>
      <c r="K4535" s="75" t="str">
        <f>IFERROR(VLOOKUP(J4535,'NQ10'!$B$9:$C$145,2,0),"")</f>
        <v/>
      </c>
    </row>
    <row r="4536" spans="1:11" ht="15" customHeight="1" x14ac:dyDescent="0.25">
      <c r="A4536" s="75">
        <v>38</v>
      </c>
      <c r="B4536" s="75">
        <v>60</v>
      </c>
      <c r="C4536" s="75" t="s">
        <v>10</v>
      </c>
      <c r="D4536" s="75">
        <v>10242</v>
      </c>
      <c r="F4536" s="75" t="s">
        <v>10</v>
      </c>
      <c r="H4536" s="75" t="s">
        <v>10</v>
      </c>
      <c r="I4536" s="75">
        <v>19489</v>
      </c>
      <c r="K4536" s="75" t="str">
        <f>IFERROR(VLOOKUP(J4536,'NQ10'!$B$9:$C$145,2,0),"")</f>
        <v/>
      </c>
    </row>
    <row r="4537" spans="1:11" ht="15" customHeight="1" x14ac:dyDescent="0.25">
      <c r="A4537" s="75">
        <v>38</v>
      </c>
      <c r="B4537" s="75">
        <v>61</v>
      </c>
      <c r="C4537" s="75" t="s">
        <v>10</v>
      </c>
      <c r="D4537" s="75">
        <v>10533</v>
      </c>
      <c r="F4537" s="75" t="s">
        <v>10</v>
      </c>
      <c r="H4537" s="75" t="s">
        <v>10</v>
      </c>
      <c r="I4537" s="75">
        <v>19489</v>
      </c>
      <c r="K4537" s="75" t="str">
        <f>IFERROR(VLOOKUP(J4537,'NQ10'!$B$9:$C$145,2,0),"")</f>
        <v/>
      </c>
    </row>
    <row r="4538" spans="1:11" ht="15" customHeight="1" x14ac:dyDescent="0.25">
      <c r="A4538" s="75">
        <v>38</v>
      </c>
      <c r="B4538" s="75">
        <v>62</v>
      </c>
      <c r="C4538" s="75" t="s">
        <v>10</v>
      </c>
      <c r="D4538" s="75">
        <v>6129</v>
      </c>
      <c r="F4538" s="75" t="s">
        <v>10</v>
      </c>
      <c r="H4538" s="75" t="s">
        <v>10</v>
      </c>
      <c r="I4538" s="75">
        <v>19489</v>
      </c>
      <c r="K4538" s="75" t="str">
        <f>IFERROR(VLOOKUP(J4538,'NQ10'!$B$9:$C$145,2,0),"")</f>
        <v/>
      </c>
    </row>
    <row r="4539" spans="1:11" ht="15" customHeight="1" x14ac:dyDescent="0.25">
      <c r="A4539" s="75">
        <v>38</v>
      </c>
      <c r="B4539" s="75">
        <v>63</v>
      </c>
      <c r="C4539" s="75" t="s">
        <v>10</v>
      </c>
      <c r="D4539" s="75">
        <v>22920</v>
      </c>
      <c r="F4539" s="75" t="s">
        <v>10</v>
      </c>
      <c r="H4539" s="75" t="s">
        <v>10</v>
      </c>
      <c r="I4539" s="75">
        <v>19489</v>
      </c>
      <c r="K4539" s="75" t="str">
        <f>IFERROR(VLOOKUP(J4539,'NQ10'!$B$9:$C$145,2,0),"")</f>
        <v/>
      </c>
    </row>
    <row r="4540" spans="1:11" ht="15" customHeight="1" x14ac:dyDescent="0.25">
      <c r="A4540" s="75">
        <v>38</v>
      </c>
      <c r="B4540" s="75">
        <v>64</v>
      </c>
      <c r="C4540" s="75" t="s">
        <v>10</v>
      </c>
      <c r="D4540" s="75">
        <v>12400</v>
      </c>
      <c r="F4540" s="75" t="s">
        <v>10</v>
      </c>
      <c r="H4540" s="75" t="s">
        <v>10</v>
      </c>
      <c r="I4540" s="75">
        <v>19489</v>
      </c>
      <c r="K4540" s="75" t="str">
        <f>IFERROR(VLOOKUP(J4540,'NQ10'!$B$9:$C$145,2,0),"")</f>
        <v/>
      </c>
    </row>
    <row r="4541" spans="1:11" ht="15" customHeight="1" x14ac:dyDescent="0.25">
      <c r="A4541" s="75">
        <v>38</v>
      </c>
      <c r="B4541" s="75">
        <v>65</v>
      </c>
      <c r="C4541" s="75" t="s">
        <v>10</v>
      </c>
      <c r="D4541" s="75">
        <v>12247</v>
      </c>
      <c r="F4541" s="75" t="s">
        <v>10</v>
      </c>
      <c r="H4541" s="75" t="s">
        <v>10</v>
      </c>
      <c r="I4541" s="75">
        <v>19489</v>
      </c>
      <c r="K4541" s="75" t="str">
        <f>IFERROR(VLOOKUP(J4541,'NQ10'!$B$9:$C$145,2,0),"")</f>
        <v/>
      </c>
    </row>
    <row r="4542" spans="1:11" ht="15" customHeight="1" x14ac:dyDescent="0.25">
      <c r="A4542" s="75">
        <v>38</v>
      </c>
      <c r="B4542" s="75">
        <v>66</v>
      </c>
      <c r="C4542" s="75" t="s">
        <v>10</v>
      </c>
      <c r="D4542" s="75">
        <v>7944</v>
      </c>
      <c r="F4542" s="75" t="s">
        <v>10</v>
      </c>
      <c r="H4542" s="75" t="s">
        <v>10</v>
      </c>
      <c r="I4542" s="75">
        <v>19489</v>
      </c>
      <c r="K4542" s="75" t="str">
        <f>IFERROR(VLOOKUP(J4542,'NQ10'!$B$9:$C$145,2,0),"")</f>
        <v/>
      </c>
    </row>
    <row r="4543" spans="1:11" ht="15" customHeight="1" x14ac:dyDescent="0.25">
      <c r="A4543" s="75">
        <v>38</v>
      </c>
      <c r="B4543" s="75">
        <v>67</v>
      </c>
      <c r="C4543" s="75" t="s">
        <v>10</v>
      </c>
      <c r="D4543" s="75">
        <v>5555</v>
      </c>
      <c r="F4543" s="75" t="s">
        <v>10</v>
      </c>
      <c r="H4543" s="75" t="s">
        <v>10</v>
      </c>
      <c r="I4543" s="75">
        <v>19489</v>
      </c>
      <c r="K4543" s="75" t="str">
        <f>IFERROR(VLOOKUP(J4543,'NQ10'!$B$9:$C$145,2,0),"")</f>
        <v/>
      </c>
    </row>
    <row r="4544" spans="1:11" ht="15" customHeight="1" x14ac:dyDescent="0.25">
      <c r="A4544" s="75">
        <v>38</v>
      </c>
      <c r="B4544" s="75">
        <v>68</v>
      </c>
      <c r="C4544" s="75" t="s">
        <v>10</v>
      </c>
      <c r="D4544" s="75">
        <v>8033</v>
      </c>
      <c r="F4544" s="75" t="s">
        <v>10</v>
      </c>
      <c r="H4544" s="75" t="s">
        <v>10</v>
      </c>
      <c r="I4544" s="75">
        <v>19489</v>
      </c>
      <c r="K4544" s="75" t="str">
        <f>IFERROR(VLOOKUP(J4544,'NQ10'!$B$9:$C$145,2,0),"")</f>
        <v/>
      </c>
    </row>
    <row r="4545" spans="1:11" ht="15" customHeight="1" x14ac:dyDescent="0.25">
      <c r="A4545" s="75">
        <v>38</v>
      </c>
      <c r="B4545" s="75">
        <v>69</v>
      </c>
      <c r="C4545" s="75" t="s">
        <v>10</v>
      </c>
      <c r="D4545" s="75">
        <v>12563</v>
      </c>
      <c r="F4545" s="75" t="s">
        <v>10</v>
      </c>
      <c r="H4545" s="75" t="s">
        <v>10</v>
      </c>
      <c r="I4545" s="75">
        <v>19489</v>
      </c>
      <c r="K4545" s="75" t="str">
        <f>IFERROR(VLOOKUP(J4545,'NQ10'!$B$9:$C$145,2,0),"")</f>
        <v/>
      </c>
    </row>
    <row r="4546" spans="1:11" ht="15" customHeight="1" x14ac:dyDescent="0.25">
      <c r="A4546" s="75">
        <v>38</v>
      </c>
      <c r="B4546" s="75">
        <v>70</v>
      </c>
      <c r="C4546" s="75" t="s">
        <v>10</v>
      </c>
      <c r="D4546" s="75">
        <v>7446</v>
      </c>
      <c r="F4546" s="75" t="s">
        <v>10</v>
      </c>
      <c r="H4546" s="75" t="s">
        <v>10</v>
      </c>
      <c r="I4546" s="75">
        <v>19489</v>
      </c>
      <c r="K4546" s="75" t="str">
        <f>IFERROR(VLOOKUP(J4546,'NQ10'!$B$9:$C$145,2,0),"")</f>
        <v/>
      </c>
    </row>
    <row r="4547" spans="1:11" ht="15" customHeight="1" x14ac:dyDescent="0.25">
      <c r="A4547" s="75">
        <v>38</v>
      </c>
      <c r="B4547" s="75">
        <v>72</v>
      </c>
      <c r="C4547" s="75" t="s">
        <v>10</v>
      </c>
      <c r="D4547" s="75">
        <v>4941</v>
      </c>
      <c r="F4547" s="75" t="s">
        <v>10</v>
      </c>
      <c r="H4547" s="75" t="s">
        <v>10</v>
      </c>
      <c r="I4547" s="75">
        <v>19489</v>
      </c>
      <c r="K4547" s="75" t="str">
        <f>IFERROR(VLOOKUP(J4547,'NQ10'!$B$9:$C$145,2,0),"")</f>
        <v/>
      </c>
    </row>
    <row r="4548" spans="1:11" ht="15" customHeight="1" x14ac:dyDescent="0.25">
      <c r="A4548" s="75">
        <v>38</v>
      </c>
      <c r="B4548" s="75">
        <v>73</v>
      </c>
      <c r="C4548" s="75" t="s">
        <v>10</v>
      </c>
      <c r="D4548" s="75">
        <v>17065</v>
      </c>
      <c r="F4548" s="75" t="s">
        <v>10</v>
      </c>
      <c r="H4548" s="75" t="s">
        <v>10</v>
      </c>
      <c r="I4548" s="75">
        <v>19489</v>
      </c>
      <c r="K4548" s="75" t="str">
        <f>IFERROR(VLOOKUP(J4548,'NQ10'!$B$9:$C$145,2,0),"")</f>
        <v/>
      </c>
    </row>
    <row r="4549" spans="1:11" ht="15" customHeight="1" x14ac:dyDescent="0.25">
      <c r="A4549" s="75">
        <v>38</v>
      </c>
      <c r="B4549" s="75">
        <v>74</v>
      </c>
      <c r="C4549" s="75" t="s">
        <v>10</v>
      </c>
      <c r="D4549" s="75">
        <v>6059</v>
      </c>
      <c r="F4549" s="75" t="s">
        <v>10</v>
      </c>
      <c r="H4549" s="75" t="s">
        <v>10</v>
      </c>
      <c r="I4549" s="75">
        <v>19489</v>
      </c>
      <c r="K4549" s="75" t="str">
        <f>IFERROR(VLOOKUP(J4549,'NQ10'!$B$9:$C$145,2,0),"")</f>
        <v/>
      </c>
    </row>
    <row r="4550" spans="1:11" ht="15" customHeight="1" x14ac:dyDescent="0.25">
      <c r="A4550" s="75">
        <v>38</v>
      </c>
      <c r="B4550" s="75">
        <v>75</v>
      </c>
      <c r="C4550" s="75" t="s">
        <v>10</v>
      </c>
      <c r="D4550" s="75">
        <v>18421</v>
      </c>
      <c r="F4550" s="75" t="s">
        <v>10</v>
      </c>
      <c r="H4550" s="75" t="s">
        <v>10</v>
      </c>
      <c r="I4550" s="75">
        <v>19489</v>
      </c>
      <c r="K4550" s="75" t="str">
        <f>IFERROR(VLOOKUP(J4550,'NQ10'!$B$9:$C$145,2,0),"")</f>
        <v/>
      </c>
    </row>
    <row r="4551" spans="1:11" ht="15" customHeight="1" x14ac:dyDescent="0.25">
      <c r="A4551" s="75">
        <v>38</v>
      </c>
      <c r="B4551" s="75">
        <v>76</v>
      </c>
      <c r="C4551" s="75" t="s">
        <v>10</v>
      </c>
      <c r="D4551" s="75">
        <v>17913</v>
      </c>
      <c r="F4551" s="75" t="s">
        <v>10</v>
      </c>
      <c r="H4551" s="75" t="s">
        <v>10</v>
      </c>
      <c r="I4551" s="75">
        <v>19489</v>
      </c>
      <c r="K4551" s="75" t="str">
        <f>IFERROR(VLOOKUP(J4551,'NQ10'!$B$9:$C$145,2,0),"")</f>
        <v/>
      </c>
    </row>
    <row r="4552" spans="1:11" ht="15" customHeight="1" x14ac:dyDescent="0.25">
      <c r="A4552" s="75">
        <v>38</v>
      </c>
      <c r="B4552" s="75">
        <v>77</v>
      </c>
      <c r="C4552" s="75" t="s">
        <v>10</v>
      </c>
      <c r="D4552" s="75">
        <v>6767</v>
      </c>
      <c r="F4552" s="75" t="s">
        <v>10</v>
      </c>
      <c r="H4552" s="75" t="s">
        <v>10</v>
      </c>
      <c r="I4552" s="75">
        <v>19489</v>
      </c>
      <c r="K4552" s="75" t="str">
        <f>IFERROR(VLOOKUP(J4552,'NQ10'!$B$9:$C$145,2,0),"")</f>
        <v/>
      </c>
    </row>
    <row r="4553" spans="1:11" ht="15" customHeight="1" x14ac:dyDescent="0.25">
      <c r="A4553" s="75">
        <v>38</v>
      </c>
      <c r="B4553" s="75">
        <v>78</v>
      </c>
      <c r="C4553" s="75" t="s">
        <v>10</v>
      </c>
      <c r="D4553" s="75">
        <v>8834</v>
      </c>
      <c r="F4553" s="75" t="s">
        <v>10</v>
      </c>
      <c r="H4553" s="75" t="s">
        <v>10</v>
      </c>
      <c r="I4553" s="75">
        <v>19489</v>
      </c>
      <c r="K4553" s="75" t="str">
        <f>IFERROR(VLOOKUP(J4553,'NQ10'!$B$9:$C$145,2,0),"")</f>
        <v/>
      </c>
    </row>
    <row r="4554" spans="1:11" ht="15" customHeight="1" x14ac:dyDescent="0.25">
      <c r="A4554" s="75">
        <v>38</v>
      </c>
      <c r="B4554" s="75">
        <v>79</v>
      </c>
      <c r="C4554" s="75" t="s">
        <v>10</v>
      </c>
      <c r="D4554" s="75">
        <v>5205</v>
      </c>
      <c r="F4554" s="75" t="s">
        <v>10</v>
      </c>
      <c r="H4554" s="75" t="s">
        <v>10</v>
      </c>
      <c r="I4554" s="75">
        <v>19489</v>
      </c>
      <c r="K4554" s="75" t="str">
        <f>IFERROR(VLOOKUP(J4554,'NQ10'!$B$9:$C$145,2,0),"")</f>
        <v/>
      </c>
    </row>
    <row r="4555" spans="1:11" ht="15" customHeight="1" x14ac:dyDescent="0.25">
      <c r="A4555" s="75">
        <v>38</v>
      </c>
      <c r="B4555" s="75">
        <v>80</v>
      </c>
      <c r="C4555" s="75" t="s">
        <v>10</v>
      </c>
      <c r="D4555" s="75">
        <v>8961</v>
      </c>
      <c r="F4555" s="75" t="s">
        <v>10</v>
      </c>
      <c r="H4555" s="75" t="s">
        <v>10</v>
      </c>
      <c r="I4555" s="75">
        <v>19489</v>
      </c>
      <c r="K4555" s="75" t="str">
        <f>IFERROR(VLOOKUP(J4555,'NQ10'!$B$9:$C$145,2,0),"")</f>
        <v/>
      </c>
    </row>
    <row r="4556" spans="1:11" ht="15" customHeight="1" x14ac:dyDescent="0.25">
      <c r="A4556" s="75">
        <v>38</v>
      </c>
      <c r="B4556" s="75">
        <v>82</v>
      </c>
      <c r="C4556" s="75" t="s">
        <v>10</v>
      </c>
      <c r="D4556" s="75">
        <v>1875</v>
      </c>
      <c r="F4556" s="75" t="s">
        <v>10</v>
      </c>
      <c r="H4556" s="75" t="s">
        <v>10</v>
      </c>
      <c r="I4556" s="75">
        <v>19489</v>
      </c>
      <c r="K4556" s="75" t="str">
        <f>IFERROR(VLOOKUP(J4556,'NQ10'!$B$9:$C$145,2,0),"")</f>
        <v/>
      </c>
    </row>
    <row r="4557" spans="1:11" ht="15" customHeight="1" x14ac:dyDescent="0.25">
      <c r="A4557" s="75">
        <v>38</v>
      </c>
      <c r="B4557" s="75">
        <v>83</v>
      </c>
      <c r="C4557" s="75" t="s">
        <v>10</v>
      </c>
      <c r="D4557" s="75">
        <v>7167</v>
      </c>
      <c r="F4557" s="75" t="s">
        <v>10</v>
      </c>
      <c r="H4557" s="75" t="s">
        <v>10</v>
      </c>
      <c r="I4557" s="75">
        <v>19489</v>
      </c>
      <c r="K4557" s="75" t="str">
        <f>IFERROR(VLOOKUP(J4557,'NQ10'!$B$9:$C$145,2,0),"")</f>
        <v/>
      </c>
    </row>
    <row r="4558" spans="1:11" ht="15" customHeight="1" x14ac:dyDescent="0.25">
      <c r="A4558" s="75">
        <v>38</v>
      </c>
      <c r="B4558" s="75">
        <v>85</v>
      </c>
      <c r="C4558" s="75" t="s">
        <v>10</v>
      </c>
      <c r="D4558" s="75">
        <v>7038</v>
      </c>
      <c r="F4558" s="75" t="s">
        <v>10</v>
      </c>
      <c r="H4558" s="75" t="s">
        <v>10</v>
      </c>
      <c r="I4558" s="75">
        <v>19489</v>
      </c>
      <c r="K4558" s="75" t="str">
        <f>IFERROR(VLOOKUP(J4558,'NQ10'!$B$9:$C$145,2,0),"")</f>
        <v/>
      </c>
    </row>
    <row r="4559" spans="1:11" ht="15" customHeight="1" x14ac:dyDescent="0.25">
      <c r="A4559" s="75">
        <v>38</v>
      </c>
      <c r="B4559" s="75">
        <v>86</v>
      </c>
      <c r="C4559" s="75" t="s">
        <v>10</v>
      </c>
      <c r="D4559" s="75">
        <v>9007</v>
      </c>
      <c r="F4559" s="75" t="s">
        <v>10</v>
      </c>
      <c r="H4559" s="75" t="s">
        <v>10</v>
      </c>
      <c r="I4559" s="75">
        <v>19489</v>
      </c>
      <c r="K4559" s="75" t="str">
        <f>IFERROR(VLOOKUP(J4559,'NQ10'!$B$9:$C$145,2,0),"")</f>
        <v/>
      </c>
    </row>
    <row r="4560" spans="1:11" ht="15" customHeight="1" x14ac:dyDescent="0.25">
      <c r="A4560" s="75">
        <v>38</v>
      </c>
      <c r="B4560" s="75">
        <v>87</v>
      </c>
      <c r="C4560" s="75" t="s">
        <v>10</v>
      </c>
      <c r="D4560" s="75">
        <v>1850</v>
      </c>
      <c r="F4560" s="75" t="s">
        <v>10</v>
      </c>
      <c r="H4560" s="75" t="s">
        <v>10</v>
      </c>
      <c r="I4560" s="75">
        <v>19489</v>
      </c>
      <c r="K4560" s="75" t="str">
        <f>IFERROR(VLOOKUP(J4560,'NQ10'!$B$9:$C$145,2,0),"")</f>
        <v/>
      </c>
    </row>
    <row r="4561" spans="1:11" ht="15" customHeight="1" x14ac:dyDescent="0.25">
      <c r="A4561" s="75">
        <v>38</v>
      </c>
      <c r="B4561" s="75">
        <v>88</v>
      </c>
      <c r="C4561" s="75" t="s">
        <v>10</v>
      </c>
      <c r="D4561" s="75">
        <v>7862</v>
      </c>
      <c r="F4561" s="75" t="s">
        <v>10</v>
      </c>
      <c r="H4561" s="75" t="s">
        <v>10</v>
      </c>
      <c r="I4561" s="75">
        <v>19489</v>
      </c>
      <c r="K4561" s="75" t="str">
        <f>IFERROR(VLOOKUP(J4561,'NQ10'!$B$9:$C$145,2,0),"")</f>
        <v/>
      </c>
    </row>
    <row r="4562" spans="1:11" ht="15" customHeight="1" x14ac:dyDescent="0.25">
      <c r="A4562" s="75">
        <v>38</v>
      </c>
      <c r="B4562" s="75">
        <v>89</v>
      </c>
      <c r="C4562" s="75" t="s">
        <v>10</v>
      </c>
      <c r="D4562" s="75">
        <v>5221</v>
      </c>
      <c r="F4562" s="75" t="s">
        <v>10</v>
      </c>
      <c r="H4562" s="75" t="s">
        <v>10</v>
      </c>
      <c r="I4562" s="75">
        <v>19489</v>
      </c>
      <c r="K4562" s="75" t="str">
        <f>IFERROR(VLOOKUP(J4562,'NQ10'!$B$9:$C$145,2,0),"")</f>
        <v/>
      </c>
    </row>
    <row r="4563" spans="1:11" ht="15" customHeight="1" x14ac:dyDescent="0.25">
      <c r="A4563" s="75">
        <v>38</v>
      </c>
      <c r="B4563" s="75">
        <v>90</v>
      </c>
      <c r="C4563" s="75" t="s">
        <v>10</v>
      </c>
      <c r="D4563" s="75">
        <v>5333</v>
      </c>
      <c r="F4563" s="75" t="s">
        <v>10</v>
      </c>
      <c r="H4563" s="75" t="s">
        <v>10</v>
      </c>
      <c r="I4563" s="75">
        <v>19489</v>
      </c>
      <c r="K4563" s="75" t="str">
        <f>IFERROR(VLOOKUP(J4563,'NQ10'!$B$9:$C$145,2,0),"")</f>
        <v/>
      </c>
    </row>
    <row r="4564" spans="1:11" ht="15" customHeight="1" x14ac:dyDescent="0.25">
      <c r="A4564" s="75">
        <v>38</v>
      </c>
      <c r="B4564" s="75">
        <v>91</v>
      </c>
      <c r="C4564" s="75" t="s">
        <v>10</v>
      </c>
      <c r="D4564" s="75">
        <v>10840</v>
      </c>
      <c r="F4564" s="75" t="s">
        <v>10</v>
      </c>
      <c r="H4564" s="75" t="s">
        <v>10</v>
      </c>
      <c r="I4564" s="75">
        <v>19489</v>
      </c>
      <c r="K4564" s="75" t="str">
        <f>IFERROR(VLOOKUP(J4564,'NQ10'!$B$9:$C$145,2,0),"")</f>
        <v/>
      </c>
    </row>
    <row r="4565" spans="1:11" ht="15" customHeight="1" x14ac:dyDescent="0.25">
      <c r="A4565" s="75">
        <v>38</v>
      </c>
      <c r="B4565" s="75">
        <v>92</v>
      </c>
      <c r="C4565" s="75" t="s">
        <v>10</v>
      </c>
      <c r="D4565" s="75">
        <v>22509</v>
      </c>
      <c r="F4565" s="75" t="s">
        <v>10</v>
      </c>
      <c r="H4565" s="75" t="s">
        <v>10</v>
      </c>
      <c r="I4565" s="75">
        <v>19489</v>
      </c>
      <c r="K4565" s="75" t="str">
        <f>IFERROR(VLOOKUP(J4565,'NQ10'!$B$9:$C$145,2,0),"")</f>
        <v/>
      </c>
    </row>
    <row r="4566" spans="1:11" ht="15" customHeight="1" x14ac:dyDescent="0.25">
      <c r="A4566" s="75">
        <v>38</v>
      </c>
      <c r="B4566" s="75">
        <v>94</v>
      </c>
      <c r="C4566" s="75" t="s">
        <v>10</v>
      </c>
      <c r="D4566" s="75">
        <v>8292</v>
      </c>
      <c r="F4566" s="75" t="s">
        <v>10</v>
      </c>
      <c r="H4566" s="75" t="s">
        <v>10</v>
      </c>
      <c r="I4566" s="75">
        <v>19489</v>
      </c>
      <c r="K4566" s="75" t="str">
        <f>IFERROR(VLOOKUP(J4566,'NQ10'!$B$9:$C$145,2,0),"")</f>
        <v/>
      </c>
    </row>
    <row r="4567" spans="1:11" ht="15" customHeight="1" x14ac:dyDescent="0.25">
      <c r="A4567" s="75">
        <v>38</v>
      </c>
      <c r="B4567" s="75">
        <v>95</v>
      </c>
      <c r="C4567" s="75" t="s">
        <v>10</v>
      </c>
      <c r="D4567" s="75">
        <v>17775</v>
      </c>
      <c r="F4567" s="75" t="s">
        <v>10</v>
      </c>
      <c r="H4567" s="75" t="s">
        <v>10</v>
      </c>
      <c r="I4567" s="75">
        <v>19489</v>
      </c>
      <c r="K4567" s="75" t="str">
        <f>IFERROR(VLOOKUP(J4567,'NQ10'!$B$9:$C$145,2,0),"")</f>
        <v/>
      </c>
    </row>
    <row r="4568" spans="1:11" ht="15" customHeight="1" x14ac:dyDescent="0.25">
      <c r="A4568" s="75">
        <v>38</v>
      </c>
      <c r="B4568" s="75">
        <v>96</v>
      </c>
      <c r="C4568" s="75" t="s">
        <v>10</v>
      </c>
      <c r="D4568" s="75">
        <v>12669</v>
      </c>
      <c r="F4568" s="75" t="s">
        <v>10</v>
      </c>
      <c r="H4568" s="75" t="s">
        <v>10</v>
      </c>
      <c r="I4568" s="75">
        <v>19489</v>
      </c>
      <c r="K4568" s="75" t="str">
        <f>IFERROR(VLOOKUP(J4568,'NQ10'!$B$9:$C$145,2,0),"")</f>
        <v/>
      </c>
    </row>
    <row r="4569" spans="1:11" ht="15" customHeight="1" x14ac:dyDescent="0.25">
      <c r="A4569" s="75">
        <v>38</v>
      </c>
      <c r="B4569" s="75">
        <v>97</v>
      </c>
      <c r="C4569" s="75" t="s">
        <v>10</v>
      </c>
      <c r="D4569" s="75">
        <v>11551</v>
      </c>
      <c r="F4569" s="75" t="s">
        <v>10</v>
      </c>
      <c r="H4569" s="75" t="s">
        <v>10</v>
      </c>
      <c r="I4569" s="75">
        <v>19489</v>
      </c>
      <c r="K4569" s="75" t="str">
        <f>IFERROR(VLOOKUP(J4569,'NQ10'!$B$9:$C$145,2,0),"")</f>
        <v/>
      </c>
    </row>
    <row r="4570" spans="1:11" ht="15" customHeight="1" x14ac:dyDescent="0.25">
      <c r="A4570" s="75">
        <v>38</v>
      </c>
      <c r="B4570" s="75">
        <v>98</v>
      </c>
      <c r="C4570" s="75" t="s">
        <v>10</v>
      </c>
      <c r="D4570" s="75">
        <v>16431</v>
      </c>
      <c r="F4570" s="75" t="s">
        <v>10</v>
      </c>
      <c r="H4570" s="75" t="s">
        <v>10</v>
      </c>
      <c r="I4570" s="75">
        <v>19489</v>
      </c>
      <c r="K4570" s="75" t="str">
        <f>IFERROR(VLOOKUP(J4570,'NQ10'!$B$9:$C$145,2,0),"")</f>
        <v/>
      </c>
    </row>
    <row r="4571" spans="1:11" ht="15" customHeight="1" x14ac:dyDescent="0.25">
      <c r="A4571" s="75">
        <v>38</v>
      </c>
      <c r="B4571" s="75">
        <v>99</v>
      </c>
      <c r="C4571" s="75" t="s">
        <v>10</v>
      </c>
      <c r="D4571" s="75">
        <v>7643</v>
      </c>
      <c r="F4571" s="75" t="s">
        <v>10</v>
      </c>
      <c r="H4571" s="75" t="s">
        <v>10</v>
      </c>
      <c r="I4571" s="75">
        <v>19489</v>
      </c>
      <c r="K4571" s="75" t="str">
        <f>IFERROR(VLOOKUP(J4571,'NQ10'!$B$9:$C$145,2,0),"")</f>
        <v/>
      </c>
    </row>
    <row r="4572" spans="1:11" ht="15" customHeight="1" x14ac:dyDescent="0.25">
      <c r="A4572" s="75">
        <v>38</v>
      </c>
      <c r="B4572" s="75">
        <v>101</v>
      </c>
      <c r="C4572" s="75" t="s">
        <v>10</v>
      </c>
      <c r="D4572" s="75">
        <v>200</v>
      </c>
      <c r="F4572" s="75" t="s">
        <v>10</v>
      </c>
      <c r="H4572" s="75" t="s">
        <v>10</v>
      </c>
      <c r="I4572" s="75">
        <v>19489</v>
      </c>
      <c r="K4572" s="75" t="str">
        <f>IFERROR(VLOOKUP(J4572,'NQ10'!$B$9:$C$145,2,0),"")</f>
        <v/>
      </c>
    </row>
    <row r="4573" spans="1:11" ht="15" customHeight="1" x14ac:dyDescent="0.25">
      <c r="A4573" s="75">
        <v>38</v>
      </c>
      <c r="B4573" s="75">
        <v>102</v>
      </c>
      <c r="C4573" s="75" t="s">
        <v>10</v>
      </c>
      <c r="D4573" s="75">
        <v>6971</v>
      </c>
      <c r="F4573" s="75" t="s">
        <v>10</v>
      </c>
      <c r="H4573" s="75" t="s">
        <v>10</v>
      </c>
      <c r="I4573" s="75">
        <v>19489</v>
      </c>
      <c r="K4573" s="75" t="str">
        <f>IFERROR(VLOOKUP(J4573,'NQ10'!$B$9:$C$145,2,0),"")</f>
        <v/>
      </c>
    </row>
    <row r="4574" spans="1:11" ht="15" customHeight="1" x14ac:dyDescent="0.25">
      <c r="A4574" s="75">
        <v>38</v>
      </c>
      <c r="B4574" s="75">
        <v>104</v>
      </c>
      <c r="C4574" s="75" t="s">
        <v>10</v>
      </c>
      <c r="D4574" s="75">
        <v>16082</v>
      </c>
      <c r="F4574" s="75" t="s">
        <v>10</v>
      </c>
      <c r="H4574" s="75" t="s">
        <v>10</v>
      </c>
      <c r="I4574" s="75">
        <v>19489</v>
      </c>
      <c r="K4574" s="75" t="str">
        <f>IFERROR(VLOOKUP(J4574,'NQ10'!$B$9:$C$145,2,0),"")</f>
        <v/>
      </c>
    </row>
    <row r="4575" spans="1:11" ht="15" customHeight="1" x14ac:dyDescent="0.25">
      <c r="A4575" s="75">
        <v>38</v>
      </c>
      <c r="B4575" s="75">
        <v>105</v>
      </c>
      <c r="C4575" s="75" t="s">
        <v>10</v>
      </c>
      <c r="D4575" s="75">
        <v>7364</v>
      </c>
      <c r="F4575" s="75" t="s">
        <v>10</v>
      </c>
      <c r="H4575" s="75" t="s">
        <v>10</v>
      </c>
      <c r="I4575" s="75">
        <v>19489</v>
      </c>
      <c r="K4575" s="75" t="str">
        <f>IFERROR(VLOOKUP(J4575,'NQ10'!$B$9:$C$145,2,0),"")</f>
        <v/>
      </c>
    </row>
    <row r="4576" spans="1:11" ht="15" customHeight="1" x14ac:dyDescent="0.25">
      <c r="A4576" s="75">
        <v>38</v>
      </c>
      <c r="B4576" s="75">
        <v>106</v>
      </c>
      <c r="C4576" s="75" t="s">
        <v>10</v>
      </c>
      <c r="D4576" s="75">
        <v>6647</v>
      </c>
      <c r="F4576" s="75" t="s">
        <v>10</v>
      </c>
      <c r="H4576" s="75" t="s">
        <v>10</v>
      </c>
      <c r="I4576" s="75">
        <v>19489</v>
      </c>
      <c r="K4576" s="75" t="str">
        <f>IFERROR(VLOOKUP(J4576,'NQ10'!$B$9:$C$145,2,0),"")</f>
        <v/>
      </c>
    </row>
    <row r="4577" spans="1:11" ht="15" customHeight="1" x14ac:dyDescent="0.25">
      <c r="A4577" s="75">
        <v>38</v>
      </c>
      <c r="B4577" s="75">
        <v>107</v>
      </c>
      <c r="C4577" s="75" t="s">
        <v>10</v>
      </c>
      <c r="D4577" s="75">
        <v>6979</v>
      </c>
      <c r="F4577" s="75" t="s">
        <v>10</v>
      </c>
      <c r="H4577" s="75" t="s">
        <v>10</v>
      </c>
      <c r="I4577" s="75">
        <v>19489</v>
      </c>
      <c r="K4577" s="75" t="str">
        <f>IFERROR(VLOOKUP(J4577,'NQ10'!$B$9:$C$145,2,0),"")</f>
        <v/>
      </c>
    </row>
    <row r="4578" spans="1:11" ht="15" customHeight="1" x14ac:dyDescent="0.25">
      <c r="A4578" s="75">
        <v>38</v>
      </c>
      <c r="B4578" s="75">
        <v>801</v>
      </c>
      <c r="C4578" s="75" t="s">
        <v>10</v>
      </c>
      <c r="D4578" s="75">
        <v>459</v>
      </c>
      <c r="F4578" s="75" t="s">
        <v>10</v>
      </c>
      <c r="H4578" s="75" t="s">
        <v>10</v>
      </c>
      <c r="I4578" s="75">
        <v>19489</v>
      </c>
      <c r="K4578" s="75" t="str">
        <f>IFERROR(VLOOKUP(J4578,'NQ10'!$B$9:$C$145,2,0),"")</f>
        <v/>
      </c>
    </row>
    <row r="4579" spans="1:11" ht="15" customHeight="1" x14ac:dyDescent="0.25">
      <c r="A4579" s="75">
        <v>39</v>
      </c>
      <c r="C4579" s="75" t="s">
        <v>10</v>
      </c>
      <c r="D4579" s="75">
        <v>324</v>
      </c>
      <c r="F4579" s="75" t="s">
        <v>10</v>
      </c>
      <c r="H4579" s="75" t="s">
        <v>10</v>
      </c>
      <c r="I4579" s="75">
        <v>19489</v>
      </c>
      <c r="K4579" s="75" t="str">
        <f>IFERROR(VLOOKUP(J4579,'NQ10'!$B$9:$C$145,2,0),"")</f>
        <v/>
      </c>
    </row>
    <row r="4580" spans="1:11" ht="15" customHeight="1" x14ac:dyDescent="0.25">
      <c r="A4580" s="75">
        <v>39</v>
      </c>
      <c r="C4580" s="75" t="s">
        <v>10</v>
      </c>
      <c r="D4580" s="75">
        <v>1276</v>
      </c>
      <c r="F4580" s="75" t="s">
        <v>10</v>
      </c>
      <c r="H4580" s="75" t="s">
        <v>10</v>
      </c>
      <c r="I4580" s="75">
        <v>19489</v>
      </c>
      <c r="K4580" s="75" t="str">
        <f>IFERROR(VLOOKUP(J4580,'NQ10'!$B$9:$C$145,2,0),"")</f>
        <v/>
      </c>
    </row>
    <row r="4581" spans="1:11" ht="15" customHeight="1" x14ac:dyDescent="0.25">
      <c r="A4581" s="75">
        <v>39</v>
      </c>
      <c r="C4581" s="75" t="s">
        <v>10</v>
      </c>
      <c r="D4581" s="75">
        <v>1487</v>
      </c>
      <c r="F4581" s="75" t="s">
        <v>10</v>
      </c>
      <c r="H4581" s="75" t="s">
        <v>10</v>
      </c>
      <c r="I4581" s="75">
        <v>19489</v>
      </c>
      <c r="K4581" s="75" t="str">
        <f>IFERROR(VLOOKUP(J4581,'NQ10'!$B$9:$C$145,2,0),"")</f>
        <v/>
      </c>
    </row>
    <row r="4582" spans="1:11" ht="15" customHeight="1" x14ac:dyDescent="0.25">
      <c r="A4582" s="75">
        <v>39</v>
      </c>
      <c r="C4582" s="75" t="s">
        <v>10</v>
      </c>
      <c r="D4582" s="75">
        <v>6590</v>
      </c>
      <c r="F4582" s="75" t="s">
        <v>10</v>
      </c>
      <c r="H4582" s="75" t="s">
        <v>10</v>
      </c>
      <c r="I4582" s="75">
        <v>19489</v>
      </c>
      <c r="K4582" s="75" t="str">
        <f>IFERROR(VLOOKUP(J4582,'NQ10'!$B$9:$C$145,2,0),"")</f>
        <v/>
      </c>
    </row>
    <row r="4583" spans="1:11" ht="15" customHeight="1" x14ac:dyDescent="0.25">
      <c r="A4583" s="75">
        <v>39</v>
      </c>
      <c r="C4583" s="75" t="s">
        <v>10</v>
      </c>
      <c r="D4583" s="75">
        <v>87</v>
      </c>
      <c r="F4583" s="75" t="s">
        <v>10</v>
      </c>
      <c r="H4583" s="75" t="s">
        <v>10</v>
      </c>
      <c r="I4583" s="75">
        <v>19489</v>
      </c>
      <c r="K4583" s="75" t="str">
        <f>IFERROR(VLOOKUP(J4583,'NQ10'!$B$9:$C$145,2,0),"")</f>
        <v/>
      </c>
    </row>
    <row r="4584" spans="1:11" ht="15" customHeight="1" x14ac:dyDescent="0.25">
      <c r="A4584" s="75">
        <v>39</v>
      </c>
      <c r="C4584" s="75" t="s">
        <v>10</v>
      </c>
      <c r="D4584" s="75">
        <v>124</v>
      </c>
      <c r="F4584" s="75" t="s">
        <v>10</v>
      </c>
      <c r="H4584" s="75" t="s">
        <v>10</v>
      </c>
      <c r="I4584" s="75">
        <v>19489</v>
      </c>
      <c r="K4584" s="75" t="str">
        <f>IFERROR(VLOOKUP(J4584,'NQ10'!$B$9:$C$145,2,0),"")</f>
        <v/>
      </c>
    </row>
    <row r="4585" spans="1:11" ht="15" customHeight="1" x14ac:dyDescent="0.25">
      <c r="A4585" s="75">
        <v>39</v>
      </c>
      <c r="C4585" s="75" t="s">
        <v>10</v>
      </c>
      <c r="D4585" s="75">
        <v>215</v>
      </c>
      <c r="F4585" s="75" t="s">
        <v>10</v>
      </c>
      <c r="H4585" s="75" t="s">
        <v>10</v>
      </c>
      <c r="I4585" s="75">
        <v>19489</v>
      </c>
      <c r="K4585" s="75" t="str">
        <f>IFERROR(VLOOKUP(J4585,'NQ10'!$B$9:$C$145,2,0),"")</f>
        <v/>
      </c>
    </row>
    <row r="4586" spans="1:11" ht="15" customHeight="1" x14ac:dyDescent="0.25">
      <c r="A4586" s="75">
        <v>39</v>
      </c>
      <c r="C4586" s="75" t="s">
        <v>10</v>
      </c>
      <c r="D4586" s="75">
        <v>926</v>
      </c>
      <c r="F4586" s="75" t="s">
        <v>10</v>
      </c>
      <c r="H4586" s="75" t="s">
        <v>10</v>
      </c>
      <c r="I4586" s="75">
        <v>19489</v>
      </c>
      <c r="K4586" s="75" t="str">
        <f>IFERROR(VLOOKUP(J4586,'NQ10'!$B$9:$C$145,2,0),"")</f>
        <v/>
      </c>
    </row>
    <row r="4587" spans="1:11" ht="15" customHeight="1" x14ac:dyDescent="0.25">
      <c r="A4587" s="75">
        <v>39</v>
      </c>
      <c r="C4587" s="75" t="s">
        <v>10</v>
      </c>
      <c r="D4587" s="75">
        <v>255</v>
      </c>
      <c r="F4587" s="75" t="s">
        <v>10</v>
      </c>
      <c r="H4587" s="75" t="s">
        <v>10</v>
      </c>
      <c r="I4587" s="75">
        <v>19489</v>
      </c>
      <c r="K4587" s="75" t="str">
        <f>IFERROR(VLOOKUP(J4587,'NQ10'!$B$9:$C$145,2,0),"")</f>
        <v/>
      </c>
    </row>
    <row r="4588" spans="1:11" ht="15" customHeight="1" x14ac:dyDescent="0.25">
      <c r="A4588" s="75">
        <v>39</v>
      </c>
      <c r="C4588" s="75" t="s">
        <v>10</v>
      </c>
      <c r="D4588" s="75">
        <v>258</v>
      </c>
      <c r="F4588" s="75" t="s">
        <v>10</v>
      </c>
      <c r="H4588" s="75" t="s">
        <v>10</v>
      </c>
      <c r="I4588" s="75">
        <v>19489</v>
      </c>
      <c r="K4588" s="75" t="str">
        <f>IFERROR(VLOOKUP(J4588,'NQ10'!$B$9:$C$145,2,0),"")</f>
        <v/>
      </c>
    </row>
    <row r="4589" spans="1:11" ht="15" customHeight="1" x14ac:dyDescent="0.25">
      <c r="A4589" s="75">
        <v>39</v>
      </c>
      <c r="C4589" s="75" t="s">
        <v>10</v>
      </c>
      <c r="D4589" s="75">
        <v>719</v>
      </c>
      <c r="F4589" s="75" t="s">
        <v>10</v>
      </c>
      <c r="H4589" s="75" t="s">
        <v>10</v>
      </c>
      <c r="I4589" s="75">
        <v>19489</v>
      </c>
      <c r="K4589" s="75" t="str">
        <f>IFERROR(VLOOKUP(J4589,'NQ10'!$B$9:$C$145,2,0),"")</f>
        <v/>
      </c>
    </row>
    <row r="4590" spans="1:11" ht="15" customHeight="1" x14ac:dyDescent="0.25">
      <c r="A4590" s="75">
        <v>39</v>
      </c>
      <c r="C4590" s="75" t="s">
        <v>10</v>
      </c>
      <c r="D4590" s="75">
        <v>1549</v>
      </c>
      <c r="F4590" s="75" t="s">
        <v>10</v>
      </c>
      <c r="H4590" s="75" t="s">
        <v>10</v>
      </c>
      <c r="I4590" s="75">
        <v>19489</v>
      </c>
      <c r="K4590" s="75" t="str">
        <f>IFERROR(VLOOKUP(J4590,'NQ10'!$B$9:$C$145,2,0),"")</f>
        <v/>
      </c>
    </row>
    <row r="4591" spans="1:11" ht="15" customHeight="1" x14ac:dyDescent="0.25">
      <c r="A4591" s="75">
        <v>39</v>
      </c>
      <c r="B4591" s="75">
        <v>1</v>
      </c>
      <c r="C4591" s="75" t="s">
        <v>10</v>
      </c>
      <c r="D4591" s="75">
        <v>7657</v>
      </c>
      <c r="F4591" s="75" t="s">
        <v>10</v>
      </c>
      <c r="H4591" s="75" t="s">
        <v>10</v>
      </c>
      <c r="I4591" s="75">
        <v>19489</v>
      </c>
      <c r="K4591" s="75" t="str">
        <f>IFERROR(VLOOKUP(J4591,'NQ10'!$B$9:$C$145,2,0),"")</f>
        <v/>
      </c>
    </row>
    <row r="4592" spans="1:11" ht="15" customHeight="1" x14ac:dyDescent="0.25">
      <c r="A4592" s="75">
        <v>39</v>
      </c>
      <c r="B4592" s="75">
        <v>2</v>
      </c>
      <c r="C4592" s="75" t="s">
        <v>10</v>
      </c>
      <c r="D4592" s="75">
        <v>11651</v>
      </c>
      <c r="F4592" s="75" t="s">
        <v>10</v>
      </c>
      <c r="H4592" s="75" t="s">
        <v>10</v>
      </c>
      <c r="I4592" s="75">
        <v>19489</v>
      </c>
      <c r="K4592" s="75" t="str">
        <f>IFERROR(VLOOKUP(J4592,'NQ10'!$B$9:$C$145,2,0),"")</f>
        <v/>
      </c>
    </row>
    <row r="4593" spans="1:11" ht="15" customHeight="1" x14ac:dyDescent="0.25">
      <c r="A4593" s="75">
        <v>39</v>
      </c>
      <c r="B4593" s="75">
        <v>4</v>
      </c>
      <c r="C4593" s="75" t="s">
        <v>10</v>
      </c>
      <c r="D4593" s="75">
        <v>1488</v>
      </c>
      <c r="F4593" s="75" t="s">
        <v>10</v>
      </c>
      <c r="H4593" s="75" t="s">
        <v>10</v>
      </c>
      <c r="I4593" s="75">
        <v>19489</v>
      </c>
      <c r="K4593" s="75" t="str">
        <f>IFERROR(VLOOKUP(J4593,'NQ10'!$B$9:$C$145,2,0),"")</f>
        <v/>
      </c>
    </row>
    <row r="4594" spans="1:11" ht="15" customHeight="1" x14ac:dyDescent="0.25">
      <c r="A4594" s="75">
        <v>39</v>
      </c>
      <c r="B4594" s="75">
        <v>5</v>
      </c>
      <c r="C4594" s="75" t="s">
        <v>10</v>
      </c>
      <c r="D4594" s="75">
        <v>11886</v>
      </c>
      <c r="F4594" s="75" t="s">
        <v>10</v>
      </c>
      <c r="H4594" s="75" t="s">
        <v>10</v>
      </c>
      <c r="I4594" s="75">
        <v>19489</v>
      </c>
      <c r="K4594" s="75" t="str">
        <f>IFERROR(VLOOKUP(J4594,'NQ10'!$B$9:$C$145,2,0),"")</f>
        <v/>
      </c>
    </row>
    <row r="4595" spans="1:11" ht="15" customHeight="1" x14ac:dyDescent="0.25">
      <c r="A4595" s="75">
        <v>39</v>
      </c>
      <c r="B4595" s="75">
        <v>6</v>
      </c>
      <c r="C4595" s="75" t="s">
        <v>10</v>
      </c>
      <c r="D4595" s="75">
        <v>8222</v>
      </c>
      <c r="F4595" s="75" t="s">
        <v>10</v>
      </c>
      <c r="H4595" s="75" t="s">
        <v>10</v>
      </c>
      <c r="I4595" s="75">
        <v>19489</v>
      </c>
      <c r="K4595" s="75" t="str">
        <f>IFERROR(VLOOKUP(J4595,'NQ10'!$B$9:$C$145,2,0),"")</f>
        <v/>
      </c>
    </row>
    <row r="4596" spans="1:11" ht="15" customHeight="1" x14ac:dyDescent="0.25">
      <c r="A4596" s="75">
        <v>39</v>
      </c>
      <c r="B4596" s="75">
        <v>7</v>
      </c>
      <c r="C4596" s="75" t="s">
        <v>10</v>
      </c>
      <c r="D4596" s="75">
        <v>2356</v>
      </c>
      <c r="F4596" s="75" t="s">
        <v>10</v>
      </c>
      <c r="H4596" s="75" t="s">
        <v>10</v>
      </c>
      <c r="I4596" s="75">
        <v>19489</v>
      </c>
      <c r="K4596" s="75" t="str">
        <f>IFERROR(VLOOKUP(J4596,'NQ10'!$B$9:$C$145,2,0),"")</f>
        <v/>
      </c>
    </row>
    <row r="4597" spans="1:11" ht="15" customHeight="1" x14ac:dyDescent="0.25">
      <c r="A4597" s="75">
        <v>39</v>
      </c>
      <c r="B4597" s="75">
        <v>8</v>
      </c>
      <c r="C4597" s="75" t="s">
        <v>10</v>
      </c>
      <c r="D4597" s="75">
        <v>11588</v>
      </c>
      <c r="F4597" s="75" t="s">
        <v>10</v>
      </c>
      <c r="H4597" s="75" t="s">
        <v>10</v>
      </c>
      <c r="I4597" s="75">
        <v>19489</v>
      </c>
      <c r="K4597" s="75" t="str">
        <f>IFERROR(VLOOKUP(J4597,'NQ10'!$B$9:$C$145,2,0),"")</f>
        <v/>
      </c>
    </row>
    <row r="4598" spans="1:11" ht="15" customHeight="1" x14ac:dyDescent="0.25">
      <c r="A4598" s="75">
        <v>39</v>
      </c>
      <c r="B4598" s="75">
        <v>9</v>
      </c>
      <c r="C4598" s="75" t="s">
        <v>10</v>
      </c>
      <c r="D4598" s="75">
        <v>20057</v>
      </c>
      <c r="F4598" s="75" t="s">
        <v>10</v>
      </c>
      <c r="H4598" s="75" t="s">
        <v>10</v>
      </c>
      <c r="I4598" s="75">
        <v>19489</v>
      </c>
      <c r="K4598" s="75" t="str">
        <f>IFERROR(VLOOKUP(J4598,'NQ10'!$B$9:$C$145,2,0),"")</f>
        <v/>
      </c>
    </row>
    <row r="4599" spans="1:11" ht="15" customHeight="1" x14ac:dyDescent="0.25">
      <c r="A4599" s="75">
        <v>39</v>
      </c>
      <c r="B4599" s="75">
        <v>10</v>
      </c>
      <c r="C4599" s="75" t="s">
        <v>10</v>
      </c>
      <c r="D4599" s="75">
        <v>827</v>
      </c>
      <c r="F4599" s="75" t="s">
        <v>10</v>
      </c>
      <c r="H4599" s="75" t="s">
        <v>10</v>
      </c>
      <c r="I4599" s="75">
        <v>19489</v>
      </c>
      <c r="K4599" s="75" t="str">
        <f>IFERROR(VLOOKUP(J4599,'NQ10'!$B$9:$C$145,2,0),"")</f>
        <v/>
      </c>
    </row>
    <row r="4600" spans="1:11" ht="15" customHeight="1" x14ac:dyDescent="0.25">
      <c r="A4600" s="75">
        <v>39</v>
      </c>
      <c r="B4600" s="75">
        <v>11</v>
      </c>
      <c r="C4600" s="75" t="s">
        <v>10</v>
      </c>
      <c r="D4600" s="75">
        <v>1751</v>
      </c>
      <c r="F4600" s="75" t="s">
        <v>10</v>
      </c>
      <c r="H4600" s="75" t="s">
        <v>10</v>
      </c>
      <c r="I4600" s="75">
        <v>19489</v>
      </c>
      <c r="K4600" s="75" t="str">
        <f>IFERROR(VLOOKUP(J4600,'NQ10'!$B$9:$C$145,2,0),"")</f>
        <v/>
      </c>
    </row>
    <row r="4601" spans="1:11" ht="15" customHeight="1" x14ac:dyDescent="0.25">
      <c r="A4601" s="75">
        <v>39</v>
      </c>
      <c r="B4601" s="75">
        <v>12</v>
      </c>
      <c r="C4601" s="75" t="s">
        <v>10</v>
      </c>
      <c r="D4601" s="75">
        <v>7231</v>
      </c>
      <c r="F4601" s="75" t="s">
        <v>10</v>
      </c>
      <c r="H4601" s="75" t="s">
        <v>10</v>
      </c>
      <c r="I4601" s="75">
        <v>19489</v>
      </c>
      <c r="K4601" s="75" t="str">
        <f>IFERROR(VLOOKUP(J4601,'NQ10'!$B$9:$C$145,2,0),"")</f>
        <v/>
      </c>
    </row>
    <row r="4602" spans="1:11" ht="15" customHeight="1" x14ac:dyDescent="0.25">
      <c r="A4602" s="75">
        <v>39</v>
      </c>
      <c r="B4602" s="75">
        <v>13</v>
      </c>
      <c r="C4602" s="75" t="s">
        <v>10</v>
      </c>
      <c r="D4602" s="75">
        <v>4243</v>
      </c>
      <c r="F4602" s="75" t="s">
        <v>10</v>
      </c>
      <c r="H4602" s="75" t="s">
        <v>10</v>
      </c>
      <c r="I4602" s="75">
        <v>19489</v>
      </c>
      <c r="K4602" s="75" t="str">
        <f>IFERROR(VLOOKUP(J4602,'NQ10'!$B$9:$C$145,2,0),"")</f>
        <v/>
      </c>
    </row>
    <row r="4603" spans="1:11" ht="15" customHeight="1" x14ac:dyDescent="0.25">
      <c r="A4603" s="75">
        <v>39</v>
      </c>
      <c r="B4603" s="75">
        <v>14</v>
      </c>
      <c r="C4603" s="75" t="s">
        <v>10</v>
      </c>
      <c r="D4603" s="75">
        <v>5081</v>
      </c>
      <c r="F4603" s="75" t="s">
        <v>10</v>
      </c>
      <c r="H4603" s="75" t="s">
        <v>10</v>
      </c>
      <c r="I4603" s="75">
        <v>19489</v>
      </c>
      <c r="K4603" s="75" t="str">
        <f>IFERROR(VLOOKUP(J4603,'NQ10'!$B$9:$C$145,2,0),"")</f>
        <v/>
      </c>
    </row>
    <row r="4604" spans="1:11" ht="15" customHeight="1" x14ac:dyDescent="0.25">
      <c r="A4604" s="75">
        <v>39</v>
      </c>
      <c r="B4604" s="75">
        <v>15</v>
      </c>
      <c r="C4604" s="75" t="s">
        <v>10</v>
      </c>
      <c r="D4604" s="75">
        <v>3195</v>
      </c>
      <c r="F4604" s="75" t="s">
        <v>10</v>
      </c>
      <c r="H4604" s="75" t="s">
        <v>10</v>
      </c>
      <c r="I4604" s="75">
        <v>19489</v>
      </c>
      <c r="K4604" s="75" t="str">
        <f>IFERROR(VLOOKUP(J4604,'NQ10'!$B$9:$C$145,2,0),"")</f>
        <v/>
      </c>
    </row>
    <row r="4605" spans="1:11" ht="15" customHeight="1" x14ac:dyDescent="0.25">
      <c r="A4605" s="75">
        <v>39</v>
      </c>
      <c r="B4605" s="75">
        <v>16</v>
      </c>
      <c r="C4605" s="75" t="s">
        <v>10</v>
      </c>
      <c r="D4605" s="75">
        <v>2698</v>
      </c>
      <c r="F4605" s="75" t="s">
        <v>10</v>
      </c>
      <c r="H4605" s="75" t="s">
        <v>10</v>
      </c>
      <c r="I4605" s="75">
        <v>19489</v>
      </c>
      <c r="K4605" s="75" t="str">
        <f>IFERROR(VLOOKUP(J4605,'NQ10'!$B$9:$C$145,2,0),"")</f>
        <v/>
      </c>
    </row>
    <row r="4606" spans="1:11" ht="15" customHeight="1" x14ac:dyDescent="0.25">
      <c r="A4606" s="75">
        <v>39</v>
      </c>
      <c r="B4606" s="75">
        <v>17</v>
      </c>
      <c r="C4606" s="75" t="s">
        <v>10</v>
      </c>
      <c r="D4606" s="75">
        <v>34496</v>
      </c>
      <c r="F4606" s="75" t="s">
        <v>10</v>
      </c>
      <c r="H4606" s="75" t="s">
        <v>10</v>
      </c>
      <c r="I4606" s="75">
        <v>19489</v>
      </c>
      <c r="K4606" s="75" t="str">
        <f>IFERROR(VLOOKUP(J4606,'NQ10'!$B$9:$C$145,2,0),"")</f>
        <v/>
      </c>
    </row>
    <row r="4607" spans="1:11" ht="15" customHeight="1" x14ac:dyDescent="0.25">
      <c r="A4607" s="75">
        <v>39</v>
      </c>
      <c r="B4607" s="75">
        <v>18</v>
      </c>
      <c r="C4607" s="75" t="s">
        <v>10</v>
      </c>
      <c r="D4607" s="75">
        <v>2901</v>
      </c>
      <c r="F4607" s="75" t="s">
        <v>10</v>
      </c>
      <c r="H4607" s="75" t="s">
        <v>10</v>
      </c>
      <c r="I4607" s="75">
        <v>19489</v>
      </c>
      <c r="K4607" s="75" t="str">
        <f>IFERROR(VLOOKUP(J4607,'NQ10'!$B$9:$C$145,2,0),"")</f>
        <v/>
      </c>
    </row>
    <row r="4608" spans="1:11" ht="15" customHeight="1" x14ac:dyDescent="0.25">
      <c r="A4608" s="75">
        <v>39</v>
      </c>
      <c r="B4608" s="75">
        <v>19</v>
      </c>
      <c r="C4608" s="75" t="s">
        <v>10</v>
      </c>
      <c r="D4608" s="75">
        <v>2835</v>
      </c>
      <c r="F4608" s="75" t="s">
        <v>10</v>
      </c>
      <c r="H4608" s="75" t="s">
        <v>10</v>
      </c>
      <c r="I4608" s="75">
        <v>19489</v>
      </c>
      <c r="K4608" s="75" t="str">
        <f>IFERROR(VLOOKUP(J4608,'NQ10'!$B$9:$C$145,2,0),"")</f>
        <v/>
      </c>
    </row>
    <row r="4609" spans="1:11" ht="15" customHeight="1" x14ac:dyDescent="0.25">
      <c r="A4609" s="75">
        <v>39</v>
      </c>
      <c r="B4609" s="75">
        <v>20</v>
      </c>
      <c r="C4609" s="75" t="s">
        <v>10</v>
      </c>
      <c r="D4609" s="75">
        <v>3226</v>
      </c>
      <c r="F4609" s="75" t="s">
        <v>10</v>
      </c>
      <c r="H4609" s="75" t="s">
        <v>10</v>
      </c>
      <c r="I4609" s="75">
        <v>19489</v>
      </c>
      <c r="K4609" s="75" t="str">
        <f>IFERROR(VLOOKUP(J4609,'NQ10'!$B$9:$C$145,2,0),"")</f>
        <v/>
      </c>
    </row>
    <row r="4610" spans="1:11" ht="15" customHeight="1" x14ac:dyDescent="0.25">
      <c r="A4610" s="75">
        <v>39</v>
      </c>
      <c r="B4610" s="75">
        <v>21</v>
      </c>
      <c r="C4610" s="75" t="s">
        <v>10</v>
      </c>
      <c r="D4610" s="75">
        <v>7328</v>
      </c>
      <c r="F4610" s="75" t="s">
        <v>10</v>
      </c>
      <c r="H4610" s="75" t="s">
        <v>10</v>
      </c>
      <c r="I4610" s="75">
        <v>19489</v>
      </c>
      <c r="K4610" s="75" t="str">
        <f>IFERROR(VLOOKUP(J4610,'NQ10'!$B$9:$C$145,2,0),"")</f>
        <v/>
      </c>
    </row>
    <row r="4611" spans="1:11" ht="15" customHeight="1" x14ac:dyDescent="0.25">
      <c r="A4611" s="75">
        <v>39</v>
      </c>
      <c r="B4611" s="75">
        <v>23</v>
      </c>
      <c r="C4611" s="75" t="s">
        <v>10</v>
      </c>
      <c r="D4611" s="75">
        <v>2923</v>
      </c>
      <c r="F4611" s="75" t="s">
        <v>10</v>
      </c>
      <c r="H4611" s="75" t="s">
        <v>10</v>
      </c>
      <c r="I4611" s="75">
        <v>19489</v>
      </c>
      <c r="K4611" s="75" t="str">
        <f>IFERROR(VLOOKUP(J4611,'NQ10'!$B$9:$C$145,2,0),"")</f>
        <v/>
      </c>
    </row>
    <row r="4612" spans="1:11" ht="15" customHeight="1" x14ac:dyDescent="0.25">
      <c r="A4612" s="75">
        <v>39</v>
      </c>
      <c r="B4612" s="75">
        <v>24</v>
      </c>
      <c r="C4612" s="75" t="s">
        <v>10</v>
      </c>
      <c r="D4612" s="75">
        <v>8247</v>
      </c>
      <c r="F4612" s="75" t="s">
        <v>10</v>
      </c>
      <c r="H4612" s="75" t="s">
        <v>10</v>
      </c>
      <c r="I4612" s="75">
        <v>19489</v>
      </c>
      <c r="K4612" s="75" t="str">
        <f>IFERROR(VLOOKUP(J4612,'NQ10'!$B$9:$C$145,2,0),"")</f>
        <v/>
      </c>
    </row>
    <row r="4613" spans="1:11" ht="15" customHeight="1" x14ac:dyDescent="0.25">
      <c r="A4613" s="75">
        <v>39</v>
      </c>
      <c r="B4613" s="75">
        <v>26</v>
      </c>
      <c r="C4613" s="75" t="s">
        <v>10</v>
      </c>
      <c r="D4613" s="75">
        <v>18823</v>
      </c>
      <c r="F4613" s="75" t="s">
        <v>10</v>
      </c>
      <c r="H4613" s="75" t="s">
        <v>10</v>
      </c>
      <c r="I4613" s="75">
        <v>19489</v>
      </c>
      <c r="K4613" s="75" t="str">
        <f>IFERROR(VLOOKUP(J4613,'NQ10'!$B$9:$C$145,2,0),"")</f>
        <v/>
      </c>
    </row>
    <row r="4614" spans="1:11" ht="15" customHeight="1" x14ac:dyDescent="0.25">
      <c r="A4614" s="75">
        <v>39</v>
      </c>
      <c r="B4614" s="75">
        <v>27</v>
      </c>
      <c r="C4614" s="75" t="s">
        <v>10</v>
      </c>
      <c r="D4614" s="75">
        <v>6043</v>
      </c>
      <c r="F4614" s="75" t="s">
        <v>10</v>
      </c>
      <c r="H4614" s="75" t="s">
        <v>10</v>
      </c>
      <c r="I4614" s="75">
        <v>19489</v>
      </c>
      <c r="K4614" s="75" t="str">
        <f>IFERROR(VLOOKUP(J4614,'NQ10'!$B$9:$C$145,2,0),"")</f>
        <v/>
      </c>
    </row>
    <row r="4615" spans="1:11" ht="15" customHeight="1" x14ac:dyDescent="0.25">
      <c r="A4615" s="75">
        <v>39</v>
      </c>
      <c r="B4615" s="75">
        <v>28</v>
      </c>
      <c r="C4615" s="75" t="s">
        <v>10</v>
      </c>
      <c r="D4615" s="75">
        <v>11363</v>
      </c>
      <c r="F4615" s="75" t="s">
        <v>10</v>
      </c>
      <c r="H4615" s="75" t="s">
        <v>10</v>
      </c>
      <c r="I4615" s="75">
        <v>19489</v>
      </c>
      <c r="K4615" s="75" t="str">
        <f>IFERROR(VLOOKUP(J4615,'NQ10'!$B$9:$C$145,2,0),"")</f>
        <v/>
      </c>
    </row>
    <row r="4616" spans="1:11" ht="15" customHeight="1" x14ac:dyDescent="0.25">
      <c r="A4616" s="75">
        <v>39</v>
      </c>
      <c r="B4616" s="75">
        <v>29</v>
      </c>
      <c r="C4616" s="75" t="s">
        <v>10</v>
      </c>
      <c r="D4616" s="75">
        <v>14575</v>
      </c>
      <c r="F4616" s="75" t="s">
        <v>10</v>
      </c>
      <c r="H4616" s="75" t="s">
        <v>10</v>
      </c>
      <c r="I4616" s="75">
        <v>19489</v>
      </c>
      <c r="K4616" s="75" t="str">
        <f>IFERROR(VLOOKUP(J4616,'NQ10'!$B$9:$C$145,2,0),"")</f>
        <v/>
      </c>
    </row>
    <row r="4617" spans="1:11" ht="15" customHeight="1" x14ac:dyDescent="0.25">
      <c r="A4617" s="75">
        <v>39</v>
      </c>
      <c r="B4617" s="75">
        <v>30</v>
      </c>
      <c r="C4617" s="75" t="s">
        <v>10</v>
      </c>
      <c r="D4617" s="75">
        <v>7953</v>
      </c>
      <c r="F4617" s="75" t="s">
        <v>10</v>
      </c>
      <c r="H4617" s="75" t="s">
        <v>10</v>
      </c>
      <c r="I4617" s="75">
        <v>19489</v>
      </c>
      <c r="K4617" s="75" t="str">
        <f>IFERROR(VLOOKUP(J4617,'NQ10'!$B$9:$C$145,2,0),"")</f>
        <v/>
      </c>
    </row>
    <row r="4618" spans="1:11" ht="15" customHeight="1" x14ac:dyDescent="0.25">
      <c r="A4618" s="75">
        <v>39</v>
      </c>
      <c r="B4618" s="75">
        <v>31</v>
      </c>
      <c r="C4618" s="75" t="s">
        <v>10</v>
      </c>
      <c r="D4618" s="75">
        <v>2961</v>
      </c>
      <c r="F4618" s="75" t="s">
        <v>10</v>
      </c>
      <c r="H4618" s="75" t="s">
        <v>10</v>
      </c>
      <c r="I4618" s="75">
        <v>19489</v>
      </c>
      <c r="K4618" s="75" t="str">
        <f>IFERROR(VLOOKUP(J4618,'NQ10'!$B$9:$C$145,2,0),"")</f>
        <v/>
      </c>
    </row>
    <row r="4619" spans="1:11" ht="15" customHeight="1" x14ac:dyDescent="0.25">
      <c r="A4619" s="75">
        <v>39</v>
      </c>
      <c r="B4619" s="75">
        <v>32</v>
      </c>
      <c r="C4619" s="75" t="s">
        <v>10</v>
      </c>
      <c r="D4619" s="75">
        <v>5875</v>
      </c>
      <c r="F4619" s="75" t="s">
        <v>10</v>
      </c>
      <c r="H4619" s="75" t="s">
        <v>10</v>
      </c>
      <c r="I4619" s="75">
        <v>19489</v>
      </c>
      <c r="K4619" s="75" t="str">
        <f>IFERROR(VLOOKUP(J4619,'NQ10'!$B$9:$C$145,2,0),"")</f>
        <v/>
      </c>
    </row>
    <row r="4620" spans="1:11" ht="15" customHeight="1" x14ac:dyDescent="0.25">
      <c r="A4620" s="75">
        <v>39</v>
      </c>
      <c r="B4620" s="75">
        <v>33</v>
      </c>
      <c r="C4620" s="75" t="s">
        <v>10</v>
      </c>
      <c r="D4620" s="75">
        <v>8793</v>
      </c>
      <c r="F4620" s="75" t="s">
        <v>10</v>
      </c>
      <c r="H4620" s="75" t="s">
        <v>10</v>
      </c>
      <c r="I4620" s="75">
        <v>19489</v>
      </c>
      <c r="K4620" s="75" t="str">
        <f>IFERROR(VLOOKUP(J4620,'NQ10'!$B$9:$C$145,2,0),"")</f>
        <v/>
      </c>
    </row>
    <row r="4621" spans="1:11" ht="15" customHeight="1" x14ac:dyDescent="0.25">
      <c r="A4621" s="75">
        <v>39</v>
      </c>
      <c r="B4621" s="75">
        <v>34</v>
      </c>
      <c r="C4621" s="75" t="s">
        <v>10</v>
      </c>
      <c r="D4621" s="75">
        <v>8372</v>
      </c>
      <c r="F4621" s="75" t="s">
        <v>10</v>
      </c>
      <c r="H4621" s="75" t="s">
        <v>10</v>
      </c>
      <c r="I4621" s="75">
        <v>19489</v>
      </c>
      <c r="K4621" s="75" t="str">
        <f>IFERROR(VLOOKUP(J4621,'NQ10'!$B$9:$C$145,2,0),"")</f>
        <v/>
      </c>
    </row>
    <row r="4622" spans="1:11" ht="15" customHeight="1" x14ac:dyDescent="0.25">
      <c r="A4622" s="75">
        <v>39</v>
      </c>
      <c r="B4622" s="75">
        <v>35</v>
      </c>
      <c r="C4622" s="75" t="s">
        <v>10</v>
      </c>
      <c r="D4622" s="75">
        <v>17160</v>
      </c>
      <c r="F4622" s="75" t="s">
        <v>10</v>
      </c>
      <c r="H4622" s="75" t="s">
        <v>10</v>
      </c>
      <c r="I4622" s="75">
        <v>19489</v>
      </c>
      <c r="K4622" s="75" t="str">
        <f>IFERROR(VLOOKUP(J4622,'NQ10'!$B$9:$C$145,2,0),"")</f>
        <v/>
      </c>
    </row>
    <row r="4623" spans="1:11" ht="15" customHeight="1" x14ac:dyDescent="0.25">
      <c r="A4623" s="75">
        <v>39</v>
      </c>
      <c r="B4623" s="75">
        <v>36</v>
      </c>
      <c r="C4623" s="75" t="s">
        <v>10</v>
      </c>
      <c r="D4623" s="75">
        <v>7893</v>
      </c>
      <c r="F4623" s="75" t="s">
        <v>10</v>
      </c>
      <c r="H4623" s="75" t="s">
        <v>10</v>
      </c>
      <c r="I4623" s="75">
        <v>19489</v>
      </c>
      <c r="K4623" s="75" t="str">
        <f>IFERROR(VLOOKUP(J4623,'NQ10'!$B$9:$C$145,2,0),"")</f>
        <v/>
      </c>
    </row>
    <row r="4624" spans="1:11" ht="15" customHeight="1" x14ac:dyDescent="0.25">
      <c r="A4624" s="75">
        <v>39</v>
      </c>
      <c r="B4624" s="75">
        <v>37</v>
      </c>
      <c r="C4624" s="75" t="s">
        <v>10</v>
      </c>
      <c r="D4624" s="75">
        <v>10586</v>
      </c>
      <c r="F4624" s="75" t="s">
        <v>10</v>
      </c>
      <c r="H4624" s="75" t="s">
        <v>10</v>
      </c>
      <c r="I4624" s="75">
        <v>19489</v>
      </c>
      <c r="K4624" s="75" t="str">
        <f>IFERROR(VLOOKUP(J4624,'NQ10'!$B$9:$C$145,2,0),"")</f>
        <v/>
      </c>
    </row>
    <row r="4625" spans="1:11" ht="15" customHeight="1" x14ac:dyDescent="0.25">
      <c r="A4625" s="75">
        <v>39</v>
      </c>
      <c r="B4625" s="75">
        <v>38</v>
      </c>
      <c r="C4625" s="75" t="s">
        <v>10</v>
      </c>
      <c r="D4625" s="75">
        <v>3364</v>
      </c>
      <c r="F4625" s="75" t="s">
        <v>10</v>
      </c>
      <c r="H4625" s="75" t="s">
        <v>10</v>
      </c>
      <c r="I4625" s="75">
        <v>19489</v>
      </c>
      <c r="K4625" s="75" t="str">
        <f>IFERROR(VLOOKUP(J4625,'NQ10'!$B$9:$C$145,2,0),"")</f>
        <v/>
      </c>
    </row>
    <row r="4626" spans="1:11" ht="15" customHeight="1" x14ac:dyDescent="0.25">
      <c r="A4626" s="75">
        <v>39</v>
      </c>
      <c r="B4626" s="75">
        <v>39</v>
      </c>
      <c r="C4626" s="75" t="s">
        <v>10</v>
      </c>
      <c r="D4626" s="75">
        <v>606</v>
      </c>
      <c r="F4626" s="75" t="s">
        <v>10</v>
      </c>
      <c r="H4626" s="75" t="s">
        <v>10</v>
      </c>
      <c r="I4626" s="75">
        <v>19489</v>
      </c>
      <c r="K4626" s="75" t="str">
        <f>IFERROR(VLOOKUP(J4626,'NQ10'!$B$9:$C$145,2,0),"")</f>
        <v/>
      </c>
    </row>
    <row r="4627" spans="1:11" ht="15" customHeight="1" x14ac:dyDescent="0.25">
      <c r="A4627" s="75">
        <v>39</v>
      </c>
      <c r="B4627" s="75">
        <v>40</v>
      </c>
      <c r="C4627" s="75" t="s">
        <v>10</v>
      </c>
      <c r="D4627" s="75">
        <v>6160</v>
      </c>
      <c r="F4627" s="75" t="s">
        <v>10</v>
      </c>
      <c r="H4627" s="75" t="s">
        <v>10</v>
      </c>
      <c r="I4627" s="75">
        <v>19489</v>
      </c>
      <c r="K4627" s="75" t="str">
        <f>IFERROR(VLOOKUP(J4627,'NQ10'!$B$9:$C$145,2,0),"")</f>
        <v/>
      </c>
    </row>
    <row r="4628" spans="1:11" ht="15" customHeight="1" x14ac:dyDescent="0.25">
      <c r="A4628" s="75">
        <v>39</v>
      </c>
      <c r="B4628" s="75">
        <v>41</v>
      </c>
      <c r="C4628" s="75" t="s">
        <v>10</v>
      </c>
      <c r="D4628" s="75">
        <v>11578</v>
      </c>
      <c r="F4628" s="75" t="s">
        <v>10</v>
      </c>
      <c r="H4628" s="75" t="s">
        <v>10</v>
      </c>
      <c r="I4628" s="75">
        <v>19489</v>
      </c>
      <c r="K4628" s="75" t="str">
        <f>IFERROR(VLOOKUP(J4628,'NQ10'!$B$9:$C$145,2,0),"")</f>
        <v/>
      </c>
    </row>
    <row r="4629" spans="1:11" ht="15" customHeight="1" x14ac:dyDescent="0.25">
      <c r="A4629" s="75">
        <v>39</v>
      </c>
      <c r="B4629" s="75">
        <v>42</v>
      </c>
      <c r="C4629" s="75" t="s">
        <v>10</v>
      </c>
      <c r="D4629" s="75">
        <v>1586</v>
      </c>
      <c r="F4629" s="75" t="s">
        <v>10</v>
      </c>
      <c r="H4629" s="75" t="s">
        <v>10</v>
      </c>
      <c r="I4629" s="75">
        <v>19489</v>
      </c>
      <c r="K4629" s="75" t="str">
        <f>IFERROR(VLOOKUP(J4629,'NQ10'!$B$9:$C$145,2,0),"")</f>
        <v/>
      </c>
    </row>
    <row r="4630" spans="1:11" ht="15" customHeight="1" x14ac:dyDescent="0.25">
      <c r="A4630" s="75">
        <v>39</v>
      </c>
      <c r="B4630" s="75">
        <v>43</v>
      </c>
      <c r="C4630" s="75" t="s">
        <v>10</v>
      </c>
      <c r="D4630" s="75">
        <v>12632</v>
      </c>
      <c r="F4630" s="75" t="s">
        <v>10</v>
      </c>
      <c r="H4630" s="75" t="s">
        <v>10</v>
      </c>
      <c r="I4630" s="75">
        <v>19489</v>
      </c>
      <c r="K4630" s="75" t="str">
        <f>IFERROR(VLOOKUP(J4630,'NQ10'!$B$9:$C$145,2,0),"")</f>
        <v/>
      </c>
    </row>
    <row r="4631" spans="1:11" ht="15" customHeight="1" x14ac:dyDescent="0.25">
      <c r="A4631" s="75">
        <v>39</v>
      </c>
      <c r="B4631" s="75">
        <v>44</v>
      </c>
      <c r="C4631" s="75" t="s">
        <v>10</v>
      </c>
      <c r="D4631" s="75">
        <v>1275</v>
      </c>
      <c r="F4631" s="75" t="s">
        <v>10</v>
      </c>
      <c r="H4631" s="75" t="s">
        <v>10</v>
      </c>
      <c r="I4631" s="75">
        <v>19489</v>
      </c>
      <c r="K4631" s="75" t="str">
        <f>IFERROR(VLOOKUP(J4631,'NQ10'!$B$9:$C$145,2,0),"")</f>
        <v/>
      </c>
    </row>
    <row r="4632" spans="1:11" ht="15" customHeight="1" x14ac:dyDescent="0.25">
      <c r="A4632" s="75">
        <v>39</v>
      </c>
      <c r="B4632" s="75">
        <v>45</v>
      </c>
      <c r="C4632" s="75" t="s">
        <v>10</v>
      </c>
      <c r="D4632" s="75">
        <v>8178</v>
      </c>
      <c r="F4632" s="75" t="s">
        <v>10</v>
      </c>
      <c r="H4632" s="75" t="s">
        <v>10</v>
      </c>
      <c r="I4632" s="75">
        <v>19489</v>
      </c>
      <c r="K4632" s="75" t="str">
        <f>IFERROR(VLOOKUP(J4632,'NQ10'!$B$9:$C$145,2,0),"")</f>
        <v/>
      </c>
    </row>
    <row r="4633" spans="1:11" ht="15" customHeight="1" x14ac:dyDescent="0.25">
      <c r="A4633" s="75">
        <v>39</v>
      </c>
      <c r="B4633" s="75">
        <v>46</v>
      </c>
      <c r="C4633" s="75" t="s">
        <v>10</v>
      </c>
      <c r="D4633" s="75">
        <v>11494</v>
      </c>
      <c r="F4633" s="75" t="s">
        <v>10</v>
      </c>
      <c r="H4633" s="75" t="s">
        <v>10</v>
      </c>
      <c r="I4633" s="75">
        <v>19489</v>
      </c>
      <c r="K4633" s="75" t="str">
        <f>IFERROR(VLOOKUP(J4633,'NQ10'!$B$9:$C$145,2,0),"")</f>
        <v/>
      </c>
    </row>
    <row r="4634" spans="1:11" ht="15" customHeight="1" x14ac:dyDescent="0.25">
      <c r="A4634" s="75">
        <v>39</v>
      </c>
      <c r="B4634" s="75">
        <v>47</v>
      </c>
      <c r="C4634" s="75" t="s">
        <v>10</v>
      </c>
      <c r="D4634" s="75">
        <v>10375</v>
      </c>
      <c r="F4634" s="75" t="s">
        <v>10</v>
      </c>
      <c r="H4634" s="75" t="s">
        <v>10</v>
      </c>
      <c r="I4634" s="75">
        <v>19489</v>
      </c>
      <c r="K4634" s="75" t="str">
        <f>IFERROR(VLOOKUP(J4634,'NQ10'!$B$9:$C$145,2,0),"")</f>
        <v/>
      </c>
    </row>
    <row r="4635" spans="1:11" ht="15" customHeight="1" x14ac:dyDescent="0.25">
      <c r="A4635" s="75">
        <v>39</v>
      </c>
      <c r="B4635" s="75">
        <v>48</v>
      </c>
      <c r="C4635" s="75" t="s">
        <v>10</v>
      </c>
      <c r="D4635" s="75">
        <v>7682</v>
      </c>
      <c r="F4635" s="75" t="s">
        <v>10</v>
      </c>
      <c r="H4635" s="75" t="s">
        <v>10</v>
      </c>
      <c r="I4635" s="75">
        <v>19489</v>
      </c>
      <c r="K4635" s="75" t="str">
        <f>IFERROR(VLOOKUP(J4635,'NQ10'!$B$9:$C$145,2,0),"")</f>
        <v/>
      </c>
    </row>
    <row r="4636" spans="1:11" ht="15" customHeight="1" x14ac:dyDescent="0.25">
      <c r="A4636" s="75">
        <v>39</v>
      </c>
      <c r="B4636" s="75">
        <v>49</v>
      </c>
      <c r="C4636" s="75" t="s">
        <v>10</v>
      </c>
      <c r="D4636" s="75">
        <v>5034</v>
      </c>
      <c r="F4636" s="75" t="s">
        <v>10</v>
      </c>
      <c r="H4636" s="75" t="s">
        <v>10</v>
      </c>
      <c r="I4636" s="75">
        <v>19489</v>
      </c>
      <c r="K4636" s="75" t="str">
        <f>IFERROR(VLOOKUP(J4636,'NQ10'!$B$9:$C$145,2,0),"")</f>
        <v/>
      </c>
    </row>
    <row r="4637" spans="1:11" ht="15" customHeight="1" x14ac:dyDescent="0.25">
      <c r="A4637" s="75">
        <v>39</v>
      </c>
      <c r="B4637" s="75">
        <v>50</v>
      </c>
      <c r="C4637" s="75" t="s">
        <v>10</v>
      </c>
      <c r="D4637" s="75">
        <v>506</v>
      </c>
      <c r="F4637" s="75" t="s">
        <v>10</v>
      </c>
      <c r="H4637" s="75" t="s">
        <v>10</v>
      </c>
      <c r="I4637" s="75">
        <v>19489</v>
      </c>
      <c r="K4637" s="75" t="str">
        <f>IFERROR(VLOOKUP(J4637,'NQ10'!$B$9:$C$145,2,0),"")</f>
        <v/>
      </c>
    </row>
    <row r="4638" spans="1:11" ht="15" customHeight="1" x14ac:dyDescent="0.25">
      <c r="A4638" s="75">
        <v>39</v>
      </c>
      <c r="B4638" s="75">
        <v>53</v>
      </c>
      <c r="C4638" s="75" t="s">
        <v>10</v>
      </c>
      <c r="D4638" s="75">
        <v>9927</v>
      </c>
      <c r="F4638" s="75" t="s">
        <v>10</v>
      </c>
      <c r="H4638" s="75" t="s">
        <v>10</v>
      </c>
      <c r="I4638" s="75">
        <v>19489</v>
      </c>
      <c r="K4638" s="75" t="str">
        <f>IFERROR(VLOOKUP(J4638,'NQ10'!$B$9:$C$145,2,0),"")</f>
        <v/>
      </c>
    </row>
    <row r="4639" spans="1:11" ht="15" customHeight="1" x14ac:dyDescent="0.25">
      <c r="A4639" s="75">
        <v>39</v>
      </c>
      <c r="B4639" s="75">
        <v>54</v>
      </c>
      <c r="C4639" s="75" t="s">
        <v>10</v>
      </c>
      <c r="D4639" s="75">
        <v>3458</v>
      </c>
      <c r="F4639" s="75" t="s">
        <v>10</v>
      </c>
      <c r="H4639" s="75" t="s">
        <v>10</v>
      </c>
      <c r="I4639" s="75">
        <v>19489</v>
      </c>
      <c r="K4639" s="75" t="str">
        <f>IFERROR(VLOOKUP(J4639,'NQ10'!$B$9:$C$145,2,0),"")</f>
        <v/>
      </c>
    </row>
    <row r="4640" spans="1:11" ht="15" customHeight="1" x14ac:dyDescent="0.25">
      <c r="A4640" s="75">
        <v>39</v>
      </c>
      <c r="B4640" s="75">
        <v>55</v>
      </c>
      <c r="C4640" s="75" t="s">
        <v>10</v>
      </c>
      <c r="D4640" s="75">
        <v>242</v>
      </c>
      <c r="F4640" s="75" t="s">
        <v>10</v>
      </c>
      <c r="H4640" s="75" t="s">
        <v>10</v>
      </c>
      <c r="I4640" s="75">
        <v>19489</v>
      </c>
      <c r="K4640" s="75" t="str">
        <f>IFERROR(VLOOKUP(J4640,'NQ10'!$B$9:$C$145,2,0),"")</f>
        <v/>
      </c>
    </row>
    <row r="4641" spans="1:11" ht="15" customHeight="1" x14ac:dyDescent="0.25">
      <c r="A4641" s="75">
        <v>39</v>
      </c>
      <c r="B4641" s="75">
        <v>56</v>
      </c>
      <c r="C4641" s="75" t="s">
        <v>10</v>
      </c>
      <c r="D4641" s="75">
        <v>371</v>
      </c>
      <c r="F4641" s="75" t="s">
        <v>10</v>
      </c>
      <c r="H4641" s="75" t="s">
        <v>10</v>
      </c>
      <c r="I4641" s="75">
        <v>19489</v>
      </c>
      <c r="K4641" s="75" t="str">
        <f>IFERROR(VLOOKUP(J4641,'NQ10'!$B$9:$C$145,2,0),"")</f>
        <v/>
      </c>
    </row>
    <row r="4642" spans="1:11" ht="15" customHeight="1" x14ac:dyDescent="0.25">
      <c r="A4642" s="75">
        <v>39</v>
      </c>
      <c r="B4642" s="75">
        <v>57</v>
      </c>
      <c r="C4642" s="75" t="s">
        <v>10</v>
      </c>
      <c r="D4642" s="75">
        <v>6163</v>
      </c>
      <c r="F4642" s="75" t="s">
        <v>10</v>
      </c>
      <c r="H4642" s="75" t="s">
        <v>10</v>
      </c>
      <c r="I4642" s="75">
        <v>19489</v>
      </c>
      <c r="K4642" s="75" t="str">
        <f>IFERROR(VLOOKUP(J4642,'NQ10'!$B$9:$C$145,2,0),"")</f>
        <v/>
      </c>
    </row>
    <row r="4643" spans="1:11" ht="15" customHeight="1" x14ac:dyDescent="0.25">
      <c r="A4643" s="75">
        <v>39</v>
      </c>
      <c r="B4643" s="75">
        <v>58</v>
      </c>
      <c r="C4643" s="75" t="s">
        <v>10</v>
      </c>
      <c r="D4643" s="75">
        <v>5213</v>
      </c>
      <c r="F4643" s="75" t="s">
        <v>10</v>
      </c>
      <c r="H4643" s="75" t="s">
        <v>10</v>
      </c>
      <c r="I4643" s="75">
        <v>19489</v>
      </c>
      <c r="K4643" s="75" t="str">
        <f>IFERROR(VLOOKUP(J4643,'NQ10'!$B$9:$C$145,2,0),"")</f>
        <v/>
      </c>
    </row>
    <row r="4644" spans="1:11" ht="15" customHeight="1" x14ac:dyDescent="0.25">
      <c r="A4644" s="75">
        <v>39</v>
      </c>
      <c r="B4644" s="75">
        <v>59</v>
      </c>
      <c r="C4644" s="75" t="s">
        <v>10</v>
      </c>
      <c r="D4644" s="75">
        <v>2159</v>
      </c>
      <c r="F4644" s="75" t="s">
        <v>10</v>
      </c>
      <c r="H4644" s="75" t="s">
        <v>10</v>
      </c>
      <c r="I4644" s="75">
        <v>19489</v>
      </c>
      <c r="K4644" s="75" t="str">
        <f>IFERROR(VLOOKUP(J4644,'NQ10'!$B$9:$C$145,2,0),"")</f>
        <v/>
      </c>
    </row>
    <row r="4645" spans="1:11" ht="15" customHeight="1" x14ac:dyDescent="0.25">
      <c r="A4645" s="75">
        <v>39</v>
      </c>
      <c r="B4645" s="75">
        <v>60</v>
      </c>
      <c r="C4645" s="75" t="s">
        <v>10</v>
      </c>
      <c r="D4645" s="75">
        <v>4633</v>
      </c>
      <c r="F4645" s="75" t="s">
        <v>10</v>
      </c>
      <c r="H4645" s="75" t="s">
        <v>10</v>
      </c>
      <c r="I4645" s="75">
        <v>19489</v>
      </c>
      <c r="K4645" s="75" t="str">
        <f>IFERROR(VLOOKUP(J4645,'NQ10'!$B$9:$C$145,2,0),"")</f>
        <v/>
      </c>
    </row>
    <row r="4646" spans="1:11" ht="15" customHeight="1" x14ac:dyDescent="0.25">
      <c r="A4646" s="75">
        <v>39</v>
      </c>
      <c r="B4646" s="75">
        <v>61</v>
      </c>
      <c r="C4646" s="75" t="s">
        <v>10</v>
      </c>
      <c r="D4646" s="75">
        <v>407</v>
      </c>
      <c r="F4646" s="75" t="s">
        <v>10</v>
      </c>
      <c r="H4646" s="75" t="s">
        <v>10</v>
      </c>
      <c r="I4646" s="75">
        <v>19489</v>
      </c>
      <c r="K4646" s="75" t="str">
        <f>IFERROR(VLOOKUP(J4646,'NQ10'!$B$9:$C$145,2,0),"")</f>
        <v/>
      </c>
    </row>
    <row r="4647" spans="1:11" ht="15" customHeight="1" x14ac:dyDescent="0.25">
      <c r="A4647" s="75">
        <v>39</v>
      </c>
      <c r="B4647" s="75">
        <v>62</v>
      </c>
      <c r="C4647" s="75" t="s">
        <v>10</v>
      </c>
      <c r="D4647" s="75">
        <v>1589</v>
      </c>
      <c r="F4647" s="75" t="s">
        <v>10</v>
      </c>
      <c r="H4647" s="75" t="s">
        <v>10</v>
      </c>
      <c r="I4647" s="75">
        <v>19489</v>
      </c>
      <c r="K4647" s="75" t="str">
        <f>IFERROR(VLOOKUP(J4647,'NQ10'!$B$9:$C$145,2,0),"")</f>
        <v/>
      </c>
    </row>
    <row r="4648" spans="1:11" ht="15" customHeight="1" x14ac:dyDescent="0.25">
      <c r="A4648" s="75">
        <v>39</v>
      </c>
      <c r="B4648" s="75">
        <v>63</v>
      </c>
      <c r="C4648" s="75" t="s">
        <v>10</v>
      </c>
      <c r="D4648" s="75">
        <v>3522</v>
      </c>
      <c r="F4648" s="75" t="s">
        <v>10</v>
      </c>
      <c r="H4648" s="75" t="s">
        <v>10</v>
      </c>
      <c r="I4648" s="75">
        <v>19489</v>
      </c>
      <c r="K4648" s="75" t="str">
        <f>IFERROR(VLOOKUP(J4648,'NQ10'!$B$9:$C$145,2,0),"")</f>
        <v/>
      </c>
    </row>
    <row r="4649" spans="1:11" ht="15" customHeight="1" x14ac:dyDescent="0.25">
      <c r="A4649" s="75">
        <v>39</v>
      </c>
      <c r="B4649" s="75">
        <v>64</v>
      </c>
      <c r="C4649" s="75" t="s">
        <v>10</v>
      </c>
      <c r="D4649" s="75">
        <v>17800</v>
      </c>
      <c r="F4649" s="75" t="s">
        <v>10</v>
      </c>
      <c r="H4649" s="75" t="s">
        <v>10</v>
      </c>
      <c r="I4649" s="75">
        <v>19489</v>
      </c>
      <c r="K4649" s="75" t="str">
        <f>IFERROR(VLOOKUP(J4649,'NQ10'!$B$9:$C$145,2,0),"")</f>
        <v/>
      </c>
    </row>
    <row r="4650" spans="1:11" ht="15" customHeight="1" x14ac:dyDescent="0.25">
      <c r="A4650" s="75">
        <v>39</v>
      </c>
      <c r="B4650" s="75">
        <v>67</v>
      </c>
      <c r="C4650" s="75" t="s">
        <v>10</v>
      </c>
      <c r="D4650" s="75">
        <v>300</v>
      </c>
      <c r="F4650" s="75" t="s">
        <v>10</v>
      </c>
      <c r="H4650" s="75" t="s">
        <v>10</v>
      </c>
      <c r="I4650" s="75">
        <v>19489</v>
      </c>
      <c r="K4650" s="75" t="str">
        <f>IFERROR(VLOOKUP(J4650,'NQ10'!$B$9:$C$145,2,0),"")</f>
        <v/>
      </c>
    </row>
    <row r="4651" spans="1:11" ht="15" customHeight="1" x14ac:dyDescent="0.25">
      <c r="A4651" s="75">
        <v>39</v>
      </c>
      <c r="B4651" s="75">
        <v>68</v>
      </c>
      <c r="C4651" s="75" t="s">
        <v>10</v>
      </c>
      <c r="D4651" s="75">
        <v>542</v>
      </c>
      <c r="F4651" s="75" t="s">
        <v>10</v>
      </c>
      <c r="H4651" s="75" t="s">
        <v>10</v>
      </c>
      <c r="I4651" s="75">
        <v>19489</v>
      </c>
      <c r="K4651" s="75" t="str">
        <f>IFERROR(VLOOKUP(J4651,'NQ10'!$B$9:$C$145,2,0),"")</f>
        <v/>
      </c>
    </row>
    <row r="4652" spans="1:11" ht="15" customHeight="1" x14ac:dyDescent="0.25">
      <c r="A4652" s="75">
        <v>39</v>
      </c>
      <c r="B4652" s="75">
        <v>70</v>
      </c>
      <c r="C4652" s="75" t="s">
        <v>10</v>
      </c>
      <c r="D4652" s="75">
        <v>168</v>
      </c>
      <c r="F4652" s="75" t="s">
        <v>10</v>
      </c>
      <c r="H4652" s="75" t="s">
        <v>10</v>
      </c>
      <c r="I4652" s="75">
        <v>19489</v>
      </c>
      <c r="K4652" s="75" t="str">
        <f>IFERROR(VLOOKUP(J4652,'NQ10'!$B$9:$C$145,2,0),"")</f>
        <v/>
      </c>
    </row>
    <row r="4653" spans="1:11" ht="15" customHeight="1" x14ac:dyDescent="0.25">
      <c r="A4653" s="75">
        <v>39</v>
      </c>
      <c r="B4653" s="75">
        <v>71</v>
      </c>
      <c r="C4653" s="75" t="s">
        <v>10</v>
      </c>
      <c r="D4653" s="75">
        <v>262</v>
      </c>
      <c r="F4653" s="75" t="s">
        <v>10</v>
      </c>
      <c r="H4653" s="75" t="s">
        <v>10</v>
      </c>
      <c r="I4653" s="75">
        <v>19489</v>
      </c>
      <c r="K4653" s="75" t="str">
        <f>IFERROR(VLOOKUP(J4653,'NQ10'!$B$9:$C$145,2,0),"")</f>
        <v/>
      </c>
    </row>
    <row r="4654" spans="1:11" ht="15" customHeight="1" x14ac:dyDescent="0.25">
      <c r="A4654" s="75">
        <v>39</v>
      </c>
      <c r="B4654" s="75">
        <v>72</v>
      </c>
      <c r="C4654" s="75" t="s">
        <v>10</v>
      </c>
      <c r="D4654" s="75">
        <v>7107</v>
      </c>
      <c r="F4654" s="75" t="s">
        <v>10</v>
      </c>
      <c r="H4654" s="75" t="s">
        <v>10</v>
      </c>
      <c r="I4654" s="75">
        <v>19489</v>
      </c>
      <c r="K4654" s="75" t="str">
        <f>IFERROR(VLOOKUP(J4654,'NQ10'!$B$9:$C$145,2,0),"")</f>
        <v/>
      </c>
    </row>
    <row r="4655" spans="1:11" ht="15" customHeight="1" x14ac:dyDescent="0.25">
      <c r="A4655" s="75">
        <v>39</v>
      </c>
      <c r="B4655" s="75">
        <v>73</v>
      </c>
      <c r="C4655" s="75" t="s">
        <v>10</v>
      </c>
      <c r="D4655" s="75">
        <v>4842</v>
      </c>
      <c r="F4655" s="75" t="s">
        <v>10</v>
      </c>
      <c r="H4655" s="75" t="s">
        <v>10</v>
      </c>
      <c r="I4655" s="75">
        <v>19489</v>
      </c>
      <c r="K4655" s="75" t="str">
        <f>IFERROR(VLOOKUP(J4655,'NQ10'!$B$9:$C$145,2,0),"")</f>
        <v/>
      </c>
    </row>
    <row r="4656" spans="1:11" ht="15" customHeight="1" x14ac:dyDescent="0.25">
      <c r="A4656" s="75">
        <v>39</v>
      </c>
      <c r="B4656" s="75">
        <v>74</v>
      </c>
      <c r="C4656" s="75" t="s">
        <v>10</v>
      </c>
      <c r="D4656" s="75">
        <v>978</v>
      </c>
      <c r="F4656" s="75" t="s">
        <v>10</v>
      </c>
      <c r="H4656" s="75" t="s">
        <v>10</v>
      </c>
      <c r="I4656" s="75">
        <v>19489</v>
      </c>
      <c r="K4656" s="75" t="str">
        <f>IFERROR(VLOOKUP(J4656,'NQ10'!$B$9:$C$145,2,0),"")</f>
        <v/>
      </c>
    </row>
    <row r="4657" spans="1:11" ht="15" customHeight="1" x14ac:dyDescent="0.25">
      <c r="A4657" s="75">
        <v>39</v>
      </c>
      <c r="B4657" s="75">
        <v>75</v>
      </c>
      <c r="C4657" s="75" t="s">
        <v>10</v>
      </c>
      <c r="D4657" s="75">
        <v>1385</v>
      </c>
      <c r="F4657" s="75" t="s">
        <v>10</v>
      </c>
      <c r="H4657" s="75" t="s">
        <v>10</v>
      </c>
      <c r="I4657" s="75">
        <v>19489</v>
      </c>
      <c r="K4657" s="75" t="str">
        <f>IFERROR(VLOOKUP(J4657,'NQ10'!$B$9:$C$145,2,0),"")</f>
        <v/>
      </c>
    </row>
    <row r="4658" spans="1:11" ht="15" customHeight="1" x14ac:dyDescent="0.25">
      <c r="A4658" s="75">
        <v>39</v>
      </c>
      <c r="B4658" s="75">
        <v>76</v>
      </c>
      <c r="C4658" s="75" t="s">
        <v>10</v>
      </c>
      <c r="D4658" s="75">
        <v>263</v>
      </c>
      <c r="F4658" s="75" t="s">
        <v>10</v>
      </c>
      <c r="H4658" s="75" t="s">
        <v>10</v>
      </c>
      <c r="I4658" s="75">
        <v>19489</v>
      </c>
      <c r="K4658" s="75" t="str">
        <f>IFERROR(VLOOKUP(J4658,'NQ10'!$B$9:$C$145,2,0),"")</f>
        <v/>
      </c>
    </row>
    <row r="4659" spans="1:11" ht="15" customHeight="1" x14ac:dyDescent="0.25">
      <c r="A4659" s="75">
        <v>39</v>
      </c>
      <c r="B4659" s="75">
        <v>77</v>
      </c>
      <c r="C4659" s="75" t="s">
        <v>10</v>
      </c>
      <c r="D4659" s="75">
        <v>5979</v>
      </c>
      <c r="F4659" s="75" t="s">
        <v>10</v>
      </c>
      <c r="H4659" s="75" t="s">
        <v>10</v>
      </c>
      <c r="I4659" s="75">
        <v>19489</v>
      </c>
      <c r="K4659" s="75" t="str">
        <f>IFERROR(VLOOKUP(J4659,'NQ10'!$B$9:$C$145,2,0),"")</f>
        <v/>
      </c>
    </row>
    <row r="4660" spans="1:11" ht="15" customHeight="1" x14ac:dyDescent="0.25">
      <c r="A4660" s="75">
        <v>39</v>
      </c>
      <c r="B4660" s="75">
        <v>78</v>
      </c>
      <c r="C4660" s="75" t="s">
        <v>10</v>
      </c>
      <c r="D4660" s="75">
        <v>18257</v>
      </c>
      <c r="F4660" s="75" t="s">
        <v>10</v>
      </c>
      <c r="H4660" s="75" t="s">
        <v>10</v>
      </c>
      <c r="I4660" s="75">
        <v>19489</v>
      </c>
      <c r="K4660" s="75" t="str">
        <f>IFERROR(VLOOKUP(J4660,'NQ10'!$B$9:$C$145,2,0),"")</f>
        <v/>
      </c>
    </row>
    <row r="4661" spans="1:11" ht="15" customHeight="1" x14ac:dyDescent="0.25">
      <c r="A4661" s="75">
        <v>39</v>
      </c>
      <c r="B4661" s="75">
        <v>79</v>
      </c>
      <c r="C4661" s="75" t="s">
        <v>10</v>
      </c>
      <c r="D4661" s="75">
        <v>1162</v>
      </c>
      <c r="F4661" s="75" t="s">
        <v>10</v>
      </c>
      <c r="H4661" s="75" t="s">
        <v>10</v>
      </c>
      <c r="I4661" s="75">
        <v>19489</v>
      </c>
      <c r="K4661" s="75" t="str">
        <f>IFERROR(VLOOKUP(J4661,'NQ10'!$B$9:$C$145,2,0),"")</f>
        <v/>
      </c>
    </row>
    <row r="4662" spans="1:11" ht="15" customHeight="1" x14ac:dyDescent="0.25">
      <c r="A4662" s="75">
        <v>39</v>
      </c>
      <c r="B4662" s="75">
        <v>81</v>
      </c>
      <c r="C4662" s="75" t="s">
        <v>10</v>
      </c>
      <c r="D4662" s="75">
        <v>779</v>
      </c>
      <c r="F4662" s="75" t="s">
        <v>10</v>
      </c>
      <c r="H4662" s="75" t="s">
        <v>10</v>
      </c>
      <c r="I4662" s="75">
        <v>19489</v>
      </c>
      <c r="K4662" s="75" t="str">
        <f>IFERROR(VLOOKUP(J4662,'NQ10'!$B$9:$C$145,2,0),"")</f>
        <v/>
      </c>
    </row>
    <row r="4663" spans="1:11" ht="15" customHeight="1" x14ac:dyDescent="0.25">
      <c r="A4663" s="75">
        <v>39</v>
      </c>
      <c r="B4663" s="75">
        <v>82</v>
      </c>
      <c r="C4663" s="75" t="s">
        <v>10</v>
      </c>
      <c r="D4663" s="75">
        <v>281</v>
      </c>
      <c r="F4663" s="75" t="s">
        <v>10</v>
      </c>
      <c r="H4663" s="75" t="s">
        <v>10</v>
      </c>
      <c r="I4663" s="75">
        <v>19489</v>
      </c>
      <c r="K4663" s="75" t="str">
        <f>IFERROR(VLOOKUP(J4663,'NQ10'!$B$9:$C$145,2,0),"")</f>
        <v/>
      </c>
    </row>
    <row r="4664" spans="1:11" ht="15" customHeight="1" x14ac:dyDescent="0.25">
      <c r="A4664" s="75">
        <v>39</v>
      </c>
      <c r="B4664" s="75">
        <v>83</v>
      </c>
      <c r="C4664" s="75" t="s">
        <v>10</v>
      </c>
      <c r="D4664" s="75">
        <v>411</v>
      </c>
      <c r="F4664" s="75" t="s">
        <v>10</v>
      </c>
      <c r="H4664" s="75" t="s">
        <v>10</v>
      </c>
      <c r="I4664" s="75">
        <v>19489</v>
      </c>
      <c r="K4664" s="75" t="str">
        <f>IFERROR(VLOOKUP(J4664,'NQ10'!$B$9:$C$145,2,0),"")</f>
        <v/>
      </c>
    </row>
    <row r="4665" spans="1:11" ht="15" customHeight="1" x14ac:dyDescent="0.25">
      <c r="A4665" s="75">
        <v>39</v>
      </c>
      <c r="B4665" s="75">
        <v>84</v>
      </c>
      <c r="C4665" s="75" t="s">
        <v>10</v>
      </c>
      <c r="D4665" s="75">
        <v>6205</v>
      </c>
      <c r="F4665" s="75" t="s">
        <v>10</v>
      </c>
      <c r="H4665" s="75" t="s">
        <v>10</v>
      </c>
      <c r="I4665" s="75">
        <v>19489</v>
      </c>
      <c r="K4665" s="75" t="str">
        <f>IFERROR(VLOOKUP(J4665,'NQ10'!$B$9:$C$145,2,0),"")</f>
        <v/>
      </c>
    </row>
    <row r="4666" spans="1:11" ht="15" customHeight="1" x14ac:dyDescent="0.25">
      <c r="A4666" s="75">
        <v>39</v>
      </c>
      <c r="B4666" s="75">
        <v>85</v>
      </c>
      <c r="C4666" s="75" t="s">
        <v>10</v>
      </c>
      <c r="D4666" s="75">
        <v>5138</v>
      </c>
      <c r="F4666" s="75" t="s">
        <v>10</v>
      </c>
      <c r="H4666" s="75" t="s">
        <v>10</v>
      </c>
      <c r="I4666" s="75">
        <v>19489</v>
      </c>
      <c r="K4666" s="75" t="str">
        <f>IFERROR(VLOOKUP(J4666,'NQ10'!$B$9:$C$145,2,0),"")</f>
        <v/>
      </c>
    </row>
    <row r="4667" spans="1:11" ht="15" customHeight="1" x14ac:dyDescent="0.25">
      <c r="A4667" s="75">
        <v>39</v>
      </c>
      <c r="B4667" s="75">
        <v>86</v>
      </c>
      <c r="C4667" s="75" t="s">
        <v>10</v>
      </c>
      <c r="D4667" s="75">
        <v>1177</v>
      </c>
      <c r="F4667" s="75" t="s">
        <v>10</v>
      </c>
      <c r="H4667" s="75" t="s">
        <v>10</v>
      </c>
      <c r="I4667" s="75">
        <v>19489</v>
      </c>
      <c r="K4667" s="75" t="str">
        <f>IFERROR(VLOOKUP(J4667,'NQ10'!$B$9:$C$145,2,0),"")</f>
        <v/>
      </c>
    </row>
    <row r="4668" spans="1:11" ht="15" customHeight="1" x14ac:dyDescent="0.25">
      <c r="A4668" s="75">
        <v>39</v>
      </c>
      <c r="B4668" s="75">
        <v>87</v>
      </c>
      <c r="C4668" s="75" t="s">
        <v>10</v>
      </c>
      <c r="D4668" s="75">
        <v>2816</v>
      </c>
      <c r="F4668" s="75" t="s">
        <v>10</v>
      </c>
      <c r="H4668" s="75" t="s">
        <v>10</v>
      </c>
      <c r="I4668" s="75">
        <v>19489</v>
      </c>
      <c r="K4668" s="75" t="str">
        <f>IFERROR(VLOOKUP(J4668,'NQ10'!$B$9:$C$145,2,0),"")</f>
        <v/>
      </c>
    </row>
    <row r="4669" spans="1:11" ht="15" customHeight="1" x14ac:dyDescent="0.25">
      <c r="A4669" s="75">
        <v>39</v>
      </c>
      <c r="B4669" s="75">
        <v>88</v>
      </c>
      <c r="C4669" s="75" t="s">
        <v>10</v>
      </c>
      <c r="D4669" s="75">
        <v>687</v>
      </c>
      <c r="F4669" s="75" t="s">
        <v>10</v>
      </c>
      <c r="H4669" s="75" t="s">
        <v>10</v>
      </c>
      <c r="I4669" s="75">
        <v>19489</v>
      </c>
      <c r="K4669" s="75" t="str">
        <f>IFERROR(VLOOKUP(J4669,'NQ10'!$B$9:$C$145,2,0),"")</f>
        <v/>
      </c>
    </row>
    <row r="4670" spans="1:11" ht="15" customHeight="1" x14ac:dyDescent="0.25">
      <c r="A4670" s="75">
        <v>39</v>
      </c>
      <c r="B4670" s="75">
        <v>89</v>
      </c>
      <c r="C4670" s="75" t="s">
        <v>10</v>
      </c>
      <c r="D4670" s="75">
        <v>385</v>
      </c>
      <c r="F4670" s="75" t="s">
        <v>10</v>
      </c>
      <c r="H4670" s="75" t="s">
        <v>10</v>
      </c>
      <c r="I4670" s="75">
        <v>19489</v>
      </c>
      <c r="K4670" s="75" t="str">
        <f>IFERROR(VLOOKUP(J4670,'NQ10'!$B$9:$C$145,2,0),"")</f>
        <v/>
      </c>
    </row>
    <row r="4671" spans="1:11" ht="15" customHeight="1" x14ac:dyDescent="0.25">
      <c r="A4671" s="75">
        <v>39</v>
      </c>
      <c r="B4671" s="75">
        <v>91</v>
      </c>
      <c r="C4671" s="75" t="s">
        <v>10</v>
      </c>
      <c r="D4671" s="75">
        <v>368</v>
      </c>
      <c r="F4671" s="75" t="s">
        <v>10</v>
      </c>
      <c r="H4671" s="75" t="s">
        <v>10</v>
      </c>
      <c r="I4671" s="75">
        <v>19489</v>
      </c>
      <c r="K4671" s="75" t="str">
        <f>IFERROR(VLOOKUP(J4671,'NQ10'!$B$9:$C$145,2,0),"")</f>
        <v/>
      </c>
    </row>
    <row r="4672" spans="1:11" ht="15" customHeight="1" x14ac:dyDescent="0.25">
      <c r="A4672" s="75">
        <v>39</v>
      </c>
      <c r="B4672" s="75">
        <v>93</v>
      </c>
      <c r="C4672" s="75" t="s">
        <v>10</v>
      </c>
      <c r="D4672" s="75">
        <v>17016</v>
      </c>
      <c r="F4672" s="75" t="s">
        <v>10</v>
      </c>
      <c r="H4672" s="75" t="s">
        <v>10</v>
      </c>
      <c r="I4672" s="75">
        <v>19489</v>
      </c>
      <c r="K4672" s="75" t="str">
        <f>IFERROR(VLOOKUP(J4672,'NQ10'!$B$9:$C$145,2,0),"")</f>
        <v/>
      </c>
    </row>
    <row r="4673" spans="1:11" ht="15" customHeight="1" x14ac:dyDescent="0.25">
      <c r="A4673" s="75">
        <v>39</v>
      </c>
      <c r="B4673" s="75">
        <v>94</v>
      </c>
      <c r="C4673" s="75" t="s">
        <v>10</v>
      </c>
      <c r="D4673" s="75">
        <v>288</v>
      </c>
      <c r="F4673" s="75" t="s">
        <v>10</v>
      </c>
      <c r="H4673" s="75" t="s">
        <v>10</v>
      </c>
      <c r="I4673" s="75">
        <v>19489</v>
      </c>
      <c r="K4673" s="75" t="str">
        <f>IFERROR(VLOOKUP(J4673,'NQ10'!$B$9:$C$145,2,0),"")</f>
        <v/>
      </c>
    </row>
    <row r="4674" spans="1:11" ht="15" customHeight="1" x14ac:dyDescent="0.25">
      <c r="A4674" s="75">
        <v>39</v>
      </c>
      <c r="B4674" s="75">
        <v>95</v>
      </c>
      <c r="C4674" s="75" t="s">
        <v>10</v>
      </c>
      <c r="D4674" s="75">
        <v>953</v>
      </c>
      <c r="F4674" s="75" t="s">
        <v>10</v>
      </c>
      <c r="H4674" s="75" t="s">
        <v>10</v>
      </c>
      <c r="I4674" s="75">
        <v>19489</v>
      </c>
      <c r="K4674" s="75" t="str">
        <f>IFERROR(VLOOKUP(J4674,'NQ10'!$B$9:$C$145,2,0),"")</f>
        <v/>
      </c>
    </row>
    <row r="4675" spans="1:11" ht="15" customHeight="1" x14ac:dyDescent="0.25">
      <c r="A4675" s="75">
        <v>39</v>
      </c>
      <c r="B4675" s="75">
        <v>96</v>
      </c>
      <c r="C4675" s="75" t="s">
        <v>10</v>
      </c>
      <c r="D4675" s="75">
        <v>447</v>
      </c>
      <c r="F4675" s="75" t="s">
        <v>10</v>
      </c>
      <c r="H4675" s="75" t="s">
        <v>10</v>
      </c>
      <c r="I4675" s="75">
        <v>19489</v>
      </c>
      <c r="K4675" s="75" t="str">
        <f>IFERROR(VLOOKUP(J4675,'NQ10'!$B$9:$C$145,2,0),"")</f>
        <v/>
      </c>
    </row>
    <row r="4676" spans="1:11" ht="15" customHeight="1" x14ac:dyDescent="0.25">
      <c r="A4676" s="75">
        <v>39</v>
      </c>
      <c r="B4676" s="75">
        <v>97</v>
      </c>
      <c r="C4676" s="75" t="s">
        <v>10</v>
      </c>
      <c r="D4676" s="75">
        <v>13476</v>
      </c>
      <c r="F4676" s="75" t="s">
        <v>10</v>
      </c>
      <c r="H4676" s="75" t="s">
        <v>10</v>
      </c>
      <c r="I4676" s="75">
        <v>19489</v>
      </c>
      <c r="K4676" s="75" t="str">
        <f>IFERROR(VLOOKUP(J4676,'NQ10'!$B$9:$C$145,2,0),"")</f>
        <v/>
      </c>
    </row>
    <row r="4677" spans="1:11" ht="15" customHeight="1" x14ac:dyDescent="0.25">
      <c r="A4677" s="75">
        <v>39</v>
      </c>
      <c r="B4677" s="75">
        <v>98</v>
      </c>
      <c r="C4677" s="75" t="s">
        <v>10</v>
      </c>
      <c r="D4677" s="75">
        <v>6236</v>
      </c>
      <c r="F4677" s="75" t="s">
        <v>10</v>
      </c>
      <c r="H4677" s="75" t="s">
        <v>10</v>
      </c>
      <c r="I4677" s="75">
        <v>19489</v>
      </c>
      <c r="K4677" s="75" t="str">
        <f>IFERROR(VLOOKUP(J4677,'NQ10'!$B$9:$C$145,2,0),"")</f>
        <v/>
      </c>
    </row>
    <row r="4678" spans="1:11" ht="15" customHeight="1" x14ac:dyDescent="0.25">
      <c r="A4678" s="75">
        <v>39</v>
      </c>
      <c r="B4678" s="75">
        <v>99</v>
      </c>
      <c r="C4678" s="75" t="s">
        <v>10</v>
      </c>
      <c r="D4678" s="75">
        <v>6069</v>
      </c>
      <c r="F4678" s="75" t="s">
        <v>10</v>
      </c>
      <c r="H4678" s="75" t="s">
        <v>10</v>
      </c>
      <c r="I4678" s="75">
        <v>19489</v>
      </c>
      <c r="K4678" s="75" t="str">
        <f>IFERROR(VLOOKUP(J4678,'NQ10'!$B$9:$C$145,2,0),"")</f>
        <v/>
      </c>
    </row>
    <row r="4679" spans="1:11" ht="15" customHeight="1" x14ac:dyDescent="0.25">
      <c r="A4679" s="75">
        <v>39</v>
      </c>
      <c r="B4679" s="75">
        <v>100</v>
      </c>
      <c r="C4679" s="75" t="s">
        <v>10</v>
      </c>
      <c r="D4679" s="75">
        <v>469</v>
      </c>
      <c r="F4679" s="75" t="s">
        <v>10</v>
      </c>
      <c r="H4679" s="75" t="s">
        <v>10</v>
      </c>
      <c r="I4679" s="75">
        <v>19489</v>
      </c>
      <c r="K4679" s="75" t="str">
        <f>IFERROR(VLOOKUP(J4679,'NQ10'!$B$9:$C$145,2,0),"")</f>
        <v/>
      </c>
    </row>
    <row r="4680" spans="1:11" ht="15" customHeight="1" x14ac:dyDescent="0.25">
      <c r="A4680" s="75">
        <v>39</v>
      </c>
      <c r="B4680" s="75">
        <v>101</v>
      </c>
      <c r="C4680" s="75" t="s">
        <v>10</v>
      </c>
      <c r="D4680" s="75">
        <v>12785</v>
      </c>
      <c r="F4680" s="75" t="s">
        <v>10</v>
      </c>
      <c r="H4680" s="75" t="s">
        <v>10</v>
      </c>
      <c r="I4680" s="75">
        <v>19489</v>
      </c>
      <c r="K4680" s="75" t="str">
        <f>IFERROR(VLOOKUP(J4680,'NQ10'!$B$9:$C$145,2,0),"")</f>
        <v/>
      </c>
    </row>
    <row r="4681" spans="1:11" ht="15" customHeight="1" x14ac:dyDescent="0.25">
      <c r="A4681" s="75">
        <v>39</v>
      </c>
      <c r="B4681" s="75">
        <v>102</v>
      </c>
      <c r="C4681" s="75" t="s">
        <v>10</v>
      </c>
      <c r="D4681" s="75">
        <v>1104</v>
      </c>
      <c r="F4681" s="75" t="s">
        <v>10</v>
      </c>
      <c r="H4681" s="75" t="s">
        <v>10</v>
      </c>
      <c r="I4681" s="75">
        <v>19489</v>
      </c>
      <c r="K4681" s="75" t="str">
        <f>IFERROR(VLOOKUP(J4681,'NQ10'!$B$9:$C$145,2,0),"")</f>
        <v/>
      </c>
    </row>
    <row r="4682" spans="1:11" ht="15" customHeight="1" x14ac:dyDescent="0.25">
      <c r="A4682" s="75">
        <v>39</v>
      </c>
      <c r="B4682" s="75">
        <v>103</v>
      </c>
      <c r="C4682" s="75" t="s">
        <v>10</v>
      </c>
      <c r="D4682" s="75">
        <v>5966</v>
      </c>
      <c r="F4682" s="75" t="s">
        <v>10</v>
      </c>
      <c r="H4682" s="75" t="s">
        <v>10</v>
      </c>
      <c r="I4682" s="75">
        <v>19489</v>
      </c>
      <c r="K4682" s="75" t="str">
        <f>IFERROR(VLOOKUP(J4682,'NQ10'!$B$9:$C$145,2,0),"")</f>
        <v/>
      </c>
    </row>
    <row r="4683" spans="1:11" ht="15" customHeight="1" x14ac:dyDescent="0.25">
      <c r="A4683" s="75">
        <v>39</v>
      </c>
      <c r="B4683" s="75">
        <v>104</v>
      </c>
      <c r="C4683" s="75" t="s">
        <v>10</v>
      </c>
      <c r="D4683" s="75">
        <v>2952</v>
      </c>
      <c r="F4683" s="75" t="s">
        <v>10</v>
      </c>
      <c r="H4683" s="75" t="s">
        <v>10</v>
      </c>
      <c r="I4683" s="75">
        <v>19489</v>
      </c>
      <c r="K4683" s="75" t="str">
        <f>IFERROR(VLOOKUP(J4683,'NQ10'!$B$9:$C$145,2,0),"")</f>
        <v/>
      </c>
    </row>
    <row r="4684" spans="1:11" ht="15" customHeight="1" x14ac:dyDescent="0.25">
      <c r="A4684" s="75">
        <v>39</v>
      </c>
      <c r="B4684" s="75">
        <v>105</v>
      </c>
      <c r="C4684" s="75" t="s">
        <v>10</v>
      </c>
      <c r="D4684" s="75">
        <v>447</v>
      </c>
      <c r="F4684" s="75" t="s">
        <v>10</v>
      </c>
      <c r="H4684" s="75" t="s">
        <v>10</v>
      </c>
      <c r="I4684" s="75">
        <v>19489</v>
      </c>
      <c r="K4684" s="75" t="str">
        <f>IFERROR(VLOOKUP(J4684,'NQ10'!$B$9:$C$145,2,0),"")</f>
        <v/>
      </c>
    </row>
    <row r="4685" spans="1:11" ht="15" customHeight="1" x14ac:dyDescent="0.25">
      <c r="A4685" s="75">
        <v>39</v>
      </c>
      <c r="B4685" s="75">
        <v>106</v>
      </c>
      <c r="C4685" s="75" t="s">
        <v>10</v>
      </c>
      <c r="D4685" s="75">
        <v>6037</v>
      </c>
      <c r="F4685" s="75" t="s">
        <v>10</v>
      </c>
      <c r="H4685" s="75" t="s">
        <v>10</v>
      </c>
      <c r="I4685" s="75">
        <v>19489</v>
      </c>
      <c r="K4685" s="75" t="str">
        <f>IFERROR(VLOOKUP(J4685,'NQ10'!$B$9:$C$145,2,0),"")</f>
        <v/>
      </c>
    </row>
    <row r="4686" spans="1:11" ht="15" customHeight="1" x14ac:dyDescent="0.25">
      <c r="A4686" s="75">
        <v>39</v>
      </c>
      <c r="B4686" s="75">
        <v>107</v>
      </c>
      <c r="C4686" s="75" t="s">
        <v>10</v>
      </c>
      <c r="D4686" s="75">
        <v>718</v>
      </c>
      <c r="F4686" s="75" t="s">
        <v>10</v>
      </c>
      <c r="H4686" s="75" t="s">
        <v>10</v>
      </c>
      <c r="I4686" s="75">
        <v>19489</v>
      </c>
      <c r="K4686" s="75" t="str">
        <f>IFERROR(VLOOKUP(J4686,'NQ10'!$B$9:$C$145,2,0),"")</f>
        <v/>
      </c>
    </row>
    <row r="4687" spans="1:11" ht="15" customHeight="1" x14ac:dyDescent="0.25">
      <c r="A4687" s="75">
        <v>39</v>
      </c>
      <c r="B4687" s="75">
        <v>108</v>
      </c>
      <c r="C4687" s="75" t="s">
        <v>10</v>
      </c>
      <c r="D4687" s="75">
        <v>3372</v>
      </c>
      <c r="F4687" s="75" t="s">
        <v>10</v>
      </c>
      <c r="H4687" s="75" t="s">
        <v>10</v>
      </c>
      <c r="I4687" s="75">
        <v>19489</v>
      </c>
      <c r="K4687" s="75" t="str">
        <f>IFERROR(VLOOKUP(J4687,'NQ10'!$B$9:$C$145,2,0),"")</f>
        <v/>
      </c>
    </row>
    <row r="4688" spans="1:11" ht="15" customHeight="1" x14ac:dyDescent="0.25">
      <c r="A4688" s="75">
        <v>39</v>
      </c>
      <c r="B4688" s="75">
        <v>110</v>
      </c>
      <c r="C4688" s="75" t="s">
        <v>10</v>
      </c>
      <c r="D4688" s="75">
        <v>11765</v>
      </c>
      <c r="F4688" s="75" t="s">
        <v>10</v>
      </c>
      <c r="H4688" s="75" t="s">
        <v>10</v>
      </c>
      <c r="I4688" s="75">
        <v>19489</v>
      </c>
      <c r="K4688" s="75" t="str">
        <f>IFERROR(VLOOKUP(J4688,'NQ10'!$B$9:$C$145,2,0),"")</f>
        <v/>
      </c>
    </row>
    <row r="4689" spans="1:11" ht="15" customHeight="1" x14ac:dyDescent="0.25">
      <c r="A4689" s="75">
        <v>39</v>
      </c>
      <c r="B4689" s="75">
        <v>111</v>
      </c>
      <c r="C4689" s="75" t="s">
        <v>10</v>
      </c>
      <c r="D4689" s="75">
        <v>262</v>
      </c>
      <c r="F4689" s="75" t="s">
        <v>10</v>
      </c>
      <c r="H4689" s="75" t="s">
        <v>10</v>
      </c>
      <c r="I4689" s="75">
        <v>19489</v>
      </c>
      <c r="K4689" s="75" t="str">
        <f>IFERROR(VLOOKUP(J4689,'NQ10'!$B$9:$C$145,2,0),"")</f>
        <v/>
      </c>
    </row>
    <row r="4690" spans="1:11" ht="15" customHeight="1" x14ac:dyDescent="0.25">
      <c r="A4690" s="75">
        <v>39</v>
      </c>
      <c r="B4690" s="75">
        <v>112</v>
      </c>
      <c r="C4690" s="75" t="s">
        <v>10</v>
      </c>
      <c r="D4690" s="75">
        <v>208</v>
      </c>
      <c r="F4690" s="75" t="s">
        <v>10</v>
      </c>
      <c r="H4690" s="75" t="s">
        <v>10</v>
      </c>
      <c r="I4690" s="75">
        <v>19489</v>
      </c>
      <c r="K4690" s="75" t="str">
        <f>IFERROR(VLOOKUP(J4690,'NQ10'!$B$9:$C$145,2,0),"")</f>
        <v/>
      </c>
    </row>
    <row r="4691" spans="1:11" ht="15" customHeight="1" x14ac:dyDescent="0.25">
      <c r="A4691" s="75">
        <v>39</v>
      </c>
      <c r="B4691" s="75">
        <v>113</v>
      </c>
      <c r="C4691" s="75" t="s">
        <v>10</v>
      </c>
      <c r="D4691" s="75">
        <v>1396</v>
      </c>
      <c r="F4691" s="75" t="s">
        <v>10</v>
      </c>
      <c r="H4691" s="75" t="s">
        <v>10</v>
      </c>
      <c r="I4691" s="75">
        <v>19489</v>
      </c>
      <c r="K4691" s="75" t="str">
        <f>IFERROR(VLOOKUP(J4691,'NQ10'!$B$9:$C$145,2,0),"")</f>
        <v/>
      </c>
    </row>
    <row r="4692" spans="1:11" ht="15" customHeight="1" x14ac:dyDescent="0.25">
      <c r="A4692" s="75">
        <v>39</v>
      </c>
      <c r="B4692" s="75">
        <v>114</v>
      </c>
      <c r="C4692" s="75" t="s">
        <v>10</v>
      </c>
      <c r="D4692" s="75">
        <v>10454</v>
      </c>
      <c r="F4692" s="75" t="s">
        <v>10</v>
      </c>
      <c r="H4692" s="75" t="s">
        <v>10</v>
      </c>
      <c r="I4692" s="75">
        <v>19489</v>
      </c>
      <c r="K4692" s="75" t="str">
        <f>IFERROR(VLOOKUP(J4692,'NQ10'!$B$9:$C$145,2,0),"")</f>
        <v/>
      </c>
    </row>
    <row r="4693" spans="1:11" ht="15" customHeight="1" x14ac:dyDescent="0.25">
      <c r="A4693" s="75">
        <v>39</v>
      </c>
      <c r="B4693" s="75">
        <v>115</v>
      </c>
      <c r="C4693" s="75" t="s">
        <v>10</v>
      </c>
      <c r="D4693" s="75">
        <v>14012</v>
      </c>
      <c r="F4693" s="75" t="s">
        <v>10</v>
      </c>
      <c r="H4693" s="75" t="s">
        <v>10</v>
      </c>
      <c r="I4693" s="75">
        <v>19489</v>
      </c>
      <c r="K4693" s="75" t="str">
        <f>IFERROR(VLOOKUP(J4693,'NQ10'!$B$9:$C$145,2,0),"")</f>
        <v/>
      </c>
    </row>
    <row r="4694" spans="1:11" ht="15" customHeight="1" x14ac:dyDescent="0.25">
      <c r="A4694" s="75">
        <v>39</v>
      </c>
      <c r="B4694" s="75">
        <v>116</v>
      </c>
      <c r="C4694" s="75" t="s">
        <v>10</v>
      </c>
      <c r="D4694" s="75">
        <v>3067</v>
      </c>
      <c r="F4694" s="75" t="s">
        <v>10</v>
      </c>
      <c r="H4694" s="75" t="s">
        <v>10</v>
      </c>
      <c r="I4694" s="75">
        <v>19489</v>
      </c>
      <c r="K4694" s="75" t="str">
        <f>IFERROR(VLOOKUP(J4694,'NQ10'!$B$9:$C$145,2,0),"")</f>
        <v/>
      </c>
    </row>
    <row r="4695" spans="1:11" ht="15" customHeight="1" x14ac:dyDescent="0.25">
      <c r="A4695" s="75">
        <v>39</v>
      </c>
      <c r="B4695" s="75">
        <v>117</v>
      </c>
      <c r="C4695" s="75" t="s">
        <v>10</v>
      </c>
      <c r="D4695" s="75">
        <v>1205</v>
      </c>
      <c r="F4695" s="75" t="s">
        <v>10</v>
      </c>
      <c r="H4695" s="75" t="s">
        <v>10</v>
      </c>
      <c r="I4695" s="75">
        <v>19489</v>
      </c>
      <c r="K4695" s="75" t="str">
        <f>IFERROR(VLOOKUP(J4695,'NQ10'!$B$9:$C$145,2,0),"")</f>
        <v/>
      </c>
    </row>
    <row r="4696" spans="1:11" ht="15" customHeight="1" x14ac:dyDescent="0.25">
      <c r="A4696" s="75">
        <v>39</v>
      </c>
      <c r="B4696" s="75">
        <v>118</v>
      </c>
      <c r="C4696" s="75" t="s">
        <v>10</v>
      </c>
      <c r="D4696" s="75">
        <v>4101</v>
      </c>
      <c r="F4696" s="75" t="s">
        <v>10</v>
      </c>
      <c r="H4696" s="75" t="s">
        <v>10</v>
      </c>
      <c r="I4696" s="75">
        <v>19489</v>
      </c>
      <c r="K4696" s="75" t="str">
        <f>IFERROR(VLOOKUP(J4696,'NQ10'!$B$9:$C$145,2,0),"")</f>
        <v/>
      </c>
    </row>
    <row r="4697" spans="1:11" ht="15" customHeight="1" x14ac:dyDescent="0.25">
      <c r="A4697" s="75">
        <v>39</v>
      </c>
      <c r="B4697" s="75">
        <v>119</v>
      </c>
      <c r="C4697" s="75" t="s">
        <v>10</v>
      </c>
      <c r="D4697" s="75">
        <v>3862</v>
      </c>
      <c r="F4697" s="75" t="s">
        <v>10</v>
      </c>
      <c r="H4697" s="75" t="s">
        <v>10</v>
      </c>
      <c r="I4697" s="75">
        <v>19489</v>
      </c>
      <c r="K4697" s="75" t="str">
        <f>IFERROR(VLOOKUP(J4697,'NQ10'!$B$9:$C$145,2,0),"")</f>
        <v/>
      </c>
    </row>
    <row r="4698" spans="1:11" ht="15" customHeight="1" x14ac:dyDescent="0.25">
      <c r="A4698" s="75">
        <v>39</v>
      </c>
      <c r="B4698" s="75">
        <v>120</v>
      </c>
      <c r="C4698" s="75" t="s">
        <v>10</v>
      </c>
      <c r="D4698" s="75">
        <v>1491</v>
      </c>
      <c r="F4698" s="75" t="s">
        <v>10</v>
      </c>
      <c r="H4698" s="75" t="s">
        <v>10</v>
      </c>
      <c r="I4698" s="75">
        <v>19489</v>
      </c>
      <c r="K4698" s="75" t="str">
        <f>IFERROR(VLOOKUP(J4698,'NQ10'!$B$9:$C$145,2,0),"")</f>
        <v/>
      </c>
    </row>
    <row r="4699" spans="1:11" ht="15" customHeight="1" x14ac:dyDescent="0.25">
      <c r="A4699" s="75">
        <v>39</v>
      </c>
      <c r="B4699" s="75">
        <v>121</v>
      </c>
      <c r="C4699" s="75" t="s">
        <v>10</v>
      </c>
      <c r="D4699" s="75">
        <v>7418</v>
      </c>
      <c r="F4699" s="75" t="s">
        <v>10</v>
      </c>
      <c r="H4699" s="75" t="s">
        <v>10</v>
      </c>
      <c r="I4699" s="75">
        <v>19489</v>
      </c>
      <c r="K4699" s="75" t="str">
        <f>IFERROR(VLOOKUP(J4699,'NQ10'!$B$9:$C$145,2,0),"")</f>
        <v/>
      </c>
    </row>
    <row r="4700" spans="1:11" ht="15" customHeight="1" x14ac:dyDescent="0.25">
      <c r="A4700" s="75">
        <v>39</v>
      </c>
      <c r="B4700" s="75">
        <v>121</v>
      </c>
      <c r="C4700" s="75" t="s">
        <v>10</v>
      </c>
      <c r="D4700" s="75">
        <v>1896</v>
      </c>
      <c r="F4700" s="75" t="s">
        <v>10</v>
      </c>
      <c r="H4700" s="75" t="s">
        <v>10</v>
      </c>
      <c r="I4700" s="75">
        <v>19489</v>
      </c>
      <c r="K4700" s="75" t="str">
        <f>IFERROR(VLOOKUP(J4700,'NQ10'!$B$9:$C$145,2,0),"")</f>
        <v/>
      </c>
    </row>
    <row r="4701" spans="1:11" ht="15" customHeight="1" x14ac:dyDescent="0.25">
      <c r="A4701" s="75">
        <v>39</v>
      </c>
      <c r="B4701" s="75">
        <v>122</v>
      </c>
      <c r="C4701" s="75" t="s">
        <v>10</v>
      </c>
      <c r="D4701" s="75">
        <v>785</v>
      </c>
      <c r="F4701" s="75" t="s">
        <v>10</v>
      </c>
      <c r="H4701" s="75" t="s">
        <v>10</v>
      </c>
      <c r="I4701" s="75">
        <v>19489</v>
      </c>
      <c r="K4701" s="75" t="str">
        <f>IFERROR(VLOOKUP(J4701,'NQ10'!$B$9:$C$145,2,0),"")</f>
        <v/>
      </c>
    </row>
    <row r="4702" spans="1:11" ht="15" customHeight="1" x14ac:dyDescent="0.25">
      <c r="A4702" s="75">
        <v>39</v>
      </c>
      <c r="B4702" s="75">
        <v>123</v>
      </c>
      <c r="C4702" s="75" t="s">
        <v>10</v>
      </c>
      <c r="D4702" s="75">
        <v>528</v>
      </c>
      <c r="F4702" s="75" t="s">
        <v>10</v>
      </c>
      <c r="H4702" s="75" t="s">
        <v>10</v>
      </c>
      <c r="I4702" s="75">
        <v>19489</v>
      </c>
      <c r="K4702" s="75" t="str">
        <f>IFERROR(VLOOKUP(J4702,'NQ10'!$B$9:$C$145,2,0),"")</f>
        <v/>
      </c>
    </row>
    <row r="4703" spans="1:11" ht="15" customHeight="1" x14ac:dyDescent="0.25">
      <c r="A4703" s="75">
        <v>39</v>
      </c>
      <c r="B4703" s="75">
        <v>124</v>
      </c>
      <c r="C4703" s="75" t="s">
        <v>10</v>
      </c>
      <c r="D4703" s="75">
        <v>5447</v>
      </c>
      <c r="F4703" s="75" t="s">
        <v>10</v>
      </c>
      <c r="H4703" s="75" t="s">
        <v>10</v>
      </c>
      <c r="I4703" s="75">
        <v>19489</v>
      </c>
      <c r="K4703" s="75" t="str">
        <f>IFERROR(VLOOKUP(J4703,'NQ10'!$B$9:$C$145,2,0),"")</f>
        <v/>
      </c>
    </row>
    <row r="4704" spans="1:11" ht="15" customHeight="1" x14ac:dyDescent="0.25">
      <c r="A4704" s="75">
        <v>39</v>
      </c>
      <c r="B4704" s="75">
        <v>125</v>
      </c>
      <c r="C4704" s="75" t="s">
        <v>10</v>
      </c>
      <c r="D4704" s="75">
        <v>2761</v>
      </c>
      <c r="F4704" s="75" t="s">
        <v>10</v>
      </c>
      <c r="H4704" s="75" t="s">
        <v>10</v>
      </c>
      <c r="I4704" s="75">
        <v>19489</v>
      </c>
      <c r="K4704" s="75" t="str">
        <f>IFERROR(VLOOKUP(J4704,'NQ10'!$B$9:$C$145,2,0),"")</f>
        <v/>
      </c>
    </row>
    <row r="4705" spans="1:11" ht="15" customHeight="1" x14ac:dyDescent="0.25">
      <c r="A4705" s="75">
        <v>39</v>
      </c>
      <c r="B4705" s="75">
        <v>126</v>
      </c>
      <c r="C4705" s="75" t="s">
        <v>10</v>
      </c>
      <c r="D4705" s="75">
        <v>5619</v>
      </c>
      <c r="F4705" s="75" t="s">
        <v>10</v>
      </c>
      <c r="H4705" s="75" t="s">
        <v>10</v>
      </c>
      <c r="I4705" s="75">
        <v>19489</v>
      </c>
      <c r="K4705" s="75" t="str">
        <f>IFERROR(VLOOKUP(J4705,'NQ10'!$B$9:$C$145,2,0),"")</f>
        <v/>
      </c>
    </row>
    <row r="4706" spans="1:11" ht="15" customHeight="1" x14ac:dyDescent="0.25">
      <c r="A4706" s="75">
        <v>39</v>
      </c>
      <c r="B4706" s="75">
        <v>127</v>
      </c>
      <c r="C4706" s="75" t="s">
        <v>10</v>
      </c>
      <c r="D4706" s="75">
        <v>171</v>
      </c>
      <c r="F4706" s="75" t="s">
        <v>10</v>
      </c>
      <c r="H4706" s="75" t="s">
        <v>10</v>
      </c>
      <c r="I4706" s="75">
        <v>19489</v>
      </c>
      <c r="K4706" s="75" t="str">
        <f>IFERROR(VLOOKUP(J4706,'NQ10'!$B$9:$C$145,2,0),"")</f>
        <v/>
      </c>
    </row>
    <row r="4707" spans="1:11" ht="15" customHeight="1" x14ac:dyDescent="0.25">
      <c r="A4707" s="75">
        <v>39</v>
      </c>
      <c r="B4707" s="75">
        <v>128</v>
      </c>
      <c r="C4707" s="75" t="s">
        <v>10</v>
      </c>
      <c r="D4707" s="75">
        <v>723</v>
      </c>
      <c r="F4707" s="75" t="s">
        <v>10</v>
      </c>
      <c r="H4707" s="75" t="s">
        <v>10</v>
      </c>
      <c r="I4707" s="75">
        <v>19489</v>
      </c>
      <c r="K4707" s="75" t="str">
        <f>IFERROR(VLOOKUP(J4707,'NQ10'!$B$9:$C$145,2,0),"")</f>
        <v/>
      </c>
    </row>
    <row r="4708" spans="1:11" ht="15" customHeight="1" x14ac:dyDescent="0.25">
      <c r="A4708" s="75">
        <v>39</v>
      </c>
      <c r="B4708" s="75">
        <v>129</v>
      </c>
      <c r="C4708" s="75" t="s">
        <v>10</v>
      </c>
      <c r="D4708" s="75">
        <v>3836</v>
      </c>
      <c r="F4708" s="75" t="s">
        <v>10</v>
      </c>
      <c r="H4708" s="75" t="s">
        <v>10</v>
      </c>
      <c r="I4708" s="75">
        <v>19489</v>
      </c>
      <c r="K4708" s="75" t="str">
        <f>IFERROR(VLOOKUP(J4708,'NQ10'!$B$9:$C$145,2,0),"")</f>
        <v/>
      </c>
    </row>
    <row r="4709" spans="1:11" ht="15" customHeight="1" x14ac:dyDescent="0.25">
      <c r="A4709" s="75">
        <v>39</v>
      </c>
      <c r="B4709" s="75">
        <v>130</v>
      </c>
      <c r="C4709" s="75" t="s">
        <v>10</v>
      </c>
      <c r="D4709" s="75">
        <v>892</v>
      </c>
      <c r="F4709" s="75" t="s">
        <v>10</v>
      </c>
      <c r="H4709" s="75" t="s">
        <v>10</v>
      </c>
      <c r="I4709" s="75">
        <v>19489</v>
      </c>
      <c r="K4709" s="75" t="str">
        <f>IFERROR(VLOOKUP(J4709,'NQ10'!$B$9:$C$145,2,0),"")</f>
        <v/>
      </c>
    </row>
    <row r="4710" spans="1:11" ht="15" customHeight="1" x14ac:dyDescent="0.25">
      <c r="A4710" s="75">
        <v>39</v>
      </c>
      <c r="B4710" s="75">
        <v>131</v>
      </c>
      <c r="C4710" s="75" t="s">
        <v>10</v>
      </c>
      <c r="D4710" s="75">
        <v>309</v>
      </c>
      <c r="F4710" s="75" t="s">
        <v>10</v>
      </c>
      <c r="H4710" s="75" t="s">
        <v>10</v>
      </c>
      <c r="I4710" s="75">
        <v>19489</v>
      </c>
      <c r="K4710" s="75" t="str">
        <f>IFERROR(VLOOKUP(J4710,'NQ10'!$B$9:$C$145,2,0),"")</f>
        <v/>
      </c>
    </row>
    <row r="4711" spans="1:11" ht="15" customHeight="1" x14ac:dyDescent="0.25">
      <c r="A4711" s="75">
        <v>39</v>
      </c>
      <c r="B4711" s="75">
        <v>132</v>
      </c>
      <c r="C4711" s="75" t="s">
        <v>10</v>
      </c>
      <c r="D4711" s="75">
        <v>216</v>
      </c>
      <c r="F4711" s="75" t="s">
        <v>10</v>
      </c>
      <c r="H4711" s="75" t="s">
        <v>10</v>
      </c>
      <c r="I4711" s="75">
        <v>19489</v>
      </c>
      <c r="K4711" s="75" t="str">
        <f>IFERROR(VLOOKUP(J4711,'NQ10'!$B$9:$C$145,2,0),"")</f>
        <v/>
      </c>
    </row>
    <row r="4712" spans="1:11" ht="15" customHeight="1" x14ac:dyDescent="0.25">
      <c r="A4712" s="75">
        <v>39</v>
      </c>
      <c r="B4712" s="75">
        <v>133</v>
      </c>
      <c r="C4712" s="75" t="s">
        <v>10</v>
      </c>
      <c r="D4712" s="75">
        <v>152</v>
      </c>
      <c r="F4712" s="75" t="s">
        <v>10</v>
      </c>
      <c r="H4712" s="75" t="s">
        <v>10</v>
      </c>
      <c r="I4712" s="75">
        <v>19489</v>
      </c>
      <c r="K4712" s="75" t="str">
        <f>IFERROR(VLOOKUP(J4712,'NQ10'!$B$9:$C$145,2,0),"")</f>
        <v/>
      </c>
    </row>
    <row r="4713" spans="1:11" ht="15" customHeight="1" x14ac:dyDescent="0.25">
      <c r="A4713" s="75">
        <v>39</v>
      </c>
      <c r="B4713" s="75">
        <v>134</v>
      </c>
      <c r="C4713" s="75" t="s">
        <v>10</v>
      </c>
      <c r="D4713" s="75">
        <v>146</v>
      </c>
      <c r="F4713" s="75" t="s">
        <v>10</v>
      </c>
      <c r="H4713" s="75" t="s">
        <v>10</v>
      </c>
      <c r="I4713" s="75">
        <v>19489</v>
      </c>
      <c r="K4713" s="75" t="str">
        <f>IFERROR(VLOOKUP(J4713,'NQ10'!$B$9:$C$145,2,0),"")</f>
        <v/>
      </c>
    </row>
    <row r="4714" spans="1:11" ht="15" customHeight="1" x14ac:dyDescent="0.25">
      <c r="A4714" s="75">
        <v>39</v>
      </c>
      <c r="B4714" s="75">
        <v>135</v>
      </c>
      <c r="C4714" s="75" t="s">
        <v>10</v>
      </c>
      <c r="D4714" s="75">
        <v>1345</v>
      </c>
      <c r="F4714" s="75" t="s">
        <v>10</v>
      </c>
      <c r="H4714" s="75" t="s">
        <v>10</v>
      </c>
      <c r="I4714" s="75">
        <v>19489</v>
      </c>
      <c r="K4714" s="75" t="str">
        <f>IFERROR(VLOOKUP(J4714,'NQ10'!$B$9:$C$145,2,0),"")</f>
        <v/>
      </c>
    </row>
    <row r="4715" spans="1:11" ht="15" customHeight="1" x14ac:dyDescent="0.25">
      <c r="A4715" s="75">
        <v>39</v>
      </c>
      <c r="B4715" s="75">
        <v>136</v>
      </c>
      <c r="C4715" s="75" t="s">
        <v>10</v>
      </c>
      <c r="D4715" s="75">
        <v>633</v>
      </c>
      <c r="F4715" s="75" t="s">
        <v>10</v>
      </c>
      <c r="H4715" s="75" t="s">
        <v>10</v>
      </c>
      <c r="I4715" s="75">
        <v>19489</v>
      </c>
      <c r="K4715" s="75" t="str">
        <f>IFERROR(VLOOKUP(J4715,'NQ10'!$B$9:$C$145,2,0),"")</f>
        <v/>
      </c>
    </row>
    <row r="4716" spans="1:11" ht="15" customHeight="1" x14ac:dyDescent="0.25">
      <c r="A4716" s="75">
        <v>39</v>
      </c>
      <c r="B4716" s="75">
        <v>137</v>
      </c>
      <c r="C4716" s="75" t="s">
        <v>10</v>
      </c>
      <c r="D4716" s="75">
        <v>116</v>
      </c>
      <c r="F4716" s="75" t="s">
        <v>10</v>
      </c>
      <c r="H4716" s="75" t="s">
        <v>10</v>
      </c>
      <c r="I4716" s="75">
        <v>19489</v>
      </c>
      <c r="K4716" s="75" t="str">
        <f>IFERROR(VLOOKUP(J4716,'NQ10'!$B$9:$C$145,2,0),"")</f>
        <v/>
      </c>
    </row>
    <row r="4717" spans="1:11" ht="15" customHeight="1" x14ac:dyDescent="0.25">
      <c r="A4717" s="75">
        <v>39</v>
      </c>
      <c r="B4717" s="75">
        <v>138</v>
      </c>
      <c r="C4717" s="75" t="s">
        <v>10</v>
      </c>
      <c r="D4717" s="75">
        <v>77</v>
      </c>
      <c r="F4717" s="75" t="s">
        <v>10</v>
      </c>
      <c r="H4717" s="75" t="s">
        <v>10</v>
      </c>
      <c r="I4717" s="75">
        <v>19489</v>
      </c>
      <c r="K4717" s="75" t="str">
        <f>IFERROR(VLOOKUP(J4717,'NQ10'!$B$9:$C$145,2,0),"")</f>
        <v/>
      </c>
    </row>
    <row r="4718" spans="1:11" ht="15" customHeight="1" x14ac:dyDescent="0.25">
      <c r="A4718" s="75">
        <v>39</v>
      </c>
      <c r="B4718" s="75">
        <v>140</v>
      </c>
      <c r="C4718" s="75" t="s">
        <v>10</v>
      </c>
      <c r="D4718" s="75">
        <v>212</v>
      </c>
      <c r="F4718" s="75" t="s">
        <v>10</v>
      </c>
      <c r="H4718" s="75" t="s">
        <v>10</v>
      </c>
      <c r="I4718" s="75">
        <v>19489</v>
      </c>
      <c r="K4718" s="75" t="str">
        <f>IFERROR(VLOOKUP(J4718,'NQ10'!$B$9:$C$145,2,0),"")</f>
        <v/>
      </c>
    </row>
    <row r="4719" spans="1:11" ht="15" customHeight="1" x14ac:dyDescent="0.25">
      <c r="A4719" s="75">
        <v>39</v>
      </c>
      <c r="B4719" s="75">
        <v>141</v>
      </c>
      <c r="C4719" s="75" t="s">
        <v>10</v>
      </c>
      <c r="D4719" s="75">
        <v>925</v>
      </c>
      <c r="F4719" s="75" t="s">
        <v>10</v>
      </c>
      <c r="H4719" s="75" t="s">
        <v>10</v>
      </c>
      <c r="I4719" s="75">
        <v>19489</v>
      </c>
      <c r="K4719" s="75" t="str">
        <f>IFERROR(VLOOKUP(J4719,'NQ10'!$B$9:$C$145,2,0),"")</f>
        <v/>
      </c>
    </row>
    <row r="4720" spans="1:11" ht="15" customHeight="1" x14ac:dyDescent="0.25">
      <c r="A4720" s="75">
        <v>39</v>
      </c>
      <c r="B4720" s="75">
        <v>142</v>
      </c>
      <c r="C4720" s="75" t="s">
        <v>10</v>
      </c>
      <c r="D4720" s="75">
        <v>474</v>
      </c>
      <c r="F4720" s="75" t="s">
        <v>10</v>
      </c>
      <c r="H4720" s="75" t="s">
        <v>10</v>
      </c>
      <c r="I4720" s="75">
        <v>19489</v>
      </c>
      <c r="K4720" s="75" t="str">
        <f>IFERROR(VLOOKUP(J4720,'NQ10'!$B$9:$C$145,2,0),"")</f>
        <v/>
      </c>
    </row>
    <row r="4721" spans="1:11" ht="15" customHeight="1" x14ac:dyDescent="0.25">
      <c r="A4721" s="75">
        <v>39</v>
      </c>
      <c r="B4721" s="75">
        <v>143</v>
      </c>
      <c r="C4721" s="75" t="s">
        <v>10</v>
      </c>
      <c r="D4721" s="75">
        <v>4381</v>
      </c>
      <c r="F4721" s="75" t="s">
        <v>10</v>
      </c>
      <c r="H4721" s="75" t="s">
        <v>10</v>
      </c>
      <c r="I4721" s="75">
        <v>19489</v>
      </c>
      <c r="K4721" s="75" t="str">
        <f>IFERROR(VLOOKUP(J4721,'NQ10'!$B$9:$C$145,2,0),"")</f>
        <v/>
      </c>
    </row>
    <row r="4722" spans="1:11" ht="15" customHeight="1" x14ac:dyDescent="0.25">
      <c r="A4722" s="75">
        <v>39</v>
      </c>
      <c r="B4722" s="75">
        <v>144</v>
      </c>
      <c r="C4722" s="75" t="s">
        <v>10</v>
      </c>
      <c r="D4722" s="75">
        <v>8150</v>
      </c>
      <c r="F4722" s="75" t="s">
        <v>10</v>
      </c>
      <c r="H4722" s="75" t="s">
        <v>10</v>
      </c>
      <c r="I4722" s="75">
        <v>19489</v>
      </c>
      <c r="K4722" s="75" t="str">
        <f>IFERROR(VLOOKUP(J4722,'NQ10'!$B$9:$C$145,2,0),"")</f>
        <v/>
      </c>
    </row>
    <row r="4723" spans="1:11" ht="15" customHeight="1" x14ac:dyDescent="0.25">
      <c r="A4723" s="75">
        <v>39</v>
      </c>
      <c r="B4723" s="75">
        <v>145</v>
      </c>
      <c r="C4723" s="75" t="s">
        <v>10</v>
      </c>
      <c r="D4723" s="75">
        <v>5605</v>
      </c>
      <c r="F4723" s="75" t="s">
        <v>10</v>
      </c>
      <c r="H4723" s="75" t="s">
        <v>10</v>
      </c>
      <c r="I4723" s="75">
        <v>19489</v>
      </c>
      <c r="K4723" s="75" t="str">
        <f>IFERROR(VLOOKUP(J4723,'NQ10'!$B$9:$C$145,2,0),"")</f>
        <v/>
      </c>
    </row>
    <row r="4724" spans="1:11" ht="15" customHeight="1" x14ac:dyDescent="0.25">
      <c r="A4724" s="75">
        <v>39</v>
      </c>
      <c r="B4724" s="75">
        <v>146</v>
      </c>
      <c r="C4724" s="75" t="s">
        <v>10</v>
      </c>
      <c r="D4724" s="75">
        <v>252</v>
      </c>
      <c r="F4724" s="75" t="s">
        <v>10</v>
      </c>
      <c r="H4724" s="75" t="s">
        <v>10</v>
      </c>
      <c r="I4724" s="75">
        <v>19489</v>
      </c>
      <c r="K4724" s="75" t="str">
        <f>IFERROR(VLOOKUP(J4724,'NQ10'!$B$9:$C$145,2,0),"")</f>
        <v/>
      </c>
    </row>
    <row r="4725" spans="1:11" ht="15" customHeight="1" x14ac:dyDescent="0.25">
      <c r="A4725" s="75">
        <v>39</v>
      </c>
      <c r="B4725" s="75">
        <v>147</v>
      </c>
      <c r="C4725" s="75" t="s">
        <v>10</v>
      </c>
      <c r="D4725" s="75">
        <v>1995</v>
      </c>
      <c r="F4725" s="75" t="s">
        <v>10</v>
      </c>
      <c r="H4725" s="75" t="s">
        <v>10</v>
      </c>
      <c r="I4725" s="75">
        <v>19489</v>
      </c>
      <c r="K4725" s="75" t="str">
        <f>IFERROR(VLOOKUP(J4725,'NQ10'!$B$9:$C$145,2,0),"")</f>
        <v/>
      </c>
    </row>
    <row r="4726" spans="1:11" ht="15" customHeight="1" x14ac:dyDescent="0.25">
      <c r="A4726" s="75">
        <v>39</v>
      </c>
      <c r="B4726" s="75">
        <v>148</v>
      </c>
      <c r="C4726" s="75" t="s">
        <v>10</v>
      </c>
      <c r="D4726" s="75">
        <v>431</v>
      </c>
      <c r="F4726" s="75" t="s">
        <v>10</v>
      </c>
      <c r="H4726" s="75" t="s">
        <v>10</v>
      </c>
      <c r="I4726" s="75">
        <v>19489</v>
      </c>
      <c r="K4726" s="75" t="str">
        <f>IFERROR(VLOOKUP(J4726,'NQ10'!$B$9:$C$145,2,0),"")</f>
        <v/>
      </c>
    </row>
    <row r="4727" spans="1:11" ht="15" customHeight="1" x14ac:dyDescent="0.25">
      <c r="A4727" s="75">
        <v>39</v>
      </c>
      <c r="B4727" s="75">
        <v>149</v>
      </c>
      <c r="C4727" s="75" t="s">
        <v>10</v>
      </c>
      <c r="D4727" s="75">
        <v>220</v>
      </c>
      <c r="F4727" s="75" t="s">
        <v>10</v>
      </c>
      <c r="H4727" s="75" t="s">
        <v>10</v>
      </c>
      <c r="I4727" s="75">
        <v>19489</v>
      </c>
      <c r="K4727" s="75" t="str">
        <f>IFERROR(VLOOKUP(J4727,'NQ10'!$B$9:$C$145,2,0),"")</f>
        <v/>
      </c>
    </row>
    <row r="4728" spans="1:11" ht="15" customHeight="1" x14ac:dyDescent="0.25">
      <c r="A4728" s="75">
        <v>39</v>
      </c>
      <c r="B4728" s="75">
        <v>152</v>
      </c>
      <c r="C4728" s="75" t="s">
        <v>10</v>
      </c>
      <c r="D4728" s="75">
        <v>3614</v>
      </c>
      <c r="F4728" s="75" t="s">
        <v>10</v>
      </c>
      <c r="H4728" s="75" t="s">
        <v>10</v>
      </c>
      <c r="I4728" s="75">
        <v>19489</v>
      </c>
      <c r="K4728" s="75" t="str">
        <f>IFERROR(VLOOKUP(J4728,'NQ10'!$B$9:$C$145,2,0),"")</f>
        <v/>
      </c>
    </row>
    <row r="4729" spans="1:11" ht="15" customHeight="1" x14ac:dyDescent="0.25">
      <c r="A4729" s="75">
        <v>39</v>
      </c>
      <c r="B4729" s="75">
        <v>153</v>
      </c>
      <c r="C4729" s="75" t="s">
        <v>10</v>
      </c>
      <c r="D4729" s="75">
        <v>382</v>
      </c>
      <c r="F4729" s="75" t="s">
        <v>10</v>
      </c>
      <c r="H4729" s="75" t="s">
        <v>10</v>
      </c>
      <c r="I4729" s="75">
        <v>19489</v>
      </c>
      <c r="K4729" s="75" t="str">
        <f>IFERROR(VLOOKUP(J4729,'NQ10'!$B$9:$C$145,2,0),"")</f>
        <v/>
      </c>
    </row>
    <row r="4730" spans="1:11" ht="15" customHeight="1" x14ac:dyDescent="0.25">
      <c r="A4730" s="75">
        <v>39</v>
      </c>
      <c r="B4730" s="75">
        <v>154</v>
      </c>
      <c r="C4730" s="75" t="s">
        <v>10</v>
      </c>
      <c r="D4730" s="75">
        <v>244</v>
      </c>
      <c r="F4730" s="75" t="s">
        <v>10</v>
      </c>
      <c r="H4730" s="75" t="s">
        <v>10</v>
      </c>
      <c r="I4730" s="75">
        <v>19489</v>
      </c>
      <c r="K4730" s="75" t="str">
        <f>IFERROR(VLOOKUP(J4730,'NQ10'!$B$9:$C$145,2,0),"")</f>
        <v/>
      </c>
    </row>
    <row r="4731" spans="1:11" ht="15" customHeight="1" x14ac:dyDescent="0.25">
      <c r="A4731" s="75">
        <v>39</v>
      </c>
      <c r="B4731" s="75">
        <v>155</v>
      </c>
      <c r="C4731" s="75" t="s">
        <v>10</v>
      </c>
      <c r="D4731" s="75">
        <v>11498</v>
      </c>
      <c r="F4731" s="75" t="s">
        <v>10</v>
      </c>
      <c r="H4731" s="75" t="s">
        <v>10</v>
      </c>
      <c r="I4731" s="75">
        <v>19489</v>
      </c>
      <c r="K4731" s="75" t="str">
        <f>IFERROR(VLOOKUP(J4731,'NQ10'!$B$9:$C$145,2,0),"")</f>
        <v/>
      </c>
    </row>
    <row r="4732" spans="1:11" ht="15" customHeight="1" x14ac:dyDescent="0.25">
      <c r="A4732" s="75">
        <v>39</v>
      </c>
      <c r="B4732" s="75">
        <v>156</v>
      </c>
      <c r="C4732" s="75" t="s">
        <v>10</v>
      </c>
      <c r="D4732" s="75">
        <v>151</v>
      </c>
      <c r="F4732" s="75" t="s">
        <v>10</v>
      </c>
      <c r="H4732" s="75" t="s">
        <v>10</v>
      </c>
      <c r="I4732" s="75">
        <v>19489</v>
      </c>
      <c r="K4732" s="75" t="str">
        <f>IFERROR(VLOOKUP(J4732,'NQ10'!$B$9:$C$145,2,0),"")</f>
        <v/>
      </c>
    </row>
    <row r="4733" spans="1:11" ht="15" customHeight="1" x14ac:dyDescent="0.25">
      <c r="A4733" s="75">
        <v>39</v>
      </c>
      <c r="B4733" s="75">
        <v>158</v>
      </c>
      <c r="C4733" s="75" t="s">
        <v>10</v>
      </c>
      <c r="D4733" s="75">
        <v>468</v>
      </c>
      <c r="F4733" s="75" t="s">
        <v>10</v>
      </c>
      <c r="H4733" s="75" t="s">
        <v>10</v>
      </c>
      <c r="I4733" s="75">
        <v>19489</v>
      </c>
      <c r="K4733" s="75" t="str">
        <f>IFERROR(VLOOKUP(J4733,'NQ10'!$B$9:$C$145,2,0),"")</f>
        <v/>
      </c>
    </row>
    <row r="4734" spans="1:11" ht="15" customHeight="1" x14ac:dyDescent="0.25">
      <c r="A4734" s="75">
        <v>39</v>
      </c>
      <c r="B4734" s="75">
        <v>159</v>
      </c>
      <c r="C4734" s="75" t="s">
        <v>10</v>
      </c>
      <c r="D4734" s="75">
        <v>1148</v>
      </c>
      <c r="F4734" s="75" t="s">
        <v>10</v>
      </c>
      <c r="H4734" s="75" t="s">
        <v>10</v>
      </c>
      <c r="I4734" s="75">
        <v>19489</v>
      </c>
      <c r="K4734" s="75" t="str">
        <f>IFERROR(VLOOKUP(J4734,'NQ10'!$B$9:$C$145,2,0),"")</f>
        <v/>
      </c>
    </row>
    <row r="4735" spans="1:11" ht="15" customHeight="1" x14ac:dyDescent="0.25">
      <c r="A4735" s="75">
        <v>39</v>
      </c>
      <c r="B4735" s="75">
        <v>161</v>
      </c>
      <c r="C4735" s="75" t="s">
        <v>10</v>
      </c>
      <c r="D4735" s="75">
        <v>5314</v>
      </c>
      <c r="F4735" s="75" t="s">
        <v>10</v>
      </c>
      <c r="H4735" s="75" t="s">
        <v>10</v>
      </c>
      <c r="I4735" s="75">
        <v>19489</v>
      </c>
      <c r="K4735" s="75" t="str">
        <f>IFERROR(VLOOKUP(J4735,'NQ10'!$B$9:$C$145,2,0),"")</f>
        <v/>
      </c>
    </row>
    <row r="4736" spans="1:11" ht="15" customHeight="1" x14ac:dyDescent="0.25">
      <c r="A4736" s="75">
        <v>39</v>
      </c>
      <c r="B4736" s="75">
        <v>162</v>
      </c>
      <c r="C4736" s="75" t="s">
        <v>10</v>
      </c>
      <c r="D4736" s="75">
        <v>625</v>
      </c>
      <c r="F4736" s="75" t="s">
        <v>10</v>
      </c>
      <c r="H4736" s="75" t="s">
        <v>10</v>
      </c>
      <c r="I4736" s="75">
        <v>19489</v>
      </c>
      <c r="K4736" s="75" t="str">
        <f>IFERROR(VLOOKUP(J4736,'NQ10'!$B$9:$C$145,2,0),"")</f>
        <v/>
      </c>
    </row>
    <row r="4737" spans="1:11" ht="15" customHeight="1" x14ac:dyDescent="0.25">
      <c r="A4737" s="75">
        <v>39</v>
      </c>
      <c r="B4737" s="75">
        <v>163</v>
      </c>
      <c r="C4737" s="75" t="s">
        <v>10</v>
      </c>
      <c r="D4737" s="75">
        <v>282</v>
      </c>
      <c r="F4737" s="75" t="s">
        <v>10</v>
      </c>
      <c r="H4737" s="75" t="s">
        <v>10</v>
      </c>
      <c r="I4737" s="75">
        <v>19489</v>
      </c>
      <c r="K4737" s="75" t="str">
        <f>IFERROR(VLOOKUP(J4737,'NQ10'!$B$9:$C$145,2,0),"")</f>
        <v/>
      </c>
    </row>
    <row r="4738" spans="1:11" ht="15" customHeight="1" x14ac:dyDescent="0.25">
      <c r="A4738" s="75">
        <v>39</v>
      </c>
      <c r="B4738" s="75">
        <v>164</v>
      </c>
      <c r="C4738" s="75" t="s">
        <v>10</v>
      </c>
      <c r="D4738" s="75">
        <v>389</v>
      </c>
      <c r="F4738" s="75" t="s">
        <v>10</v>
      </c>
      <c r="H4738" s="75" t="s">
        <v>10</v>
      </c>
      <c r="I4738" s="75">
        <v>19489</v>
      </c>
      <c r="K4738" s="75" t="str">
        <f>IFERROR(VLOOKUP(J4738,'NQ10'!$B$9:$C$145,2,0),"")</f>
        <v/>
      </c>
    </row>
    <row r="4739" spans="1:11" ht="15" customHeight="1" x14ac:dyDescent="0.25">
      <c r="A4739" s="75">
        <v>39</v>
      </c>
      <c r="B4739" s="75">
        <v>165</v>
      </c>
      <c r="C4739" s="75" t="s">
        <v>10</v>
      </c>
      <c r="D4739" s="75">
        <v>709</v>
      </c>
      <c r="F4739" s="75" t="s">
        <v>10</v>
      </c>
      <c r="H4739" s="75" t="s">
        <v>10</v>
      </c>
      <c r="I4739" s="75">
        <v>19489</v>
      </c>
      <c r="K4739" s="75" t="str">
        <f>IFERROR(VLOOKUP(J4739,'NQ10'!$B$9:$C$145,2,0),"")</f>
        <v/>
      </c>
    </row>
    <row r="4740" spans="1:11" ht="15" customHeight="1" x14ac:dyDescent="0.25">
      <c r="A4740" s="75">
        <v>39</v>
      </c>
      <c r="B4740" s="75">
        <v>167</v>
      </c>
      <c r="C4740" s="75" t="s">
        <v>10</v>
      </c>
      <c r="D4740" s="75">
        <v>1271</v>
      </c>
      <c r="F4740" s="75" t="s">
        <v>10</v>
      </c>
      <c r="H4740" s="75" t="s">
        <v>10</v>
      </c>
      <c r="I4740" s="75">
        <v>19489</v>
      </c>
      <c r="K4740" s="75" t="str">
        <f>IFERROR(VLOOKUP(J4740,'NQ10'!$B$9:$C$145,2,0),"")</f>
        <v/>
      </c>
    </row>
    <row r="4741" spans="1:11" ht="15" customHeight="1" x14ac:dyDescent="0.25">
      <c r="A4741" s="75">
        <v>39</v>
      </c>
      <c r="B4741" s="75">
        <v>168</v>
      </c>
      <c r="C4741" s="75" t="s">
        <v>10</v>
      </c>
      <c r="D4741" s="75">
        <v>420</v>
      </c>
      <c r="F4741" s="75" t="s">
        <v>10</v>
      </c>
      <c r="H4741" s="75" t="s">
        <v>10</v>
      </c>
      <c r="I4741" s="75">
        <v>19489</v>
      </c>
      <c r="K4741" s="75" t="str">
        <f>IFERROR(VLOOKUP(J4741,'NQ10'!$B$9:$C$145,2,0),"")</f>
        <v/>
      </c>
    </row>
    <row r="4742" spans="1:11" ht="15" customHeight="1" x14ac:dyDescent="0.25">
      <c r="A4742" s="75">
        <v>39</v>
      </c>
      <c r="B4742" s="75">
        <v>169</v>
      </c>
      <c r="C4742" s="75" t="s">
        <v>10</v>
      </c>
      <c r="D4742" s="75">
        <v>11696</v>
      </c>
      <c r="F4742" s="75" t="s">
        <v>10</v>
      </c>
      <c r="H4742" s="75" t="s">
        <v>10</v>
      </c>
      <c r="I4742" s="75">
        <v>19489</v>
      </c>
      <c r="K4742" s="75" t="str">
        <f>IFERROR(VLOOKUP(J4742,'NQ10'!$B$9:$C$145,2,0),"")</f>
        <v/>
      </c>
    </row>
    <row r="4743" spans="1:11" ht="15" customHeight="1" x14ac:dyDescent="0.25">
      <c r="A4743" s="75">
        <v>39</v>
      </c>
      <c r="B4743" s="75">
        <v>170</v>
      </c>
      <c r="C4743" s="75" t="s">
        <v>10</v>
      </c>
      <c r="D4743" s="75">
        <v>974</v>
      </c>
      <c r="F4743" s="75" t="s">
        <v>10</v>
      </c>
      <c r="H4743" s="75" t="s">
        <v>10</v>
      </c>
      <c r="I4743" s="75">
        <v>19489</v>
      </c>
      <c r="K4743" s="75" t="str">
        <f>IFERROR(VLOOKUP(J4743,'NQ10'!$B$9:$C$145,2,0),"")</f>
        <v/>
      </c>
    </row>
    <row r="4744" spans="1:11" ht="15" customHeight="1" x14ac:dyDescent="0.25">
      <c r="A4744" s="75">
        <v>39</v>
      </c>
      <c r="B4744" s="75">
        <v>171</v>
      </c>
      <c r="C4744" s="75" t="s">
        <v>10</v>
      </c>
      <c r="D4744" s="75">
        <v>1536</v>
      </c>
      <c r="F4744" s="75" t="s">
        <v>10</v>
      </c>
      <c r="H4744" s="75" t="s">
        <v>10</v>
      </c>
      <c r="I4744" s="75">
        <v>19489</v>
      </c>
      <c r="K4744" s="75" t="str">
        <f>IFERROR(VLOOKUP(J4744,'NQ10'!$B$9:$C$145,2,0),"")</f>
        <v/>
      </c>
    </row>
    <row r="4745" spans="1:11" ht="15" customHeight="1" x14ac:dyDescent="0.25">
      <c r="A4745" s="75">
        <v>39</v>
      </c>
      <c r="B4745" s="75">
        <v>172</v>
      </c>
      <c r="C4745" s="75" t="s">
        <v>10</v>
      </c>
      <c r="D4745" s="75">
        <v>89</v>
      </c>
      <c r="F4745" s="75" t="s">
        <v>10</v>
      </c>
      <c r="H4745" s="75" t="s">
        <v>10</v>
      </c>
      <c r="I4745" s="75">
        <v>19489</v>
      </c>
      <c r="K4745" s="75" t="str">
        <f>IFERROR(VLOOKUP(J4745,'NQ10'!$B$9:$C$145,2,0),"")</f>
        <v/>
      </c>
    </row>
    <row r="4746" spans="1:11" ht="15" customHeight="1" x14ac:dyDescent="0.25">
      <c r="A4746" s="75">
        <v>39</v>
      </c>
      <c r="B4746" s="75">
        <v>174</v>
      </c>
      <c r="C4746" s="75" t="s">
        <v>10</v>
      </c>
      <c r="D4746" s="75">
        <v>528</v>
      </c>
      <c r="F4746" s="75" t="s">
        <v>10</v>
      </c>
      <c r="H4746" s="75" t="s">
        <v>10</v>
      </c>
      <c r="I4746" s="75">
        <v>19489</v>
      </c>
      <c r="K4746" s="75" t="str">
        <f>IFERROR(VLOOKUP(J4746,'NQ10'!$B$9:$C$145,2,0),"")</f>
        <v/>
      </c>
    </row>
    <row r="4747" spans="1:11" ht="15" customHeight="1" x14ac:dyDescent="0.25">
      <c r="A4747" s="75">
        <v>39</v>
      </c>
      <c r="B4747" s="75">
        <v>175</v>
      </c>
      <c r="C4747" s="75" t="s">
        <v>10</v>
      </c>
      <c r="D4747" s="75">
        <v>308</v>
      </c>
      <c r="F4747" s="75" t="s">
        <v>10</v>
      </c>
      <c r="H4747" s="75" t="s">
        <v>10</v>
      </c>
      <c r="I4747" s="75">
        <v>19489</v>
      </c>
      <c r="K4747" s="75" t="str">
        <f>IFERROR(VLOOKUP(J4747,'NQ10'!$B$9:$C$145,2,0),"")</f>
        <v/>
      </c>
    </row>
    <row r="4748" spans="1:11" ht="15" customHeight="1" x14ac:dyDescent="0.25">
      <c r="A4748" s="75">
        <v>39</v>
      </c>
      <c r="B4748" s="75">
        <v>176</v>
      </c>
      <c r="C4748" s="75" t="s">
        <v>10</v>
      </c>
      <c r="D4748" s="75">
        <v>165</v>
      </c>
      <c r="F4748" s="75" t="s">
        <v>10</v>
      </c>
      <c r="H4748" s="75" t="s">
        <v>10</v>
      </c>
      <c r="I4748" s="75">
        <v>19489</v>
      </c>
      <c r="K4748" s="75" t="str">
        <f>IFERROR(VLOOKUP(J4748,'NQ10'!$B$9:$C$145,2,0),"")</f>
        <v/>
      </c>
    </row>
    <row r="4749" spans="1:11" ht="15" customHeight="1" x14ac:dyDescent="0.25">
      <c r="A4749" s="75">
        <v>39</v>
      </c>
      <c r="B4749" s="75">
        <v>177</v>
      </c>
      <c r="C4749" s="75" t="s">
        <v>10</v>
      </c>
      <c r="D4749" s="75">
        <v>501</v>
      </c>
      <c r="F4749" s="75" t="s">
        <v>10</v>
      </c>
      <c r="H4749" s="75" t="s">
        <v>10</v>
      </c>
      <c r="I4749" s="75">
        <v>19489</v>
      </c>
      <c r="K4749" s="75" t="str">
        <f>IFERROR(VLOOKUP(J4749,'NQ10'!$B$9:$C$145,2,0),"")</f>
        <v/>
      </c>
    </row>
    <row r="4750" spans="1:11" ht="15" customHeight="1" x14ac:dyDescent="0.25">
      <c r="A4750" s="75">
        <v>39</v>
      </c>
      <c r="B4750" s="75">
        <v>178</v>
      </c>
      <c r="C4750" s="75" t="s">
        <v>10</v>
      </c>
      <c r="D4750" s="75">
        <v>135</v>
      </c>
      <c r="F4750" s="75" t="s">
        <v>10</v>
      </c>
      <c r="H4750" s="75" t="s">
        <v>10</v>
      </c>
      <c r="I4750" s="75">
        <v>19489</v>
      </c>
      <c r="K4750" s="75" t="str">
        <f>IFERROR(VLOOKUP(J4750,'NQ10'!$B$9:$C$145,2,0),"")</f>
        <v/>
      </c>
    </row>
    <row r="4751" spans="1:11" ht="15" customHeight="1" x14ac:dyDescent="0.25">
      <c r="A4751" s="75">
        <v>39</v>
      </c>
      <c r="B4751" s="75">
        <v>179</v>
      </c>
      <c r="C4751" s="75" t="s">
        <v>10</v>
      </c>
      <c r="D4751" s="75">
        <v>591</v>
      </c>
      <c r="F4751" s="75" t="s">
        <v>10</v>
      </c>
      <c r="H4751" s="75" t="s">
        <v>10</v>
      </c>
      <c r="I4751" s="75">
        <v>19489</v>
      </c>
      <c r="K4751" s="75" t="str">
        <f>IFERROR(VLOOKUP(J4751,'NQ10'!$B$9:$C$145,2,0),"")</f>
        <v/>
      </c>
    </row>
    <row r="4752" spans="1:11" ht="15" customHeight="1" x14ac:dyDescent="0.25">
      <c r="A4752" s="75">
        <v>39</v>
      </c>
      <c r="B4752" s="75">
        <v>181</v>
      </c>
      <c r="C4752" s="75" t="s">
        <v>10</v>
      </c>
      <c r="D4752" s="75">
        <v>1382</v>
      </c>
      <c r="F4752" s="75" t="s">
        <v>10</v>
      </c>
      <c r="H4752" s="75" t="s">
        <v>10</v>
      </c>
      <c r="I4752" s="75">
        <v>19489</v>
      </c>
      <c r="K4752" s="75" t="str">
        <f>IFERROR(VLOOKUP(J4752,'NQ10'!$B$9:$C$145,2,0),"")</f>
        <v/>
      </c>
    </row>
    <row r="4753" spans="1:11" ht="15" customHeight="1" x14ac:dyDescent="0.25">
      <c r="A4753" s="75">
        <v>39</v>
      </c>
      <c r="B4753" s="75">
        <v>182</v>
      </c>
      <c r="C4753" s="75" t="s">
        <v>10</v>
      </c>
      <c r="D4753" s="75">
        <v>685</v>
      </c>
      <c r="F4753" s="75" t="s">
        <v>10</v>
      </c>
      <c r="H4753" s="75" t="s">
        <v>10</v>
      </c>
      <c r="I4753" s="75">
        <v>19489</v>
      </c>
      <c r="K4753" s="75" t="str">
        <f>IFERROR(VLOOKUP(J4753,'NQ10'!$B$9:$C$145,2,0),"")</f>
        <v/>
      </c>
    </row>
    <row r="4754" spans="1:11" ht="15" customHeight="1" x14ac:dyDescent="0.25">
      <c r="A4754" s="75">
        <v>39</v>
      </c>
      <c r="B4754" s="75">
        <v>183</v>
      </c>
      <c r="C4754" s="75" t="s">
        <v>10</v>
      </c>
      <c r="D4754" s="75">
        <v>876</v>
      </c>
      <c r="F4754" s="75" t="s">
        <v>10</v>
      </c>
      <c r="H4754" s="75" t="s">
        <v>10</v>
      </c>
      <c r="I4754" s="75">
        <v>19489</v>
      </c>
      <c r="K4754" s="75" t="str">
        <f>IFERROR(VLOOKUP(J4754,'NQ10'!$B$9:$C$145,2,0),"")</f>
        <v/>
      </c>
    </row>
    <row r="4755" spans="1:11" ht="15" customHeight="1" x14ac:dyDescent="0.25">
      <c r="A4755" s="75">
        <v>39</v>
      </c>
      <c r="B4755" s="75">
        <v>184</v>
      </c>
      <c r="C4755" s="75" t="s">
        <v>10</v>
      </c>
      <c r="D4755" s="75">
        <v>411</v>
      </c>
      <c r="F4755" s="75" t="s">
        <v>10</v>
      </c>
      <c r="H4755" s="75" t="s">
        <v>10</v>
      </c>
      <c r="I4755" s="75">
        <v>19489</v>
      </c>
      <c r="K4755" s="75" t="str">
        <f>IFERROR(VLOOKUP(J4755,'NQ10'!$B$9:$C$145,2,0),"")</f>
        <v/>
      </c>
    </row>
    <row r="4756" spans="1:11" ht="15" customHeight="1" x14ac:dyDescent="0.25">
      <c r="A4756" s="75">
        <v>39</v>
      </c>
      <c r="B4756" s="75">
        <v>185</v>
      </c>
      <c r="C4756" s="75" t="s">
        <v>10</v>
      </c>
      <c r="D4756" s="75">
        <v>218</v>
      </c>
      <c r="F4756" s="75" t="s">
        <v>10</v>
      </c>
      <c r="H4756" s="75" t="s">
        <v>10</v>
      </c>
      <c r="I4756" s="75">
        <v>19489</v>
      </c>
      <c r="K4756" s="75" t="str">
        <f>IFERROR(VLOOKUP(J4756,'NQ10'!$B$9:$C$145,2,0),"")</f>
        <v/>
      </c>
    </row>
    <row r="4757" spans="1:11" ht="15" customHeight="1" x14ac:dyDescent="0.25">
      <c r="A4757" s="75">
        <v>39</v>
      </c>
      <c r="B4757" s="75">
        <v>186</v>
      </c>
      <c r="C4757" s="75" t="s">
        <v>10</v>
      </c>
      <c r="D4757" s="75">
        <v>484</v>
      </c>
      <c r="F4757" s="75" t="s">
        <v>10</v>
      </c>
      <c r="H4757" s="75" t="s">
        <v>10</v>
      </c>
      <c r="I4757" s="75">
        <v>19489</v>
      </c>
      <c r="K4757" s="75" t="str">
        <f>IFERROR(VLOOKUP(J4757,'NQ10'!$B$9:$C$145,2,0),"")</f>
        <v/>
      </c>
    </row>
    <row r="4758" spans="1:11" ht="15" customHeight="1" x14ac:dyDescent="0.25">
      <c r="A4758" s="75">
        <v>39</v>
      </c>
      <c r="B4758" s="75">
        <v>187</v>
      </c>
      <c r="C4758" s="75" t="s">
        <v>10</v>
      </c>
      <c r="D4758" s="75">
        <v>1206</v>
      </c>
      <c r="F4758" s="75" t="s">
        <v>10</v>
      </c>
      <c r="H4758" s="75" t="s">
        <v>10</v>
      </c>
      <c r="I4758" s="75">
        <v>19489</v>
      </c>
      <c r="K4758" s="75" t="str">
        <f>IFERROR(VLOOKUP(J4758,'NQ10'!$B$9:$C$145,2,0),"")</f>
        <v/>
      </c>
    </row>
    <row r="4759" spans="1:11" ht="15" customHeight="1" x14ac:dyDescent="0.25">
      <c r="A4759" s="75">
        <v>39</v>
      </c>
      <c r="B4759" s="75">
        <v>188</v>
      </c>
      <c r="C4759" s="75" t="s">
        <v>10</v>
      </c>
      <c r="D4759" s="75">
        <v>1099</v>
      </c>
      <c r="F4759" s="75" t="s">
        <v>10</v>
      </c>
      <c r="H4759" s="75" t="s">
        <v>10</v>
      </c>
      <c r="I4759" s="75">
        <v>19489</v>
      </c>
      <c r="K4759" s="75" t="str">
        <f>IFERROR(VLOOKUP(J4759,'NQ10'!$B$9:$C$145,2,0),"")</f>
        <v/>
      </c>
    </row>
    <row r="4760" spans="1:11" ht="15" customHeight="1" x14ac:dyDescent="0.25">
      <c r="A4760" s="75">
        <v>39</v>
      </c>
      <c r="B4760" s="75">
        <v>189</v>
      </c>
      <c r="C4760" s="75" t="s">
        <v>10</v>
      </c>
      <c r="D4760" s="75">
        <v>838</v>
      </c>
      <c r="F4760" s="75" t="s">
        <v>10</v>
      </c>
      <c r="H4760" s="75" t="s">
        <v>10</v>
      </c>
      <c r="I4760" s="75">
        <v>19489</v>
      </c>
      <c r="K4760" s="75" t="str">
        <f>IFERROR(VLOOKUP(J4760,'NQ10'!$B$9:$C$145,2,0),"")</f>
        <v/>
      </c>
    </row>
    <row r="4761" spans="1:11" ht="15" customHeight="1" x14ac:dyDescent="0.25">
      <c r="A4761" s="75">
        <v>39</v>
      </c>
      <c r="B4761" s="75">
        <v>190</v>
      </c>
      <c r="C4761" s="75" t="s">
        <v>10</v>
      </c>
      <c r="D4761" s="75">
        <v>521</v>
      </c>
      <c r="F4761" s="75" t="s">
        <v>10</v>
      </c>
      <c r="H4761" s="75" t="s">
        <v>10</v>
      </c>
      <c r="I4761" s="75">
        <v>19489</v>
      </c>
      <c r="K4761" s="75" t="str">
        <f>IFERROR(VLOOKUP(J4761,'NQ10'!$B$9:$C$145,2,0),"")</f>
        <v/>
      </c>
    </row>
    <row r="4762" spans="1:11" ht="15" customHeight="1" x14ac:dyDescent="0.25">
      <c r="A4762" s="75">
        <v>39</v>
      </c>
      <c r="B4762" s="75">
        <v>191</v>
      </c>
      <c r="C4762" s="75" t="s">
        <v>10</v>
      </c>
      <c r="D4762" s="75">
        <v>456</v>
      </c>
      <c r="F4762" s="75" t="s">
        <v>10</v>
      </c>
      <c r="H4762" s="75" t="s">
        <v>10</v>
      </c>
      <c r="I4762" s="75">
        <v>19489</v>
      </c>
      <c r="K4762" s="75" t="str">
        <f>IFERROR(VLOOKUP(J4762,'NQ10'!$B$9:$C$145,2,0),"")</f>
        <v/>
      </c>
    </row>
    <row r="4763" spans="1:11" ht="15" customHeight="1" x14ac:dyDescent="0.25">
      <c r="A4763" s="75">
        <v>39</v>
      </c>
      <c r="B4763" s="75">
        <v>192</v>
      </c>
      <c r="C4763" s="75" t="s">
        <v>10</v>
      </c>
      <c r="D4763" s="75">
        <v>551</v>
      </c>
      <c r="F4763" s="75" t="s">
        <v>10</v>
      </c>
      <c r="H4763" s="75" t="s">
        <v>10</v>
      </c>
      <c r="I4763" s="75">
        <v>19489</v>
      </c>
      <c r="K4763" s="75" t="str">
        <f>IFERROR(VLOOKUP(J4763,'NQ10'!$B$9:$C$145,2,0),"")</f>
        <v/>
      </c>
    </row>
    <row r="4764" spans="1:11" ht="15" customHeight="1" x14ac:dyDescent="0.25">
      <c r="A4764" s="75">
        <v>39</v>
      </c>
      <c r="B4764" s="75">
        <v>193</v>
      </c>
      <c r="C4764" s="75" t="s">
        <v>10</v>
      </c>
      <c r="D4764" s="75">
        <v>2214</v>
      </c>
      <c r="F4764" s="75" t="s">
        <v>10</v>
      </c>
      <c r="H4764" s="75" t="s">
        <v>10</v>
      </c>
      <c r="I4764" s="75">
        <v>19489</v>
      </c>
      <c r="K4764" s="75" t="str">
        <f>IFERROR(VLOOKUP(J4764,'NQ10'!$B$9:$C$145,2,0),"")</f>
        <v/>
      </c>
    </row>
    <row r="4765" spans="1:11" ht="15" customHeight="1" x14ac:dyDescent="0.25">
      <c r="A4765" s="75">
        <v>39</v>
      </c>
      <c r="B4765" s="75">
        <v>194</v>
      </c>
      <c r="C4765" s="75" t="s">
        <v>10</v>
      </c>
      <c r="D4765" s="75">
        <v>571</v>
      </c>
      <c r="F4765" s="75" t="s">
        <v>10</v>
      </c>
      <c r="H4765" s="75" t="s">
        <v>10</v>
      </c>
      <c r="I4765" s="75">
        <v>19489</v>
      </c>
      <c r="K4765" s="75" t="str">
        <f>IFERROR(VLOOKUP(J4765,'NQ10'!$B$9:$C$145,2,0),"")</f>
        <v/>
      </c>
    </row>
    <row r="4766" spans="1:11" ht="15" customHeight="1" x14ac:dyDescent="0.25">
      <c r="A4766" s="75">
        <v>39</v>
      </c>
      <c r="B4766" s="75">
        <v>195</v>
      </c>
      <c r="C4766" s="75" t="s">
        <v>10</v>
      </c>
      <c r="D4766" s="75">
        <v>599</v>
      </c>
      <c r="F4766" s="75" t="s">
        <v>10</v>
      </c>
      <c r="H4766" s="75" t="s">
        <v>10</v>
      </c>
      <c r="I4766" s="75">
        <v>19489</v>
      </c>
      <c r="K4766" s="75" t="str">
        <f>IFERROR(VLOOKUP(J4766,'NQ10'!$B$9:$C$145,2,0),"")</f>
        <v/>
      </c>
    </row>
    <row r="4767" spans="1:11" ht="15" customHeight="1" x14ac:dyDescent="0.25">
      <c r="A4767" s="75">
        <v>39</v>
      </c>
      <c r="B4767" s="75">
        <v>196</v>
      </c>
      <c r="C4767" s="75" t="s">
        <v>10</v>
      </c>
      <c r="D4767" s="75">
        <v>4072</v>
      </c>
      <c r="F4767" s="75" t="s">
        <v>10</v>
      </c>
      <c r="H4767" s="75" t="s">
        <v>10</v>
      </c>
      <c r="I4767" s="75">
        <v>19489</v>
      </c>
      <c r="K4767" s="75" t="str">
        <f>IFERROR(VLOOKUP(J4767,'NQ10'!$B$9:$C$145,2,0),"")</f>
        <v/>
      </c>
    </row>
    <row r="4768" spans="1:11" ht="15" customHeight="1" x14ac:dyDescent="0.25">
      <c r="A4768" s="75">
        <v>39</v>
      </c>
      <c r="B4768" s="75">
        <v>197</v>
      </c>
      <c r="C4768" s="75" t="s">
        <v>10</v>
      </c>
      <c r="D4768" s="75">
        <v>362</v>
      </c>
      <c r="F4768" s="75" t="s">
        <v>10</v>
      </c>
      <c r="H4768" s="75" t="s">
        <v>10</v>
      </c>
      <c r="I4768" s="75">
        <v>19489</v>
      </c>
      <c r="K4768" s="75" t="str">
        <f>IFERROR(VLOOKUP(J4768,'NQ10'!$B$9:$C$145,2,0),"")</f>
        <v/>
      </c>
    </row>
    <row r="4769" spans="1:11" ht="15" customHeight="1" x14ac:dyDescent="0.25">
      <c r="A4769" s="75">
        <v>39</v>
      </c>
      <c r="B4769" s="75">
        <v>198</v>
      </c>
      <c r="C4769" s="75" t="s">
        <v>10</v>
      </c>
      <c r="D4769" s="75">
        <v>5720</v>
      </c>
      <c r="F4769" s="75" t="s">
        <v>10</v>
      </c>
      <c r="H4769" s="75" t="s">
        <v>10</v>
      </c>
      <c r="I4769" s="75">
        <v>19489</v>
      </c>
      <c r="K4769" s="75" t="str">
        <f>IFERROR(VLOOKUP(J4769,'NQ10'!$B$9:$C$145,2,0),"")</f>
        <v/>
      </c>
    </row>
    <row r="4770" spans="1:11" ht="15" customHeight="1" x14ac:dyDescent="0.25">
      <c r="A4770" s="75">
        <v>39</v>
      </c>
      <c r="B4770" s="75">
        <v>199</v>
      </c>
      <c r="C4770" s="75" t="s">
        <v>10</v>
      </c>
      <c r="D4770" s="75">
        <v>283</v>
      </c>
      <c r="F4770" s="75" t="s">
        <v>10</v>
      </c>
      <c r="H4770" s="75" t="s">
        <v>10</v>
      </c>
      <c r="I4770" s="75">
        <v>19489</v>
      </c>
      <c r="K4770" s="75" t="str">
        <f>IFERROR(VLOOKUP(J4770,'NQ10'!$B$9:$C$145,2,0),"")</f>
        <v/>
      </c>
    </row>
    <row r="4771" spans="1:11" ht="15" customHeight="1" x14ac:dyDescent="0.25">
      <c r="A4771" s="75">
        <v>39</v>
      </c>
      <c r="B4771" s="75">
        <v>200</v>
      </c>
      <c r="C4771" s="75" t="s">
        <v>10</v>
      </c>
      <c r="D4771" s="75">
        <v>760</v>
      </c>
      <c r="F4771" s="75" t="s">
        <v>10</v>
      </c>
      <c r="H4771" s="75" t="s">
        <v>10</v>
      </c>
      <c r="I4771" s="75">
        <v>19489</v>
      </c>
      <c r="K4771" s="75" t="str">
        <f>IFERROR(VLOOKUP(J4771,'NQ10'!$B$9:$C$145,2,0),"")</f>
        <v/>
      </c>
    </row>
    <row r="4772" spans="1:11" ht="15" customHeight="1" x14ac:dyDescent="0.25">
      <c r="A4772" s="75">
        <v>39</v>
      </c>
      <c r="B4772" s="75">
        <v>201</v>
      </c>
      <c r="C4772" s="75" t="s">
        <v>10</v>
      </c>
      <c r="D4772" s="75">
        <v>665</v>
      </c>
      <c r="F4772" s="75" t="s">
        <v>10</v>
      </c>
      <c r="H4772" s="75" t="s">
        <v>10</v>
      </c>
      <c r="I4772" s="75">
        <v>19489</v>
      </c>
      <c r="K4772" s="75" t="str">
        <f>IFERROR(VLOOKUP(J4772,'NQ10'!$B$9:$C$145,2,0),"")</f>
        <v/>
      </c>
    </row>
    <row r="4773" spans="1:11" ht="15" customHeight="1" x14ac:dyDescent="0.25">
      <c r="A4773" s="75">
        <v>39</v>
      </c>
      <c r="B4773" s="75">
        <v>202</v>
      </c>
      <c r="C4773" s="75" t="s">
        <v>10</v>
      </c>
      <c r="D4773" s="75">
        <v>769</v>
      </c>
      <c r="F4773" s="75" t="s">
        <v>10</v>
      </c>
      <c r="H4773" s="75" t="s">
        <v>10</v>
      </c>
      <c r="I4773" s="75">
        <v>19489</v>
      </c>
      <c r="K4773" s="75" t="str">
        <f>IFERROR(VLOOKUP(J4773,'NQ10'!$B$9:$C$145,2,0),"")</f>
        <v/>
      </c>
    </row>
    <row r="4774" spans="1:11" ht="15" customHeight="1" x14ac:dyDescent="0.25">
      <c r="A4774" s="75">
        <v>39</v>
      </c>
      <c r="B4774" s="75">
        <v>203</v>
      </c>
      <c r="C4774" s="75" t="s">
        <v>10</v>
      </c>
      <c r="D4774" s="75">
        <v>473</v>
      </c>
      <c r="F4774" s="75" t="s">
        <v>10</v>
      </c>
      <c r="H4774" s="75" t="s">
        <v>10</v>
      </c>
      <c r="I4774" s="75">
        <v>19489</v>
      </c>
      <c r="K4774" s="75" t="str">
        <f>IFERROR(VLOOKUP(J4774,'NQ10'!$B$9:$C$145,2,0),"")</f>
        <v/>
      </c>
    </row>
    <row r="4775" spans="1:11" ht="15" customHeight="1" x14ac:dyDescent="0.25">
      <c r="A4775" s="75">
        <v>39</v>
      </c>
      <c r="B4775" s="75">
        <v>204</v>
      </c>
      <c r="C4775" s="75" t="s">
        <v>10</v>
      </c>
      <c r="D4775" s="75">
        <v>393</v>
      </c>
      <c r="F4775" s="75" t="s">
        <v>10</v>
      </c>
      <c r="H4775" s="75" t="s">
        <v>10</v>
      </c>
      <c r="I4775" s="75">
        <v>19489</v>
      </c>
      <c r="K4775" s="75" t="str">
        <f>IFERROR(VLOOKUP(J4775,'NQ10'!$B$9:$C$145,2,0),"")</f>
        <v/>
      </c>
    </row>
    <row r="4776" spans="1:11" ht="15" customHeight="1" x14ac:dyDescent="0.25">
      <c r="A4776" s="75">
        <v>39</v>
      </c>
      <c r="B4776" s="75">
        <v>205</v>
      </c>
      <c r="C4776" s="75" t="s">
        <v>10</v>
      </c>
      <c r="D4776" s="75">
        <v>230</v>
      </c>
      <c r="F4776" s="75" t="s">
        <v>10</v>
      </c>
      <c r="H4776" s="75" t="s">
        <v>10</v>
      </c>
      <c r="I4776" s="75">
        <v>19489</v>
      </c>
      <c r="K4776" s="75" t="str">
        <f>IFERROR(VLOOKUP(J4776,'NQ10'!$B$9:$C$145,2,0),"")</f>
        <v/>
      </c>
    </row>
    <row r="4777" spans="1:11" ht="15" customHeight="1" x14ac:dyDescent="0.25">
      <c r="A4777" s="75">
        <v>39</v>
      </c>
      <c r="B4777" s="75">
        <v>206</v>
      </c>
      <c r="C4777" s="75" t="s">
        <v>10</v>
      </c>
      <c r="D4777" s="75">
        <v>631</v>
      </c>
      <c r="F4777" s="75" t="s">
        <v>10</v>
      </c>
      <c r="H4777" s="75" t="s">
        <v>10</v>
      </c>
      <c r="I4777" s="75">
        <v>19489</v>
      </c>
      <c r="K4777" s="75" t="str">
        <f>IFERROR(VLOOKUP(J4777,'NQ10'!$B$9:$C$145,2,0),"")</f>
        <v/>
      </c>
    </row>
    <row r="4778" spans="1:11" ht="15" customHeight="1" x14ac:dyDescent="0.25">
      <c r="A4778" s="75">
        <v>39</v>
      </c>
      <c r="B4778" s="75">
        <v>207</v>
      </c>
      <c r="C4778" s="75" t="s">
        <v>10</v>
      </c>
      <c r="D4778" s="75">
        <v>865</v>
      </c>
      <c r="F4778" s="75" t="s">
        <v>10</v>
      </c>
      <c r="H4778" s="75" t="s">
        <v>10</v>
      </c>
      <c r="I4778" s="75">
        <v>19489</v>
      </c>
      <c r="K4778" s="75" t="str">
        <f>IFERROR(VLOOKUP(J4778,'NQ10'!$B$9:$C$145,2,0),"")</f>
        <v/>
      </c>
    </row>
    <row r="4779" spans="1:11" ht="15" customHeight="1" x14ac:dyDescent="0.25">
      <c r="A4779" s="75">
        <v>39</v>
      </c>
      <c r="B4779" s="75">
        <v>208</v>
      </c>
      <c r="C4779" s="75" t="s">
        <v>10</v>
      </c>
      <c r="D4779" s="75">
        <v>396</v>
      </c>
      <c r="F4779" s="75" t="s">
        <v>10</v>
      </c>
      <c r="H4779" s="75" t="s">
        <v>10</v>
      </c>
      <c r="I4779" s="75">
        <v>19489</v>
      </c>
      <c r="K4779" s="75" t="str">
        <f>IFERROR(VLOOKUP(J4779,'NQ10'!$B$9:$C$145,2,0),"")</f>
        <v/>
      </c>
    </row>
    <row r="4780" spans="1:11" ht="15" customHeight="1" x14ac:dyDescent="0.25">
      <c r="A4780" s="75">
        <v>39</v>
      </c>
      <c r="B4780" s="75">
        <v>209</v>
      </c>
      <c r="C4780" s="75" t="s">
        <v>10</v>
      </c>
      <c r="D4780" s="75">
        <v>895</v>
      </c>
      <c r="F4780" s="75" t="s">
        <v>10</v>
      </c>
      <c r="H4780" s="75" t="s">
        <v>10</v>
      </c>
      <c r="I4780" s="75">
        <v>19489</v>
      </c>
      <c r="K4780" s="75" t="str">
        <f>IFERROR(VLOOKUP(J4780,'NQ10'!$B$9:$C$145,2,0),"")</f>
        <v/>
      </c>
    </row>
    <row r="4781" spans="1:11" ht="15" customHeight="1" x14ac:dyDescent="0.25">
      <c r="A4781" s="75">
        <v>39</v>
      </c>
      <c r="B4781" s="75">
        <v>210</v>
      </c>
      <c r="C4781" s="75" t="s">
        <v>10</v>
      </c>
      <c r="D4781" s="75">
        <v>751</v>
      </c>
      <c r="F4781" s="75" t="s">
        <v>10</v>
      </c>
      <c r="H4781" s="75" t="s">
        <v>10</v>
      </c>
      <c r="I4781" s="75">
        <v>19489</v>
      </c>
      <c r="K4781" s="75" t="str">
        <f>IFERROR(VLOOKUP(J4781,'NQ10'!$B$9:$C$145,2,0),"")</f>
        <v/>
      </c>
    </row>
    <row r="4782" spans="1:11" ht="15" customHeight="1" x14ac:dyDescent="0.25">
      <c r="A4782" s="75">
        <v>39</v>
      </c>
      <c r="B4782" s="75">
        <v>213</v>
      </c>
      <c r="C4782" s="75" t="s">
        <v>10</v>
      </c>
      <c r="D4782" s="75">
        <v>676</v>
      </c>
      <c r="F4782" s="75" t="s">
        <v>10</v>
      </c>
      <c r="H4782" s="75" t="s">
        <v>10</v>
      </c>
      <c r="I4782" s="75">
        <v>19489</v>
      </c>
      <c r="K4782" s="75" t="str">
        <f>IFERROR(VLOOKUP(J4782,'NQ10'!$B$9:$C$145,2,0),"")</f>
        <v/>
      </c>
    </row>
    <row r="4783" spans="1:11" ht="15" customHeight="1" x14ac:dyDescent="0.25">
      <c r="A4783" s="75">
        <v>39</v>
      </c>
      <c r="B4783" s="75">
        <v>214</v>
      </c>
      <c r="C4783" s="75" t="s">
        <v>10</v>
      </c>
      <c r="D4783" s="75">
        <v>583</v>
      </c>
      <c r="F4783" s="75" t="s">
        <v>10</v>
      </c>
      <c r="H4783" s="75" t="s">
        <v>10</v>
      </c>
      <c r="I4783" s="75">
        <v>19489</v>
      </c>
      <c r="K4783" s="75" t="str">
        <f>IFERROR(VLOOKUP(J4783,'NQ10'!$B$9:$C$145,2,0),"")</f>
        <v/>
      </c>
    </row>
    <row r="4784" spans="1:11" ht="15" customHeight="1" x14ac:dyDescent="0.25">
      <c r="A4784" s="75">
        <v>39</v>
      </c>
      <c r="B4784" s="75">
        <v>215</v>
      </c>
      <c r="C4784" s="75" t="s">
        <v>10</v>
      </c>
      <c r="D4784" s="75">
        <v>1157</v>
      </c>
      <c r="F4784" s="75" t="s">
        <v>10</v>
      </c>
      <c r="H4784" s="75" t="s">
        <v>10</v>
      </c>
      <c r="I4784" s="75">
        <v>19489</v>
      </c>
      <c r="K4784" s="75" t="str">
        <f>IFERROR(VLOOKUP(J4784,'NQ10'!$B$9:$C$145,2,0),"")</f>
        <v/>
      </c>
    </row>
    <row r="4785" spans="1:11" ht="15" customHeight="1" x14ac:dyDescent="0.25">
      <c r="A4785" s="75">
        <v>39</v>
      </c>
      <c r="B4785" s="75">
        <v>216</v>
      </c>
      <c r="C4785" s="75" t="s">
        <v>10</v>
      </c>
      <c r="D4785" s="75">
        <v>557</v>
      </c>
      <c r="F4785" s="75" t="s">
        <v>10</v>
      </c>
      <c r="H4785" s="75" t="s">
        <v>10</v>
      </c>
      <c r="I4785" s="75">
        <v>19489</v>
      </c>
      <c r="K4785" s="75" t="str">
        <f>IFERROR(VLOOKUP(J4785,'NQ10'!$B$9:$C$145,2,0),"")</f>
        <v/>
      </c>
    </row>
    <row r="4786" spans="1:11" ht="15" customHeight="1" x14ac:dyDescent="0.25">
      <c r="A4786" s="75">
        <v>39</v>
      </c>
      <c r="B4786" s="75">
        <v>217</v>
      </c>
      <c r="C4786" s="75" t="s">
        <v>10</v>
      </c>
      <c r="D4786" s="75">
        <v>1239</v>
      </c>
      <c r="F4786" s="75" t="s">
        <v>10</v>
      </c>
      <c r="H4786" s="75" t="s">
        <v>10</v>
      </c>
      <c r="I4786" s="75">
        <v>19489</v>
      </c>
      <c r="K4786" s="75" t="str">
        <f>IFERROR(VLOOKUP(J4786,'NQ10'!$B$9:$C$145,2,0),"")</f>
        <v/>
      </c>
    </row>
    <row r="4787" spans="1:11" ht="15" customHeight="1" x14ac:dyDescent="0.25">
      <c r="A4787" s="75">
        <v>39</v>
      </c>
      <c r="B4787" s="75">
        <v>218</v>
      </c>
      <c r="C4787" s="75" t="s">
        <v>10</v>
      </c>
      <c r="D4787" s="75">
        <v>754</v>
      </c>
      <c r="F4787" s="75" t="s">
        <v>10</v>
      </c>
      <c r="H4787" s="75" t="s">
        <v>10</v>
      </c>
      <c r="I4787" s="75">
        <v>19489</v>
      </c>
      <c r="K4787" s="75" t="str">
        <f>IFERROR(VLOOKUP(J4787,'NQ10'!$B$9:$C$145,2,0),"")</f>
        <v/>
      </c>
    </row>
    <row r="4788" spans="1:11" ht="15" customHeight="1" x14ac:dyDescent="0.25">
      <c r="A4788" s="75">
        <v>39</v>
      </c>
      <c r="B4788" s="75">
        <v>219</v>
      </c>
      <c r="C4788" s="75" t="s">
        <v>10</v>
      </c>
      <c r="D4788" s="75">
        <v>751</v>
      </c>
      <c r="F4788" s="75" t="s">
        <v>10</v>
      </c>
      <c r="H4788" s="75" t="s">
        <v>10</v>
      </c>
      <c r="I4788" s="75">
        <v>19489</v>
      </c>
      <c r="K4788" s="75" t="str">
        <f>IFERROR(VLOOKUP(J4788,'NQ10'!$B$9:$C$145,2,0),"")</f>
        <v/>
      </c>
    </row>
    <row r="4789" spans="1:11" ht="15" customHeight="1" x14ac:dyDescent="0.25">
      <c r="A4789" s="75">
        <v>39</v>
      </c>
      <c r="B4789" s="75">
        <v>801</v>
      </c>
      <c r="C4789" s="75" t="s">
        <v>10</v>
      </c>
      <c r="D4789" s="75">
        <v>389</v>
      </c>
      <c r="F4789" s="75" t="s">
        <v>10</v>
      </c>
      <c r="H4789" s="75" t="s">
        <v>10</v>
      </c>
      <c r="I4789" s="75">
        <v>19489</v>
      </c>
      <c r="K4789" s="75" t="str">
        <f>IFERROR(VLOOKUP(J4789,'NQ10'!$B$9:$C$145,2,0),"")</f>
        <v/>
      </c>
    </row>
    <row r="4790" spans="1:11" ht="15" customHeight="1" x14ac:dyDescent="0.25">
      <c r="A4790" s="75">
        <v>39</v>
      </c>
      <c r="B4790" s="75">
        <v>802</v>
      </c>
      <c r="C4790" s="75" t="s">
        <v>10</v>
      </c>
      <c r="D4790" s="75">
        <v>783</v>
      </c>
      <c r="F4790" s="75" t="s">
        <v>10</v>
      </c>
      <c r="H4790" s="75" t="s">
        <v>10</v>
      </c>
      <c r="I4790" s="75">
        <v>19489</v>
      </c>
      <c r="K4790" s="75" t="str">
        <f>IFERROR(VLOOKUP(J4790,'NQ10'!$B$9:$C$145,2,0),"")</f>
        <v/>
      </c>
    </row>
    <row r="4791" spans="1:11" ht="15" customHeight="1" x14ac:dyDescent="0.25">
      <c r="A4791" s="75">
        <v>39</v>
      </c>
      <c r="B4791" s="75">
        <v>803</v>
      </c>
      <c r="C4791" s="75" t="s">
        <v>10</v>
      </c>
      <c r="D4791" s="75">
        <v>172</v>
      </c>
      <c r="F4791" s="75" t="s">
        <v>10</v>
      </c>
      <c r="H4791" s="75" t="s">
        <v>10</v>
      </c>
      <c r="I4791" s="75">
        <v>19489</v>
      </c>
      <c r="K4791" s="75" t="str">
        <f>IFERROR(VLOOKUP(J4791,'NQ10'!$B$9:$C$145,2,0),"")</f>
        <v/>
      </c>
    </row>
    <row r="4792" spans="1:11" ht="15" customHeight="1" x14ac:dyDescent="0.25">
      <c r="A4792" s="75">
        <v>39</v>
      </c>
      <c r="B4792" s="75">
        <v>806</v>
      </c>
      <c r="C4792" s="75" t="s">
        <v>10</v>
      </c>
      <c r="D4792" s="75">
        <v>22670</v>
      </c>
      <c r="F4792" s="75" t="s">
        <v>10</v>
      </c>
      <c r="H4792" s="75" t="s">
        <v>10</v>
      </c>
      <c r="I4792" s="75">
        <v>19489</v>
      </c>
      <c r="K4792" s="75" t="str">
        <f>IFERROR(VLOOKUP(J4792,'NQ10'!$B$9:$C$145,2,0),"")</f>
        <v/>
      </c>
    </row>
    <row r="4793" spans="1:11" ht="15" customHeight="1" x14ac:dyDescent="0.25">
      <c r="A4793" s="75">
        <v>39</v>
      </c>
      <c r="B4793" s="75">
        <v>807</v>
      </c>
      <c r="C4793" s="75" t="s">
        <v>10</v>
      </c>
      <c r="D4793" s="75">
        <v>492</v>
      </c>
      <c r="F4793" s="75" t="s">
        <v>10</v>
      </c>
      <c r="H4793" s="75" t="s">
        <v>10</v>
      </c>
      <c r="I4793" s="75">
        <v>19489</v>
      </c>
      <c r="K4793" s="75" t="str">
        <f>IFERROR(VLOOKUP(J4793,'NQ10'!$B$9:$C$145,2,0),"")</f>
        <v/>
      </c>
    </row>
    <row r="4794" spans="1:11" ht="15" customHeight="1" x14ac:dyDescent="0.25">
      <c r="A4794" s="75">
        <v>40</v>
      </c>
      <c r="C4794" s="75" t="s">
        <v>10</v>
      </c>
      <c r="D4794" s="75">
        <v>8543</v>
      </c>
      <c r="F4794" s="75" t="s">
        <v>10</v>
      </c>
      <c r="H4794" s="75" t="s">
        <v>10</v>
      </c>
      <c r="I4794" s="75">
        <v>19489</v>
      </c>
      <c r="K4794" s="75" t="str">
        <f>IFERROR(VLOOKUP(J4794,'NQ10'!$B$9:$C$145,2,0),"")</f>
        <v/>
      </c>
    </row>
    <row r="4795" spans="1:11" ht="15" customHeight="1" x14ac:dyDescent="0.25">
      <c r="A4795" s="75">
        <v>40</v>
      </c>
      <c r="C4795" s="75" t="s">
        <v>10</v>
      </c>
      <c r="D4795" s="75">
        <v>831</v>
      </c>
      <c r="F4795" s="75" t="s">
        <v>10</v>
      </c>
      <c r="H4795" s="75" t="s">
        <v>10</v>
      </c>
      <c r="I4795" s="75">
        <v>19489</v>
      </c>
      <c r="K4795" s="75" t="str">
        <f>IFERROR(VLOOKUP(J4795,'NQ10'!$B$9:$C$145,2,0),"")</f>
        <v/>
      </c>
    </row>
    <row r="4796" spans="1:11" ht="15" customHeight="1" x14ac:dyDescent="0.25">
      <c r="A4796" s="75">
        <v>40</v>
      </c>
      <c r="B4796" s="75">
        <v>1</v>
      </c>
      <c r="C4796" s="75" t="s">
        <v>10</v>
      </c>
      <c r="D4796" s="75">
        <v>321</v>
      </c>
      <c r="F4796" s="75" t="s">
        <v>10</v>
      </c>
      <c r="H4796" s="75" t="s">
        <v>10</v>
      </c>
      <c r="I4796" s="75">
        <v>19489</v>
      </c>
      <c r="K4796" s="75" t="str">
        <f>IFERROR(VLOOKUP(J4796,'NQ10'!$B$9:$C$145,2,0),"")</f>
        <v/>
      </c>
    </row>
    <row r="4797" spans="1:11" ht="15" customHeight="1" x14ac:dyDescent="0.25">
      <c r="A4797" s="75">
        <v>40</v>
      </c>
      <c r="B4797" s="75">
        <v>2</v>
      </c>
      <c r="C4797" s="75" t="s">
        <v>10</v>
      </c>
      <c r="D4797" s="75">
        <v>5218</v>
      </c>
      <c r="F4797" s="75" t="s">
        <v>10</v>
      </c>
      <c r="H4797" s="75" t="s">
        <v>10</v>
      </c>
      <c r="I4797" s="75">
        <v>19489</v>
      </c>
      <c r="K4797" s="75" t="str">
        <f>IFERROR(VLOOKUP(J4797,'NQ10'!$B$9:$C$145,2,0),"")</f>
        <v/>
      </c>
    </row>
    <row r="4798" spans="1:11" ht="15" customHeight="1" x14ac:dyDescent="0.25">
      <c r="A4798" s="75">
        <v>40</v>
      </c>
      <c r="B4798" s="75">
        <v>3</v>
      </c>
      <c r="C4798" s="75" t="s">
        <v>10</v>
      </c>
      <c r="D4798" s="75">
        <v>3912</v>
      </c>
      <c r="F4798" s="75" t="s">
        <v>10</v>
      </c>
      <c r="H4798" s="75" t="s">
        <v>10</v>
      </c>
      <c r="I4798" s="75">
        <v>19489</v>
      </c>
      <c r="K4798" s="75" t="str">
        <f>IFERROR(VLOOKUP(J4798,'NQ10'!$B$9:$C$145,2,0),"")</f>
        <v/>
      </c>
    </row>
    <row r="4799" spans="1:11" ht="15" customHeight="1" x14ac:dyDescent="0.25">
      <c r="A4799" s="75">
        <v>40</v>
      </c>
      <c r="B4799" s="75">
        <v>4</v>
      </c>
      <c r="C4799" s="75" t="s">
        <v>10</v>
      </c>
      <c r="D4799" s="75">
        <v>3574</v>
      </c>
      <c r="F4799" s="75" t="s">
        <v>10</v>
      </c>
      <c r="H4799" s="75" t="s">
        <v>10</v>
      </c>
      <c r="I4799" s="75">
        <v>19489</v>
      </c>
      <c r="K4799" s="75" t="str">
        <f>IFERROR(VLOOKUP(J4799,'NQ10'!$B$9:$C$145,2,0),"")</f>
        <v/>
      </c>
    </row>
    <row r="4800" spans="1:11" ht="15" customHeight="1" x14ac:dyDescent="0.25">
      <c r="A4800" s="75">
        <v>40</v>
      </c>
      <c r="B4800" s="75">
        <v>5</v>
      </c>
      <c r="C4800" s="75" t="s">
        <v>10</v>
      </c>
      <c r="D4800" s="75">
        <v>8795</v>
      </c>
      <c r="F4800" s="75" t="s">
        <v>10</v>
      </c>
      <c r="H4800" s="75" t="s">
        <v>10</v>
      </c>
      <c r="I4800" s="75">
        <v>19489</v>
      </c>
      <c r="K4800" s="75" t="str">
        <f>IFERROR(VLOOKUP(J4800,'NQ10'!$B$9:$C$145,2,0),"")</f>
        <v/>
      </c>
    </row>
    <row r="4801" spans="1:11" ht="15" customHeight="1" x14ac:dyDescent="0.25">
      <c r="A4801" s="75">
        <v>40</v>
      </c>
      <c r="B4801" s="75">
        <v>6</v>
      </c>
      <c r="C4801" s="75" t="s">
        <v>10</v>
      </c>
      <c r="D4801" s="75">
        <v>8489</v>
      </c>
      <c r="F4801" s="75" t="s">
        <v>10</v>
      </c>
      <c r="H4801" s="75" t="s">
        <v>10</v>
      </c>
      <c r="I4801" s="75">
        <v>19489</v>
      </c>
      <c r="K4801" s="75" t="str">
        <f>IFERROR(VLOOKUP(J4801,'NQ10'!$B$9:$C$145,2,0),"")</f>
        <v/>
      </c>
    </row>
    <row r="4802" spans="1:11" ht="15" customHeight="1" x14ac:dyDescent="0.25">
      <c r="A4802" s="75">
        <v>40</v>
      </c>
      <c r="B4802" s="75">
        <v>7</v>
      </c>
      <c r="C4802" s="75" t="s">
        <v>10</v>
      </c>
      <c r="D4802" s="75">
        <v>7902</v>
      </c>
      <c r="F4802" s="75" t="s">
        <v>10</v>
      </c>
      <c r="H4802" s="75" t="s">
        <v>10</v>
      </c>
      <c r="I4802" s="75">
        <v>19489</v>
      </c>
      <c r="K4802" s="75" t="str">
        <f>IFERROR(VLOOKUP(J4802,'NQ10'!$B$9:$C$145,2,0),"")</f>
        <v/>
      </c>
    </row>
    <row r="4803" spans="1:11" ht="15" customHeight="1" x14ac:dyDescent="0.25">
      <c r="A4803" s="75">
        <v>40</v>
      </c>
      <c r="B4803" s="75">
        <v>8</v>
      </c>
      <c r="C4803" s="75" t="s">
        <v>10</v>
      </c>
      <c r="D4803" s="75">
        <v>7832</v>
      </c>
      <c r="F4803" s="75" t="s">
        <v>10</v>
      </c>
      <c r="H4803" s="75" t="s">
        <v>10</v>
      </c>
      <c r="I4803" s="75">
        <v>19489</v>
      </c>
      <c r="K4803" s="75" t="str">
        <f>IFERROR(VLOOKUP(J4803,'NQ10'!$B$9:$C$145,2,0),"")</f>
        <v/>
      </c>
    </row>
    <row r="4804" spans="1:11" ht="15" customHeight="1" x14ac:dyDescent="0.25">
      <c r="A4804" s="75">
        <v>40</v>
      </c>
      <c r="B4804" s="75">
        <v>9</v>
      </c>
      <c r="C4804" s="75" t="s">
        <v>10</v>
      </c>
      <c r="D4804" s="75">
        <v>6912</v>
      </c>
      <c r="F4804" s="75" t="s">
        <v>10</v>
      </c>
      <c r="H4804" s="75" t="s">
        <v>10</v>
      </c>
      <c r="I4804" s="75">
        <v>19489</v>
      </c>
      <c r="K4804" s="75" t="str">
        <f>IFERROR(VLOOKUP(J4804,'NQ10'!$B$9:$C$145,2,0),"")</f>
        <v/>
      </c>
    </row>
    <row r="4805" spans="1:11" ht="15" customHeight="1" x14ac:dyDescent="0.25">
      <c r="A4805" s="75">
        <v>40</v>
      </c>
      <c r="B4805" s="75">
        <v>10</v>
      </c>
      <c r="C4805" s="75" t="s">
        <v>10</v>
      </c>
      <c r="D4805" s="75">
        <v>5702</v>
      </c>
      <c r="F4805" s="75" t="s">
        <v>10</v>
      </c>
      <c r="H4805" s="75" t="s">
        <v>10</v>
      </c>
      <c r="I4805" s="75">
        <v>19489</v>
      </c>
      <c r="K4805" s="75" t="str">
        <f>IFERROR(VLOOKUP(J4805,'NQ10'!$B$9:$C$145,2,0),"")</f>
        <v/>
      </c>
    </row>
    <row r="4806" spans="1:11" ht="15" customHeight="1" x14ac:dyDescent="0.25">
      <c r="A4806" s="75">
        <v>40</v>
      </c>
      <c r="B4806" s="75">
        <v>11</v>
      </c>
      <c r="C4806" s="75" t="s">
        <v>10</v>
      </c>
      <c r="D4806" s="75">
        <v>6721</v>
      </c>
      <c r="F4806" s="75" t="s">
        <v>10</v>
      </c>
      <c r="H4806" s="75" t="s">
        <v>10</v>
      </c>
      <c r="I4806" s="75">
        <v>19489</v>
      </c>
      <c r="K4806" s="75" t="str">
        <f>IFERROR(VLOOKUP(J4806,'NQ10'!$B$9:$C$145,2,0),"")</f>
        <v/>
      </c>
    </row>
    <row r="4807" spans="1:11" ht="15" customHeight="1" x14ac:dyDescent="0.25">
      <c r="A4807" s="75">
        <v>40</v>
      </c>
      <c r="B4807" s="75">
        <v>12</v>
      </c>
      <c r="C4807" s="75" t="s">
        <v>10</v>
      </c>
      <c r="D4807" s="75">
        <v>6663</v>
      </c>
      <c r="F4807" s="75" t="s">
        <v>10</v>
      </c>
      <c r="H4807" s="75" t="s">
        <v>10</v>
      </c>
      <c r="I4807" s="75">
        <v>19489</v>
      </c>
      <c r="K4807" s="75" t="str">
        <f>IFERROR(VLOOKUP(J4807,'NQ10'!$B$9:$C$145,2,0),"")</f>
        <v/>
      </c>
    </row>
    <row r="4808" spans="1:11" ht="15" customHeight="1" x14ac:dyDescent="0.25">
      <c r="A4808" s="75">
        <v>40</v>
      </c>
      <c r="B4808" s="75">
        <v>13</v>
      </c>
      <c r="C4808" s="75" t="s">
        <v>10</v>
      </c>
      <c r="D4808" s="75">
        <v>685</v>
      </c>
      <c r="F4808" s="75" t="s">
        <v>10</v>
      </c>
      <c r="H4808" s="75" t="s">
        <v>10</v>
      </c>
      <c r="I4808" s="75">
        <v>19489</v>
      </c>
      <c r="K4808" s="75" t="str">
        <f>IFERROR(VLOOKUP(J4808,'NQ10'!$B$9:$C$145,2,0),"")</f>
        <v/>
      </c>
    </row>
    <row r="4809" spans="1:11" ht="15" customHeight="1" x14ac:dyDescent="0.25">
      <c r="A4809" s="75">
        <v>40</v>
      </c>
      <c r="B4809" s="75">
        <v>14</v>
      </c>
      <c r="C4809" s="75" t="s">
        <v>10</v>
      </c>
      <c r="D4809" s="75">
        <v>5019</v>
      </c>
      <c r="F4809" s="75" t="s">
        <v>10</v>
      </c>
      <c r="H4809" s="75" t="s">
        <v>10</v>
      </c>
      <c r="I4809" s="75">
        <v>19489</v>
      </c>
      <c r="K4809" s="75" t="str">
        <f>IFERROR(VLOOKUP(J4809,'NQ10'!$B$9:$C$145,2,0),"")</f>
        <v/>
      </c>
    </row>
    <row r="4810" spans="1:11" ht="15" customHeight="1" x14ac:dyDescent="0.25">
      <c r="A4810" s="75">
        <v>40</v>
      </c>
      <c r="B4810" s="75">
        <v>15</v>
      </c>
      <c r="C4810" s="75" t="s">
        <v>10</v>
      </c>
      <c r="D4810" s="75">
        <v>6239</v>
      </c>
      <c r="F4810" s="75" t="s">
        <v>10</v>
      </c>
      <c r="H4810" s="75" t="s">
        <v>10</v>
      </c>
      <c r="I4810" s="75">
        <v>19489</v>
      </c>
      <c r="K4810" s="75" t="str">
        <f>IFERROR(VLOOKUP(J4810,'NQ10'!$B$9:$C$145,2,0),"")</f>
        <v/>
      </c>
    </row>
    <row r="4811" spans="1:11" ht="15" customHeight="1" x14ac:dyDescent="0.25">
      <c r="A4811" s="75">
        <v>40</v>
      </c>
      <c r="B4811" s="75">
        <v>17</v>
      </c>
      <c r="C4811" s="75" t="s">
        <v>10</v>
      </c>
      <c r="D4811" s="75">
        <v>2589</v>
      </c>
      <c r="F4811" s="75" t="s">
        <v>10</v>
      </c>
      <c r="H4811" s="75" t="s">
        <v>10</v>
      </c>
      <c r="I4811" s="75">
        <v>19489</v>
      </c>
      <c r="K4811" s="75" t="str">
        <f>IFERROR(VLOOKUP(J4811,'NQ10'!$B$9:$C$145,2,0),"")</f>
        <v/>
      </c>
    </row>
    <row r="4812" spans="1:11" ht="15" customHeight="1" x14ac:dyDescent="0.25">
      <c r="A4812" s="75">
        <v>40</v>
      </c>
      <c r="B4812" s="75">
        <v>18</v>
      </c>
      <c r="C4812" s="75" t="s">
        <v>10</v>
      </c>
      <c r="D4812" s="75">
        <v>5750</v>
      </c>
      <c r="F4812" s="75" t="s">
        <v>10</v>
      </c>
      <c r="H4812" s="75" t="s">
        <v>10</v>
      </c>
      <c r="I4812" s="75">
        <v>19489</v>
      </c>
      <c r="K4812" s="75" t="str">
        <f>IFERROR(VLOOKUP(J4812,'NQ10'!$B$9:$C$145,2,0),"")</f>
        <v/>
      </c>
    </row>
    <row r="4813" spans="1:11" ht="15" customHeight="1" x14ac:dyDescent="0.25">
      <c r="A4813" s="75">
        <v>40</v>
      </c>
      <c r="B4813" s="75">
        <v>19</v>
      </c>
      <c r="C4813" s="75" t="s">
        <v>10</v>
      </c>
      <c r="D4813" s="75">
        <v>1178</v>
      </c>
      <c r="F4813" s="75" t="s">
        <v>10</v>
      </c>
      <c r="H4813" s="75" t="s">
        <v>10</v>
      </c>
      <c r="I4813" s="75">
        <v>19489</v>
      </c>
      <c r="K4813" s="75" t="str">
        <f>IFERROR(VLOOKUP(J4813,'NQ10'!$B$9:$C$145,2,0),"")</f>
        <v/>
      </c>
    </row>
    <row r="4814" spans="1:11" ht="15" customHeight="1" x14ac:dyDescent="0.25">
      <c r="A4814" s="75">
        <v>40</v>
      </c>
      <c r="B4814" s="75">
        <v>20</v>
      </c>
      <c r="C4814" s="75" t="s">
        <v>10</v>
      </c>
      <c r="D4814" s="75">
        <v>8122</v>
      </c>
      <c r="F4814" s="75" t="s">
        <v>10</v>
      </c>
      <c r="H4814" s="75" t="s">
        <v>10</v>
      </c>
      <c r="I4814" s="75">
        <v>19489</v>
      </c>
      <c r="K4814" s="75" t="str">
        <f>IFERROR(VLOOKUP(J4814,'NQ10'!$B$9:$C$145,2,0),"")</f>
        <v/>
      </c>
    </row>
    <row r="4815" spans="1:11" ht="15" customHeight="1" x14ac:dyDescent="0.25">
      <c r="A4815" s="75">
        <v>40</v>
      </c>
      <c r="B4815" s="75">
        <v>21</v>
      </c>
      <c r="C4815" s="75" t="s">
        <v>10</v>
      </c>
      <c r="D4815" s="75">
        <v>7390</v>
      </c>
      <c r="F4815" s="75" t="s">
        <v>10</v>
      </c>
      <c r="H4815" s="75" t="s">
        <v>10</v>
      </c>
      <c r="I4815" s="75">
        <v>19489</v>
      </c>
      <c r="K4815" s="75" t="str">
        <f>IFERROR(VLOOKUP(J4815,'NQ10'!$B$9:$C$145,2,0),"")</f>
        <v/>
      </c>
    </row>
    <row r="4816" spans="1:11" ht="15" customHeight="1" x14ac:dyDescent="0.25">
      <c r="A4816" s="75">
        <v>40</v>
      </c>
      <c r="B4816" s="75">
        <v>22</v>
      </c>
      <c r="C4816" s="75" t="s">
        <v>10</v>
      </c>
      <c r="D4816" s="75">
        <v>2480</v>
      </c>
      <c r="F4816" s="75" t="s">
        <v>10</v>
      </c>
      <c r="H4816" s="75" t="s">
        <v>10</v>
      </c>
      <c r="I4816" s="75">
        <v>19489</v>
      </c>
      <c r="K4816" s="75" t="str">
        <f>IFERROR(VLOOKUP(J4816,'NQ10'!$B$9:$C$145,2,0),"")</f>
        <v/>
      </c>
    </row>
    <row r="4817" spans="1:11" ht="15" customHeight="1" x14ac:dyDescent="0.25">
      <c r="A4817" s="75">
        <v>40</v>
      </c>
      <c r="B4817" s="75">
        <v>23</v>
      </c>
      <c r="C4817" s="75" t="s">
        <v>10</v>
      </c>
      <c r="D4817" s="75">
        <v>1734</v>
      </c>
      <c r="F4817" s="75" t="s">
        <v>10</v>
      </c>
      <c r="H4817" s="75" t="s">
        <v>10</v>
      </c>
      <c r="I4817" s="75">
        <v>19489</v>
      </c>
      <c r="K4817" s="75" t="str">
        <f>IFERROR(VLOOKUP(J4817,'NQ10'!$B$9:$C$145,2,0),"")</f>
        <v/>
      </c>
    </row>
    <row r="4818" spans="1:11" ht="15" customHeight="1" x14ac:dyDescent="0.25">
      <c r="A4818" s="75">
        <v>40</v>
      </c>
      <c r="B4818" s="75">
        <v>24</v>
      </c>
      <c r="C4818" s="75" t="s">
        <v>10</v>
      </c>
      <c r="D4818" s="75">
        <v>8291</v>
      </c>
      <c r="F4818" s="75" t="s">
        <v>10</v>
      </c>
      <c r="H4818" s="75" t="s">
        <v>10</v>
      </c>
      <c r="I4818" s="75">
        <v>19489</v>
      </c>
      <c r="K4818" s="75" t="str">
        <f>IFERROR(VLOOKUP(J4818,'NQ10'!$B$9:$C$145,2,0),"")</f>
        <v/>
      </c>
    </row>
    <row r="4819" spans="1:11" ht="15" customHeight="1" x14ac:dyDescent="0.25">
      <c r="A4819" s="75">
        <v>40</v>
      </c>
      <c r="B4819" s="75">
        <v>25</v>
      </c>
      <c r="C4819" s="75" t="s">
        <v>10</v>
      </c>
      <c r="D4819" s="75">
        <v>6562</v>
      </c>
      <c r="F4819" s="75" t="s">
        <v>10</v>
      </c>
      <c r="H4819" s="75" t="s">
        <v>10</v>
      </c>
      <c r="I4819" s="75">
        <v>19489</v>
      </c>
      <c r="K4819" s="75" t="str">
        <f>IFERROR(VLOOKUP(J4819,'NQ10'!$B$9:$C$145,2,0),"")</f>
        <v/>
      </c>
    </row>
    <row r="4820" spans="1:11" ht="15" customHeight="1" x14ac:dyDescent="0.25">
      <c r="A4820" s="75">
        <v>40</v>
      </c>
      <c r="B4820" s="75">
        <v>26</v>
      </c>
      <c r="C4820" s="75" t="s">
        <v>10</v>
      </c>
      <c r="D4820" s="75">
        <v>346</v>
      </c>
      <c r="F4820" s="75" t="s">
        <v>10</v>
      </c>
      <c r="H4820" s="75" t="s">
        <v>10</v>
      </c>
      <c r="I4820" s="75">
        <v>19489</v>
      </c>
      <c r="K4820" s="75" t="str">
        <f>IFERROR(VLOOKUP(J4820,'NQ10'!$B$9:$C$145,2,0),"")</f>
        <v/>
      </c>
    </row>
    <row r="4821" spans="1:11" ht="15" customHeight="1" x14ac:dyDescent="0.25">
      <c r="A4821" s="75">
        <v>40</v>
      </c>
      <c r="B4821" s="75">
        <v>27</v>
      </c>
      <c r="C4821" s="75" t="s">
        <v>10</v>
      </c>
      <c r="D4821" s="75">
        <v>1060</v>
      </c>
      <c r="F4821" s="75" t="s">
        <v>10</v>
      </c>
      <c r="H4821" s="75" t="s">
        <v>10</v>
      </c>
      <c r="I4821" s="75">
        <v>19489</v>
      </c>
      <c r="K4821" s="75" t="str">
        <f>IFERROR(VLOOKUP(J4821,'NQ10'!$B$9:$C$145,2,0),"")</f>
        <v/>
      </c>
    </row>
    <row r="4822" spans="1:11" ht="15" customHeight="1" x14ac:dyDescent="0.25">
      <c r="A4822" s="75">
        <v>40</v>
      </c>
      <c r="B4822" s="75">
        <v>28</v>
      </c>
      <c r="C4822" s="75" t="s">
        <v>10</v>
      </c>
      <c r="D4822" s="75">
        <v>999</v>
      </c>
      <c r="F4822" s="75" t="s">
        <v>10</v>
      </c>
      <c r="H4822" s="75" t="s">
        <v>10</v>
      </c>
      <c r="I4822" s="75">
        <v>19489</v>
      </c>
      <c r="K4822" s="75" t="str">
        <f>IFERROR(VLOOKUP(J4822,'NQ10'!$B$9:$C$145,2,0),"")</f>
        <v/>
      </c>
    </row>
    <row r="4823" spans="1:11" ht="15" customHeight="1" x14ac:dyDescent="0.25">
      <c r="A4823" s="75">
        <v>40</v>
      </c>
      <c r="B4823" s="75">
        <v>29</v>
      </c>
      <c r="C4823" s="75" t="s">
        <v>10</v>
      </c>
      <c r="D4823" s="75">
        <v>7618</v>
      </c>
      <c r="F4823" s="75" t="s">
        <v>10</v>
      </c>
      <c r="H4823" s="75" t="s">
        <v>10</v>
      </c>
      <c r="I4823" s="75">
        <v>19489</v>
      </c>
      <c r="K4823" s="75" t="str">
        <f>IFERROR(VLOOKUP(J4823,'NQ10'!$B$9:$C$145,2,0),"")</f>
        <v/>
      </c>
    </row>
    <row r="4824" spans="1:11" ht="15" customHeight="1" x14ac:dyDescent="0.25">
      <c r="A4824" s="75">
        <v>40</v>
      </c>
      <c r="B4824" s="75">
        <v>30</v>
      </c>
      <c r="C4824" s="75" t="s">
        <v>10</v>
      </c>
      <c r="D4824" s="75">
        <v>8302</v>
      </c>
      <c r="F4824" s="75" t="s">
        <v>10</v>
      </c>
      <c r="H4824" s="75" t="s">
        <v>10</v>
      </c>
      <c r="I4824" s="75">
        <v>19489</v>
      </c>
      <c r="K4824" s="75" t="str">
        <f>IFERROR(VLOOKUP(J4824,'NQ10'!$B$9:$C$145,2,0),"")</f>
        <v/>
      </c>
    </row>
    <row r="4825" spans="1:11" ht="15" customHeight="1" x14ac:dyDescent="0.25">
      <c r="A4825" s="75">
        <v>40</v>
      </c>
      <c r="B4825" s="75">
        <v>31</v>
      </c>
      <c r="C4825" s="75" t="s">
        <v>10</v>
      </c>
      <c r="D4825" s="75">
        <v>1688</v>
      </c>
      <c r="F4825" s="75" t="s">
        <v>10</v>
      </c>
      <c r="H4825" s="75" t="s">
        <v>10</v>
      </c>
      <c r="I4825" s="75">
        <v>19489</v>
      </c>
      <c r="K4825" s="75" t="str">
        <f>IFERROR(VLOOKUP(J4825,'NQ10'!$B$9:$C$145,2,0),"")</f>
        <v/>
      </c>
    </row>
    <row r="4826" spans="1:11" ht="15" customHeight="1" x14ac:dyDescent="0.25">
      <c r="A4826" s="75">
        <v>40</v>
      </c>
      <c r="B4826" s="75">
        <v>32</v>
      </c>
      <c r="C4826" s="75" t="s">
        <v>10</v>
      </c>
      <c r="D4826" s="75">
        <v>980</v>
      </c>
      <c r="F4826" s="75" t="s">
        <v>10</v>
      </c>
      <c r="H4826" s="75" t="s">
        <v>10</v>
      </c>
      <c r="I4826" s="75">
        <v>19489</v>
      </c>
      <c r="K4826" s="75" t="str">
        <f>IFERROR(VLOOKUP(J4826,'NQ10'!$B$9:$C$145,2,0),"")</f>
        <v/>
      </c>
    </row>
    <row r="4827" spans="1:11" ht="15" customHeight="1" x14ac:dyDescent="0.25">
      <c r="A4827" s="75">
        <v>40</v>
      </c>
      <c r="B4827" s="75">
        <v>33</v>
      </c>
      <c r="C4827" s="75" t="s">
        <v>10</v>
      </c>
      <c r="D4827" s="75">
        <v>371</v>
      </c>
      <c r="F4827" s="75" t="s">
        <v>10</v>
      </c>
      <c r="H4827" s="75" t="s">
        <v>10</v>
      </c>
      <c r="I4827" s="75">
        <v>19489</v>
      </c>
      <c r="K4827" s="75" t="str">
        <f>IFERROR(VLOOKUP(J4827,'NQ10'!$B$9:$C$145,2,0),"")</f>
        <v/>
      </c>
    </row>
    <row r="4828" spans="1:11" ht="15" customHeight="1" x14ac:dyDescent="0.25">
      <c r="A4828" s="75">
        <v>40</v>
      </c>
      <c r="B4828" s="75">
        <v>34</v>
      </c>
      <c r="C4828" s="75" t="s">
        <v>10</v>
      </c>
      <c r="D4828" s="75">
        <v>531</v>
      </c>
      <c r="F4828" s="75" t="s">
        <v>10</v>
      </c>
      <c r="H4828" s="75" t="s">
        <v>10</v>
      </c>
      <c r="I4828" s="75">
        <v>19489</v>
      </c>
      <c r="K4828" s="75" t="str">
        <f>IFERROR(VLOOKUP(J4828,'NQ10'!$B$9:$C$145,2,0),"")</f>
        <v/>
      </c>
    </row>
    <row r="4829" spans="1:11" ht="15" customHeight="1" x14ac:dyDescent="0.25">
      <c r="A4829" s="75">
        <v>40</v>
      </c>
      <c r="B4829" s="75">
        <v>37</v>
      </c>
      <c r="C4829" s="75" t="s">
        <v>10</v>
      </c>
      <c r="D4829" s="75">
        <v>671</v>
      </c>
      <c r="F4829" s="75" t="s">
        <v>10</v>
      </c>
      <c r="H4829" s="75" t="s">
        <v>10</v>
      </c>
      <c r="I4829" s="75">
        <v>19489</v>
      </c>
      <c r="K4829" s="75" t="str">
        <f>IFERROR(VLOOKUP(J4829,'NQ10'!$B$9:$C$145,2,0),"")</f>
        <v/>
      </c>
    </row>
    <row r="4830" spans="1:11" ht="15" customHeight="1" x14ac:dyDescent="0.25">
      <c r="A4830" s="75">
        <v>40</v>
      </c>
      <c r="B4830" s="75">
        <v>38</v>
      </c>
      <c r="C4830" s="75" t="s">
        <v>10</v>
      </c>
      <c r="D4830" s="75">
        <v>569</v>
      </c>
      <c r="F4830" s="75" t="s">
        <v>10</v>
      </c>
      <c r="H4830" s="75" t="s">
        <v>10</v>
      </c>
      <c r="I4830" s="75">
        <v>19489</v>
      </c>
      <c r="K4830" s="75" t="str">
        <f>IFERROR(VLOOKUP(J4830,'NQ10'!$B$9:$C$145,2,0),"")</f>
        <v/>
      </c>
    </row>
    <row r="4831" spans="1:11" ht="15" customHeight="1" x14ac:dyDescent="0.25">
      <c r="A4831" s="75">
        <v>40</v>
      </c>
      <c r="B4831" s="75">
        <v>39</v>
      </c>
      <c r="C4831" s="75" t="s">
        <v>10</v>
      </c>
      <c r="D4831" s="75">
        <v>716</v>
      </c>
      <c r="F4831" s="75" t="s">
        <v>10</v>
      </c>
      <c r="H4831" s="75" t="s">
        <v>10</v>
      </c>
      <c r="I4831" s="75">
        <v>19489</v>
      </c>
      <c r="K4831" s="75" t="str">
        <f>IFERROR(VLOOKUP(J4831,'NQ10'!$B$9:$C$145,2,0),"")</f>
        <v/>
      </c>
    </row>
    <row r="4832" spans="1:11" ht="15" customHeight="1" x14ac:dyDescent="0.25">
      <c r="A4832" s="75">
        <v>40</v>
      </c>
      <c r="B4832" s="75">
        <v>40</v>
      </c>
      <c r="C4832" s="75" t="s">
        <v>10</v>
      </c>
      <c r="D4832" s="75">
        <v>327</v>
      </c>
      <c r="F4832" s="75" t="s">
        <v>10</v>
      </c>
      <c r="H4832" s="75" t="s">
        <v>10</v>
      </c>
      <c r="I4832" s="75">
        <v>19489</v>
      </c>
      <c r="K4832" s="75" t="str">
        <f>IFERROR(VLOOKUP(J4832,'NQ10'!$B$9:$C$145,2,0),"")</f>
        <v/>
      </c>
    </row>
    <row r="4833" spans="1:11" ht="15" customHeight="1" x14ac:dyDescent="0.25">
      <c r="A4833" s="75">
        <v>40</v>
      </c>
      <c r="B4833" s="75">
        <v>41</v>
      </c>
      <c r="C4833" s="75" t="s">
        <v>10</v>
      </c>
      <c r="D4833" s="75">
        <v>611</v>
      </c>
      <c r="F4833" s="75" t="s">
        <v>10</v>
      </c>
      <c r="H4833" s="75" t="s">
        <v>10</v>
      </c>
      <c r="I4833" s="75">
        <v>19489</v>
      </c>
      <c r="K4833" s="75" t="str">
        <f>IFERROR(VLOOKUP(J4833,'NQ10'!$B$9:$C$145,2,0),"")</f>
        <v/>
      </c>
    </row>
    <row r="4834" spans="1:11" ht="15" customHeight="1" x14ac:dyDescent="0.25">
      <c r="A4834" s="75">
        <v>40</v>
      </c>
      <c r="B4834" s="75">
        <v>43</v>
      </c>
      <c r="C4834" s="75" t="s">
        <v>10</v>
      </c>
      <c r="D4834" s="75">
        <v>1043</v>
      </c>
      <c r="F4834" s="75" t="s">
        <v>10</v>
      </c>
      <c r="H4834" s="75" t="s">
        <v>10</v>
      </c>
      <c r="I4834" s="75">
        <v>19489</v>
      </c>
      <c r="K4834" s="75" t="str">
        <f>IFERROR(VLOOKUP(J4834,'NQ10'!$B$9:$C$145,2,0),"")</f>
        <v/>
      </c>
    </row>
    <row r="4835" spans="1:11" ht="15" customHeight="1" x14ac:dyDescent="0.25">
      <c r="A4835" s="75">
        <v>40</v>
      </c>
      <c r="B4835" s="75">
        <v>44</v>
      </c>
      <c r="C4835" s="75" t="s">
        <v>10</v>
      </c>
      <c r="D4835" s="75">
        <v>1303</v>
      </c>
      <c r="F4835" s="75" t="s">
        <v>10</v>
      </c>
      <c r="H4835" s="75" t="s">
        <v>10</v>
      </c>
      <c r="I4835" s="75">
        <v>19489</v>
      </c>
      <c r="K4835" s="75" t="str">
        <f>IFERROR(VLOOKUP(J4835,'NQ10'!$B$9:$C$145,2,0),"")</f>
        <v/>
      </c>
    </row>
    <row r="4836" spans="1:11" ht="15" customHeight="1" x14ac:dyDescent="0.25">
      <c r="A4836" s="75">
        <v>40</v>
      </c>
      <c r="B4836" s="75">
        <v>45</v>
      </c>
      <c r="C4836" s="75" t="s">
        <v>10</v>
      </c>
      <c r="D4836" s="75">
        <v>2071</v>
      </c>
      <c r="F4836" s="75" t="s">
        <v>10</v>
      </c>
      <c r="H4836" s="75" t="s">
        <v>10</v>
      </c>
      <c r="I4836" s="75">
        <v>19489</v>
      </c>
      <c r="K4836" s="75" t="str">
        <f>IFERROR(VLOOKUP(J4836,'NQ10'!$B$9:$C$145,2,0),"")</f>
        <v/>
      </c>
    </row>
    <row r="4837" spans="1:11" ht="15" customHeight="1" x14ac:dyDescent="0.25">
      <c r="A4837" s="75">
        <v>40</v>
      </c>
      <c r="B4837" s="75">
        <v>46</v>
      </c>
      <c r="C4837" s="75" t="s">
        <v>10</v>
      </c>
      <c r="D4837" s="75">
        <v>1177</v>
      </c>
      <c r="F4837" s="75" t="s">
        <v>10</v>
      </c>
      <c r="H4837" s="75" t="s">
        <v>10</v>
      </c>
      <c r="I4837" s="75">
        <v>19489</v>
      </c>
      <c r="K4837" s="75" t="str">
        <f>IFERROR(VLOOKUP(J4837,'NQ10'!$B$9:$C$145,2,0),"")</f>
        <v/>
      </c>
    </row>
    <row r="4838" spans="1:11" ht="15" customHeight="1" x14ac:dyDescent="0.25">
      <c r="A4838" s="75">
        <v>40</v>
      </c>
      <c r="B4838" s="75">
        <v>47</v>
      </c>
      <c r="C4838" s="75" t="s">
        <v>10</v>
      </c>
      <c r="D4838" s="75">
        <v>942</v>
      </c>
      <c r="F4838" s="75" t="s">
        <v>10</v>
      </c>
      <c r="H4838" s="75" t="s">
        <v>10</v>
      </c>
      <c r="I4838" s="75">
        <v>19489</v>
      </c>
      <c r="K4838" s="75" t="str">
        <f>IFERROR(VLOOKUP(J4838,'NQ10'!$B$9:$C$145,2,0),"")</f>
        <v/>
      </c>
    </row>
    <row r="4839" spans="1:11" ht="15" customHeight="1" x14ac:dyDescent="0.25">
      <c r="A4839" s="75">
        <v>40</v>
      </c>
      <c r="B4839" s="75">
        <v>48</v>
      </c>
      <c r="C4839" s="75" t="s">
        <v>10</v>
      </c>
      <c r="D4839" s="75">
        <v>1388</v>
      </c>
      <c r="F4839" s="75" t="s">
        <v>10</v>
      </c>
      <c r="H4839" s="75" t="s">
        <v>10</v>
      </c>
      <c r="I4839" s="75">
        <v>19489</v>
      </c>
      <c r="K4839" s="75" t="str">
        <f>IFERROR(VLOOKUP(J4839,'NQ10'!$B$9:$C$145,2,0),"")</f>
        <v/>
      </c>
    </row>
    <row r="4840" spans="1:11" ht="15" customHeight="1" x14ac:dyDescent="0.25">
      <c r="A4840" s="75">
        <v>40</v>
      </c>
      <c r="B4840" s="75">
        <v>49</v>
      </c>
      <c r="C4840" s="75" t="s">
        <v>10</v>
      </c>
      <c r="D4840" s="75">
        <v>1424</v>
      </c>
      <c r="F4840" s="75" t="s">
        <v>10</v>
      </c>
      <c r="H4840" s="75" t="s">
        <v>10</v>
      </c>
      <c r="I4840" s="75">
        <v>19489</v>
      </c>
      <c r="K4840" s="75" t="str">
        <f>IFERROR(VLOOKUP(J4840,'NQ10'!$B$9:$C$145,2,0),"")</f>
        <v/>
      </c>
    </row>
    <row r="4841" spans="1:11" ht="15" customHeight="1" x14ac:dyDescent="0.25">
      <c r="A4841" s="75">
        <v>40</v>
      </c>
      <c r="B4841" s="75">
        <v>50</v>
      </c>
      <c r="C4841" s="75" t="s">
        <v>10</v>
      </c>
      <c r="D4841" s="75">
        <v>1197</v>
      </c>
      <c r="F4841" s="75" t="s">
        <v>10</v>
      </c>
      <c r="H4841" s="75" t="s">
        <v>10</v>
      </c>
      <c r="I4841" s="75">
        <v>19489</v>
      </c>
      <c r="K4841" s="75" t="str">
        <f>IFERROR(VLOOKUP(J4841,'NQ10'!$B$9:$C$145,2,0),"")</f>
        <v/>
      </c>
    </row>
    <row r="4842" spans="1:11" ht="15" customHeight="1" x14ac:dyDescent="0.25">
      <c r="A4842" s="75">
        <v>40</v>
      </c>
      <c r="B4842" s="75">
        <v>51</v>
      </c>
      <c r="C4842" s="75" t="s">
        <v>10</v>
      </c>
      <c r="D4842" s="75">
        <v>1019</v>
      </c>
      <c r="F4842" s="75" t="s">
        <v>10</v>
      </c>
      <c r="H4842" s="75" t="s">
        <v>10</v>
      </c>
      <c r="I4842" s="75">
        <v>19489</v>
      </c>
      <c r="K4842" s="75" t="str">
        <f>IFERROR(VLOOKUP(J4842,'NQ10'!$B$9:$C$145,2,0),"")</f>
        <v/>
      </c>
    </row>
    <row r="4843" spans="1:11" ht="15" customHeight="1" x14ac:dyDescent="0.25">
      <c r="A4843" s="75">
        <v>40</v>
      </c>
      <c r="B4843" s="75">
        <v>52</v>
      </c>
      <c r="C4843" s="75" t="s">
        <v>10</v>
      </c>
      <c r="D4843" s="75">
        <v>904</v>
      </c>
      <c r="F4843" s="75" t="s">
        <v>10</v>
      </c>
      <c r="H4843" s="75" t="s">
        <v>10</v>
      </c>
      <c r="I4843" s="75">
        <v>19489</v>
      </c>
      <c r="K4843" s="75" t="str">
        <f>IFERROR(VLOOKUP(J4843,'NQ10'!$B$9:$C$145,2,0),"")</f>
        <v/>
      </c>
    </row>
    <row r="4844" spans="1:11" ht="15" customHeight="1" x14ac:dyDescent="0.25">
      <c r="A4844" s="75">
        <v>40</v>
      </c>
      <c r="B4844" s="75">
        <v>53</v>
      </c>
      <c r="C4844" s="75" t="s">
        <v>10</v>
      </c>
      <c r="D4844" s="75">
        <v>723</v>
      </c>
      <c r="F4844" s="75" t="s">
        <v>10</v>
      </c>
      <c r="H4844" s="75" t="s">
        <v>10</v>
      </c>
      <c r="I4844" s="75">
        <v>19489</v>
      </c>
      <c r="K4844" s="75" t="str">
        <f>IFERROR(VLOOKUP(J4844,'NQ10'!$B$9:$C$145,2,0),"")</f>
        <v/>
      </c>
    </row>
    <row r="4845" spans="1:11" ht="15" customHeight="1" x14ac:dyDescent="0.25">
      <c r="A4845" s="75">
        <v>40</v>
      </c>
      <c r="B4845" s="75">
        <v>54</v>
      </c>
      <c r="C4845" s="75" t="s">
        <v>10</v>
      </c>
      <c r="D4845" s="75">
        <v>1022</v>
      </c>
      <c r="F4845" s="75" t="s">
        <v>10</v>
      </c>
      <c r="H4845" s="75" t="s">
        <v>10</v>
      </c>
      <c r="I4845" s="75">
        <v>19489</v>
      </c>
      <c r="K4845" s="75" t="str">
        <f>IFERROR(VLOOKUP(J4845,'NQ10'!$B$9:$C$145,2,0),"")</f>
        <v/>
      </c>
    </row>
    <row r="4846" spans="1:11" ht="15" customHeight="1" x14ac:dyDescent="0.25">
      <c r="A4846" s="75">
        <v>40</v>
      </c>
      <c r="B4846" s="75">
        <v>55</v>
      </c>
      <c r="C4846" s="75" t="s">
        <v>10</v>
      </c>
      <c r="D4846" s="75">
        <v>1102</v>
      </c>
      <c r="F4846" s="75" t="s">
        <v>10</v>
      </c>
      <c r="H4846" s="75" t="s">
        <v>10</v>
      </c>
      <c r="I4846" s="75">
        <v>19489</v>
      </c>
      <c r="K4846" s="75" t="str">
        <f>IFERROR(VLOOKUP(J4846,'NQ10'!$B$9:$C$145,2,0),"")</f>
        <v/>
      </c>
    </row>
    <row r="4847" spans="1:11" ht="15" customHeight="1" x14ac:dyDescent="0.25">
      <c r="A4847" s="75">
        <v>40</v>
      </c>
      <c r="B4847" s="75">
        <v>56</v>
      </c>
      <c r="C4847" s="75" t="s">
        <v>10</v>
      </c>
      <c r="D4847" s="75">
        <v>1167</v>
      </c>
      <c r="F4847" s="75" t="s">
        <v>10</v>
      </c>
      <c r="H4847" s="75" t="s">
        <v>10</v>
      </c>
      <c r="I4847" s="75">
        <v>19489</v>
      </c>
      <c r="K4847" s="75" t="str">
        <f>IFERROR(VLOOKUP(J4847,'NQ10'!$B$9:$C$145,2,0),"")</f>
        <v/>
      </c>
    </row>
    <row r="4848" spans="1:11" ht="15" customHeight="1" x14ac:dyDescent="0.25">
      <c r="A4848" s="75">
        <v>40</v>
      </c>
      <c r="B4848" s="75">
        <v>57</v>
      </c>
      <c r="C4848" s="75" t="s">
        <v>10</v>
      </c>
      <c r="D4848" s="75">
        <v>616</v>
      </c>
      <c r="F4848" s="75" t="s">
        <v>10</v>
      </c>
      <c r="H4848" s="75" t="s">
        <v>10</v>
      </c>
      <c r="I4848" s="75">
        <v>19489</v>
      </c>
      <c r="K4848" s="75" t="str">
        <f>IFERROR(VLOOKUP(J4848,'NQ10'!$B$9:$C$145,2,0),"")</f>
        <v/>
      </c>
    </row>
    <row r="4849" spans="1:11" ht="15" customHeight="1" x14ac:dyDescent="0.25">
      <c r="A4849" s="75">
        <v>40</v>
      </c>
      <c r="B4849" s="75">
        <v>58</v>
      </c>
      <c r="C4849" s="75" t="s">
        <v>10</v>
      </c>
      <c r="D4849" s="75">
        <v>298</v>
      </c>
      <c r="F4849" s="75" t="s">
        <v>10</v>
      </c>
      <c r="H4849" s="75" t="s">
        <v>10</v>
      </c>
      <c r="I4849" s="75">
        <v>19489</v>
      </c>
      <c r="K4849" s="75" t="str">
        <f>IFERROR(VLOOKUP(J4849,'NQ10'!$B$9:$C$145,2,0),"")</f>
        <v/>
      </c>
    </row>
    <row r="4850" spans="1:11" ht="15" customHeight="1" x14ac:dyDescent="0.25">
      <c r="A4850" s="75">
        <v>40</v>
      </c>
      <c r="B4850" s="75">
        <v>59</v>
      </c>
      <c r="C4850" s="75" t="s">
        <v>10</v>
      </c>
      <c r="D4850" s="75">
        <v>1172</v>
      </c>
      <c r="F4850" s="75" t="s">
        <v>10</v>
      </c>
      <c r="H4850" s="75" t="s">
        <v>10</v>
      </c>
      <c r="I4850" s="75">
        <v>19489</v>
      </c>
      <c r="K4850" s="75" t="str">
        <f>IFERROR(VLOOKUP(J4850,'NQ10'!$B$9:$C$145,2,0),"")</f>
        <v/>
      </c>
    </row>
    <row r="4851" spans="1:11" ht="15" customHeight="1" x14ac:dyDescent="0.25">
      <c r="A4851" s="75">
        <v>40</v>
      </c>
      <c r="B4851" s="75">
        <v>61</v>
      </c>
      <c r="C4851" s="75" t="s">
        <v>10</v>
      </c>
      <c r="D4851" s="75">
        <v>1497</v>
      </c>
      <c r="F4851" s="75" t="s">
        <v>10</v>
      </c>
      <c r="H4851" s="75" t="s">
        <v>10</v>
      </c>
      <c r="I4851" s="75">
        <v>19489</v>
      </c>
      <c r="K4851" s="75" t="str">
        <f>IFERROR(VLOOKUP(J4851,'NQ10'!$B$9:$C$145,2,0),"")</f>
        <v/>
      </c>
    </row>
    <row r="4852" spans="1:11" ht="15" customHeight="1" x14ac:dyDescent="0.25">
      <c r="A4852" s="75">
        <v>40</v>
      </c>
      <c r="B4852" s="75">
        <v>62</v>
      </c>
      <c r="C4852" s="75" t="s">
        <v>10</v>
      </c>
      <c r="D4852" s="75">
        <v>994</v>
      </c>
      <c r="F4852" s="75" t="s">
        <v>10</v>
      </c>
      <c r="H4852" s="75" t="s">
        <v>10</v>
      </c>
      <c r="I4852" s="75">
        <v>19489</v>
      </c>
      <c r="K4852" s="75" t="str">
        <f>IFERROR(VLOOKUP(J4852,'NQ10'!$B$9:$C$145,2,0),"")</f>
        <v/>
      </c>
    </row>
    <row r="4853" spans="1:11" ht="15" customHeight="1" x14ac:dyDescent="0.25">
      <c r="A4853" s="75">
        <v>40</v>
      </c>
      <c r="B4853" s="75">
        <v>63</v>
      </c>
      <c r="C4853" s="75" t="s">
        <v>10</v>
      </c>
      <c r="D4853" s="75">
        <v>293</v>
      </c>
      <c r="F4853" s="75" t="s">
        <v>10</v>
      </c>
      <c r="H4853" s="75" t="s">
        <v>10</v>
      </c>
      <c r="I4853" s="75">
        <v>19489</v>
      </c>
      <c r="K4853" s="75" t="str">
        <f>IFERROR(VLOOKUP(J4853,'NQ10'!$B$9:$C$145,2,0),"")</f>
        <v/>
      </c>
    </row>
    <row r="4854" spans="1:11" ht="15" customHeight="1" x14ac:dyDescent="0.25">
      <c r="A4854" s="75">
        <v>40</v>
      </c>
      <c r="B4854" s="75">
        <v>64</v>
      </c>
      <c r="C4854" s="75" t="s">
        <v>10</v>
      </c>
      <c r="D4854" s="75">
        <v>342</v>
      </c>
      <c r="F4854" s="75" t="s">
        <v>10</v>
      </c>
      <c r="H4854" s="75" t="s">
        <v>10</v>
      </c>
      <c r="I4854" s="75">
        <v>19489</v>
      </c>
      <c r="K4854" s="75" t="str">
        <f>IFERROR(VLOOKUP(J4854,'NQ10'!$B$9:$C$145,2,0),"")</f>
        <v/>
      </c>
    </row>
    <row r="4855" spans="1:11" ht="15" customHeight="1" x14ac:dyDescent="0.25">
      <c r="A4855" s="75">
        <v>40</v>
      </c>
      <c r="B4855" s="75">
        <v>65</v>
      </c>
      <c r="C4855" s="75" t="s">
        <v>10</v>
      </c>
      <c r="D4855" s="75">
        <v>1788</v>
      </c>
      <c r="F4855" s="75" t="s">
        <v>10</v>
      </c>
      <c r="H4855" s="75" t="s">
        <v>10</v>
      </c>
      <c r="I4855" s="75">
        <v>19489</v>
      </c>
      <c r="K4855" s="75" t="str">
        <f>IFERROR(VLOOKUP(J4855,'NQ10'!$B$9:$C$145,2,0),"")</f>
        <v/>
      </c>
    </row>
    <row r="4856" spans="1:11" ht="15" customHeight="1" x14ac:dyDescent="0.25">
      <c r="A4856" s="75">
        <v>40</v>
      </c>
      <c r="B4856" s="75">
        <v>66</v>
      </c>
      <c r="C4856" s="75" t="s">
        <v>10</v>
      </c>
      <c r="D4856" s="75">
        <v>3861</v>
      </c>
      <c r="F4856" s="75" t="s">
        <v>10</v>
      </c>
      <c r="H4856" s="75" t="s">
        <v>10</v>
      </c>
      <c r="I4856" s="75">
        <v>19489</v>
      </c>
      <c r="K4856" s="75" t="str">
        <f>IFERROR(VLOOKUP(J4856,'NQ10'!$B$9:$C$145,2,0),"")</f>
        <v/>
      </c>
    </row>
    <row r="4857" spans="1:11" ht="15" customHeight="1" x14ac:dyDescent="0.25">
      <c r="A4857" s="75">
        <v>40</v>
      </c>
      <c r="B4857" s="75">
        <v>67</v>
      </c>
      <c r="C4857" s="75" t="s">
        <v>10</v>
      </c>
      <c r="D4857" s="75">
        <v>5287</v>
      </c>
      <c r="F4857" s="75" t="s">
        <v>10</v>
      </c>
      <c r="H4857" s="75" t="s">
        <v>10</v>
      </c>
      <c r="I4857" s="75">
        <v>19489</v>
      </c>
      <c r="K4857" s="75" t="str">
        <f>IFERROR(VLOOKUP(J4857,'NQ10'!$B$9:$C$145,2,0),"")</f>
        <v/>
      </c>
    </row>
    <row r="4858" spans="1:11" ht="15" customHeight="1" x14ac:dyDescent="0.25">
      <c r="A4858" s="75">
        <v>41</v>
      </c>
      <c r="B4858" s="75">
        <v>1</v>
      </c>
      <c r="C4858" s="75" t="s">
        <v>10</v>
      </c>
      <c r="D4858" s="75">
        <v>1300</v>
      </c>
      <c r="F4858" s="75" t="s">
        <v>10</v>
      </c>
      <c r="H4858" s="75" t="s">
        <v>10</v>
      </c>
      <c r="I4858" s="75">
        <v>19489</v>
      </c>
      <c r="K4858" s="75" t="str">
        <f>IFERROR(VLOOKUP(J4858,'NQ10'!$B$9:$C$145,2,0),"")</f>
        <v/>
      </c>
    </row>
    <row r="4859" spans="1:11" ht="15" customHeight="1" x14ac:dyDescent="0.25">
      <c r="A4859" s="75">
        <v>41</v>
      </c>
      <c r="B4859" s="75">
        <v>2</v>
      </c>
      <c r="C4859" s="75" t="s">
        <v>10</v>
      </c>
      <c r="D4859" s="75">
        <v>953</v>
      </c>
      <c r="F4859" s="75" t="s">
        <v>10</v>
      </c>
      <c r="H4859" s="75" t="s">
        <v>10</v>
      </c>
      <c r="I4859" s="75">
        <v>19489</v>
      </c>
      <c r="K4859" s="75" t="str">
        <f>IFERROR(VLOOKUP(J4859,'NQ10'!$B$9:$C$145,2,0),"")</f>
        <v/>
      </c>
    </row>
    <row r="4860" spans="1:11" ht="15" customHeight="1" x14ac:dyDescent="0.25">
      <c r="A4860" s="75">
        <v>41</v>
      </c>
      <c r="B4860" s="75">
        <v>3</v>
      </c>
      <c r="C4860" s="75" t="s">
        <v>10</v>
      </c>
      <c r="D4860" s="75">
        <v>1018</v>
      </c>
      <c r="F4860" s="75" t="s">
        <v>10</v>
      </c>
      <c r="H4860" s="75" t="s">
        <v>10</v>
      </c>
      <c r="I4860" s="75">
        <v>19489</v>
      </c>
      <c r="K4860" s="75" t="str">
        <f>IFERROR(VLOOKUP(J4860,'NQ10'!$B$9:$C$145,2,0),"")</f>
        <v/>
      </c>
    </row>
    <row r="4861" spans="1:11" ht="15" customHeight="1" x14ac:dyDescent="0.25">
      <c r="A4861" s="75">
        <v>41</v>
      </c>
      <c r="B4861" s="75">
        <v>4</v>
      </c>
      <c r="C4861" s="75" t="s">
        <v>10</v>
      </c>
      <c r="D4861" s="75">
        <v>1201</v>
      </c>
      <c r="F4861" s="75" t="s">
        <v>10</v>
      </c>
      <c r="H4861" s="75" t="s">
        <v>10</v>
      </c>
      <c r="I4861" s="75">
        <v>19489</v>
      </c>
      <c r="K4861" s="75" t="str">
        <f>IFERROR(VLOOKUP(J4861,'NQ10'!$B$9:$C$145,2,0),"")</f>
        <v/>
      </c>
    </row>
    <row r="4862" spans="1:11" ht="15" customHeight="1" x14ac:dyDescent="0.25">
      <c r="A4862" s="75">
        <v>41</v>
      </c>
      <c r="B4862" s="75">
        <v>5</v>
      </c>
      <c r="C4862" s="75" t="s">
        <v>10</v>
      </c>
      <c r="D4862" s="75">
        <v>1218</v>
      </c>
      <c r="F4862" s="75" t="s">
        <v>10</v>
      </c>
      <c r="H4862" s="75" t="s">
        <v>10</v>
      </c>
      <c r="I4862" s="75">
        <v>19489</v>
      </c>
      <c r="K4862" s="75" t="str">
        <f>IFERROR(VLOOKUP(J4862,'NQ10'!$B$9:$C$145,2,0),"")</f>
        <v/>
      </c>
    </row>
    <row r="4863" spans="1:11" ht="15" customHeight="1" x14ac:dyDescent="0.25">
      <c r="A4863" s="75">
        <v>41</v>
      </c>
      <c r="B4863" s="75">
        <v>6</v>
      </c>
      <c r="C4863" s="75" t="s">
        <v>10</v>
      </c>
      <c r="D4863" s="75">
        <v>483</v>
      </c>
      <c r="F4863" s="75" t="s">
        <v>10</v>
      </c>
      <c r="H4863" s="75" t="s">
        <v>10</v>
      </c>
      <c r="I4863" s="75">
        <v>19489</v>
      </c>
      <c r="K4863" s="75" t="str">
        <f>IFERROR(VLOOKUP(J4863,'NQ10'!$B$9:$C$145,2,0),"")</f>
        <v/>
      </c>
    </row>
    <row r="4864" spans="1:11" ht="15" customHeight="1" x14ac:dyDescent="0.25">
      <c r="A4864" s="75">
        <v>41</v>
      </c>
      <c r="B4864" s="75">
        <v>7</v>
      </c>
      <c r="C4864" s="75" t="s">
        <v>10</v>
      </c>
      <c r="D4864" s="75">
        <v>1728</v>
      </c>
      <c r="F4864" s="75" t="s">
        <v>10</v>
      </c>
      <c r="H4864" s="75" t="s">
        <v>10</v>
      </c>
      <c r="I4864" s="75">
        <v>19489</v>
      </c>
      <c r="K4864" s="75" t="str">
        <f>IFERROR(VLOOKUP(J4864,'NQ10'!$B$9:$C$145,2,0),"")</f>
        <v/>
      </c>
    </row>
    <row r="4865" spans="1:11" ht="15" customHeight="1" x14ac:dyDescent="0.25">
      <c r="A4865" s="75">
        <v>41</v>
      </c>
      <c r="B4865" s="75">
        <v>8</v>
      </c>
      <c r="C4865" s="75" t="s">
        <v>10</v>
      </c>
      <c r="D4865" s="75">
        <v>1809</v>
      </c>
      <c r="F4865" s="75" t="s">
        <v>10</v>
      </c>
      <c r="H4865" s="75" t="s">
        <v>10</v>
      </c>
      <c r="I4865" s="75">
        <v>19489</v>
      </c>
      <c r="K4865" s="75" t="str">
        <f>IFERROR(VLOOKUP(J4865,'NQ10'!$B$9:$C$145,2,0),"")</f>
        <v/>
      </c>
    </row>
    <row r="4866" spans="1:11" ht="15" customHeight="1" x14ac:dyDescent="0.25">
      <c r="A4866" s="75">
        <v>41</v>
      </c>
      <c r="B4866" s="75">
        <v>9</v>
      </c>
      <c r="C4866" s="75" t="s">
        <v>10</v>
      </c>
      <c r="D4866" s="75">
        <v>2866</v>
      </c>
      <c r="F4866" s="75" t="s">
        <v>10</v>
      </c>
      <c r="H4866" s="75" t="s">
        <v>10</v>
      </c>
      <c r="I4866" s="75">
        <v>19489</v>
      </c>
      <c r="K4866" s="75" t="str">
        <f>IFERROR(VLOOKUP(J4866,'NQ10'!$B$9:$C$145,2,0),"")</f>
        <v/>
      </c>
    </row>
    <row r="4867" spans="1:11" ht="15" customHeight="1" x14ac:dyDescent="0.25">
      <c r="A4867" s="75">
        <v>41</v>
      </c>
      <c r="B4867" s="75">
        <v>11</v>
      </c>
      <c r="C4867" s="75" t="s">
        <v>10</v>
      </c>
      <c r="D4867" s="75">
        <v>2006</v>
      </c>
      <c r="F4867" s="75" t="s">
        <v>10</v>
      </c>
      <c r="H4867" s="75" t="s">
        <v>10</v>
      </c>
      <c r="I4867" s="75">
        <v>19489</v>
      </c>
      <c r="K4867" s="75" t="str">
        <f>IFERROR(VLOOKUP(J4867,'NQ10'!$B$9:$C$145,2,0),"")</f>
        <v/>
      </c>
    </row>
    <row r="4868" spans="1:11" ht="15" customHeight="1" x14ac:dyDescent="0.25">
      <c r="A4868" s="75">
        <v>41</v>
      </c>
      <c r="B4868" s="75">
        <v>12</v>
      </c>
      <c r="C4868" s="75" t="s">
        <v>10</v>
      </c>
      <c r="D4868" s="75">
        <v>174</v>
      </c>
      <c r="F4868" s="75" t="s">
        <v>10</v>
      </c>
      <c r="H4868" s="75" t="s">
        <v>10</v>
      </c>
      <c r="I4868" s="75">
        <v>19489</v>
      </c>
      <c r="K4868" s="75" t="str">
        <f>IFERROR(VLOOKUP(J4868,'NQ10'!$B$9:$C$145,2,0),"")</f>
        <v/>
      </c>
    </row>
    <row r="4869" spans="1:11" ht="15" customHeight="1" x14ac:dyDescent="0.25">
      <c r="A4869" s="75">
        <v>41</v>
      </c>
      <c r="B4869" s="75">
        <v>13</v>
      </c>
      <c r="C4869" s="75" t="s">
        <v>10</v>
      </c>
      <c r="D4869" s="75">
        <v>1396</v>
      </c>
      <c r="F4869" s="75" t="s">
        <v>10</v>
      </c>
      <c r="H4869" s="75" t="s">
        <v>10</v>
      </c>
      <c r="I4869" s="75">
        <v>19489</v>
      </c>
      <c r="K4869" s="75" t="str">
        <f>IFERROR(VLOOKUP(J4869,'NQ10'!$B$9:$C$145,2,0),"")</f>
        <v/>
      </c>
    </row>
    <row r="4870" spans="1:11" ht="15" customHeight="1" x14ac:dyDescent="0.25">
      <c r="A4870" s="75">
        <v>41</v>
      </c>
      <c r="B4870" s="75">
        <v>14</v>
      </c>
      <c r="C4870" s="75" t="s">
        <v>10</v>
      </c>
      <c r="D4870" s="75">
        <v>414</v>
      </c>
      <c r="F4870" s="75" t="s">
        <v>10</v>
      </c>
      <c r="H4870" s="75" t="s">
        <v>10</v>
      </c>
      <c r="I4870" s="75">
        <v>19489</v>
      </c>
      <c r="K4870" s="75" t="str">
        <f>IFERROR(VLOOKUP(J4870,'NQ10'!$B$9:$C$145,2,0),"")</f>
        <v/>
      </c>
    </row>
    <row r="4871" spans="1:11" ht="15" customHeight="1" x14ac:dyDescent="0.25">
      <c r="A4871" s="75">
        <v>41</v>
      </c>
      <c r="B4871" s="75">
        <v>15</v>
      </c>
      <c r="C4871" s="75" t="s">
        <v>10</v>
      </c>
      <c r="D4871" s="75">
        <v>162</v>
      </c>
      <c r="F4871" s="75" t="s">
        <v>10</v>
      </c>
      <c r="H4871" s="75" t="s">
        <v>10</v>
      </c>
      <c r="I4871" s="75">
        <v>19489</v>
      </c>
      <c r="K4871" s="75" t="str">
        <f>IFERROR(VLOOKUP(J4871,'NQ10'!$B$9:$C$145,2,0),"")</f>
        <v/>
      </c>
    </row>
    <row r="4872" spans="1:11" ht="15" customHeight="1" x14ac:dyDescent="0.25">
      <c r="A4872" s="75">
        <v>41</v>
      </c>
      <c r="B4872" s="75">
        <v>16</v>
      </c>
      <c r="C4872" s="75" t="s">
        <v>10</v>
      </c>
      <c r="D4872" s="75">
        <v>749</v>
      </c>
      <c r="F4872" s="75" t="s">
        <v>10</v>
      </c>
      <c r="H4872" s="75" t="s">
        <v>10</v>
      </c>
      <c r="I4872" s="75">
        <v>19489</v>
      </c>
      <c r="K4872" s="75" t="str">
        <f>IFERROR(VLOOKUP(J4872,'NQ10'!$B$9:$C$145,2,0),"")</f>
        <v/>
      </c>
    </row>
    <row r="4873" spans="1:11" ht="15" customHeight="1" x14ac:dyDescent="0.25">
      <c r="A4873" s="75">
        <v>41</v>
      </c>
      <c r="B4873" s="75">
        <v>18</v>
      </c>
      <c r="C4873" s="75" t="s">
        <v>10</v>
      </c>
      <c r="D4873" s="75">
        <v>113561</v>
      </c>
      <c r="F4873" s="75" t="s">
        <v>10</v>
      </c>
      <c r="H4873" s="75" t="s">
        <v>10</v>
      </c>
      <c r="I4873" s="75">
        <v>19489</v>
      </c>
      <c r="K4873" s="75" t="str">
        <f>IFERROR(VLOOKUP(J4873,'NQ10'!$B$9:$C$145,2,0),"")</f>
        <v/>
      </c>
    </row>
    <row r="4874" spans="1:11" ht="15" customHeight="1" x14ac:dyDescent="0.25">
      <c r="A4874" s="75">
        <v>41</v>
      </c>
      <c r="B4874" s="75">
        <v>19</v>
      </c>
      <c r="C4874" s="75" t="s">
        <v>10</v>
      </c>
      <c r="D4874" s="75">
        <v>7869</v>
      </c>
      <c r="F4874" s="75" t="s">
        <v>10</v>
      </c>
      <c r="H4874" s="75" t="s">
        <v>10</v>
      </c>
      <c r="I4874" s="75">
        <v>19489</v>
      </c>
      <c r="K4874" s="75" t="str">
        <f>IFERROR(VLOOKUP(J4874,'NQ10'!$B$9:$C$145,2,0),"")</f>
        <v/>
      </c>
    </row>
    <row r="4875" spans="1:11" ht="15" customHeight="1" x14ac:dyDescent="0.25">
      <c r="A4875" s="75">
        <v>41</v>
      </c>
      <c r="B4875" s="75">
        <v>21</v>
      </c>
      <c r="C4875" s="75" t="s">
        <v>10</v>
      </c>
      <c r="D4875" s="75">
        <v>6991</v>
      </c>
      <c r="F4875" s="75" t="s">
        <v>10</v>
      </c>
      <c r="H4875" s="75" t="s">
        <v>10</v>
      </c>
      <c r="I4875" s="75">
        <v>19489</v>
      </c>
      <c r="K4875" s="75" t="str">
        <f>IFERROR(VLOOKUP(J4875,'NQ10'!$B$9:$C$145,2,0),"")</f>
        <v/>
      </c>
    </row>
    <row r="4876" spans="1:11" ht="15" customHeight="1" x14ac:dyDescent="0.25">
      <c r="A4876" s="75">
        <v>41</v>
      </c>
      <c r="B4876" s="75">
        <v>22</v>
      </c>
      <c r="C4876" s="75" t="s">
        <v>10</v>
      </c>
      <c r="D4876" s="75">
        <v>915</v>
      </c>
      <c r="F4876" s="75" t="s">
        <v>10</v>
      </c>
      <c r="H4876" s="75" t="s">
        <v>10</v>
      </c>
      <c r="I4876" s="75">
        <v>19489</v>
      </c>
      <c r="K4876" s="75" t="str">
        <f>IFERROR(VLOOKUP(J4876,'NQ10'!$B$9:$C$145,2,0),"")</f>
        <v/>
      </c>
    </row>
    <row r="4877" spans="1:11" ht="15" customHeight="1" x14ac:dyDescent="0.25">
      <c r="A4877" s="75">
        <v>41</v>
      </c>
      <c r="B4877" s="75">
        <v>23</v>
      </c>
      <c r="C4877" s="75" t="s">
        <v>10</v>
      </c>
      <c r="D4877" s="75">
        <v>532</v>
      </c>
      <c r="F4877" s="75" t="s">
        <v>10</v>
      </c>
      <c r="H4877" s="75" t="s">
        <v>10</v>
      </c>
      <c r="I4877" s="75">
        <v>19489</v>
      </c>
      <c r="K4877" s="75" t="str">
        <f>IFERROR(VLOOKUP(J4877,'NQ10'!$B$9:$C$145,2,0),"")</f>
        <v/>
      </c>
    </row>
    <row r="4878" spans="1:11" ht="15" customHeight="1" x14ac:dyDescent="0.25">
      <c r="A4878" s="75">
        <v>41</v>
      </c>
      <c r="B4878" s="75">
        <v>24</v>
      </c>
      <c r="C4878" s="75" t="s">
        <v>10</v>
      </c>
      <c r="D4878" s="75">
        <v>709</v>
      </c>
      <c r="F4878" s="75" t="s">
        <v>10</v>
      </c>
      <c r="H4878" s="75" t="s">
        <v>10</v>
      </c>
      <c r="I4878" s="75">
        <v>19489</v>
      </c>
      <c r="K4878" s="75" t="str">
        <f>IFERROR(VLOOKUP(J4878,'NQ10'!$B$9:$C$145,2,0),"")</f>
        <v/>
      </c>
    </row>
    <row r="4879" spans="1:11" ht="15" customHeight="1" x14ac:dyDescent="0.25">
      <c r="A4879" s="75">
        <v>41</v>
      </c>
      <c r="B4879" s="75">
        <v>25</v>
      </c>
      <c r="C4879" s="75" t="s">
        <v>10</v>
      </c>
      <c r="D4879" s="75">
        <v>168</v>
      </c>
      <c r="F4879" s="75" t="s">
        <v>10</v>
      </c>
      <c r="H4879" s="75" t="s">
        <v>10</v>
      </c>
      <c r="I4879" s="75">
        <v>19489</v>
      </c>
      <c r="K4879" s="75" t="str">
        <f>IFERROR(VLOOKUP(J4879,'NQ10'!$B$9:$C$145,2,0),"")</f>
        <v/>
      </c>
    </row>
    <row r="4880" spans="1:11" ht="15" customHeight="1" x14ac:dyDescent="0.25">
      <c r="A4880" s="75">
        <v>41</v>
      </c>
      <c r="B4880" s="75">
        <v>26</v>
      </c>
      <c r="C4880" s="75" t="s">
        <v>10</v>
      </c>
      <c r="D4880" s="75">
        <v>256</v>
      </c>
      <c r="F4880" s="75" t="s">
        <v>10</v>
      </c>
      <c r="H4880" s="75" t="s">
        <v>10</v>
      </c>
      <c r="I4880" s="75">
        <v>19489</v>
      </c>
      <c r="K4880" s="75" t="str">
        <f>IFERROR(VLOOKUP(J4880,'NQ10'!$B$9:$C$145,2,0),"")</f>
        <v/>
      </c>
    </row>
    <row r="4881" spans="1:11" ht="15" customHeight="1" x14ac:dyDescent="0.25">
      <c r="A4881" s="75">
        <v>41</v>
      </c>
      <c r="B4881" s="75">
        <v>27</v>
      </c>
      <c r="C4881" s="75" t="s">
        <v>10</v>
      </c>
      <c r="D4881" s="75">
        <v>863</v>
      </c>
      <c r="F4881" s="75" t="s">
        <v>10</v>
      </c>
      <c r="H4881" s="75" t="s">
        <v>10</v>
      </c>
      <c r="I4881" s="75">
        <v>19489</v>
      </c>
      <c r="K4881" s="75" t="str">
        <f>IFERROR(VLOOKUP(J4881,'NQ10'!$B$9:$C$145,2,0),"")</f>
        <v/>
      </c>
    </row>
    <row r="4882" spans="1:11" ht="15" customHeight="1" x14ac:dyDescent="0.25">
      <c r="A4882" s="75">
        <v>41</v>
      </c>
      <c r="B4882" s="75">
        <v>28</v>
      </c>
      <c r="C4882" s="75" t="s">
        <v>10</v>
      </c>
      <c r="D4882" s="75">
        <v>877</v>
      </c>
      <c r="F4882" s="75" t="s">
        <v>10</v>
      </c>
      <c r="H4882" s="75" t="s">
        <v>10</v>
      </c>
      <c r="I4882" s="75">
        <v>19489</v>
      </c>
      <c r="K4882" s="75" t="str">
        <f>IFERROR(VLOOKUP(J4882,'NQ10'!$B$9:$C$145,2,0),"")</f>
        <v/>
      </c>
    </row>
    <row r="4883" spans="1:11" ht="15" customHeight="1" x14ac:dyDescent="0.25">
      <c r="A4883" s="75">
        <v>41</v>
      </c>
      <c r="B4883" s="75">
        <v>29</v>
      </c>
      <c r="C4883" s="75" t="s">
        <v>10</v>
      </c>
      <c r="D4883" s="75">
        <v>853</v>
      </c>
      <c r="F4883" s="75" t="s">
        <v>10</v>
      </c>
      <c r="H4883" s="75" t="s">
        <v>10</v>
      </c>
      <c r="I4883" s="75">
        <v>19489</v>
      </c>
      <c r="K4883" s="75" t="str">
        <f>IFERROR(VLOOKUP(J4883,'NQ10'!$B$9:$C$145,2,0),"")</f>
        <v/>
      </c>
    </row>
    <row r="4884" spans="1:11" ht="15" customHeight="1" x14ac:dyDescent="0.25">
      <c r="A4884" s="75">
        <v>41</v>
      </c>
      <c r="B4884" s="75">
        <v>30</v>
      </c>
      <c r="C4884" s="75" t="s">
        <v>10</v>
      </c>
      <c r="D4884" s="75">
        <v>569</v>
      </c>
      <c r="F4884" s="75" t="s">
        <v>10</v>
      </c>
      <c r="H4884" s="75" t="s">
        <v>10</v>
      </c>
      <c r="I4884" s="75">
        <v>19489</v>
      </c>
      <c r="K4884" s="75" t="str">
        <f>IFERROR(VLOOKUP(J4884,'NQ10'!$B$9:$C$145,2,0),"")</f>
        <v/>
      </c>
    </row>
    <row r="4885" spans="1:11" ht="15" customHeight="1" x14ac:dyDescent="0.25">
      <c r="A4885" s="75">
        <v>41</v>
      </c>
      <c r="B4885" s="75">
        <v>31</v>
      </c>
      <c r="C4885" s="75" t="s">
        <v>10</v>
      </c>
      <c r="D4885" s="75">
        <v>863</v>
      </c>
      <c r="F4885" s="75" t="s">
        <v>10</v>
      </c>
      <c r="H4885" s="75" t="s">
        <v>10</v>
      </c>
      <c r="I4885" s="75">
        <v>19489</v>
      </c>
      <c r="K4885" s="75" t="str">
        <f>IFERROR(VLOOKUP(J4885,'NQ10'!$B$9:$C$145,2,0),"")</f>
        <v/>
      </c>
    </row>
    <row r="4886" spans="1:11" ht="15" customHeight="1" x14ac:dyDescent="0.25">
      <c r="A4886" s="75">
        <v>41</v>
      </c>
      <c r="B4886" s="75">
        <v>32</v>
      </c>
      <c r="C4886" s="75" t="s">
        <v>10</v>
      </c>
      <c r="D4886" s="75">
        <v>1557</v>
      </c>
      <c r="F4886" s="75" t="s">
        <v>10</v>
      </c>
      <c r="H4886" s="75" t="s">
        <v>10</v>
      </c>
      <c r="I4886" s="75">
        <v>19489</v>
      </c>
      <c r="K4886" s="75" t="str">
        <f>IFERROR(VLOOKUP(J4886,'NQ10'!$B$9:$C$145,2,0),"")</f>
        <v/>
      </c>
    </row>
    <row r="4887" spans="1:11" ht="15" customHeight="1" x14ac:dyDescent="0.25">
      <c r="A4887" s="75">
        <v>41</v>
      </c>
      <c r="B4887" s="75">
        <v>101</v>
      </c>
      <c r="C4887" s="75" t="s">
        <v>10</v>
      </c>
      <c r="D4887" s="75">
        <v>4119</v>
      </c>
      <c r="F4887" s="75" t="s">
        <v>10</v>
      </c>
      <c r="H4887" s="75" t="s">
        <v>10</v>
      </c>
      <c r="I4887" s="75">
        <v>19489</v>
      </c>
      <c r="K4887" s="75" t="str">
        <f>IFERROR(VLOOKUP(J4887,'NQ10'!$B$9:$C$145,2,0),"")</f>
        <v/>
      </c>
    </row>
    <row r="4888" spans="1:11" ht="15" customHeight="1" x14ac:dyDescent="0.25">
      <c r="A4888" s="75">
        <v>41</v>
      </c>
      <c r="B4888" s="75">
        <v>102</v>
      </c>
      <c r="C4888" s="75" t="s">
        <v>10</v>
      </c>
      <c r="D4888" s="75">
        <v>3804</v>
      </c>
      <c r="F4888" s="75" t="s">
        <v>10</v>
      </c>
      <c r="H4888" s="75" t="s">
        <v>10</v>
      </c>
      <c r="I4888" s="75">
        <v>19489</v>
      </c>
      <c r="K4888" s="75" t="str">
        <f>IFERROR(VLOOKUP(J4888,'NQ10'!$B$9:$C$145,2,0),"")</f>
        <v/>
      </c>
    </row>
    <row r="4889" spans="1:11" ht="15" customHeight="1" x14ac:dyDescent="0.25">
      <c r="A4889" s="75">
        <v>41</v>
      </c>
      <c r="B4889" s="75">
        <v>103</v>
      </c>
      <c r="C4889" s="75" t="s">
        <v>10</v>
      </c>
      <c r="D4889" s="75">
        <v>685</v>
      </c>
      <c r="F4889" s="75" t="s">
        <v>10</v>
      </c>
      <c r="H4889" s="75" t="s">
        <v>10</v>
      </c>
      <c r="I4889" s="75">
        <v>19489</v>
      </c>
      <c r="K4889" s="75" t="str">
        <f>IFERROR(VLOOKUP(J4889,'NQ10'!$B$9:$C$145,2,0),"")</f>
        <v/>
      </c>
    </row>
  </sheetData>
  <pageMargins left="0.7" right="0.7" top="0.75" bottom="0.75" header="0.3" footer="0.3"/>
  <pageSetup paperSize="12" orientation="landscape" copies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1"/>
  <sheetViews>
    <sheetView showWhiteSpace="0" view="pageLayout" topLeftCell="A87" zoomScaleNormal="100" workbookViewId="0">
      <selection activeCell="B87" sqref="B87"/>
    </sheetView>
  </sheetViews>
  <sheetFormatPr defaultColWidth="9.140625" defaultRowHeight="16.5" x14ac:dyDescent="0.25"/>
  <cols>
    <col min="1" max="1" width="6.5703125" style="49" customWidth="1"/>
    <col min="2" max="2" width="24.7109375" style="49" customWidth="1"/>
    <col min="3" max="3" width="16.5703125" style="49" customWidth="1"/>
    <col min="4" max="4" width="7.7109375" style="49" customWidth="1"/>
    <col min="5" max="5" width="10.42578125" style="49" customWidth="1"/>
    <col min="6" max="6" width="12" style="49" customWidth="1"/>
    <col min="7" max="7" width="13" style="49" customWidth="1"/>
    <col min="8" max="16384" width="9.140625" style="49"/>
  </cols>
  <sheetData>
    <row r="1" spans="1:7" ht="22.5" customHeight="1" x14ac:dyDescent="0.25">
      <c r="A1" s="113" t="s">
        <v>336</v>
      </c>
      <c r="B1" s="113"/>
      <c r="C1" s="112" t="s">
        <v>335</v>
      </c>
      <c r="D1" s="112"/>
      <c r="E1" s="112"/>
      <c r="F1" s="112"/>
      <c r="G1" s="112"/>
    </row>
    <row r="2" spans="1:7" x14ac:dyDescent="0.25">
      <c r="A2" s="112" t="s">
        <v>334</v>
      </c>
      <c r="B2" s="112"/>
      <c r="C2" s="112" t="s">
        <v>333</v>
      </c>
      <c r="D2" s="112"/>
      <c r="E2" s="112"/>
      <c r="F2" s="112"/>
      <c r="G2" s="112"/>
    </row>
    <row r="4" spans="1:7" x14ac:dyDescent="0.25">
      <c r="A4" s="114" t="s">
        <v>337</v>
      </c>
      <c r="B4" s="114"/>
      <c r="C4" s="115" t="s">
        <v>338</v>
      </c>
      <c r="D4" s="115"/>
      <c r="E4" s="115"/>
      <c r="F4" s="115"/>
      <c r="G4" s="115"/>
    </row>
    <row r="6" spans="1:7" x14ac:dyDescent="0.25">
      <c r="A6" s="112" t="s">
        <v>330</v>
      </c>
      <c r="B6" s="112"/>
      <c r="C6" s="112"/>
      <c r="D6" s="112"/>
      <c r="E6" s="112"/>
      <c r="F6" s="112"/>
      <c r="G6" s="112"/>
    </row>
    <row r="7" spans="1:7" ht="65.25" customHeight="1" x14ac:dyDescent="0.25">
      <c r="A7" s="116" t="s">
        <v>339</v>
      </c>
      <c r="B7" s="116"/>
      <c r="C7" s="116"/>
      <c r="D7" s="116"/>
      <c r="E7" s="116"/>
      <c r="F7" s="116"/>
      <c r="G7" s="116"/>
    </row>
    <row r="8" spans="1:7" ht="31.5" customHeight="1" x14ac:dyDescent="0.25">
      <c r="A8" s="61" t="s">
        <v>149</v>
      </c>
      <c r="B8" s="61" t="s">
        <v>622</v>
      </c>
      <c r="C8" s="61" t="s">
        <v>328</v>
      </c>
      <c r="D8" s="61" t="s">
        <v>1</v>
      </c>
      <c r="E8" s="61" t="s">
        <v>9</v>
      </c>
      <c r="F8" s="62" t="s">
        <v>327</v>
      </c>
      <c r="G8" s="61" t="s">
        <v>6</v>
      </c>
    </row>
    <row r="9" spans="1:7" x14ac:dyDescent="0.25">
      <c r="A9" s="52">
        <v>1</v>
      </c>
      <c r="B9" s="55" t="s">
        <v>141</v>
      </c>
      <c r="C9" s="52" t="s">
        <v>340</v>
      </c>
      <c r="D9" s="52">
        <v>2</v>
      </c>
      <c r="E9" s="52" t="s">
        <v>229</v>
      </c>
      <c r="F9" s="52" t="s">
        <v>341</v>
      </c>
      <c r="G9" s="55"/>
    </row>
    <row r="10" spans="1:7" x14ac:dyDescent="0.25">
      <c r="A10" s="52">
        <v>2</v>
      </c>
      <c r="B10" s="55" t="s">
        <v>342</v>
      </c>
      <c r="C10" s="52" t="s">
        <v>340</v>
      </c>
      <c r="D10" s="52">
        <v>2</v>
      </c>
      <c r="E10" s="52" t="s">
        <v>229</v>
      </c>
      <c r="F10" s="52" t="s">
        <v>343</v>
      </c>
      <c r="G10" s="55"/>
    </row>
    <row r="11" spans="1:7" x14ac:dyDescent="0.25">
      <c r="A11" s="52">
        <v>3</v>
      </c>
      <c r="B11" s="55" t="s">
        <v>344</v>
      </c>
      <c r="C11" s="52" t="s">
        <v>340</v>
      </c>
      <c r="D11" s="52">
        <v>1</v>
      </c>
      <c r="E11" s="52" t="s">
        <v>229</v>
      </c>
      <c r="F11" s="52" t="s">
        <v>341</v>
      </c>
      <c r="G11" s="55"/>
    </row>
    <row r="12" spans="1:7" x14ac:dyDescent="0.25">
      <c r="A12" s="52">
        <v>4</v>
      </c>
      <c r="B12" s="55" t="s">
        <v>345</v>
      </c>
      <c r="C12" s="52" t="s">
        <v>340</v>
      </c>
      <c r="D12" s="52">
        <v>2</v>
      </c>
      <c r="E12" s="52" t="s">
        <v>229</v>
      </c>
      <c r="F12" s="52" t="s">
        <v>343</v>
      </c>
      <c r="G12" s="55"/>
    </row>
    <row r="13" spans="1:7" x14ac:dyDescent="0.25">
      <c r="A13" s="52">
        <v>5</v>
      </c>
      <c r="B13" s="55" t="s">
        <v>346</v>
      </c>
      <c r="C13" s="52" t="s">
        <v>340</v>
      </c>
      <c r="D13" s="52">
        <v>2</v>
      </c>
      <c r="E13" s="52" t="s">
        <v>229</v>
      </c>
      <c r="F13" s="52" t="s">
        <v>341</v>
      </c>
      <c r="G13" s="55"/>
    </row>
    <row r="14" spans="1:7" x14ac:dyDescent="0.25">
      <c r="A14" s="52">
        <v>6</v>
      </c>
      <c r="B14" s="55" t="s">
        <v>347</v>
      </c>
      <c r="C14" s="52" t="s">
        <v>340</v>
      </c>
      <c r="D14" s="52">
        <v>1</v>
      </c>
      <c r="E14" s="52" t="s">
        <v>229</v>
      </c>
      <c r="F14" s="52" t="s">
        <v>341</v>
      </c>
      <c r="G14" s="55"/>
    </row>
    <row r="15" spans="1:7" x14ac:dyDescent="0.25">
      <c r="A15" s="52">
        <v>7</v>
      </c>
      <c r="B15" s="55" t="s">
        <v>348</v>
      </c>
      <c r="C15" s="52" t="s">
        <v>340</v>
      </c>
      <c r="D15" s="52">
        <v>2</v>
      </c>
      <c r="E15" s="52" t="s">
        <v>229</v>
      </c>
      <c r="F15" s="52" t="s">
        <v>341</v>
      </c>
      <c r="G15" s="55"/>
    </row>
    <row r="16" spans="1:7" x14ac:dyDescent="0.25">
      <c r="A16" s="52">
        <v>8</v>
      </c>
      <c r="B16" s="55" t="s">
        <v>349</v>
      </c>
      <c r="C16" s="52" t="s">
        <v>340</v>
      </c>
      <c r="D16" s="52">
        <v>1</v>
      </c>
      <c r="E16" s="52" t="s">
        <v>229</v>
      </c>
      <c r="F16" s="52" t="s">
        <v>341</v>
      </c>
      <c r="G16" s="55"/>
    </row>
    <row r="17" spans="1:7" x14ac:dyDescent="0.25">
      <c r="A17" s="52">
        <v>9</v>
      </c>
      <c r="B17" s="55" t="s">
        <v>350</v>
      </c>
      <c r="C17" s="52" t="s">
        <v>340</v>
      </c>
      <c r="D17" s="52">
        <v>1</v>
      </c>
      <c r="E17" s="52" t="s">
        <v>229</v>
      </c>
      <c r="F17" s="52" t="s">
        <v>351</v>
      </c>
      <c r="G17" s="55"/>
    </row>
    <row r="18" spans="1:7" x14ac:dyDescent="0.25">
      <c r="A18" s="52">
        <v>10</v>
      </c>
      <c r="B18" s="55" t="s">
        <v>352</v>
      </c>
      <c r="C18" s="52" t="s">
        <v>340</v>
      </c>
      <c r="D18" s="52">
        <v>2</v>
      </c>
      <c r="E18" s="52" t="s">
        <v>229</v>
      </c>
      <c r="F18" s="67" t="s">
        <v>341</v>
      </c>
      <c r="G18" s="55"/>
    </row>
    <row r="19" spans="1:7" x14ac:dyDescent="0.25">
      <c r="A19" s="52">
        <v>11</v>
      </c>
      <c r="B19" s="55" t="s">
        <v>353</v>
      </c>
      <c r="C19" s="52" t="s">
        <v>164</v>
      </c>
      <c r="D19" s="52">
        <v>4</v>
      </c>
      <c r="E19" s="52" t="s">
        <v>229</v>
      </c>
      <c r="F19" s="52" t="s">
        <v>341</v>
      </c>
      <c r="G19" s="55"/>
    </row>
    <row r="20" spans="1:7" x14ac:dyDescent="0.25">
      <c r="A20" s="52">
        <v>12</v>
      </c>
      <c r="B20" s="55" t="s">
        <v>21</v>
      </c>
      <c r="C20" s="52" t="s">
        <v>164</v>
      </c>
      <c r="D20" s="52">
        <v>5</v>
      </c>
      <c r="E20" s="52" t="s">
        <v>229</v>
      </c>
      <c r="F20" s="52" t="s">
        <v>341</v>
      </c>
      <c r="G20" s="55"/>
    </row>
    <row r="21" spans="1:7" x14ac:dyDescent="0.25">
      <c r="A21" s="52">
        <v>13</v>
      </c>
      <c r="B21" s="68" t="s">
        <v>354</v>
      </c>
      <c r="C21" s="52" t="s">
        <v>164</v>
      </c>
      <c r="D21" s="52">
        <v>4</v>
      </c>
      <c r="E21" s="52" t="s">
        <v>229</v>
      </c>
      <c r="F21" s="52" t="s">
        <v>351</v>
      </c>
      <c r="G21" s="55"/>
    </row>
    <row r="22" spans="1:7" x14ac:dyDescent="0.25">
      <c r="A22" s="52">
        <v>14</v>
      </c>
      <c r="B22" s="55" t="s">
        <v>355</v>
      </c>
      <c r="C22" s="52" t="s">
        <v>164</v>
      </c>
      <c r="D22" s="52">
        <v>3</v>
      </c>
      <c r="E22" s="52" t="s">
        <v>229</v>
      </c>
      <c r="F22" s="52" t="s">
        <v>351</v>
      </c>
      <c r="G22" s="55"/>
    </row>
    <row r="23" spans="1:7" x14ac:dyDescent="0.25">
      <c r="A23" s="52">
        <v>15</v>
      </c>
      <c r="B23" s="55" t="s">
        <v>356</v>
      </c>
      <c r="C23" s="52" t="s">
        <v>164</v>
      </c>
      <c r="D23" s="52">
        <v>2</v>
      </c>
      <c r="E23" s="52" t="s">
        <v>229</v>
      </c>
      <c r="F23" s="52" t="s">
        <v>351</v>
      </c>
      <c r="G23" s="55"/>
    </row>
    <row r="24" spans="1:7" x14ac:dyDescent="0.25">
      <c r="A24" s="52">
        <v>16</v>
      </c>
      <c r="B24" s="55" t="s">
        <v>122</v>
      </c>
      <c r="C24" s="52" t="s">
        <v>164</v>
      </c>
      <c r="D24" s="52">
        <v>1</v>
      </c>
      <c r="E24" s="52" t="s">
        <v>229</v>
      </c>
      <c r="F24" s="52" t="s">
        <v>351</v>
      </c>
      <c r="G24" s="55"/>
    </row>
    <row r="25" spans="1:7" x14ac:dyDescent="0.25">
      <c r="A25" s="52">
        <v>17</v>
      </c>
      <c r="B25" s="55" t="s">
        <v>37</v>
      </c>
      <c r="C25" s="52" t="s">
        <v>164</v>
      </c>
      <c r="D25" s="52">
        <v>1</v>
      </c>
      <c r="E25" s="52" t="s">
        <v>229</v>
      </c>
      <c r="F25" s="52" t="s">
        <v>341</v>
      </c>
      <c r="G25" s="55"/>
    </row>
    <row r="26" spans="1:7" x14ac:dyDescent="0.25">
      <c r="A26" s="52">
        <v>18</v>
      </c>
      <c r="B26" s="55" t="s">
        <v>357</v>
      </c>
      <c r="C26" s="52" t="s">
        <v>164</v>
      </c>
      <c r="D26" s="52">
        <v>1</v>
      </c>
      <c r="E26" s="52" t="s">
        <v>229</v>
      </c>
      <c r="F26" s="52" t="s">
        <v>341</v>
      </c>
      <c r="G26" s="55"/>
    </row>
    <row r="27" spans="1:7" x14ac:dyDescent="0.25">
      <c r="A27" s="52">
        <v>19</v>
      </c>
      <c r="B27" s="55" t="s">
        <v>182</v>
      </c>
      <c r="C27" s="52" t="s">
        <v>164</v>
      </c>
      <c r="D27" s="52">
        <v>1</v>
      </c>
      <c r="E27" s="52" t="s">
        <v>229</v>
      </c>
      <c r="F27" s="52" t="s">
        <v>341</v>
      </c>
      <c r="G27" s="55"/>
    </row>
    <row r="28" spans="1:7" x14ac:dyDescent="0.25">
      <c r="A28" s="52">
        <v>20</v>
      </c>
      <c r="B28" s="55" t="s">
        <v>358</v>
      </c>
      <c r="C28" s="52" t="s">
        <v>164</v>
      </c>
      <c r="D28" s="52">
        <v>1</v>
      </c>
      <c r="E28" s="52" t="s">
        <v>229</v>
      </c>
      <c r="F28" s="52" t="s">
        <v>351</v>
      </c>
      <c r="G28" s="55"/>
    </row>
    <row r="29" spans="1:7" x14ac:dyDescent="0.25">
      <c r="A29" s="52">
        <v>21</v>
      </c>
      <c r="B29" s="55" t="s">
        <v>359</v>
      </c>
      <c r="C29" s="52" t="s">
        <v>164</v>
      </c>
      <c r="D29" s="52">
        <v>5</v>
      </c>
      <c r="E29" s="52" t="s">
        <v>229</v>
      </c>
      <c r="F29" s="52" t="s">
        <v>351</v>
      </c>
      <c r="G29" s="55"/>
    </row>
    <row r="30" spans="1:7" x14ac:dyDescent="0.25">
      <c r="A30" s="52">
        <v>22</v>
      </c>
      <c r="B30" s="55" t="s">
        <v>360</v>
      </c>
      <c r="C30" s="52" t="s">
        <v>164</v>
      </c>
      <c r="D30" s="52">
        <v>3</v>
      </c>
      <c r="E30" s="52" t="s">
        <v>229</v>
      </c>
      <c r="F30" s="52" t="s">
        <v>351</v>
      </c>
      <c r="G30" s="55"/>
    </row>
    <row r="31" spans="1:7" x14ac:dyDescent="0.25">
      <c r="A31" s="52">
        <v>23</v>
      </c>
      <c r="B31" s="55" t="s">
        <v>138</v>
      </c>
      <c r="C31" s="52" t="s">
        <v>164</v>
      </c>
      <c r="D31" s="52">
        <v>1</v>
      </c>
      <c r="E31" s="52" t="s">
        <v>229</v>
      </c>
      <c r="F31" s="52" t="s">
        <v>341</v>
      </c>
      <c r="G31" s="55"/>
    </row>
    <row r="32" spans="1:7" x14ac:dyDescent="0.25">
      <c r="A32" s="52">
        <v>24</v>
      </c>
      <c r="B32" s="55" t="s">
        <v>361</v>
      </c>
      <c r="C32" s="52" t="s">
        <v>164</v>
      </c>
      <c r="D32" s="52">
        <v>1</v>
      </c>
      <c r="E32" s="52" t="s">
        <v>229</v>
      </c>
      <c r="F32" s="52" t="s">
        <v>351</v>
      </c>
      <c r="G32" s="55"/>
    </row>
    <row r="33" spans="1:7" x14ac:dyDescent="0.25">
      <c r="A33" s="52">
        <v>25</v>
      </c>
      <c r="B33" s="55" t="s">
        <v>362</v>
      </c>
      <c r="C33" s="52" t="s">
        <v>164</v>
      </c>
      <c r="D33" s="52">
        <v>2</v>
      </c>
      <c r="E33" s="52" t="s">
        <v>229</v>
      </c>
      <c r="F33" s="52" t="s">
        <v>351</v>
      </c>
      <c r="G33" s="55"/>
    </row>
    <row r="34" spans="1:7" x14ac:dyDescent="0.25">
      <c r="A34" s="52">
        <v>26</v>
      </c>
      <c r="B34" s="55" t="s">
        <v>363</v>
      </c>
      <c r="C34" s="52" t="s">
        <v>164</v>
      </c>
      <c r="D34" s="52">
        <v>1</v>
      </c>
      <c r="E34" s="52" t="s">
        <v>229</v>
      </c>
      <c r="F34" s="52" t="s">
        <v>351</v>
      </c>
      <c r="G34" s="55"/>
    </row>
    <row r="35" spans="1:7" x14ac:dyDescent="0.25">
      <c r="A35" s="52">
        <v>27</v>
      </c>
      <c r="B35" s="55" t="s">
        <v>364</v>
      </c>
      <c r="C35" s="52" t="s">
        <v>164</v>
      </c>
      <c r="D35" s="52">
        <v>2</v>
      </c>
      <c r="E35" s="52" t="s">
        <v>229</v>
      </c>
      <c r="F35" s="52" t="s">
        <v>365</v>
      </c>
      <c r="G35" s="55"/>
    </row>
    <row r="36" spans="1:7" x14ac:dyDescent="0.25">
      <c r="A36" s="52">
        <v>28</v>
      </c>
      <c r="B36" s="55" t="s">
        <v>366</v>
      </c>
      <c r="C36" s="52" t="s">
        <v>164</v>
      </c>
      <c r="D36" s="52">
        <v>2</v>
      </c>
      <c r="E36" s="52" t="s">
        <v>229</v>
      </c>
      <c r="F36" s="52" t="s">
        <v>341</v>
      </c>
      <c r="G36" s="55"/>
    </row>
    <row r="37" spans="1:7" x14ac:dyDescent="0.25">
      <c r="A37" s="52">
        <v>29</v>
      </c>
      <c r="B37" s="55" t="s">
        <v>19</v>
      </c>
      <c r="C37" s="52" t="s">
        <v>164</v>
      </c>
      <c r="D37" s="52">
        <v>1</v>
      </c>
      <c r="E37" s="52" t="s">
        <v>229</v>
      </c>
      <c r="F37" s="52" t="s">
        <v>341</v>
      </c>
      <c r="G37" s="55"/>
    </row>
    <row r="38" spans="1:7" x14ac:dyDescent="0.25">
      <c r="A38" s="52">
        <v>30</v>
      </c>
      <c r="B38" s="55" t="s">
        <v>367</v>
      </c>
      <c r="C38" s="52" t="s">
        <v>164</v>
      </c>
      <c r="D38" s="52">
        <v>2</v>
      </c>
      <c r="E38" s="52" t="s">
        <v>229</v>
      </c>
      <c r="F38" s="52" t="s">
        <v>351</v>
      </c>
      <c r="G38" s="55"/>
    </row>
    <row r="39" spans="1:7" x14ac:dyDescent="0.25">
      <c r="A39" s="52">
        <v>31</v>
      </c>
      <c r="B39" s="55" t="s">
        <v>48</v>
      </c>
      <c r="C39" s="52" t="s">
        <v>164</v>
      </c>
      <c r="D39" s="52">
        <v>2</v>
      </c>
      <c r="E39" s="52" t="s">
        <v>229</v>
      </c>
      <c r="F39" s="52" t="s">
        <v>341</v>
      </c>
      <c r="G39" s="55"/>
    </row>
    <row r="40" spans="1:7" x14ac:dyDescent="0.25">
      <c r="A40" s="52">
        <v>32</v>
      </c>
      <c r="B40" s="55" t="s">
        <v>368</v>
      </c>
      <c r="C40" s="52" t="s">
        <v>164</v>
      </c>
      <c r="D40" s="52">
        <v>3</v>
      </c>
      <c r="E40" s="52" t="s">
        <v>229</v>
      </c>
      <c r="F40" s="52" t="s">
        <v>341</v>
      </c>
      <c r="G40" s="55"/>
    </row>
    <row r="41" spans="1:7" x14ac:dyDescent="0.25">
      <c r="A41" s="52">
        <v>33</v>
      </c>
      <c r="B41" s="55" t="s">
        <v>369</v>
      </c>
      <c r="C41" s="52" t="s">
        <v>164</v>
      </c>
      <c r="D41" s="52">
        <v>3</v>
      </c>
      <c r="E41" s="52" t="s">
        <v>229</v>
      </c>
      <c r="F41" s="52" t="s">
        <v>341</v>
      </c>
      <c r="G41" s="55"/>
    </row>
    <row r="42" spans="1:7" x14ac:dyDescent="0.25">
      <c r="A42" s="52">
        <v>34</v>
      </c>
      <c r="B42" s="55" t="s">
        <v>370</v>
      </c>
      <c r="C42" s="52" t="s">
        <v>164</v>
      </c>
      <c r="D42" s="52">
        <v>3</v>
      </c>
      <c r="E42" s="52" t="s">
        <v>229</v>
      </c>
      <c r="F42" s="52" t="s">
        <v>341</v>
      </c>
      <c r="G42" s="55"/>
    </row>
    <row r="43" spans="1:7" x14ac:dyDescent="0.25">
      <c r="A43" s="52">
        <v>35</v>
      </c>
      <c r="B43" s="55" t="s">
        <v>371</v>
      </c>
      <c r="C43" s="52" t="s">
        <v>216</v>
      </c>
      <c r="D43" s="52">
        <v>2</v>
      </c>
      <c r="E43" s="52" t="s">
        <v>229</v>
      </c>
      <c r="F43" s="52" t="s">
        <v>341</v>
      </c>
      <c r="G43" s="55"/>
    </row>
    <row r="44" spans="1:7" x14ac:dyDescent="0.25">
      <c r="A44" s="52">
        <v>36</v>
      </c>
      <c r="B44" s="55" t="s">
        <v>372</v>
      </c>
      <c r="C44" s="52" t="s">
        <v>216</v>
      </c>
      <c r="D44" s="52">
        <v>4</v>
      </c>
      <c r="E44" s="52" t="s">
        <v>229</v>
      </c>
      <c r="F44" s="52" t="s">
        <v>341</v>
      </c>
      <c r="G44" s="55"/>
    </row>
    <row r="45" spans="1:7" x14ac:dyDescent="0.25">
      <c r="A45" s="52">
        <v>37</v>
      </c>
      <c r="B45" s="55" t="s">
        <v>373</v>
      </c>
      <c r="C45" s="52" t="s">
        <v>216</v>
      </c>
      <c r="D45" s="52">
        <v>1</v>
      </c>
      <c r="E45" s="52" t="s">
        <v>229</v>
      </c>
      <c r="F45" s="52" t="s">
        <v>341</v>
      </c>
      <c r="G45" s="55"/>
    </row>
    <row r="46" spans="1:7" x14ac:dyDescent="0.25">
      <c r="A46" s="52">
        <v>38</v>
      </c>
      <c r="B46" s="55" t="s">
        <v>374</v>
      </c>
      <c r="C46" s="52" t="s">
        <v>216</v>
      </c>
      <c r="D46" s="52">
        <v>2</v>
      </c>
      <c r="E46" s="52" t="s">
        <v>229</v>
      </c>
      <c r="F46" s="52" t="s">
        <v>341</v>
      </c>
      <c r="G46" s="55"/>
    </row>
    <row r="47" spans="1:7" x14ac:dyDescent="0.25">
      <c r="A47" s="52">
        <v>39</v>
      </c>
      <c r="B47" s="55" t="s">
        <v>375</v>
      </c>
      <c r="C47" s="52" t="s">
        <v>216</v>
      </c>
      <c r="D47" s="52">
        <v>1</v>
      </c>
      <c r="E47" s="52" t="s">
        <v>229</v>
      </c>
      <c r="F47" s="52" t="s">
        <v>351</v>
      </c>
      <c r="G47" s="55"/>
    </row>
    <row r="48" spans="1:7" x14ac:dyDescent="0.25">
      <c r="A48" s="52">
        <v>40</v>
      </c>
      <c r="B48" s="55" t="s">
        <v>376</v>
      </c>
      <c r="C48" s="52" t="s">
        <v>216</v>
      </c>
      <c r="D48" s="52">
        <v>1</v>
      </c>
      <c r="E48" s="52" t="s">
        <v>229</v>
      </c>
      <c r="F48" s="52" t="s">
        <v>351</v>
      </c>
      <c r="G48" s="55"/>
    </row>
    <row r="49" spans="1:7" x14ac:dyDescent="0.25">
      <c r="A49" s="52">
        <v>41</v>
      </c>
      <c r="B49" s="55" t="s">
        <v>377</v>
      </c>
      <c r="C49" s="52" t="s">
        <v>216</v>
      </c>
      <c r="D49" s="52">
        <v>2</v>
      </c>
      <c r="E49" s="52" t="s">
        <v>229</v>
      </c>
      <c r="F49" s="52" t="s">
        <v>351</v>
      </c>
      <c r="G49" s="55"/>
    </row>
    <row r="50" spans="1:7" x14ac:dyDescent="0.25">
      <c r="A50" s="52">
        <v>42</v>
      </c>
      <c r="B50" s="55" t="s">
        <v>378</v>
      </c>
      <c r="C50" s="52" t="s">
        <v>216</v>
      </c>
      <c r="D50" s="52">
        <v>1</v>
      </c>
      <c r="E50" s="52" t="s">
        <v>229</v>
      </c>
      <c r="F50" s="52" t="s">
        <v>351</v>
      </c>
      <c r="G50" s="55"/>
    </row>
    <row r="51" spans="1:7" x14ac:dyDescent="0.25">
      <c r="A51" s="52">
        <v>43</v>
      </c>
      <c r="B51" s="55" t="s">
        <v>379</v>
      </c>
      <c r="C51" s="52" t="s">
        <v>216</v>
      </c>
      <c r="D51" s="52">
        <v>1</v>
      </c>
      <c r="E51" s="52" t="s">
        <v>229</v>
      </c>
      <c r="F51" s="52" t="s">
        <v>343</v>
      </c>
      <c r="G51" s="55"/>
    </row>
    <row r="52" spans="1:7" x14ac:dyDescent="0.25">
      <c r="A52" s="52">
        <v>44</v>
      </c>
      <c r="B52" s="55" t="s">
        <v>380</v>
      </c>
      <c r="C52" s="52" t="s">
        <v>216</v>
      </c>
      <c r="D52" s="52">
        <v>1</v>
      </c>
      <c r="E52" s="52" t="s">
        <v>229</v>
      </c>
      <c r="F52" s="52" t="s">
        <v>343</v>
      </c>
      <c r="G52" s="55"/>
    </row>
    <row r="53" spans="1:7" x14ac:dyDescent="0.25">
      <c r="A53" s="52">
        <v>45</v>
      </c>
      <c r="B53" s="55" t="s">
        <v>381</v>
      </c>
      <c r="C53" s="52" t="s">
        <v>216</v>
      </c>
      <c r="D53" s="52">
        <v>1</v>
      </c>
      <c r="E53" s="52" t="s">
        <v>229</v>
      </c>
      <c r="F53" s="52" t="s">
        <v>351</v>
      </c>
      <c r="G53" s="55"/>
    </row>
    <row r="54" spans="1:7" x14ac:dyDescent="0.25">
      <c r="A54" s="52">
        <v>46</v>
      </c>
      <c r="B54" s="55" t="s">
        <v>382</v>
      </c>
      <c r="C54" s="52" t="s">
        <v>216</v>
      </c>
      <c r="D54" s="52">
        <v>2</v>
      </c>
      <c r="E54" s="52" t="s">
        <v>229</v>
      </c>
      <c r="F54" s="52" t="s">
        <v>351</v>
      </c>
      <c r="G54" s="55"/>
    </row>
    <row r="55" spans="1:7" x14ac:dyDescent="0.25">
      <c r="A55" s="52">
        <v>47</v>
      </c>
      <c r="B55" s="55" t="s">
        <v>383</v>
      </c>
      <c r="C55" s="52" t="s">
        <v>216</v>
      </c>
      <c r="D55" s="52">
        <v>1</v>
      </c>
      <c r="E55" s="52" t="s">
        <v>229</v>
      </c>
      <c r="F55" s="52" t="s">
        <v>341</v>
      </c>
      <c r="G55" s="55"/>
    </row>
    <row r="56" spans="1:7" x14ac:dyDescent="0.25">
      <c r="A56" s="52">
        <v>48</v>
      </c>
      <c r="B56" s="55" t="s">
        <v>384</v>
      </c>
      <c r="C56" s="52" t="s">
        <v>216</v>
      </c>
      <c r="D56" s="52">
        <v>1</v>
      </c>
      <c r="E56" s="52" t="s">
        <v>229</v>
      </c>
      <c r="F56" s="52" t="s">
        <v>351</v>
      </c>
      <c r="G56" s="55"/>
    </row>
    <row r="57" spans="1:7" x14ac:dyDescent="0.25">
      <c r="A57" s="52">
        <v>49</v>
      </c>
      <c r="B57" s="55" t="s">
        <v>385</v>
      </c>
      <c r="C57" s="52" t="s">
        <v>216</v>
      </c>
      <c r="D57" s="52">
        <v>2</v>
      </c>
      <c r="E57" s="52" t="s">
        <v>229</v>
      </c>
      <c r="F57" s="52" t="s">
        <v>341</v>
      </c>
      <c r="G57" s="55"/>
    </row>
    <row r="58" spans="1:7" x14ac:dyDescent="0.25">
      <c r="A58" s="52">
        <v>50</v>
      </c>
      <c r="B58" s="55" t="s">
        <v>386</v>
      </c>
      <c r="C58" s="52" t="s">
        <v>216</v>
      </c>
      <c r="D58" s="52">
        <v>1</v>
      </c>
      <c r="E58" s="52" t="s">
        <v>229</v>
      </c>
      <c r="F58" s="52" t="s">
        <v>341</v>
      </c>
      <c r="G58" s="55"/>
    </row>
    <row r="59" spans="1:7" x14ac:dyDescent="0.25">
      <c r="A59" s="52">
        <v>51</v>
      </c>
      <c r="B59" s="55" t="s">
        <v>64</v>
      </c>
      <c r="C59" s="52" t="s">
        <v>216</v>
      </c>
      <c r="D59" s="52">
        <v>1</v>
      </c>
      <c r="E59" s="52" t="s">
        <v>229</v>
      </c>
      <c r="F59" s="52" t="s">
        <v>351</v>
      </c>
      <c r="G59" s="55"/>
    </row>
    <row r="60" spans="1:7" x14ac:dyDescent="0.25">
      <c r="A60" s="52">
        <v>52</v>
      </c>
      <c r="B60" s="55" t="s">
        <v>15</v>
      </c>
      <c r="C60" s="52" t="s">
        <v>216</v>
      </c>
      <c r="D60" s="52">
        <v>2</v>
      </c>
      <c r="E60" s="52" t="s">
        <v>229</v>
      </c>
      <c r="F60" s="52" t="s">
        <v>351</v>
      </c>
      <c r="G60" s="55"/>
    </row>
    <row r="61" spans="1:7" x14ac:dyDescent="0.25">
      <c r="A61" s="52">
        <v>53</v>
      </c>
      <c r="B61" s="55" t="s">
        <v>387</v>
      </c>
      <c r="C61" s="52" t="s">
        <v>216</v>
      </c>
      <c r="D61" s="52">
        <v>3</v>
      </c>
      <c r="E61" s="52" t="s">
        <v>229</v>
      </c>
      <c r="F61" s="52" t="s">
        <v>351</v>
      </c>
      <c r="G61" s="55"/>
    </row>
    <row r="62" spans="1:7" x14ac:dyDescent="0.25">
      <c r="A62" s="52">
        <v>54</v>
      </c>
      <c r="B62" s="55" t="s">
        <v>388</v>
      </c>
      <c r="C62" s="18" t="s">
        <v>195</v>
      </c>
      <c r="D62" s="52">
        <v>1</v>
      </c>
      <c r="E62" s="52" t="s">
        <v>194</v>
      </c>
      <c r="F62" s="52" t="s">
        <v>341</v>
      </c>
      <c r="G62" s="55"/>
    </row>
    <row r="63" spans="1:7" x14ac:dyDescent="0.25">
      <c r="A63" s="52">
        <v>55</v>
      </c>
      <c r="B63" s="55" t="s">
        <v>389</v>
      </c>
      <c r="C63" s="18" t="s">
        <v>195</v>
      </c>
      <c r="D63" s="52">
        <v>2</v>
      </c>
      <c r="E63" s="52" t="s">
        <v>194</v>
      </c>
      <c r="F63" s="52" t="s">
        <v>341</v>
      </c>
      <c r="G63" s="55"/>
    </row>
    <row r="64" spans="1:7" x14ac:dyDescent="0.25">
      <c r="A64" s="52">
        <v>56</v>
      </c>
      <c r="B64" s="55" t="s">
        <v>390</v>
      </c>
      <c r="C64" s="18" t="s">
        <v>195</v>
      </c>
      <c r="D64" s="52">
        <v>1</v>
      </c>
      <c r="E64" s="52" t="s">
        <v>194</v>
      </c>
      <c r="F64" s="52" t="s">
        <v>341</v>
      </c>
      <c r="G64" s="55"/>
    </row>
    <row r="65" spans="1:7" x14ac:dyDescent="0.25">
      <c r="A65" s="52">
        <v>57</v>
      </c>
      <c r="B65" s="55" t="s">
        <v>391</v>
      </c>
      <c r="C65" s="18" t="s">
        <v>195</v>
      </c>
      <c r="D65" s="52">
        <v>2</v>
      </c>
      <c r="E65" s="52" t="s">
        <v>194</v>
      </c>
      <c r="F65" s="52" t="s">
        <v>341</v>
      </c>
      <c r="G65" s="55"/>
    </row>
    <row r="66" spans="1:7" x14ac:dyDescent="0.25">
      <c r="A66" s="52">
        <v>58</v>
      </c>
      <c r="B66" s="55" t="s">
        <v>392</v>
      </c>
      <c r="C66" s="18" t="s">
        <v>195</v>
      </c>
      <c r="D66" s="52">
        <v>3</v>
      </c>
      <c r="E66" s="52" t="s">
        <v>194</v>
      </c>
      <c r="F66" s="52" t="s">
        <v>341</v>
      </c>
      <c r="G66" s="55"/>
    </row>
    <row r="67" spans="1:7" x14ac:dyDescent="0.25">
      <c r="A67" s="52">
        <v>59</v>
      </c>
      <c r="B67" s="68" t="s">
        <v>393</v>
      </c>
      <c r="C67" s="18" t="s">
        <v>195</v>
      </c>
      <c r="D67" s="67">
        <v>1</v>
      </c>
      <c r="E67" s="52" t="s">
        <v>194</v>
      </c>
      <c r="F67" s="67" t="s">
        <v>341</v>
      </c>
      <c r="G67" s="55"/>
    </row>
    <row r="68" spans="1:7" x14ac:dyDescent="0.25">
      <c r="A68" s="52">
        <v>60</v>
      </c>
      <c r="B68" s="55" t="s">
        <v>394</v>
      </c>
      <c r="C68" s="18" t="s">
        <v>195</v>
      </c>
      <c r="D68" s="52">
        <v>3</v>
      </c>
      <c r="E68" s="52" t="s">
        <v>194</v>
      </c>
      <c r="F68" s="52" t="s">
        <v>341</v>
      </c>
      <c r="G68" s="55"/>
    </row>
    <row r="69" spans="1:7" x14ac:dyDescent="0.25">
      <c r="A69" s="52">
        <v>61</v>
      </c>
      <c r="B69" s="55" t="s">
        <v>395</v>
      </c>
      <c r="C69" s="18" t="s">
        <v>195</v>
      </c>
      <c r="D69" s="52">
        <v>1</v>
      </c>
      <c r="E69" s="52" t="s">
        <v>194</v>
      </c>
      <c r="F69" s="52" t="s">
        <v>341</v>
      </c>
      <c r="G69" s="55"/>
    </row>
    <row r="70" spans="1:7" x14ac:dyDescent="0.25">
      <c r="A70" s="52">
        <v>62</v>
      </c>
      <c r="B70" s="55" t="s">
        <v>396</v>
      </c>
      <c r="C70" s="18" t="s">
        <v>195</v>
      </c>
      <c r="D70" s="52">
        <v>1</v>
      </c>
      <c r="E70" s="52" t="s">
        <v>194</v>
      </c>
      <c r="F70" s="52" t="s">
        <v>365</v>
      </c>
      <c r="G70" s="55"/>
    </row>
    <row r="71" spans="1:7" x14ac:dyDescent="0.25">
      <c r="A71" s="52">
        <v>63</v>
      </c>
      <c r="B71" s="55" t="s">
        <v>397</v>
      </c>
      <c r="C71" s="18" t="s">
        <v>195</v>
      </c>
      <c r="D71" s="52">
        <v>1</v>
      </c>
      <c r="E71" s="52" t="s">
        <v>194</v>
      </c>
      <c r="F71" s="52" t="s">
        <v>341</v>
      </c>
      <c r="G71" s="55"/>
    </row>
    <row r="72" spans="1:7" x14ac:dyDescent="0.25">
      <c r="A72" s="52">
        <v>64</v>
      </c>
      <c r="B72" s="55" t="s">
        <v>398</v>
      </c>
      <c r="C72" s="18" t="s">
        <v>195</v>
      </c>
      <c r="D72" s="52">
        <v>1</v>
      </c>
      <c r="E72" s="52" t="s">
        <v>194</v>
      </c>
      <c r="F72" s="52" t="s">
        <v>341</v>
      </c>
      <c r="G72" s="55"/>
    </row>
    <row r="73" spans="1:7" x14ac:dyDescent="0.25">
      <c r="A73" s="52">
        <v>65</v>
      </c>
      <c r="B73" s="55" t="s">
        <v>119</v>
      </c>
      <c r="C73" s="18" t="s">
        <v>195</v>
      </c>
      <c r="D73" s="52">
        <v>2</v>
      </c>
      <c r="E73" s="52" t="s">
        <v>194</v>
      </c>
      <c r="F73" s="52" t="s">
        <v>341</v>
      </c>
      <c r="G73" s="55"/>
    </row>
    <row r="74" spans="1:7" x14ac:dyDescent="0.25">
      <c r="A74" s="52">
        <v>66</v>
      </c>
      <c r="B74" s="55" t="s">
        <v>399</v>
      </c>
      <c r="C74" s="52" t="s">
        <v>173</v>
      </c>
      <c r="D74" s="52">
        <v>1</v>
      </c>
      <c r="E74" s="52" t="s">
        <v>229</v>
      </c>
      <c r="F74" s="52" t="s">
        <v>341</v>
      </c>
      <c r="G74" s="55"/>
    </row>
    <row r="75" spans="1:7" x14ac:dyDescent="0.25">
      <c r="A75" s="52">
        <v>67</v>
      </c>
      <c r="B75" s="55" t="s">
        <v>400</v>
      </c>
      <c r="C75" s="52" t="s">
        <v>173</v>
      </c>
      <c r="D75" s="52">
        <v>2</v>
      </c>
      <c r="E75" s="52" t="s">
        <v>229</v>
      </c>
      <c r="F75" s="52" t="s">
        <v>341</v>
      </c>
      <c r="G75" s="55"/>
    </row>
    <row r="76" spans="1:7" x14ac:dyDescent="0.25">
      <c r="A76" s="52">
        <v>68</v>
      </c>
      <c r="B76" s="55" t="s">
        <v>97</v>
      </c>
      <c r="C76" s="52" t="s">
        <v>173</v>
      </c>
      <c r="D76" s="52">
        <v>1</v>
      </c>
      <c r="E76" s="52" t="s">
        <v>229</v>
      </c>
      <c r="F76" s="52" t="s">
        <v>365</v>
      </c>
      <c r="G76" s="55"/>
    </row>
    <row r="77" spans="1:7" x14ac:dyDescent="0.25">
      <c r="A77" s="52">
        <v>69</v>
      </c>
      <c r="B77" s="55" t="s">
        <v>401</v>
      </c>
      <c r="C77" s="52" t="s">
        <v>173</v>
      </c>
      <c r="D77" s="52">
        <v>1</v>
      </c>
      <c r="E77" s="52" t="s">
        <v>229</v>
      </c>
      <c r="F77" s="52" t="s">
        <v>341</v>
      </c>
      <c r="G77" s="55"/>
    </row>
    <row r="78" spans="1:7" x14ac:dyDescent="0.25">
      <c r="A78" s="52">
        <v>70</v>
      </c>
      <c r="B78" s="55" t="s">
        <v>402</v>
      </c>
      <c r="C78" s="52" t="s">
        <v>173</v>
      </c>
      <c r="D78" s="52">
        <v>2</v>
      </c>
      <c r="E78" s="52" t="s">
        <v>229</v>
      </c>
      <c r="F78" s="52" t="s">
        <v>341</v>
      </c>
      <c r="G78" s="55"/>
    </row>
    <row r="79" spans="1:7" x14ac:dyDescent="0.25">
      <c r="A79" s="52">
        <v>71</v>
      </c>
      <c r="B79" s="55" t="s">
        <v>76</v>
      </c>
      <c r="C79" s="52" t="s">
        <v>173</v>
      </c>
      <c r="D79" s="52">
        <v>2</v>
      </c>
      <c r="E79" s="52" t="s">
        <v>229</v>
      </c>
      <c r="F79" s="52" t="s">
        <v>341</v>
      </c>
      <c r="G79" s="55"/>
    </row>
    <row r="80" spans="1:7" x14ac:dyDescent="0.25">
      <c r="A80" s="52">
        <v>72</v>
      </c>
      <c r="B80" s="55" t="s">
        <v>50</v>
      </c>
      <c r="C80" s="52" t="s">
        <v>173</v>
      </c>
      <c r="D80" s="52">
        <v>1</v>
      </c>
      <c r="E80" s="52" t="s">
        <v>229</v>
      </c>
      <c r="F80" s="52" t="s">
        <v>341</v>
      </c>
      <c r="G80" s="55"/>
    </row>
    <row r="81" spans="1:7" x14ac:dyDescent="0.25">
      <c r="A81" s="52">
        <v>73</v>
      </c>
      <c r="B81" s="55" t="s">
        <v>403</v>
      </c>
      <c r="C81" s="52" t="s">
        <v>173</v>
      </c>
      <c r="D81" s="52">
        <v>1</v>
      </c>
      <c r="E81" s="52" t="s">
        <v>229</v>
      </c>
      <c r="F81" s="52" t="s">
        <v>341</v>
      </c>
      <c r="G81" s="55"/>
    </row>
    <row r="82" spans="1:7" x14ac:dyDescent="0.25">
      <c r="A82" s="52">
        <v>74</v>
      </c>
      <c r="B82" s="55" t="s">
        <v>404</v>
      </c>
      <c r="C82" s="52" t="s">
        <v>173</v>
      </c>
      <c r="D82" s="52">
        <v>1</v>
      </c>
      <c r="E82" s="52" t="s">
        <v>229</v>
      </c>
      <c r="F82" s="52" t="s">
        <v>351</v>
      </c>
      <c r="G82" s="55"/>
    </row>
    <row r="83" spans="1:7" x14ac:dyDescent="0.25">
      <c r="A83" s="52">
        <v>75</v>
      </c>
      <c r="B83" s="55" t="s">
        <v>405</v>
      </c>
      <c r="C83" s="52" t="s">
        <v>173</v>
      </c>
      <c r="D83" s="52">
        <v>2</v>
      </c>
      <c r="E83" s="52" t="s">
        <v>229</v>
      </c>
      <c r="F83" s="52" t="s">
        <v>341</v>
      </c>
      <c r="G83" s="55"/>
    </row>
    <row r="84" spans="1:7" x14ac:dyDescent="0.25">
      <c r="A84" s="52">
        <v>76</v>
      </c>
      <c r="B84" s="55" t="s">
        <v>406</v>
      </c>
      <c r="C84" s="52" t="s">
        <v>173</v>
      </c>
      <c r="D84" s="52">
        <v>2</v>
      </c>
      <c r="E84" s="52" t="s">
        <v>229</v>
      </c>
      <c r="F84" s="52" t="s">
        <v>351</v>
      </c>
      <c r="G84" s="55"/>
    </row>
    <row r="85" spans="1:7" x14ac:dyDescent="0.25">
      <c r="A85" s="52">
        <v>77</v>
      </c>
      <c r="B85" s="55" t="s">
        <v>169</v>
      </c>
      <c r="C85" s="52" t="s">
        <v>407</v>
      </c>
      <c r="D85" s="52">
        <v>3</v>
      </c>
      <c r="E85" s="52" t="s">
        <v>229</v>
      </c>
      <c r="F85" s="52" t="s">
        <v>351</v>
      </c>
      <c r="G85" s="55"/>
    </row>
    <row r="86" spans="1:7" x14ac:dyDescent="0.25">
      <c r="A86" s="52">
        <v>78</v>
      </c>
      <c r="B86" s="55" t="s">
        <v>168</v>
      </c>
      <c r="C86" s="52" t="s">
        <v>407</v>
      </c>
      <c r="D86" s="52">
        <v>4</v>
      </c>
      <c r="E86" s="52" t="s">
        <v>229</v>
      </c>
      <c r="F86" s="52" t="s">
        <v>341</v>
      </c>
      <c r="G86" s="55"/>
    </row>
    <row r="87" spans="1:7" x14ac:dyDescent="0.25">
      <c r="A87" s="52">
        <v>79</v>
      </c>
      <c r="B87" s="55" t="s">
        <v>408</v>
      </c>
      <c r="C87" s="52" t="s">
        <v>407</v>
      </c>
      <c r="D87" s="52">
        <v>1</v>
      </c>
      <c r="E87" s="52" t="s">
        <v>194</v>
      </c>
      <c r="F87" s="52" t="s">
        <v>341</v>
      </c>
      <c r="G87" s="55"/>
    </row>
    <row r="88" spans="1:7" x14ac:dyDescent="0.25">
      <c r="A88" s="52">
        <v>80</v>
      </c>
      <c r="B88" s="55" t="s">
        <v>409</v>
      </c>
      <c r="C88" s="52" t="s">
        <v>407</v>
      </c>
      <c r="D88" s="52">
        <v>1</v>
      </c>
      <c r="E88" s="52" t="s">
        <v>229</v>
      </c>
      <c r="F88" s="52" t="s">
        <v>351</v>
      </c>
      <c r="G88" s="55"/>
    </row>
    <row r="89" spans="1:7" x14ac:dyDescent="0.25">
      <c r="A89" s="52">
        <v>81</v>
      </c>
      <c r="B89" s="55" t="s">
        <v>55</v>
      </c>
      <c r="C89" s="52" t="s">
        <v>407</v>
      </c>
      <c r="D89" s="52">
        <v>2</v>
      </c>
      <c r="E89" s="52" t="s">
        <v>229</v>
      </c>
      <c r="F89" s="52" t="s">
        <v>365</v>
      </c>
      <c r="G89" s="55"/>
    </row>
    <row r="90" spans="1:7" x14ac:dyDescent="0.25">
      <c r="A90" s="52">
        <v>82</v>
      </c>
      <c r="B90" s="55" t="s">
        <v>410</v>
      </c>
      <c r="C90" s="52" t="s">
        <v>407</v>
      </c>
      <c r="D90" s="52">
        <v>1</v>
      </c>
      <c r="E90" s="52" t="s">
        <v>229</v>
      </c>
      <c r="F90" s="52" t="s">
        <v>341</v>
      </c>
      <c r="G90" s="55"/>
    </row>
    <row r="91" spans="1:7" x14ac:dyDescent="0.25">
      <c r="A91" s="52">
        <v>83</v>
      </c>
      <c r="B91" s="55" t="s">
        <v>411</v>
      </c>
      <c r="C91" s="52" t="s">
        <v>407</v>
      </c>
      <c r="D91" s="52">
        <v>1</v>
      </c>
      <c r="E91" s="52" t="s">
        <v>229</v>
      </c>
      <c r="F91" s="52" t="s">
        <v>341</v>
      </c>
      <c r="G91" s="55"/>
    </row>
    <row r="92" spans="1:7" x14ac:dyDescent="0.25">
      <c r="A92" s="52">
        <v>84</v>
      </c>
      <c r="B92" s="55" t="s">
        <v>412</v>
      </c>
      <c r="C92" s="52" t="s">
        <v>407</v>
      </c>
      <c r="D92" s="52">
        <v>1</v>
      </c>
      <c r="E92" s="52" t="s">
        <v>229</v>
      </c>
      <c r="F92" s="52" t="s">
        <v>365</v>
      </c>
      <c r="G92" s="55"/>
    </row>
    <row r="93" spans="1:7" x14ac:dyDescent="0.25">
      <c r="A93" s="52">
        <v>85</v>
      </c>
      <c r="B93" s="55" t="s">
        <v>413</v>
      </c>
      <c r="C93" s="52" t="s">
        <v>407</v>
      </c>
      <c r="D93" s="52">
        <v>1</v>
      </c>
      <c r="E93" s="52" t="s">
        <v>229</v>
      </c>
      <c r="F93" s="52" t="s">
        <v>341</v>
      </c>
      <c r="G93" s="55"/>
    </row>
    <row r="94" spans="1:7" x14ac:dyDescent="0.25">
      <c r="A94" s="52">
        <v>86</v>
      </c>
      <c r="B94" s="55" t="s">
        <v>414</v>
      </c>
      <c r="C94" s="52" t="s">
        <v>407</v>
      </c>
      <c r="D94" s="52">
        <v>1</v>
      </c>
      <c r="E94" s="52" t="s">
        <v>229</v>
      </c>
      <c r="F94" s="52" t="s">
        <v>351</v>
      </c>
      <c r="G94" s="55"/>
    </row>
    <row r="95" spans="1:7" x14ac:dyDescent="0.25">
      <c r="A95" s="52">
        <v>87</v>
      </c>
      <c r="B95" s="55" t="s">
        <v>123</v>
      </c>
      <c r="C95" s="52" t="s">
        <v>407</v>
      </c>
      <c r="D95" s="52">
        <v>2</v>
      </c>
      <c r="E95" s="52" t="s">
        <v>229</v>
      </c>
      <c r="F95" s="52" t="s">
        <v>341</v>
      </c>
      <c r="G95" s="55"/>
    </row>
    <row r="96" spans="1:7" x14ac:dyDescent="0.25">
      <c r="A96" s="52">
        <v>88</v>
      </c>
      <c r="B96" s="55" t="s">
        <v>60</v>
      </c>
      <c r="C96" s="52" t="s">
        <v>407</v>
      </c>
      <c r="D96" s="52">
        <v>2</v>
      </c>
      <c r="E96" s="52" t="s">
        <v>229</v>
      </c>
      <c r="F96" s="52" t="s">
        <v>341</v>
      </c>
      <c r="G96" s="55"/>
    </row>
    <row r="97" spans="1:7" x14ac:dyDescent="0.25">
      <c r="A97" s="52">
        <v>89</v>
      </c>
      <c r="B97" s="55" t="s">
        <v>415</v>
      </c>
      <c r="C97" s="52" t="s">
        <v>407</v>
      </c>
      <c r="D97" s="52">
        <v>1</v>
      </c>
      <c r="E97" s="52" t="s">
        <v>229</v>
      </c>
      <c r="F97" s="52" t="s">
        <v>351</v>
      </c>
      <c r="G97" s="55"/>
    </row>
    <row r="98" spans="1:7" x14ac:dyDescent="0.25">
      <c r="A98" s="52">
        <v>90</v>
      </c>
      <c r="B98" s="55" t="s">
        <v>416</v>
      </c>
      <c r="C98" s="52" t="s">
        <v>407</v>
      </c>
      <c r="D98" s="52">
        <v>3</v>
      </c>
      <c r="E98" s="52" t="s">
        <v>229</v>
      </c>
      <c r="F98" s="52" t="s">
        <v>341</v>
      </c>
      <c r="G98" s="55"/>
    </row>
    <row r="99" spans="1:7" x14ac:dyDescent="0.25">
      <c r="A99" s="52">
        <v>91</v>
      </c>
      <c r="B99" s="55" t="s">
        <v>633</v>
      </c>
      <c r="C99" s="52" t="s">
        <v>407</v>
      </c>
      <c r="D99" s="52">
        <v>2</v>
      </c>
      <c r="E99" s="52" t="s">
        <v>229</v>
      </c>
      <c r="F99" s="52" t="s">
        <v>417</v>
      </c>
      <c r="G99" s="55"/>
    </row>
    <row r="100" spans="1:7" x14ac:dyDescent="0.25">
      <c r="A100" s="52">
        <v>92</v>
      </c>
      <c r="B100" s="55" t="s">
        <v>24</v>
      </c>
      <c r="C100" s="52" t="s">
        <v>407</v>
      </c>
      <c r="D100" s="52">
        <v>2</v>
      </c>
      <c r="E100" s="52" t="s">
        <v>229</v>
      </c>
      <c r="F100" s="52" t="s">
        <v>365</v>
      </c>
      <c r="G100" s="55"/>
    </row>
    <row r="101" spans="1:7" x14ac:dyDescent="0.25">
      <c r="A101" s="52">
        <v>93</v>
      </c>
      <c r="B101" s="55" t="s">
        <v>604</v>
      </c>
      <c r="C101" s="52" t="s">
        <v>407</v>
      </c>
      <c r="D101" s="52">
        <v>1</v>
      </c>
      <c r="E101" s="52" t="s">
        <v>229</v>
      </c>
      <c r="F101" s="52" t="s">
        <v>365</v>
      </c>
      <c r="G101" s="55"/>
    </row>
    <row r="102" spans="1:7" x14ac:dyDescent="0.25">
      <c r="A102" s="52">
        <v>94</v>
      </c>
      <c r="B102" s="55" t="s">
        <v>418</v>
      </c>
      <c r="C102" s="52" t="s">
        <v>407</v>
      </c>
      <c r="D102" s="52">
        <v>2</v>
      </c>
      <c r="E102" s="52" t="s">
        <v>229</v>
      </c>
      <c r="F102" s="52" t="s">
        <v>351</v>
      </c>
      <c r="G102" s="55"/>
    </row>
    <row r="103" spans="1:7" x14ac:dyDescent="0.25">
      <c r="A103" s="52">
        <v>95</v>
      </c>
      <c r="B103" s="55" t="s">
        <v>419</v>
      </c>
      <c r="C103" s="52" t="s">
        <v>407</v>
      </c>
      <c r="D103" s="52">
        <v>2</v>
      </c>
      <c r="E103" s="52" t="s">
        <v>229</v>
      </c>
      <c r="F103" s="52" t="s">
        <v>351</v>
      </c>
      <c r="G103" s="55"/>
    </row>
    <row r="104" spans="1:7" x14ac:dyDescent="0.25">
      <c r="A104" s="52">
        <v>96</v>
      </c>
      <c r="B104" s="55" t="s">
        <v>420</v>
      </c>
      <c r="C104" s="52" t="s">
        <v>407</v>
      </c>
      <c r="D104" s="52">
        <v>1</v>
      </c>
      <c r="E104" s="52" t="s">
        <v>229</v>
      </c>
      <c r="F104" s="52" t="s">
        <v>341</v>
      </c>
      <c r="G104" s="55"/>
    </row>
    <row r="105" spans="1:7" x14ac:dyDescent="0.25">
      <c r="A105" s="52">
        <v>97</v>
      </c>
      <c r="B105" s="55" t="s">
        <v>47</v>
      </c>
      <c r="C105" s="52" t="s">
        <v>407</v>
      </c>
      <c r="D105" s="52">
        <v>2</v>
      </c>
      <c r="E105" s="52" t="s">
        <v>229</v>
      </c>
      <c r="F105" s="52" t="s">
        <v>341</v>
      </c>
      <c r="G105" s="55"/>
    </row>
    <row r="106" spans="1:7" x14ac:dyDescent="0.25">
      <c r="A106" s="52">
        <v>98</v>
      </c>
      <c r="B106" s="55" t="s">
        <v>421</v>
      </c>
      <c r="C106" s="52" t="s">
        <v>407</v>
      </c>
      <c r="D106" s="52">
        <v>3</v>
      </c>
      <c r="E106" s="52" t="s">
        <v>229</v>
      </c>
      <c r="F106" s="52" t="s">
        <v>341</v>
      </c>
      <c r="G106" s="55"/>
    </row>
    <row r="107" spans="1:7" x14ac:dyDescent="0.25">
      <c r="A107" s="52">
        <v>99</v>
      </c>
      <c r="B107" s="55" t="s">
        <v>422</v>
      </c>
      <c r="C107" s="52" t="s">
        <v>407</v>
      </c>
      <c r="D107" s="52">
        <v>1</v>
      </c>
      <c r="E107" s="52" t="s">
        <v>229</v>
      </c>
      <c r="F107" s="52" t="s">
        <v>341</v>
      </c>
      <c r="G107" s="55"/>
    </row>
    <row r="108" spans="1:7" x14ac:dyDescent="0.25">
      <c r="A108" s="52">
        <v>100</v>
      </c>
      <c r="B108" s="55" t="s">
        <v>423</v>
      </c>
      <c r="C108" s="52" t="s">
        <v>307</v>
      </c>
      <c r="D108" s="52">
        <v>1</v>
      </c>
      <c r="E108" s="52" t="s">
        <v>194</v>
      </c>
      <c r="F108" s="52" t="s">
        <v>341</v>
      </c>
      <c r="G108" s="55"/>
    </row>
    <row r="109" spans="1:7" x14ac:dyDescent="0.25">
      <c r="A109" s="52">
        <v>101</v>
      </c>
      <c r="B109" s="55" t="s">
        <v>424</v>
      </c>
      <c r="C109" s="52" t="s">
        <v>307</v>
      </c>
      <c r="D109" s="52">
        <v>1</v>
      </c>
      <c r="E109" s="52" t="s">
        <v>194</v>
      </c>
      <c r="F109" s="52" t="s">
        <v>341</v>
      </c>
      <c r="G109" s="55"/>
    </row>
    <row r="110" spans="1:7" x14ac:dyDescent="0.25">
      <c r="A110" s="52">
        <v>102</v>
      </c>
      <c r="B110" s="55" t="s">
        <v>425</v>
      </c>
      <c r="C110" s="52" t="s">
        <v>307</v>
      </c>
      <c r="D110" s="52">
        <v>1</v>
      </c>
      <c r="E110" s="52" t="s">
        <v>194</v>
      </c>
      <c r="F110" s="52" t="s">
        <v>341</v>
      </c>
      <c r="G110" s="55"/>
    </row>
    <row r="111" spans="1:7" x14ac:dyDescent="0.25">
      <c r="A111" s="52">
        <v>103</v>
      </c>
      <c r="B111" s="55" t="s">
        <v>426</v>
      </c>
      <c r="C111" s="52" t="s">
        <v>307</v>
      </c>
      <c r="D111" s="52">
        <v>1</v>
      </c>
      <c r="E111" s="52" t="s">
        <v>194</v>
      </c>
      <c r="F111" s="52" t="s">
        <v>365</v>
      </c>
      <c r="G111" s="55"/>
    </row>
    <row r="112" spans="1:7" x14ac:dyDescent="0.25">
      <c r="A112" s="52">
        <v>104</v>
      </c>
      <c r="B112" s="55" t="s">
        <v>96</v>
      </c>
      <c r="C112" s="52" t="s">
        <v>307</v>
      </c>
      <c r="D112" s="52">
        <v>1</v>
      </c>
      <c r="E112" s="52" t="s">
        <v>194</v>
      </c>
      <c r="F112" s="52" t="s">
        <v>341</v>
      </c>
      <c r="G112" s="55"/>
    </row>
    <row r="113" spans="1:7" x14ac:dyDescent="0.25">
      <c r="A113" s="52">
        <v>105</v>
      </c>
      <c r="B113" s="55" t="s">
        <v>427</v>
      </c>
      <c r="C113" s="52" t="s">
        <v>307</v>
      </c>
      <c r="D113" s="52">
        <v>1</v>
      </c>
      <c r="E113" s="52" t="s">
        <v>229</v>
      </c>
      <c r="F113" s="52" t="s">
        <v>341</v>
      </c>
      <c r="G113" s="55"/>
    </row>
    <row r="114" spans="1:7" x14ac:dyDescent="0.25">
      <c r="A114" s="52">
        <v>106</v>
      </c>
      <c r="B114" s="55" t="s">
        <v>428</v>
      </c>
      <c r="C114" s="52" t="s">
        <v>307</v>
      </c>
      <c r="D114" s="52">
        <v>2</v>
      </c>
      <c r="E114" s="52" t="s">
        <v>194</v>
      </c>
      <c r="F114" s="52" t="s">
        <v>341</v>
      </c>
      <c r="G114" s="55"/>
    </row>
    <row r="115" spans="1:7" x14ac:dyDescent="0.25">
      <c r="A115" s="52">
        <v>107</v>
      </c>
      <c r="B115" s="55" t="s">
        <v>633</v>
      </c>
      <c r="C115" s="52" t="s">
        <v>171</v>
      </c>
      <c r="D115" s="52">
        <v>1</v>
      </c>
      <c r="E115" s="52" t="s">
        <v>229</v>
      </c>
      <c r="F115" s="52" t="s">
        <v>341</v>
      </c>
      <c r="G115" s="55"/>
    </row>
    <row r="116" spans="1:7" x14ac:dyDescent="0.25">
      <c r="A116" s="52">
        <v>108</v>
      </c>
      <c r="B116" s="55" t="s">
        <v>264</v>
      </c>
      <c r="C116" s="52" t="s">
        <v>171</v>
      </c>
      <c r="D116" s="52">
        <v>1</v>
      </c>
      <c r="E116" s="52" t="s">
        <v>229</v>
      </c>
      <c r="F116" s="52" t="s">
        <v>341</v>
      </c>
      <c r="G116" s="55"/>
    </row>
    <row r="117" spans="1:7" x14ac:dyDescent="0.25">
      <c r="A117" s="52">
        <v>109</v>
      </c>
      <c r="B117" s="55" t="s">
        <v>429</v>
      </c>
      <c r="C117" s="52" t="s">
        <v>171</v>
      </c>
      <c r="D117" s="52">
        <v>1</v>
      </c>
      <c r="E117" s="52" t="s">
        <v>229</v>
      </c>
      <c r="F117" s="52" t="s">
        <v>341</v>
      </c>
      <c r="G117" s="55"/>
    </row>
    <row r="118" spans="1:7" x14ac:dyDescent="0.25">
      <c r="A118" s="52">
        <v>110</v>
      </c>
      <c r="B118" s="55" t="s">
        <v>172</v>
      </c>
      <c r="C118" s="52" t="s">
        <v>171</v>
      </c>
      <c r="D118" s="52">
        <v>1</v>
      </c>
      <c r="E118" s="52" t="s">
        <v>229</v>
      </c>
      <c r="F118" s="52" t="s">
        <v>341</v>
      </c>
      <c r="G118" s="55"/>
    </row>
    <row r="119" spans="1:7" x14ac:dyDescent="0.25">
      <c r="A119" s="52">
        <v>111</v>
      </c>
      <c r="B119" s="55" t="s">
        <v>65</v>
      </c>
      <c r="C119" s="52" t="s">
        <v>171</v>
      </c>
      <c r="D119" s="52">
        <v>4</v>
      </c>
      <c r="E119" s="52" t="s">
        <v>229</v>
      </c>
      <c r="F119" s="52" t="s">
        <v>341</v>
      </c>
      <c r="G119" s="55"/>
    </row>
    <row r="120" spans="1:7" x14ac:dyDescent="0.25">
      <c r="A120" s="52">
        <v>112</v>
      </c>
      <c r="B120" s="55" t="s">
        <v>298</v>
      </c>
      <c r="C120" s="52" t="s">
        <v>171</v>
      </c>
      <c r="D120" s="52">
        <v>2</v>
      </c>
      <c r="E120" s="52" t="s">
        <v>229</v>
      </c>
      <c r="F120" s="52" t="s">
        <v>229</v>
      </c>
      <c r="G120" s="55"/>
    </row>
    <row r="121" spans="1:7" x14ac:dyDescent="0.25">
      <c r="A121" s="52">
        <v>113</v>
      </c>
      <c r="B121" s="55" t="s">
        <v>430</v>
      </c>
      <c r="C121" s="52" t="s">
        <v>171</v>
      </c>
      <c r="D121" s="52">
        <v>1</v>
      </c>
      <c r="E121" s="52" t="s">
        <v>229</v>
      </c>
      <c r="F121" s="52" t="s">
        <v>229</v>
      </c>
      <c r="G121" s="55"/>
    </row>
    <row r="122" spans="1:7" x14ac:dyDescent="0.25">
      <c r="A122" s="52">
        <v>114</v>
      </c>
      <c r="B122" s="55" t="s">
        <v>431</v>
      </c>
      <c r="C122" s="52" t="s">
        <v>171</v>
      </c>
      <c r="D122" s="52">
        <v>3</v>
      </c>
      <c r="E122" s="52" t="s">
        <v>229</v>
      </c>
      <c r="F122" s="52" t="s">
        <v>341</v>
      </c>
      <c r="G122" s="55"/>
    </row>
    <row r="123" spans="1:7" x14ac:dyDescent="0.25">
      <c r="A123" s="52">
        <v>115</v>
      </c>
      <c r="B123" s="55" t="s">
        <v>432</v>
      </c>
      <c r="C123" s="52" t="s">
        <v>171</v>
      </c>
      <c r="D123" s="52">
        <v>3</v>
      </c>
      <c r="E123" s="52" t="s">
        <v>229</v>
      </c>
      <c r="F123" s="52" t="s">
        <v>341</v>
      </c>
      <c r="G123" s="55"/>
    </row>
    <row r="124" spans="1:7" x14ac:dyDescent="0.25">
      <c r="A124" s="52">
        <v>116</v>
      </c>
      <c r="B124" s="55" t="s">
        <v>65</v>
      </c>
      <c r="C124" s="52" t="s">
        <v>171</v>
      </c>
      <c r="D124" s="52">
        <v>2</v>
      </c>
      <c r="E124" s="52" t="s">
        <v>229</v>
      </c>
      <c r="F124" s="52" t="s">
        <v>341</v>
      </c>
      <c r="G124" s="55"/>
    </row>
    <row r="125" spans="1:7" x14ac:dyDescent="0.25">
      <c r="A125" s="52">
        <v>117</v>
      </c>
      <c r="B125" s="55" t="s">
        <v>23</v>
      </c>
      <c r="C125" s="52" t="s">
        <v>171</v>
      </c>
      <c r="D125" s="52">
        <v>2</v>
      </c>
      <c r="E125" s="52" t="s">
        <v>229</v>
      </c>
      <c r="F125" s="52" t="s">
        <v>341</v>
      </c>
      <c r="G125" s="55"/>
    </row>
    <row r="126" spans="1:7" x14ac:dyDescent="0.25">
      <c r="A126" s="52">
        <v>118</v>
      </c>
      <c r="B126" s="55" t="s">
        <v>433</v>
      </c>
      <c r="C126" s="52" t="s">
        <v>171</v>
      </c>
      <c r="D126" s="52">
        <v>3</v>
      </c>
      <c r="E126" s="52" t="s">
        <v>229</v>
      </c>
      <c r="F126" s="52" t="s">
        <v>365</v>
      </c>
      <c r="G126" s="55"/>
    </row>
    <row r="127" spans="1:7" x14ac:dyDescent="0.25">
      <c r="A127" s="52">
        <v>119</v>
      </c>
      <c r="B127" s="55" t="s">
        <v>434</v>
      </c>
      <c r="C127" s="52" t="s">
        <v>171</v>
      </c>
      <c r="D127" s="52">
        <v>2</v>
      </c>
      <c r="E127" s="52" t="s">
        <v>229</v>
      </c>
      <c r="F127" s="52" t="s">
        <v>365</v>
      </c>
      <c r="G127" s="55"/>
    </row>
    <row r="128" spans="1:7" x14ac:dyDescent="0.25">
      <c r="A128" s="52">
        <v>120</v>
      </c>
      <c r="B128" s="55" t="s">
        <v>435</v>
      </c>
      <c r="C128" s="52" t="s">
        <v>171</v>
      </c>
      <c r="D128" s="52">
        <v>4</v>
      </c>
      <c r="E128" s="52" t="s">
        <v>229</v>
      </c>
      <c r="F128" s="52" t="s">
        <v>341</v>
      </c>
      <c r="G128" s="55"/>
    </row>
    <row r="129" spans="1:7" x14ac:dyDescent="0.25">
      <c r="A129" s="52">
        <v>121</v>
      </c>
      <c r="B129" s="55" t="s">
        <v>436</v>
      </c>
      <c r="C129" s="52" t="s">
        <v>171</v>
      </c>
      <c r="D129" s="52">
        <v>2</v>
      </c>
      <c r="E129" s="52" t="s">
        <v>229</v>
      </c>
      <c r="F129" s="52" t="s">
        <v>341</v>
      </c>
      <c r="G129" s="55"/>
    </row>
    <row r="130" spans="1:7" x14ac:dyDescent="0.25">
      <c r="A130" s="52">
        <v>122</v>
      </c>
      <c r="B130" s="55" t="s">
        <v>437</v>
      </c>
      <c r="C130" s="52" t="s">
        <v>171</v>
      </c>
      <c r="D130" s="52">
        <v>2</v>
      </c>
      <c r="E130" s="52" t="s">
        <v>229</v>
      </c>
      <c r="F130" s="52" t="s">
        <v>365</v>
      </c>
      <c r="G130" s="55"/>
    </row>
    <row r="131" spans="1:7" x14ac:dyDescent="0.25">
      <c r="A131" s="52">
        <v>123</v>
      </c>
      <c r="B131" s="55" t="s">
        <v>438</v>
      </c>
      <c r="C131" s="52" t="s">
        <v>171</v>
      </c>
      <c r="D131" s="52">
        <v>2</v>
      </c>
      <c r="E131" s="52" t="s">
        <v>229</v>
      </c>
      <c r="F131" s="52" t="s">
        <v>351</v>
      </c>
      <c r="G131" s="55"/>
    </row>
    <row r="132" spans="1:7" x14ac:dyDescent="0.25">
      <c r="A132" s="52">
        <v>124</v>
      </c>
      <c r="B132" s="55" t="s">
        <v>439</v>
      </c>
      <c r="C132" s="52" t="s">
        <v>171</v>
      </c>
      <c r="D132" s="52">
        <v>2</v>
      </c>
      <c r="E132" s="52" t="s">
        <v>229</v>
      </c>
      <c r="F132" s="52" t="s">
        <v>351</v>
      </c>
      <c r="G132" s="55"/>
    </row>
    <row r="133" spans="1:7" x14ac:dyDescent="0.25">
      <c r="A133" s="52">
        <v>125</v>
      </c>
      <c r="B133" s="55" t="s">
        <v>440</v>
      </c>
      <c r="C133" s="52" t="s">
        <v>171</v>
      </c>
      <c r="D133" s="52">
        <v>2</v>
      </c>
      <c r="E133" s="52" t="s">
        <v>229</v>
      </c>
      <c r="F133" s="52" t="s">
        <v>351</v>
      </c>
      <c r="G133" s="55"/>
    </row>
    <row r="134" spans="1:7" x14ac:dyDescent="0.25">
      <c r="A134" s="52">
        <v>126</v>
      </c>
      <c r="B134" s="55" t="s">
        <v>441</v>
      </c>
      <c r="C134" s="52" t="s">
        <v>171</v>
      </c>
      <c r="D134" s="52">
        <v>2</v>
      </c>
      <c r="E134" s="52" t="s">
        <v>229</v>
      </c>
      <c r="F134" s="52" t="s">
        <v>351</v>
      </c>
      <c r="G134" s="55"/>
    </row>
    <row r="135" spans="1:7" x14ac:dyDescent="0.25">
      <c r="A135" s="52">
        <v>127</v>
      </c>
      <c r="B135" s="55" t="s">
        <v>442</v>
      </c>
      <c r="C135" s="52" t="s">
        <v>171</v>
      </c>
      <c r="D135" s="52">
        <v>3</v>
      </c>
      <c r="E135" s="52" t="s">
        <v>229</v>
      </c>
      <c r="F135" s="52" t="s">
        <v>351</v>
      </c>
      <c r="G135" s="55"/>
    </row>
    <row r="136" spans="1:7" x14ac:dyDescent="0.25">
      <c r="A136" s="52">
        <v>128</v>
      </c>
      <c r="B136" s="55" t="s">
        <v>443</v>
      </c>
      <c r="C136" s="52" t="s">
        <v>171</v>
      </c>
      <c r="D136" s="52">
        <v>3</v>
      </c>
      <c r="E136" s="52" t="s">
        <v>229</v>
      </c>
      <c r="F136" s="52" t="s">
        <v>351</v>
      </c>
      <c r="G136" s="55"/>
    </row>
    <row r="137" spans="1:7" x14ac:dyDescent="0.25">
      <c r="A137" s="52">
        <v>129</v>
      </c>
      <c r="B137" s="55" t="s">
        <v>444</v>
      </c>
      <c r="C137" s="52" t="s">
        <v>171</v>
      </c>
      <c r="D137" s="52">
        <v>1</v>
      </c>
      <c r="E137" s="52" t="s">
        <v>229</v>
      </c>
      <c r="F137" s="52" t="s">
        <v>351</v>
      </c>
      <c r="G137" s="55"/>
    </row>
    <row r="138" spans="1:7" x14ac:dyDescent="0.25">
      <c r="A138" s="52">
        <v>130</v>
      </c>
      <c r="B138" s="55" t="s">
        <v>445</v>
      </c>
      <c r="C138" s="52" t="s">
        <v>171</v>
      </c>
      <c r="D138" s="52">
        <v>2</v>
      </c>
      <c r="E138" s="52" t="s">
        <v>229</v>
      </c>
      <c r="F138" s="52" t="s">
        <v>351</v>
      </c>
      <c r="G138" s="55"/>
    </row>
    <row r="139" spans="1:7" x14ac:dyDescent="0.25">
      <c r="A139" s="52">
        <v>131</v>
      </c>
      <c r="B139" s="55" t="s">
        <v>446</v>
      </c>
      <c r="C139" s="52" t="s">
        <v>163</v>
      </c>
      <c r="D139" s="52">
        <v>4</v>
      </c>
      <c r="E139" s="52" t="s">
        <v>229</v>
      </c>
      <c r="F139" s="52" t="s">
        <v>351</v>
      </c>
      <c r="G139" s="55"/>
    </row>
    <row r="140" spans="1:7" x14ac:dyDescent="0.25">
      <c r="A140" s="52">
        <v>132</v>
      </c>
      <c r="B140" s="55" t="s">
        <v>82</v>
      </c>
      <c r="C140" s="52" t="s">
        <v>163</v>
      </c>
      <c r="D140" s="52">
        <v>1</v>
      </c>
      <c r="E140" s="52" t="s">
        <v>229</v>
      </c>
      <c r="F140" s="52" t="s">
        <v>351</v>
      </c>
      <c r="G140" s="55"/>
    </row>
    <row r="141" spans="1:7" x14ac:dyDescent="0.25">
      <c r="A141" s="52">
        <v>133</v>
      </c>
      <c r="B141" s="55" t="s">
        <v>613</v>
      </c>
      <c r="C141" s="52" t="s">
        <v>163</v>
      </c>
      <c r="D141" s="52">
        <v>1</v>
      </c>
      <c r="E141" s="52" t="s">
        <v>229</v>
      </c>
      <c r="F141" s="52" t="s">
        <v>341</v>
      </c>
      <c r="G141" s="55"/>
    </row>
    <row r="142" spans="1:7" x14ac:dyDescent="0.25">
      <c r="A142" s="52">
        <v>134</v>
      </c>
      <c r="B142" s="55" t="s">
        <v>179</v>
      </c>
      <c r="C142" s="52" t="s">
        <v>163</v>
      </c>
      <c r="D142" s="52">
        <v>1</v>
      </c>
      <c r="E142" s="52" t="s">
        <v>229</v>
      </c>
      <c r="F142" s="52" t="s">
        <v>341</v>
      </c>
      <c r="G142" s="55"/>
    </row>
    <row r="143" spans="1:7" x14ac:dyDescent="0.25">
      <c r="A143" s="52">
        <v>135</v>
      </c>
      <c r="B143" s="55" t="s">
        <v>447</v>
      </c>
      <c r="C143" s="52" t="s">
        <v>163</v>
      </c>
      <c r="D143" s="52">
        <v>1</v>
      </c>
      <c r="E143" s="52" t="s">
        <v>229</v>
      </c>
      <c r="F143" s="52" t="s">
        <v>351</v>
      </c>
      <c r="G143" s="55"/>
    </row>
    <row r="144" spans="1:7" x14ac:dyDescent="0.25">
      <c r="A144" s="52">
        <v>136</v>
      </c>
      <c r="B144" s="55" t="s">
        <v>141</v>
      </c>
      <c r="C144" s="52" t="s">
        <v>163</v>
      </c>
      <c r="D144" s="52">
        <v>2</v>
      </c>
      <c r="E144" s="52" t="s">
        <v>229</v>
      </c>
      <c r="F144" s="52" t="s">
        <v>341</v>
      </c>
      <c r="G144" s="55"/>
    </row>
    <row r="145" spans="1:7" x14ac:dyDescent="0.25">
      <c r="A145" s="52">
        <v>137</v>
      </c>
      <c r="B145" s="55" t="s">
        <v>177</v>
      </c>
      <c r="C145" s="52" t="s">
        <v>163</v>
      </c>
      <c r="D145" s="52">
        <v>1</v>
      </c>
      <c r="E145" s="52" t="s">
        <v>229</v>
      </c>
      <c r="F145" s="52" t="s">
        <v>341</v>
      </c>
      <c r="G145" s="55"/>
    </row>
    <row r="146" spans="1:7" x14ac:dyDescent="0.25">
      <c r="A146" s="52">
        <v>138</v>
      </c>
      <c r="B146" s="55" t="s">
        <v>448</v>
      </c>
      <c r="C146" s="52" t="s">
        <v>163</v>
      </c>
      <c r="D146" s="52">
        <v>1</v>
      </c>
      <c r="E146" s="52" t="s">
        <v>229</v>
      </c>
      <c r="F146" s="52" t="s">
        <v>341</v>
      </c>
      <c r="G146" s="55"/>
    </row>
    <row r="147" spans="1:7" x14ac:dyDescent="0.25">
      <c r="A147" s="52">
        <v>139</v>
      </c>
      <c r="B147" s="55" t="s">
        <v>74</v>
      </c>
      <c r="C147" s="52" t="s">
        <v>163</v>
      </c>
      <c r="D147" s="52">
        <v>1</v>
      </c>
      <c r="E147" s="52" t="s">
        <v>229</v>
      </c>
      <c r="F147" s="52" t="s">
        <v>341</v>
      </c>
      <c r="G147" s="55"/>
    </row>
    <row r="148" spans="1:7" x14ac:dyDescent="0.25">
      <c r="A148" s="52">
        <v>140</v>
      </c>
      <c r="B148" s="55" t="s">
        <v>61</v>
      </c>
      <c r="C148" s="52" t="s">
        <v>163</v>
      </c>
      <c r="D148" s="52">
        <v>1</v>
      </c>
      <c r="E148" s="52" t="s">
        <v>229</v>
      </c>
      <c r="F148" s="52" t="s">
        <v>341</v>
      </c>
      <c r="G148" s="55"/>
    </row>
    <row r="149" spans="1:7" x14ac:dyDescent="0.25">
      <c r="A149" s="52">
        <v>141</v>
      </c>
      <c r="B149" s="55" t="s">
        <v>91</v>
      </c>
      <c r="C149" s="52" t="s">
        <v>163</v>
      </c>
      <c r="D149" s="52">
        <v>1</v>
      </c>
      <c r="E149" s="52" t="s">
        <v>229</v>
      </c>
      <c r="F149" s="52" t="s">
        <v>341</v>
      </c>
      <c r="G149" s="55"/>
    </row>
    <row r="150" spans="1:7" x14ac:dyDescent="0.25">
      <c r="A150" s="52">
        <v>142</v>
      </c>
      <c r="B150" s="55" t="s">
        <v>120</v>
      </c>
      <c r="C150" s="52" t="s">
        <v>163</v>
      </c>
      <c r="D150" s="52">
        <v>1</v>
      </c>
      <c r="E150" s="52" t="s">
        <v>229</v>
      </c>
      <c r="F150" s="52" t="s">
        <v>341</v>
      </c>
      <c r="G150" s="55"/>
    </row>
    <row r="151" spans="1:7" x14ac:dyDescent="0.25">
      <c r="A151" s="52">
        <v>143</v>
      </c>
      <c r="B151" s="55" t="s">
        <v>30</v>
      </c>
      <c r="C151" s="52" t="s">
        <v>163</v>
      </c>
      <c r="D151" s="52">
        <v>1</v>
      </c>
      <c r="E151" s="52" t="s">
        <v>229</v>
      </c>
      <c r="F151" s="52" t="s">
        <v>341</v>
      </c>
      <c r="G151" s="55"/>
    </row>
    <row r="152" spans="1:7" x14ac:dyDescent="0.25">
      <c r="A152" s="52">
        <v>144</v>
      </c>
      <c r="B152" s="55" t="s">
        <v>32</v>
      </c>
      <c r="C152" s="52" t="s">
        <v>163</v>
      </c>
      <c r="D152" s="52">
        <v>1</v>
      </c>
      <c r="E152" s="52" t="s">
        <v>229</v>
      </c>
      <c r="F152" s="52" t="s">
        <v>341</v>
      </c>
      <c r="G152" s="55"/>
    </row>
    <row r="153" spans="1:7" x14ac:dyDescent="0.25">
      <c r="A153" s="52">
        <v>145</v>
      </c>
      <c r="B153" s="55" t="s">
        <v>79</v>
      </c>
      <c r="C153" s="52" t="s">
        <v>163</v>
      </c>
      <c r="D153" s="52">
        <v>1</v>
      </c>
      <c r="E153" s="52" t="s">
        <v>229</v>
      </c>
      <c r="F153" s="52" t="s">
        <v>341</v>
      </c>
      <c r="G153" s="55"/>
    </row>
    <row r="154" spans="1:7" x14ac:dyDescent="0.25">
      <c r="A154" s="52">
        <v>146</v>
      </c>
      <c r="B154" s="55" t="s">
        <v>449</v>
      </c>
      <c r="C154" s="52" t="s">
        <v>163</v>
      </c>
      <c r="D154" s="52">
        <v>1</v>
      </c>
      <c r="E154" s="52" t="s">
        <v>229</v>
      </c>
      <c r="F154" s="52" t="s">
        <v>341</v>
      </c>
      <c r="G154" s="55"/>
    </row>
    <row r="155" spans="1:7" x14ac:dyDescent="0.25">
      <c r="A155" s="52">
        <v>147</v>
      </c>
      <c r="B155" s="55" t="s">
        <v>130</v>
      </c>
      <c r="C155" s="52" t="s">
        <v>163</v>
      </c>
      <c r="D155" s="52">
        <v>4</v>
      </c>
      <c r="E155" s="52" t="s">
        <v>229</v>
      </c>
      <c r="F155" s="52" t="s">
        <v>351</v>
      </c>
      <c r="G155" s="55"/>
    </row>
    <row r="156" spans="1:7" x14ac:dyDescent="0.25">
      <c r="A156" s="52">
        <v>148</v>
      </c>
      <c r="B156" s="55" t="s">
        <v>450</v>
      </c>
      <c r="C156" s="52" t="s">
        <v>163</v>
      </c>
      <c r="D156" s="52">
        <v>2</v>
      </c>
      <c r="E156" s="52" t="s">
        <v>229</v>
      </c>
      <c r="F156" s="52" t="s">
        <v>351</v>
      </c>
      <c r="G156" s="55"/>
    </row>
    <row r="157" spans="1:7" x14ac:dyDescent="0.25">
      <c r="A157" s="52">
        <v>149</v>
      </c>
      <c r="B157" s="55" t="s">
        <v>66</v>
      </c>
      <c r="C157" s="52" t="s">
        <v>163</v>
      </c>
      <c r="D157" s="52">
        <v>3</v>
      </c>
      <c r="E157" s="52" t="s">
        <v>229</v>
      </c>
      <c r="F157" s="52" t="s">
        <v>365</v>
      </c>
      <c r="G157" s="55"/>
    </row>
    <row r="158" spans="1:7" x14ac:dyDescent="0.25">
      <c r="A158" s="52">
        <v>150</v>
      </c>
      <c r="B158" s="55" t="s">
        <v>451</v>
      </c>
      <c r="C158" s="52" t="s">
        <v>163</v>
      </c>
      <c r="D158" s="52">
        <v>2</v>
      </c>
      <c r="E158" s="52" t="s">
        <v>229</v>
      </c>
      <c r="F158" s="52" t="s">
        <v>351</v>
      </c>
      <c r="G158" s="55"/>
    </row>
    <row r="159" spans="1:7" x14ac:dyDescent="0.25">
      <c r="A159" s="52">
        <v>151</v>
      </c>
      <c r="B159" s="55" t="s">
        <v>22</v>
      </c>
      <c r="C159" s="52" t="s">
        <v>163</v>
      </c>
      <c r="D159" s="52">
        <v>3</v>
      </c>
      <c r="E159" s="52" t="s">
        <v>229</v>
      </c>
      <c r="F159" s="52" t="s">
        <v>351</v>
      </c>
      <c r="G159" s="55"/>
    </row>
    <row r="160" spans="1:7" x14ac:dyDescent="0.25">
      <c r="A160" s="52">
        <v>152</v>
      </c>
      <c r="B160" s="55" t="s">
        <v>452</v>
      </c>
      <c r="C160" s="52" t="s">
        <v>163</v>
      </c>
      <c r="D160" s="52">
        <v>2</v>
      </c>
      <c r="E160" s="52" t="s">
        <v>229</v>
      </c>
      <c r="F160" s="52" t="s">
        <v>351</v>
      </c>
      <c r="G160" s="55"/>
    </row>
    <row r="161" spans="1:7" x14ac:dyDescent="0.25">
      <c r="A161" s="52">
        <v>153</v>
      </c>
      <c r="B161" s="55" t="s">
        <v>453</v>
      </c>
      <c r="C161" s="52" t="s">
        <v>163</v>
      </c>
      <c r="D161" s="52">
        <v>2</v>
      </c>
      <c r="E161" s="52" t="s">
        <v>229</v>
      </c>
      <c r="F161" s="52" t="s">
        <v>351</v>
      </c>
      <c r="G161" s="55"/>
    </row>
    <row r="162" spans="1:7" x14ac:dyDescent="0.25">
      <c r="A162" s="52">
        <v>154</v>
      </c>
      <c r="B162" s="55" t="s">
        <v>103</v>
      </c>
      <c r="C162" s="52" t="s">
        <v>163</v>
      </c>
      <c r="D162" s="52">
        <v>2</v>
      </c>
      <c r="E162" s="52" t="s">
        <v>229</v>
      </c>
      <c r="F162" s="52" t="s">
        <v>351</v>
      </c>
      <c r="G162" s="55"/>
    </row>
    <row r="163" spans="1:7" x14ac:dyDescent="0.25">
      <c r="A163" s="52">
        <v>155</v>
      </c>
      <c r="B163" s="55" t="s">
        <v>40</v>
      </c>
      <c r="C163" s="52" t="s">
        <v>163</v>
      </c>
      <c r="D163" s="52">
        <v>6</v>
      </c>
      <c r="E163" s="52" t="s">
        <v>229</v>
      </c>
      <c r="F163" s="52" t="s">
        <v>341</v>
      </c>
      <c r="G163" s="55"/>
    </row>
    <row r="164" spans="1:7" x14ac:dyDescent="0.25">
      <c r="A164" s="52">
        <v>156</v>
      </c>
      <c r="B164" s="55" t="s">
        <v>454</v>
      </c>
      <c r="C164" s="52" t="s">
        <v>163</v>
      </c>
      <c r="D164" s="52">
        <v>2</v>
      </c>
      <c r="E164" s="52" t="s">
        <v>229</v>
      </c>
      <c r="F164" s="52" t="s">
        <v>341</v>
      </c>
      <c r="G164" s="55"/>
    </row>
    <row r="165" spans="1:7" x14ac:dyDescent="0.25">
      <c r="A165" s="52">
        <v>157</v>
      </c>
      <c r="B165" s="55" t="s">
        <v>18</v>
      </c>
      <c r="C165" s="52" t="s">
        <v>163</v>
      </c>
      <c r="D165" s="52">
        <v>4</v>
      </c>
      <c r="E165" s="52" t="s">
        <v>229</v>
      </c>
      <c r="F165" s="52" t="s">
        <v>365</v>
      </c>
      <c r="G165" s="55"/>
    </row>
    <row r="166" spans="1:7" x14ac:dyDescent="0.25">
      <c r="A166" s="52">
        <v>158</v>
      </c>
      <c r="B166" s="55" t="s">
        <v>178</v>
      </c>
      <c r="C166" s="52" t="s">
        <v>163</v>
      </c>
      <c r="D166" s="52">
        <v>3</v>
      </c>
      <c r="E166" s="52" t="s">
        <v>229</v>
      </c>
      <c r="F166" s="52" t="s">
        <v>365</v>
      </c>
      <c r="G166" s="55"/>
    </row>
    <row r="167" spans="1:7" x14ac:dyDescent="0.25">
      <c r="A167" s="52">
        <v>159</v>
      </c>
      <c r="B167" s="55" t="s">
        <v>17</v>
      </c>
      <c r="C167" s="52" t="s">
        <v>163</v>
      </c>
      <c r="D167" s="52">
        <v>4</v>
      </c>
      <c r="E167" s="52" t="s">
        <v>229</v>
      </c>
      <c r="F167" s="52" t="s">
        <v>365</v>
      </c>
      <c r="G167" s="55"/>
    </row>
    <row r="168" spans="1:7" x14ac:dyDescent="0.25">
      <c r="A168" s="52">
        <v>160</v>
      </c>
      <c r="B168" s="55" t="s">
        <v>455</v>
      </c>
      <c r="C168" s="52" t="s">
        <v>163</v>
      </c>
      <c r="D168" s="52">
        <v>2</v>
      </c>
      <c r="E168" s="52" t="s">
        <v>229</v>
      </c>
      <c r="F168" s="52" t="s">
        <v>341</v>
      </c>
      <c r="G168" s="55"/>
    </row>
    <row r="169" spans="1:7" x14ac:dyDescent="0.25">
      <c r="A169" s="52">
        <v>161</v>
      </c>
      <c r="B169" s="55" t="s">
        <v>456</v>
      </c>
      <c r="C169" s="52" t="s">
        <v>163</v>
      </c>
      <c r="D169" s="52">
        <v>3</v>
      </c>
      <c r="E169" s="52" t="s">
        <v>229</v>
      </c>
      <c r="F169" s="52" t="s">
        <v>341</v>
      </c>
      <c r="G169" s="55"/>
    </row>
    <row r="170" spans="1:7" x14ac:dyDescent="0.25">
      <c r="A170" s="52">
        <v>162</v>
      </c>
      <c r="B170" s="55" t="s">
        <v>83</v>
      </c>
      <c r="C170" s="52" t="s">
        <v>163</v>
      </c>
      <c r="D170" s="52">
        <v>3</v>
      </c>
      <c r="E170" s="52" t="s">
        <v>229</v>
      </c>
      <c r="F170" s="52" t="s">
        <v>341</v>
      </c>
      <c r="G170" s="55"/>
    </row>
    <row r="171" spans="1:7" x14ac:dyDescent="0.25">
      <c r="A171" s="52">
        <v>163</v>
      </c>
      <c r="B171" s="55" t="s">
        <v>457</v>
      </c>
      <c r="C171" s="52" t="s">
        <v>163</v>
      </c>
      <c r="D171" s="52">
        <v>3</v>
      </c>
      <c r="E171" s="52" t="s">
        <v>229</v>
      </c>
      <c r="F171" s="52" t="s">
        <v>365</v>
      </c>
      <c r="G171" s="55"/>
    </row>
    <row r="172" spans="1:7" x14ac:dyDescent="0.25">
      <c r="A172" s="52">
        <v>164</v>
      </c>
      <c r="B172" s="55" t="s">
        <v>458</v>
      </c>
      <c r="C172" s="52" t="s">
        <v>285</v>
      </c>
      <c r="D172" s="52">
        <v>1</v>
      </c>
      <c r="E172" s="52" t="s">
        <v>229</v>
      </c>
      <c r="F172" s="52" t="s">
        <v>351</v>
      </c>
      <c r="G172" s="55"/>
    </row>
    <row r="173" spans="1:7" x14ac:dyDescent="0.25">
      <c r="A173" s="52">
        <v>165</v>
      </c>
      <c r="B173" s="55" t="s">
        <v>459</v>
      </c>
      <c r="C173" s="52" t="s">
        <v>285</v>
      </c>
      <c r="D173" s="52">
        <v>1</v>
      </c>
      <c r="E173" s="52" t="s">
        <v>229</v>
      </c>
      <c r="F173" s="52" t="s">
        <v>351</v>
      </c>
      <c r="G173" s="55"/>
    </row>
    <row r="174" spans="1:7" x14ac:dyDescent="0.25">
      <c r="A174" s="52">
        <v>166</v>
      </c>
      <c r="B174" s="55" t="s">
        <v>460</v>
      </c>
      <c r="C174" s="52" t="s">
        <v>285</v>
      </c>
      <c r="D174" s="52">
        <v>2</v>
      </c>
      <c r="E174" s="52" t="s">
        <v>229</v>
      </c>
      <c r="F174" s="52" t="s">
        <v>351</v>
      </c>
      <c r="G174" s="55"/>
    </row>
    <row r="175" spans="1:7" x14ac:dyDescent="0.25">
      <c r="A175" s="52">
        <v>167</v>
      </c>
      <c r="B175" s="55" t="s">
        <v>461</v>
      </c>
      <c r="C175" s="52" t="s">
        <v>285</v>
      </c>
      <c r="D175" s="52">
        <v>1</v>
      </c>
      <c r="E175" s="52" t="s">
        <v>229</v>
      </c>
      <c r="F175" s="52" t="s">
        <v>341</v>
      </c>
      <c r="G175" s="55"/>
    </row>
    <row r="176" spans="1:7" x14ac:dyDescent="0.25">
      <c r="A176" s="52">
        <v>168</v>
      </c>
      <c r="B176" s="55" t="s">
        <v>462</v>
      </c>
      <c r="C176" s="52" t="s">
        <v>285</v>
      </c>
      <c r="D176" s="52">
        <v>1</v>
      </c>
      <c r="E176" s="52" t="s">
        <v>229</v>
      </c>
      <c r="F176" s="52" t="s">
        <v>351</v>
      </c>
      <c r="G176" s="55"/>
    </row>
    <row r="177" spans="1:8" x14ac:dyDescent="0.25">
      <c r="A177" s="52">
        <v>169</v>
      </c>
      <c r="B177" s="55" t="s">
        <v>463</v>
      </c>
      <c r="C177" s="52" t="s">
        <v>285</v>
      </c>
      <c r="D177" s="52">
        <v>1</v>
      </c>
      <c r="E177" s="52" t="s">
        <v>229</v>
      </c>
      <c r="F177" s="52" t="s">
        <v>341</v>
      </c>
      <c r="G177" s="55"/>
    </row>
    <row r="178" spans="1:8" x14ac:dyDescent="0.25">
      <c r="A178" s="117" t="s">
        <v>464</v>
      </c>
      <c r="B178" s="117"/>
      <c r="C178" s="55"/>
      <c r="D178" s="51">
        <f>SUM(D9:D177)</f>
        <v>311</v>
      </c>
      <c r="E178" s="55"/>
      <c r="F178" s="55"/>
      <c r="G178" s="55"/>
    </row>
    <row r="179" spans="1:8" x14ac:dyDescent="0.25">
      <c r="A179" s="69"/>
      <c r="B179" s="69"/>
      <c r="C179" s="69"/>
      <c r="D179" s="70"/>
    </row>
    <row r="180" spans="1:8" x14ac:dyDescent="0.25">
      <c r="A180" s="69"/>
      <c r="B180" s="69"/>
      <c r="C180" s="69"/>
      <c r="E180" s="112" t="s">
        <v>191</v>
      </c>
      <c r="F180" s="112"/>
      <c r="G180" s="112"/>
    </row>
    <row r="181" spans="1:8" x14ac:dyDescent="0.25">
      <c r="A181" s="69"/>
      <c r="B181" s="69"/>
      <c r="C181" s="69"/>
      <c r="D181" s="69"/>
      <c r="E181" s="112" t="s">
        <v>465</v>
      </c>
      <c r="F181" s="112"/>
      <c r="G181" s="112"/>
      <c r="H181" s="48"/>
    </row>
    <row r="182" spans="1:8" ht="17.25" x14ac:dyDescent="0.3">
      <c r="A182" s="69"/>
      <c r="B182" s="69"/>
      <c r="C182" s="69"/>
      <c r="D182" s="69"/>
      <c r="E182" s="47"/>
      <c r="H182" s="48"/>
    </row>
    <row r="183" spans="1:8" ht="17.25" x14ac:dyDescent="0.3">
      <c r="A183" s="69"/>
      <c r="B183" s="69"/>
      <c r="C183" s="69"/>
      <c r="D183" s="69"/>
      <c r="E183" s="47"/>
    </row>
    <row r="184" spans="1:8" ht="17.25" x14ac:dyDescent="0.3">
      <c r="A184" s="69"/>
      <c r="B184" s="69"/>
      <c r="C184" s="69"/>
      <c r="D184" s="69"/>
      <c r="E184" s="47"/>
    </row>
    <row r="185" spans="1:8" ht="17.25" x14ac:dyDescent="0.3">
      <c r="A185" s="69"/>
      <c r="B185" s="69"/>
      <c r="C185" s="69"/>
      <c r="D185" s="69"/>
      <c r="E185" s="47"/>
    </row>
    <row r="186" spans="1:8" x14ac:dyDescent="0.25">
      <c r="A186" s="69"/>
      <c r="B186" s="69"/>
      <c r="C186" s="69"/>
      <c r="D186" s="69"/>
      <c r="E186" s="112"/>
      <c r="F186" s="112"/>
      <c r="G186" s="112"/>
    </row>
    <row r="187" spans="1:8" x14ac:dyDescent="0.25">
      <c r="A187" s="69"/>
      <c r="B187" s="69"/>
      <c r="C187" s="69"/>
      <c r="D187" s="69"/>
      <c r="E187" s="69"/>
      <c r="F187" s="69"/>
      <c r="G187" s="69"/>
    </row>
    <row r="188" spans="1:8" x14ac:dyDescent="0.25">
      <c r="A188" s="69"/>
      <c r="B188" s="69"/>
      <c r="C188" s="69"/>
      <c r="D188" s="69"/>
      <c r="E188" s="69"/>
      <c r="F188" s="69"/>
      <c r="G188" s="69"/>
    </row>
    <row r="189" spans="1:8" x14ac:dyDescent="0.25">
      <c r="A189" s="69"/>
      <c r="B189" s="69"/>
      <c r="C189" s="69"/>
      <c r="D189" s="69"/>
      <c r="E189" s="69"/>
      <c r="F189" s="69"/>
      <c r="G189" s="69"/>
    </row>
    <row r="190" spans="1:8" x14ac:dyDescent="0.25">
      <c r="A190" s="69"/>
      <c r="B190" s="69"/>
      <c r="C190" s="69"/>
      <c r="D190" s="69"/>
      <c r="E190" s="69"/>
      <c r="F190" s="69"/>
      <c r="G190" s="69"/>
    </row>
    <row r="191" spans="1:8" x14ac:dyDescent="0.25">
      <c r="A191" s="69"/>
      <c r="B191" s="69"/>
      <c r="C191" s="69"/>
      <c r="D191" s="69"/>
      <c r="E191" s="69"/>
      <c r="F191" s="69"/>
      <c r="G191" s="69"/>
    </row>
    <row r="192" spans="1:8" x14ac:dyDescent="0.25">
      <c r="A192" s="69"/>
      <c r="B192" s="69"/>
      <c r="C192" s="69"/>
      <c r="D192" s="69"/>
      <c r="E192" s="69"/>
      <c r="F192" s="69"/>
      <c r="G192" s="69"/>
    </row>
    <row r="193" spans="1:7" x14ac:dyDescent="0.25">
      <c r="A193" s="69"/>
      <c r="B193" s="69"/>
      <c r="C193" s="69"/>
      <c r="D193" s="69"/>
      <c r="E193" s="69"/>
      <c r="F193" s="69"/>
      <c r="G193" s="69"/>
    </row>
    <row r="194" spans="1:7" x14ac:dyDescent="0.25">
      <c r="A194" s="69"/>
      <c r="B194" s="69"/>
      <c r="C194" s="69"/>
      <c r="D194" s="69"/>
      <c r="E194" s="69"/>
      <c r="F194" s="69"/>
      <c r="G194" s="69"/>
    </row>
    <row r="195" spans="1:7" x14ac:dyDescent="0.25">
      <c r="A195" s="69"/>
      <c r="B195" s="69"/>
      <c r="C195" s="69"/>
      <c r="D195" s="69"/>
      <c r="E195" s="69"/>
      <c r="F195" s="69"/>
      <c r="G195" s="69"/>
    </row>
    <row r="196" spans="1:7" x14ac:dyDescent="0.25">
      <c r="A196" s="69"/>
      <c r="B196" s="69"/>
      <c r="C196" s="69"/>
      <c r="D196" s="69"/>
      <c r="E196" s="69"/>
      <c r="F196" s="69"/>
      <c r="G196" s="69"/>
    </row>
    <row r="197" spans="1:7" x14ac:dyDescent="0.25">
      <c r="A197" s="69"/>
      <c r="B197" s="69"/>
      <c r="C197" s="69"/>
      <c r="D197" s="69"/>
      <c r="E197" s="69"/>
      <c r="F197" s="69"/>
      <c r="G197" s="69"/>
    </row>
    <row r="198" spans="1:7" x14ac:dyDescent="0.25">
      <c r="A198" s="69"/>
      <c r="B198" s="69"/>
      <c r="C198" s="69"/>
      <c r="D198" s="69"/>
      <c r="E198" s="69"/>
      <c r="F198" s="69"/>
      <c r="G198" s="69"/>
    </row>
    <row r="199" spans="1:7" x14ac:dyDescent="0.25">
      <c r="A199" s="69"/>
      <c r="B199" s="69"/>
      <c r="C199" s="69"/>
      <c r="D199" s="69"/>
      <c r="E199" s="69"/>
      <c r="F199" s="69"/>
      <c r="G199" s="69"/>
    </row>
    <row r="200" spans="1:7" x14ac:dyDescent="0.25">
      <c r="A200" s="69"/>
      <c r="B200" s="69"/>
      <c r="C200" s="69"/>
      <c r="D200" s="69"/>
      <c r="E200" s="69"/>
      <c r="F200" s="69"/>
      <c r="G200" s="69"/>
    </row>
    <row r="201" spans="1:7" x14ac:dyDescent="0.25">
      <c r="A201" s="69"/>
      <c r="B201" s="69"/>
      <c r="C201" s="69"/>
      <c r="D201" s="69"/>
      <c r="E201" s="69"/>
      <c r="F201" s="69"/>
      <c r="G201" s="69"/>
    </row>
    <row r="202" spans="1:7" x14ac:dyDescent="0.25">
      <c r="A202" s="69"/>
      <c r="B202" s="69"/>
      <c r="C202" s="69"/>
      <c r="D202" s="69"/>
      <c r="E202" s="69"/>
      <c r="F202" s="69"/>
      <c r="G202" s="69"/>
    </row>
    <row r="203" spans="1:7" x14ac:dyDescent="0.25">
      <c r="A203" s="69"/>
      <c r="B203" s="69"/>
      <c r="C203" s="69"/>
      <c r="D203" s="69"/>
      <c r="E203" s="69"/>
      <c r="F203" s="69"/>
      <c r="G203" s="69"/>
    </row>
    <row r="204" spans="1:7" x14ac:dyDescent="0.25">
      <c r="A204" s="69"/>
      <c r="B204" s="69"/>
      <c r="C204" s="69"/>
      <c r="D204" s="69"/>
      <c r="E204" s="69"/>
      <c r="F204" s="69"/>
      <c r="G204" s="69"/>
    </row>
    <row r="205" spans="1:7" x14ac:dyDescent="0.25">
      <c r="A205" s="69"/>
      <c r="B205" s="69"/>
      <c r="C205" s="69"/>
      <c r="D205" s="69"/>
      <c r="E205" s="69"/>
      <c r="F205" s="69"/>
      <c r="G205" s="69"/>
    </row>
    <row r="206" spans="1:7" x14ac:dyDescent="0.25">
      <c r="A206" s="69"/>
      <c r="B206" s="69"/>
      <c r="C206" s="69"/>
      <c r="D206" s="69"/>
      <c r="E206" s="69"/>
      <c r="F206" s="69"/>
      <c r="G206" s="69"/>
    </row>
    <row r="207" spans="1:7" x14ac:dyDescent="0.25">
      <c r="A207" s="69"/>
      <c r="B207" s="69"/>
      <c r="C207" s="69"/>
      <c r="D207" s="69"/>
      <c r="E207" s="69"/>
      <c r="F207" s="69"/>
      <c r="G207" s="69"/>
    </row>
    <row r="208" spans="1:7" x14ac:dyDescent="0.25">
      <c r="A208" s="69"/>
      <c r="B208" s="69"/>
      <c r="C208" s="69"/>
      <c r="D208" s="69"/>
      <c r="E208" s="69"/>
      <c r="F208" s="69"/>
      <c r="G208" s="69"/>
    </row>
    <row r="209" spans="1:7" x14ac:dyDescent="0.25">
      <c r="A209" s="69"/>
      <c r="B209" s="69"/>
      <c r="C209" s="69"/>
      <c r="D209" s="69"/>
      <c r="E209" s="69"/>
      <c r="F209" s="69"/>
      <c r="G209" s="69"/>
    </row>
    <row r="210" spans="1:7" x14ac:dyDescent="0.25">
      <c r="A210" s="69"/>
      <c r="B210" s="69"/>
      <c r="C210" s="69"/>
      <c r="D210" s="69"/>
      <c r="E210" s="69"/>
      <c r="F210" s="69"/>
      <c r="G210" s="69"/>
    </row>
    <row r="211" spans="1:7" x14ac:dyDescent="0.25">
      <c r="A211" s="69"/>
      <c r="B211" s="69"/>
      <c r="C211" s="69"/>
      <c r="D211" s="69"/>
      <c r="E211" s="69"/>
      <c r="F211" s="69"/>
      <c r="G211" s="69"/>
    </row>
    <row r="212" spans="1:7" x14ac:dyDescent="0.25">
      <c r="A212" s="69"/>
      <c r="B212" s="69"/>
      <c r="C212" s="69"/>
      <c r="D212" s="69"/>
      <c r="E212" s="69"/>
      <c r="F212" s="69"/>
      <c r="G212" s="69"/>
    </row>
    <row r="213" spans="1:7" x14ac:dyDescent="0.25">
      <c r="A213" s="69"/>
      <c r="B213" s="69"/>
      <c r="C213" s="69"/>
      <c r="D213" s="69"/>
      <c r="E213" s="69"/>
      <c r="F213" s="69"/>
      <c r="G213" s="69"/>
    </row>
    <row r="214" spans="1:7" x14ac:dyDescent="0.25">
      <c r="A214" s="69"/>
      <c r="B214" s="69"/>
      <c r="C214" s="69"/>
      <c r="D214" s="69"/>
      <c r="E214" s="69"/>
      <c r="F214" s="69"/>
      <c r="G214" s="69"/>
    </row>
    <row r="215" spans="1:7" x14ac:dyDescent="0.25">
      <c r="A215" s="69"/>
      <c r="B215" s="69"/>
      <c r="C215" s="69"/>
      <c r="D215" s="69"/>
      <c r="E215" s="69"/>
      <c r="F215" s="69"/>
      <c r="G215" s="69"/>
    </row>
    <row r="216" spans="1:7" x14ac:dyDescent="0.25">
      <c r="A216" s="69"/>
      <c r="B216" s="69"/>
      <c r="C216" s="69"/>
      <c r="D216" s="69"/>
      <c r="E216" s="69"/>
      <c r="F216" s="69"/>
      <c r="G216" s="69"/>
    </row>
    <row r="217" spans="1:7" x14ac:dyDescent="0.25">
      <c r="A217" s="69"/>
      <c r="B217" s="69"/>
      <c r="C217" s="69"/>
      <c r="D217" s="69"/>
      <c r="E217" s="69"/>
      <c r="F217" s="69"/>
      <c r="G217" s="69"/>
    </row>
    <row r="218" spans="1:7" x14ac:dyDescent="0.25">
      <c r="A218" s="69"/>
      <c r="B218" s="69"/>
      <c r="C218" s="69"/>
      <c r="D218" s="69"/>
      <c r="E218" s="69"/>
      <c r="F218" s="69"/>
      <c r="G218" s="69"/>
    </row>
    <row r="219" spans="1:7" x14ac:dyDescent="0.25">
      <c r="A219" s="69"/>
      <c r="B219" s="69"/>
      <c r="C219" s="69"/>
      <c r="D219" s="69"/>
      <c r="E219" s="69"/>
      <c r="F219" s="69"/>
      <c r="G219" s="69"/>
    </row>
    <row r="220" spans="1:7" x14ac:dyDescent="0.25">
      <c r="A220" s="69"/>
      <c r="B220" s="69"/>
      <c r="C220" s="69"/>
      <c r="D220" s="69"/>
      <c r="E220" s="69"/>
      <c r="F220" s="69"/>
      <c r="G220" s="69"/>
    </row>
    <row r="221" spans="1:7" x14ac:dyDescent="0.25">
      <c r="A221" s="69"/>
      <c r="B221" s="69"/>
      <c r="C221" s="69"/>
      <c r="D221" s="69"/>
      <c r="E221" s="69"/>
      <c r="F221" s="69"/>
      <c r="G221" s="69"/>
    </row>
    <row r="222" spans="1:7" x14ac:dyDescent="0.25">
      <c r="A222" s="69"/>
      <c r="B222" s="69"/>
      <c r="C222" s="69"/>
      <c r="D222" s="69"/>
      <c r="E222" s="69"/>
      <c r="F222" s="69"/>
      <c r="G222" s="69"/>
    </row>
    <row r="223" spans="1:7" x14ac:dyDescent="0.25">
      <c r="A223" s="69"/>
      <c r="B223" s="69"/>
      <c r="C223" s="69"/>
      <c r="D223" s="69"/>
      <c r="E223" s="69"/>
      <c r="F223" s="69"/>
      <c r="G223" s="69"/>
    </row>
    <row r="224" spans="1:7" x14ac:dyDescent="0.25">
      <c r="A224" s="69"/>
      <c r="B224" s="69"/>
      <c r="C224" s="69"/>
      <c r="D224" s="69"/>
      <c r="E224" s="69"/>
      <c r="F224" s="69"/>
      <c r="G224" s="69"/>
    </row>
    <row r="225" spans="1:7" x14ac:dyDescent="0.25">
      <c r="A225" s="69"/>
      <c r="B225" s="69"/>
      <c r="C225" s="69"/>
      <c r="D225" s="69"/>
      <c r="E225" s="69"/>
      <c r="F225" s="69"/>
      <c r="G225" s="69"/>
    </row>
    <row r="226" spans="1:7" x14ac:dyDescent="0.25">
      <c r="A226" s="69"/>
      <c r="B226" s="69"/>
      <c r="C226" s="69"/>
      <c r="D226" s="69"/>
      <c r="E226" s="69"/>
      <c r="F226" s="69"/>
      <c r="G226" s="69"/>
    </row>
    <row r="227" spans="1:7" x14ac:dyDescent="0.25">
      <c r="A227" s="69"/>
      <c r="B227" s="69"/>
      <c r="C227" s="69"/>
      <c r="D227" s="69"/>
      <c r="E227" s="69"/>
      <c r="F227" s="69"/>
      <c r="G227" s="69"/>
    </row>
    <row r="228" spans="1:7" x14ac:dyDescent="0.25">
      <c r="A228" s="69"/>
      <c r="B228" s="69"/>
      <c r="C228" s="69"/>
      <c r="D228" s="69"/>
      <c r="E228" s="69"/>
      <c r="F228" s="69"/>
      <c r="G228" s="69"/>
    </row>
    <row r="229" spans="1:7" x14ac:dyDescent="0.25">
      <c r="A229" s="69"/>
      <c r="B229" s="69"/>
      <c r="C229" s="69"/>
      <c r="D229" s="69"/>
      <c r="E229" s="69"/>
      <c r="F229" s="69"/>
      <c r="G229" s="69"/>
    </row>
    <row r="230" spans="1:7" x14ac:dyDescent="0.25">
      <c r="A230" s="69"/>
      <c r="B230" s="69"/>
      <c r="C230" s="69"/>
      <c r="D230" s="69"/>
      <c r="E230" s="69"/>
      <c r="F230" s="69"/>
      <c r="G230" s="69"/>
    </row>
    <row r="231" spans="1:7" x14ac:dyDescent="0.25">
      <c r="A231" s="69"/>
      <c r="B231" s="69"/>
      <c r="C231" s="69"/>
      <c r="D231" s="69"/>
      <c r="E231" s="69"/>
      <c r="F231" s="69"/>
      <c r="G231" s="69"/>
    </row>
  </sheetData>
  <mergeCells count="12">
    <mergeCell ref="E186:G186"/>
    <mergeCell ref="A1:B1"/>
    <mergeCell ref="C1:G1"/>
    <mergeCell ref="A2:B2"/>
    <mergeCell ref="C2:G2"/>
    <mergeCell ref="A4:B4"/>
    <mergeCell ref="C4:G4"/>
    <mergeCell ref="A6:G6"/>
    <mergeCell ref="A7:G7"/>
    <mergeCell ref="A178:B178"/>
    <mergeCell ref="E180:G180"/>
    <mergeCell ref="E181:G181"/>
  </mergeCells>
  <pageMargins left="0.25" right="0.25" top="0.75" bottom="0.75" header="0.3" footer="0.3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M338"/>
  <sheetViews>
    <sheetView topLeftCell="A124" zoomScaleNormal="100" workbookViewId="0">
      <selection activeCell="K9" sqref="K9"/>
    </sheetView>
  </sheetViews>
  <sheetFormatPr defaultColWidth="9.140625" defaultRowHeight="17.25" x14ac:dyDescent="0.3"/>
  <cols>
    <col min="1" max="1" width="6" style="46" customWidth="1"/>
    <col min="2" max="2" width="29.42578125" style="46" customWidth="1"/>
    <col min="3" max="3" width="14.5703125" style="46" customWidth="1"/>
    <col min="4" max="4" width="9.140625" style="46" bestFit="1" customWidth="1"/>
    <col min="5" max="5" width="9.140625" style="46"/>
    <col min="6" max="6" width="15" style="46" customWidth="1"/>
    <col min="7" max="7" width="9.28515625" style="46" customWidth="1"/>
    <col min="8" max="16384" width="9.140625" style="46"/>
  </cols>
  <sheetData>
    <row r="1" spans="1:13" s="65" customFormat="1" ht="18.75" customHeight="1" x14ac:dyDescent="0.25">
      <c r="A1" s="113" t="s">
        <v>336</v>
      </c>
      <c r="B1" s="113"/>
      <c r="C1" s="113" t="s">
        <v>335</v>
      </c>
      <c r="D1" s="113"/>
      <c r="E1" s="113"/>
      <c r="F1" s="113"/>
      <c r="G1" s="113"/>
      <c r="H1" s="66"/>
      <c r="I1" s="66"/>
    </row>
    <row r="2" spans="1:13" s="65" customFormat="1" ht="17.25" customHeight="1" x14ac:dyDescent="0.25">
      <c r="A2" s="113" t="s">
        <v>334</v>
      </c>
      <c r="B2" s="113"/>
      <c r="C2" s="113" t="s">
        <v>333</v>
      </c>
      <c r="D2" s="113"/>
      <c r="E2" s="113"/>
      <c r="F2" s="113"/>
      <c r="G2" s="113"/>
      <c r="H2" s="66"/>
      <c r="I2" s="66"/>
    </row>
    <row r="3" spans="1:13" x14ac:dyDescent="0.3">
      <c r="A3" s="49"/>
      <c r="B3" s="49"/>
      <c r="C3" s="49"/>
      <c r="D3" s="49"/>
      <c r="E3" s="49"/>
      <c r="F3" s="49"/>
      <c r="G3" s="49"/>
      <c r="H3" s="49"/>
      <c r="I3" s="49"/>
    </row>
    <row r="4" spans="1:13" x14ac:dyDescent="0.3">
      <c r="A4" s="114" t="s">
        <v>332</v>
      </c>
      <c r="B4" s="114"/>
      <c r="C4" s="115" t="s">
        <v>331</v>
      </c>
      <c r="D4" s="115"/>
      <c r="E4" s="115"/>
      <c r="F4" s="115"/>
      <c r="G4" s="115"/>
      <c r="H4" s="64"/>
      <c r="I4" s="64"/>
    </row>
    <row r="5" spans="1:13" x14ac:dyDescent="0.3">
      <c r="A5" s="49"/>
      <c r="B5" s="49"/>
      <c r="C5" s="49"/>
      <c r="D5" s="49"/>
      <c r="E5" s="49"/>
      <c r="F5" s="49"/>
      <c r="G5" s="49"/>
      <c r="H5" s="49"/>
      <c r="I5" s="49"/>
    </row>
    <row r="6" spans="1:13" x14ac:dyDescent="0.3">
      <c r="A6" s="112" t="s">
        <v>330</v>
      </c>
      <c r="B6" s="112"/>
      <c r="C6" s="112"/>
      <c r="D6" s="112"/>
      <c r="E6" s="112"/>
      <c r="F6" s="112"/>
      <c r="G6" s="112"/>
      <c r="H6" s="64"/>
      <c r="I6" s="64"/>
    </row>
    <row r="7" spans="1:13" ht="43.5" customHeight="1" x14ac:dyDescent="0.3">
      <c r="A7" s="116" t="s">
        <v>329</v>
      </c>
      <c r="B7" s="116"/>
      <c r="C7" s="116"/>
      <c r="D7" s="116"/>
      <c r="E7" s="116"/>
      <c r="F7" s="116"/>
      <c r="G7" s="116"/>
      <c r="H7" s="63"/>
      <c r="I7" s="63"/>
      <c r="K7" s="60"/>
    </row>
    <row r="8" spans="1:13" ht="33" x14ac:dyDescent="0.3">
      <c r="A8" s="61" t="s">
        <v>149</v>
      </c>
      <c r="B8" s="61" t="s">
        <v>622</v>
      </c>
      <c r="C8" s="61" t="s">
        <v>328</v>
      </c>
      <c r="D8" s="61" t="s">
        <v>1</v>
      </c>
      <c r="E8" s="61" t="s">
        <v>9</v>
      </c>
      <c r="F8" s="62" t="s">
        <v>327</v>
      </c>
      <c r="G8" s="61" t="s">
        <v>6</v>
      </c>
      <c r="H8" s="49"/>
      <c r="I8" s="49"/>
      <c r="M8" s="60"/>
    </row>
    <row r="9" spans="1:13" x14ac:dyDescent="0.3">
      <c r="A9" s="55">
        <v>1</v>
      </c>
      <c r="B9" s="17" t="s">
        <v>326</v>
      </c>
      <c r="C9" s="14" t="s">
        <v>323</v>
      </c>
      <c r="D9" s="52">
        <v>1</v>
      </c>
      <c r="E9" s="52" t="s">
        <v>215</v>
      </c>
      <c r="F9" s="52" t="s">
        <v>193</v>
      </c>
      <c r="G9" s="55"/>
      <c r="H9" s="49"/>
      <c r="I9" s="49"/>
    </row>
    <row r="10" spans="1:13" x14ac:dyDescent="0.3">
      <c r="A10" s="55">
        <v>2</v>
      </c>
      <c r="B10" s="17" t="s">
        <v>146</v>
      </c>
      <c r="C10" s="14" t="s">
        <v>323</v>
      </c>
      <c r="D10" s="52">
        <v>1</v>
      </c>
      <c r="E10" s="52" t="s">
        <v>229</v>
      </c>
      <c r="F10" s="52" t="s">
        <v>193</v>
      </c>
      <c r="G10" s="55"/>
      <c r="H10" s="49"/>
      <c r="I10" s="49"/>
    </row>
    <row r="11" spans="1:13" x14ac:dyDescent="0.3">
      <c r="A11" s="55">
        <v>3</v>
      </c>
      <c r="B11" s="17" t="s">
        <v>48</v>
      </c>
      <c r="C11" s="14" t="s">
        <v>323</v>
      </c>
      <c r="D11" s="52">
        <v>1</v>
      </c>
      <c r="E11" s="52" t="s">
        <v>229</v>
      </c>
      <c r="F11" s="52" t="s">
        <v>193</v>
      </c>
      <c r="G11" s="55"/>
      <c r="H11" s="49"/>
      <c r="I11" s="49"/>
    </row>
    <row r="12" spans="1:13" x14ac:dyDescent="0.3">
      <c r="A12" s="55">
        <v>4</v>
      </c>
      <c r="B12" s="17" t="s">
        <v>325</v>
      </c>
      <c r="C12" s="14" t="s">
        <v>323</v>
      </c>
      <c r="D12" s="52">
        <v>1</v>
      </c>
      <c r="E12" s="52" t="s">
        <v>229</v>
      </c>
      <c r="F12" s="52" t="s">
        <v>193</v>
      </c>
      <c r="G12" s="55"/>
      <c r="H12" s="49"/>
      <c r="I12" s="49"/>
    </row>
    <row r="13" spans="1:13" x14ac:dyDescent="0.3">
      <c r="A13" s="55">
        <v>5</v>
      </c>
      <c r="B13" s="17" t="s">
        <v>324</v>
      </c>
      <c r="C13" s="14" t="s">
        <v>323</v>
      </c>
      <c r="D13" s="52">
        <v>1</v>
      </c>
      <c r="E13" s="52" t="s">
        <v>229</v>
      </c>
      <c r="F13" s="52" t="s">
        <v>193</v>
      </c>
      <c r="G13" s="55"/>
      <c r="H13" s="49"/>
      <c r="I13" s="49"/>
    </row>
    <row r="14" spans="1:13" x14ac:dyDescent="0.3">
      <c r="A14" s="55">
        <v>6</v>
      </c>
      <c r="B14" s="19" t="s">
        <v>322</v>
      </c>
      <c r="C14" s="14" t="s">
        <v>307</v>
      </c>
      <c r="D14" s="52">
        <v>1</v>
      </c>
      <c r="E14" s="52" t="s">
        <v>229</v>
      </c>
      <c r="F14" s="52" t="s">
        <v>193</v>
      </c>
      <c r="G14" s="55"/>
      <c r="H14" s="49"/>
      <c r="I14" s="49"/>
    </row>
    <row r="15" spans="1:13" x14ac:dyDescent="0.3">
      <c r="A15" s="55">
        <v>7</v>
      </c>
      <c r="B15" s="19" t="s">
        <v>321</v>
      </c>
      <c r="C15" s="14" t="s">
        <v>307</v>
      </c>
      <c r="D15" s="52">
        <v>1</v>
      </c>
      <c r="E15" s="52" t="s">
        <v>229</v>
      </c>
      <c r="F15" s="52" t="s">
        <v>193</v>
      </c>
      <c r="G15" s="55"/>
      <c r="H15" s="49"/>
      <c r="I15" s="49"/>
    </row>
    <row r="16" spans="1:13" x14ac:dyDescent="0.3">
      <c r="A16" s="55">
        <v>8</v>
      </c>
      <c r="B16" s="19" t="s">
        <v>77</v>
      </c>
      <c r="C16" s="14" t="s">
        <v>307</v>
      </c>
      <c r="D16" s="52">
        <v>1</v>
      </c>
      <c r="E16" s="52" t="s">
        <v>229</v>
      </c>
      <c r="F16" s="52" t="s">
        <v>193</v>
      </c>
      <c r="G16" s="55"/>
      <c r="H16" s="49"/>
      <c r="I16" s="49"/>
    </row>
    <row r="17" spans="1:9" x14ac:dyDescent="0.3">
      <c r="A17" s="55">
        <v>9</v>
      </c>
      <c r="B17" s="19" t="s">
        <v>320</v>
      </c>
      <c r="C17" s="14" t="s">
        <v>307</v>
      </c>
      <c r="D17" s="52">
        <v>1</v>
      </c>
      <c r="E17" s="52" t="s">
        <v>229</v>
      </c>
      <c r="F17" s="52" t="s">
        <v>193</v>
      </c>
      <c r="G17" s="55"/>
      <c r="H17" s="49"/>
      <c r="I17" s="49"/>
    </row>
    <row r="18" spans="1:9" x14ac:dyDescent="0.3">
      <c r="A18" s="55">
        <v>10</v>
      </c>
      <c r="B18" s="19" t="s">
        <v>319</v>
      </c>
      <c r="C18" s="14" t="s">
        <v>307</v>
      </c>
      <c r="D18" s="52">
        <v>1</v>
      </c>
      <c r="E18" s="52" t="s">
        <v>229</v>
      </c>
      <c r="F18" s="52" t="s">
        <v>193</v>
      </c>
      <c r="G18" s="55"/>
      <c r="H18" s="49"/>
      <c r="I18" s="49"/>
    </row>
    <row r="19" spans="1:9" x14ac:dyDescent="0.3">
      <c r="A19" s="55">
        <v>11</v>
      </c>
      <c r="B19" s="19" t="s">
        <v>318</v>
      </c>
      <c r="C19" s="14" t="s">
        <v>307</v>
      </c>
      <c r="D19" s="52">
        <v>1</v>
      </c>
      <c r="E19" s="52" t="s">
        <v>229</v>
      </c>
      <c r="F19" s="52" t="s">
        <v>193</v>
      </c>
      <c r="G19" s="55"/>
      <c r="H19" s="49"/>
      <c r="I19" s="49"/>
    </row>
    <row r="20" spans="1:9" x14ac:dyDescent="0.3">
      <c r="A20" s="55">
        <v>12</v>
      </c>
      <c r="B20" s="19" t="s">
        <v>63</v>
      </c>
      <c r="C20" s="14" t="s">
        <v>307</v>
      </c>
      <c r="D20" s="52">
        <v>1</v>
      </c>
      <c r="E20" s="52" t="s">
        <v>194</v>
      </c>
      <c r="F20" s="52" t="s">
        <v>193</v>
      </c>
      <c r="G20" s="55"/>
      <c r="H20" s="49"/>
      <c r="I20" s="49"/>
    </row>
    <row r="21" spans="1:9" x14ac:dyDescent="0.3">
      <c r="A21" s="55">
        <v>13</v>
      </c>
      <c r="B21" s="19" t="s">
        <v>317</v>
      </c>
      <c r="C21" s="14" t="s">
        <v>307</v>
      </c>
      <c r="D21" s="52">
        <v>1</v>
      </c>
      <c r="E21" s="52" t="s">
        <v>194</v>
      </c>
      <c r="F21" s="52" t="s">
        <v>193</v>
      </c>
      <c r="G21" s="55"/>
      <c r="H21" s="49"/>
      <c r="I21" s="49"/>
    </row>
    <row r="22" spans="1:9" x14ac:dyDescent="0.3">
      <c r="A22" s="55">
        <v>14</v>
      </c>
      <c r="B22" s="19" t="s">
        <v>316</v>
      </c>
      <c r="C22" s="14" t="s">
        <v>307</v>
      </c>
      <c r="D22" s="52">
        <v>1</v>
      </c>
      <c r="E22" s="52" t="s">
        <v>194</v>
      </c>
      <c r="F22" s="52" t="s">
        <v>193</v>
      </c>
      <c r="G22" s="55"/>
      <c r="H22" s="49"/>
      <c r="I22" s="49"/>
    </row>
    <row r="23" spans="1:9" x14ac:dyDescent="0.3">
      <c r="A23" s="55">
        <v>15</v>
      </c>
      <c r="B23" s="19" t="s">
        <v>315</v>
      </c>
      <c r="C23" s="14" t="s">
        <v>307</v>
      </c>
      <c r="D23" s="52">
        <v>1</v>
      </c>
      <c r="E23" s="52" t="s">
        <v>194</v>
      </c>
      <c r="F23" s="52" t="s">
        <v>193</v>
      </c>
      <c r="G23" s="55"/>
      <c r="H23" s="49"/>
      <c r="I23" s="49"/>
    </row>
    <row r="24" spans="1:9" x14ac:dyDescent="0.3">
      <c r="A24" s="55">
        <v>16</v>
      </c>
      <c r="B24" s="19" t="s">
        <v>314</v>
      </c>
      <c r="C24" s="14" t="s">
        <v>307</v>
      </c>
      <c r="D24" s="52">
        <v>1</v>
      </c>
      <c r="E24" s="52" t="s">
        <v>194</v>
      </c>
      <c r="F24" s="52" t="s">
        <v>193</v>
      </c>
      <c r="G24" s="55"/>
      <c r="H24" s="49"/>
      <c r="I24" s="49"/>
    </row>
    <row r="25" spans="1:9" x14ac:dyDescent="0.3">
      <c r="A25" s="55">
        <v>17</v>
      </c>
      <c r="B25" s="19" t="s">
        <v>313</v>
      </c>
      <c r="C25" s="14" t="s">
        <v>307</v>
      </c>
      <c r="D25" s="52">
        <v>1</v>
      </c>
      <c r="E25" s="52" t="s">
        <v>194</v>
      </c>
      <c r="F25" s="52" t="s">
        <v>193</v>
      </c>
      <c r="G25" s="55"/>
      <c r="H25" s="49"/>
      <c r="I25" s="49"/>
    </row>
    <row r="26" spans="1:9" x14ac:dyDescent="0.3">
      <c r="A26" s="55">
        <v>18</v>
      </c>
      <c r="B26" s="19" t="s">
        <v>312</v>
      </c>
      <c r="C26" s="14" t="s">
        <v>307</v>
      </c>
      <c r="D26" s="52">
        <v>1</v>
      </c>
      <c r="E26" s="52" t="s">
        <v>194</v>
      </c>
      <c r="F26" s="52" t="s">
        <v>193</v>
      </c>
      <c r="G26" s="55"/>
      <c r="H26" s="49"/>
      <c r="I26" s="49"/>
    </row>
    <row r="27" spans="1:9" x14ac:dyDescent="0.3">
      <c r="A27" s="55">
        <v>19</v>
      </c>
      <c r="B27" s="19" t="s">
        <v>311</v>
      </c>
      <c r="C27" s="14" t="s">
        <v>307</v>
      </c>
      <c r="D27" s="52">
        <v>1</v>
      </c>
      <c r="E27" s="52" t="s">
        <v>194</v>
      </c>
      <c r="F27" s="52" t="s">
        <v>193</v>
      </c>
      <c r="G27" s="55"/>
      <c r="H27" s="49"/>
      <c r="I27" s="49"/>
    </row>
    <row r="28" spans="1:9" x14ac:dyDescent="0.3">
      <c r="A28" s="55">
        <v>20</v>
      </c>
      <c r="B28" s="19" t="s">
        <v>244</v>
      </c>
      <c r="C28" s="14" t="s">
        <v>307</v>
      </c>
      <c r="D28" s="52">
        <v>1</v>
      </c>
      <c r="E28" s="52" t="s">
        <v>194</v>
      </c>
      <c r="F28" s="52" t="s">
        <v>193</v>
      </c>
      <c r="G28" s="55"/>
      <c r="H28" s="49"/>
      <c r="I28" s="49"/>
    </row>
    <row r="29" spans="1:9" x14ac:dyDescent="0.3">
      <c r="A29" s="55">
        <v>21</v>
      </c>
      <c r="B29" s="19" t="s">
        <v>310</v>
      </c>
      <c r="C29" s="14" t="s">
        <v>307</v>
      </c>
      <c r="D29" s="52">
        <v>1</v>
      </c>
      <c r="E29" s="52" t="s">
        <v>194</v>
      </c>
      <c r="F29" s="52" t="s">
        <v>193</v>
      </c>
      <c r="G29" s="55"/>
      <c r="H29" s="49"/>
      <c r="I29" s="49"/>
    </row>
    <row r="30" spans="1:9" x14ac:dyDescent="0.3">
      <c r="A30" s="55">
        <v>22</v>
      </c>
      <c r="B30" s="19" t="s">
        <v>309</v>
      </c>
      <c r="C30" s="14" t="s">
        <v>307</v>
      </c>
      <c r="D30" s="52">
        <v>1</v>
      </c>
      <c r="E30" s="52" t="s">
        <v>194</v>
      </c>
      <c r="F30" s="52" t="s">
        <v>193</v>
      </c>
      <c r="G30" s="55"/>
      <c r="H30" s="49"/>
      <c r="I30" s="49"/>
    </row>
    <row r="31" spans="1:9" x14ac:dyDescent="0.3">
      <c r="A31" s="55">
        <v>23</v>
      </c>
      <c r="B31" s="19" t="s">
        <v>308</v>
      </c>
      <c r="C31" s="14" t="s">
        <v>307</v>
      </c>
      <c r="D31" s="52">
        <v>1</v>
      </c>
      <c r="E31" s="52" t="s">
        <v>194</v>
      </c>
      <c r="F31" s="52" t="s">
        <v>193</v>
      </c>
      <c r="G31" s="55"/>
      <c r="H31" s="49"/>
      <c r="I31" s="49"/>
    </row>
    <row r="32" spans="1:9" x14ac:dyDescent="0.3">
      <c r="A32" s="55">
        <v>24</v>
      </c>
      <c r="B32" s="19" t="s">
        <v>148</v>
      </c>
      <c r="C32" s="14" t="s">
        <v>306</v>
      </c>
      <c r="D32" s="52">
        <v>1</v>
      </c>
      <c r="E32" s="52" t="s">
        <v>229</v>
      </c>
      <c r="F32" s="52" t="s">
        <v>193</v>
      </c>
      <c r="G32" s="55"/>
      <c r="H32" s="49"/>
      <c r="I32" s="49"/>
    </row>
    <row r="33" spans="1:9" x14ac:dyDescent="0.3">
      <c r="A33" s="55">
        <v>25</v>
      </c>
      <c r="B33" s="19" t="s">
        <v>244</v>
      </c>
      <c r="C33" s="14" t="s">
        <v>285</v>
      </c>
      <c r="D33" s="52">
        <v>2</v>
      </c>
      <c r="E33" s="52" t="s">
        <v>215</v>
      </c>
      <c r="F33" s="52" t="s">
        <v>193</v>
      </c>
      <c r="G33" s="55"/>
      <c r="H33" s="49"/>
      <c r="I33" s="49"/>
    </row>
    <row r="34" spans="1:9" x14ac:dyDescent="0.3">
      <c r="A34" s="55">
        <v>26</v>
      </c>
      <c r="B34" s="19" t="s">
        <v>305</v>
      </c>
      <c r="C34" s="14" t="s">
        <v>285</v>
      </c>
      <c r="D34" s="52">
        <v>1</v>
      </c>
      <c r="E34" s="52" t="s">
        <v>215</v>
      </c>
      <c r="F34" s="52" t="s">
        <v>193</v>
      </c>
      <c r="G34" s="55"/>
      <c r="H34" s="49"/>
      <c r="I34" s="49"/>
    </row>
    <row r="35" spans="1:9" x14ac:dyDescent="0.3">
      <c r="A35" s="55">
        <v>27</v>
      </c>
      <c r="B35" s="19" t="s">
        <v>304</v>
      </c>
      <c r="C35" s="14" t="s">
        <v>285</v>
      </c>
      <c r="D35" s="52">
        <v>1</v>
      </c>
      <c r="E35" s="52" t="s">
        <v>215</v>
      </c>
      <c r="F35" s="52" t="s">
        <v>193</v>
      </c>
      <c r="G35" s="55"/>
      <c r="H35" s="49"/>
      <c r="I35" s="49"/>
    </row>
    <row r="36" spans="1:9" x14ac:dyDescent="0.3">
      <c r="A36" s="55">
        <v>28</v>
      </c>
      <c r="B36" s="19" t="s">
        <v>303</v>
      </c>
      <c r="C36" s="14" t="s">
        <v>285</v>
      </c>
      <c r="D36" s="52">
        <v>1</v>
      </c>
      <c r="E36" s="52" t="s">
        <v>215</v>
      </c>
      <c r="F36" s="52" t="s">
        <v>193</v>
      </c>
      <c r="G36" s="55"/>
      <c r="H36" s="49"/>
      <c r="I36" s="49"/>
    </row>
    <row r="37" spans="1:9" x14ac:dyDescent="0.3">
      <c r="A37" s="55">
        <v>29</v>
      </c>
      <c r="B37" s="19" t="s">
        <v>302</v>
      </c>
      <c r="C37" s="14" t="s">
        <v>285</v>
      </c>
      <c r="D37" s="52">
        <v>1</v>
      </c>
      <c r="E37" s="52" t="s">
        <v>215</v>
      </c>
      <c r="F37" s="52" t="s">
        <v>193</v>
      </c>
      <c r="G37" s="55"/>
      <c r="H37" s="49"/>
      <c r="I37" s="49"/>
    </row>
    <row r="38" spans="1:9" x14ac:dyDescent="0.3">
      <c r="A38" s="55">
        <v>30</v>
      </c>
      <c r="B38" s="19" t="s">
        <v>86</v>
      </c>
      <c r="C38" s="14" t="s">
        <v>285</v>
      </c>
      <c r="D38" s="52">
        <v>1</v>
      </c>
      <c r="E38" s="52" t="s">
        <v>215</v>
      </c>
      <c r="F38" s="52" t="s">
        <v>193</v>
      </c>
      <c r="G38" s="55"/>
      <c r="H38" s="49"/>
      <c r="I38" s="49"/>
    </row>
    <row r="39" spans="1:9" x14ac:dyDescent="0.3">
      <c r="A39" s="55">
        <v>31</v>
      </c>
      <c r="B39" s="19" t="s">
        <v>301</v>
      </c>
      <c r="C39" s="14" t="s">
        <v>285</v>
      </c>
      <c r="D39" s="52">
        <v>1</v>
      </c>
      <c r="E39" s="52" t="s">
        <v>215</v>
      </c>
      <c r="F39" s="52" t="s">
        <v>193</v>
      </c>
      <c r="G39" s="55"/>
      <c r="H39" s="49"/>
      <c r="I39" s="49"/>
    </row>
    <row r="40" spans="1:9" x14ac:dyDescent="0.3">
      <c r="A40" s="55">
        <v>32</v>
      </c>
      <c r="B40" s="19" t="s">
        <v>300</v>
      </c>
      <c r="C40" s="14" t="s">
        <v>285</v>
      </c>
      <c r="D40" s="52">
        <v>1</v>
      </c>
      <c r="E40" s="52" t="s">
        <v>215</v>
      </c>
      <c r="F40" s="52" t="s">
        <v>193</v>
      </c>
      <c r="G40" s="55"/>
      <c r="H40" s="49"/>
      <c r="I40" s="49"/>
    </row>
    <row r="41" spans="1:9" x14ac:dyDescent="0.3">
      <c r="A41" s="55">
        <v>33</v>
      </c>
      <c r="B41" s="19" t="s">
        <v>299</v>
      </c>
      <c r="C41" s="14" t="s">
        <v>285</v>
      </c>
      <c r="D41" s="52">
        <v>2</v>
      </c>
      <c r="E41" s="52" t="s">
        <v>215</v>
      </c>
      <c r="F41" s="52" t="s">
        <v>193</v>
      </c>
      <c r="G41" s="55"/>
      <c r="H41" s="49"/>
      <c r="I41" s="49"/>
    </row>
    <row r="42" spans="1:9" x14ac:dyDescent="0.3">
      <c r="A42" s="55">
        <v>34</v>
      </c>
      <c r="B42" s="19" t="s">
        <v>298</v>
      </c>
      <c r="C42" s="14" t="s">
        <v>285</v>
      </c>
      <c r="D42" s="52">
        <v>1</v>
      </c>
      <c r="E42" s="52" t="s">
        <v>215</v>
      </c>
      <c r="F42" s="52" t="s">
        <v>193</v>
      </c>
      <c r="G42" s="55"/>
      <c r="H42" s="49"/>
      <c r="I42" s="49"/>
    </row>
    <row r="43" spans="1:9" x14ac:dyDescent="0.3">
      <c r="A43" s="55">
        <v>35</v>
      </c>
      <c r="B43" s="19" t="s">
        <v>297</v>
      </c>
      <c r="C43" s="14" t="s">
        <v>285</v>
      </c>
      <c r="D43" s="52">
        <v>1</v>
      </c>
      <c r="E43" s="52" t="s">
        <v>215</v>
      </c>
      <c r="F43" s="52" t="s">
        <v>193</v>
      </c>
      <c r="G43" s="55"/>
      <c r="H43" s="49"/>
      <c r="I43" s="49"/>
    </row>
    <row r="44" spans="1:9" x14ac:dyDescent="0.3">
      <c r="A44" s="55">
        <v>36</v>
      </c>
      <c r="B44" s="19" t="s">
        <v>296</v>
      </c>
      <c r="C44" s="14" t="s">
        <v>285</v>
      </c>
      <c r="D44" s="52">
        <v>1</v>
      </c>
      <c r="E44" s="52" t="s">
        <v>215</v>
      </c>
      <c r="F44" s="52" t="s">
        <v>193</v>
      </c>
      <c r="G44" s="55"/>
      <c r="H44" s="49"/>
      <c r="I44" s="49"/>
    </row>
    <row r="45" spans="1:9" x14ac:dyDescent="0.3">
      <c r="A45" s="55">
        <v>37</v>
      </c>
      <c r="B45" s="19" t="s">
        <v>295</v>
      </c>
      <c r="C45" s="14" t="s">
        <v>285</v>
      </c>
      <c r="D45" s="52">
        <v>1</v>
      </c>
      <c r="E45" s="52" t="s">
        <v>215</v>
      </c>
      <c r="F45" s="52" t="s">
        <v>193</v>
      </c>
      <c r="G45" s="55"/>
      <c r="H45" s="49"/>
      <c r="I45" s="49"/>
    </row>
    <row r="46" spans="1:9" x14ac:dyDescent="0.3">
      <c r="A46" s="55">
        <v>38</v>
      </c>
      <c r="B46" s="19" t="s">
        <v>294</v>
      </c>
      <c r="C46" s="14" t="s">
        <v>285</v>
      </c>
      <c r="D46" s="52">
        <v>2</v>
      </c>
      <c r="E46" s="52" t="s">
        <v>229</v>
      </c>
      <c r="F46" s="52" t="s">
        <v>193</v>
      </c>
      <c r="G46" s="55"/>
      <c r="H46" s="49"/>
      <c r="I46" s="49"/>
    </row>
    <row r="47" spans="1:9" x14ac:dyDescent="0.3">
      <c r="A47" s="55">
        <v>39</v>
      </c>
      <c r="B47" s="19" t="s">
        <v>293</v>
      </c>
      <c r="C47" s="14" t="s">
        <v>285</v>
      </c>
      <c r="D47" s="52">
        <v>2</v>
      </c>
      <c r="E47" s="52" t="s">
        <v>229</v>
      </c>
      <c r="F47" s="52" t="s">
        <v>193</v>
      </c>
      <c r="G47" s="55"/>
      <c r="H47" s="49"/>
      <c r="I47" s="49"/>
    </row>
    <row r="48" spans="1:9" x14ac:dyDescent="0.3">
      <c r="A48" s="55">
        <v>40</v>
      </c>
      <c r="B48" s="19" t="s">
        <v>292</v>
      </c>
      <c r="C48" s="14" t="s">
        <v>285</v>
      </c>
      <c r="D48" s="52">
        <v>1</v>
      </c>
      <c r="E48" s="52" t="s">
        <v>229</v>
      </c>
      <c r="F48" s="52" t="s">
        <v>193</v>
      </c>
      <c r="G48" s="55"/>
      <c r="H48" s="49"/>
      <c r="I48" s="49"/>
    </row>
    <row r="49" spans="1:9" x14ac:dyDescent="0.3">
      <c r="A49" s="55">
        <v>41</v>
      </c>
      <c r="B49" s="19" t="s">
        <v>291</v>
      </c>
      <c r="C49" s="14" t="s">
        <v>285</v>
      </c>
      <c r="D49" s="52">
        <v>3</v>
      </c>
      <c r="E49" s="52" t="s">
        <v>229</v>
      </c>
      <c r="F49" s="52" t="s">
        <v>193</v>
      </c>
      <c r="G49" s="55"/>
      <c r="H49" s="49"/>
      <c r="I49" s="49"/>
    </row>
    <row r="50" spans="1:9" x14ac:dyDescent="0.3">
      <c r="A50" s="55">
        <v>42</v>
      </c>
      <c r="B50" s="19" t="s">
        <v>290</v>
      </c>
      <c r="C50" s="14" t="s">
        <v>285</v>
      </c>
      <c r="D50" s="52">
        <v>1</v>
      </c>
      <c r="E50" s="52" t="s">
        <v>229</v>
      </c>
      <c r="F50" s="52" t="s">
        <v>193</v>
      </c>
      <c r="G50" s="55"/>
      <c r="H50" s="49"/>
      <c r="I50" s="49"/>
    </row>
    <row r="51" spans="1:9" x14ac:dyDescent="0.3">
      <c r="A51" s="55">
        <v>43</v>
      </c>
      <c r="B51" s="19" t="s">
        <v>289</v>
      </c>
      <c r="C51" s="14" t="s">
        <v>285</v>
      </c>
      <c r="D51" s="52">
        <v>1</v>
      </c>
      <c r="E51" s="52" t="s">
        <v>229</v>
      </c>
      <c r="F51" s="52" t="s">
        <v>193</v>
      </c>
      <c r="G51" s="55"/>
      <c r="H51" s="49"/>
      <c r="I51" s="49"/>
    </row>
    <row r="52" spans="1:9" x14ac:dyDescent="0.3">
      <c r="A52" s="55">
        <v>44</v>
      </c>
      <c r="B52" s="19" t="s">
        <v>288</v>
      </c>
      <c r="C52" s="14" t="s">
        <v>285</v>
      </c>
      <c r="D52" s="52">
        <v>1</v>
      </c>
      <c r="E52" s="52" t="s">
        <v>229</v>
      </c>
      <c r="F52" s="52" t="s">
        <v>193</v>
      </c>
      <c r="G52" s="55"/>
      <c r="H52" s="49"/>
      <c r="I52" s="49"/>
    </row>
    <row r="53" spans="1:9" x14ac:dyDescent="0.3">
      <c r="A53" s="55">
        <v>45</v>
      </c>
      <c r="B53" s="19" t="s">
        <v>287</v>
      </c>
      <c r="C53" s="14" t="s">
        <v>285</v>
      </c>
      <c r="D53" s="52">
        <v>1</v>
      </c>
      <c r="E53" s="52" t="s">
        <v>229</v>
      </c>
      <c r="F53" s="52" t="s">
        <v>193</v>
      </c>
      <c r="G53" s="55"/>
      <c r="H53" s="49"/>
      <c r="I53" s="49"/>
    </row>
    <row r="54" spans="1:9" x14ac:dyDescent="0.3">
      <c r="A54" s="55">
        <v>46</v>
      </c>
      <c r="B54" s="19" t="s">
        <v>109</v>
      </c>
      <c r="C54" s="14" t="s">
        <v>285</v>
      </c>
      <c r="D54" s="52">
        <v>1</v>
      </c>
      <c r="E54" s="52" t="s">
        <v>229</v>
      </c>
      <c r="F54" s="52" t="s">
        <v>193</v>
      </c>
      <c r="G54" s="55"/>
      <c r="H54" s="49"/>
      <c r="I54" s="49"/>
    </row>
    <row r="55" spans="1:9" x14ac:dyDescent="0.3">
      <c r="A55" s="55">
        <v>47</v>
      </c>
      <c r="B55" s="19" t="s">
        <v>286</v>
      </c>
      <c r="C55" s="14" t="s">
        <v>285</v>
      </c>
      <c r="D55" s="52">
        <v>1</v>
      </c>
      <c r="E55" s="52" t="s">
        <v>229</v>
      </c>
      <c r="F55" s="52" t="s">
        <v>193</v>
      </c>
      <c r="G55" s="55"/>
      <c r="H55" s="49"/>
      <c r="I55" s="49"/>
    </row>
    <row r="56" spans="1:9" ht="17.25" customHeight="1" x14ac:dyDescent="0.3">
      <c r="A56" s="55">
        <v>48</v>
      </c>
      <c r="B56" s="54" t="s">
        <v>284</v>
      </c>
      <c r="C56" s="59" t="s">
        <v>274</v>
      </c>
      <c r="D56" s="52">
        <v>1</v>
      </c>
      <c r="E56" s="57" t="s">
        <v>215</v>
      </c>
      <c r="F56" s="57" t="s">
        <v>193</v>
      </c>
      <c r="G56" s="57"/>
      <c r="H56" s="49"/>
      <c r="I56" s="49"/>
    </row>
    <row r="57" spans="1:9" ht="17.25" customHeight="1" x14ac:dyDescent="0.3">
      <c r="A57" s="55">
        <v>49</v>
      </c>
      <c r="B57" s="54" t="s">
        <v>283</v>
      </c>
      <c r="C57" s="59" t="s">
        <v>274</v>
      </c>
      <c r="D57" s="52">
        <v>1</v>
      </c>
      <c r="E57" s="57" t="s">
        <v>215</v>
      </c>
      <c r="F57" s="57" t="s">
        <v>193</v>
      </c>
      <c r="G57" s="57"/>
      <c r="H57" s="49"/>
      <c r="I57" s="49"/>
    </row>
    <row r="58" spans="1:9" x14ac:dyDescent="0.3">
      <c r="A58" s="55">
        <v>50</v>
      </c>
      <c r="B58" s="54" t="s">
        <v>282</v>
      </c>
      <c r="C58" s="59" t="s">
        <v>274</v>
      </c>
      <c r="D58" s="52">
        <v>1</v>
      </c>
      <c r="E58" s="57" t="s">
        <v>215</v>
      </c>
      <c r="F58" s="57" t="s">
        <v>193</v>
      </c>
      <c r="G58" s="57"/>
      <c r="H58" s="49"/>
      <c r="I58" s="49"/>
    </row>
    <row r="59" spans="1:9" x14ac:dyDescent="0.3">
      <c r="A59" s="55">
        <v>51</v>
      </c>
      <c r="B59" s="54" t="s">
        <v>281</v>
      </c>
      <c r="C59" s="59" t="s">
        <v>274</v>
      </c>
      <c r="D59" s="52">
        <v>1</v>
      </c>
      <c r="E59" s="57" t="s">
        <v>215</v>
      </c>
      <c r="F59" s="57" t="s">
        <v>193</v>
      </c>
      <c r="G59" s="57"/>
      <c r="H59" s="49"/>
      <c r="I59" s="49"/>
    </row>
    <row r="60" spans="1:9" x14ac:dyDescent="0.3">
      <c r="A60" s="55">
        <v>52</v>
      </c>
      <c r="B60" s="54" t="s">
        <v>280</v>
      </c>
      <c r="C60" s="59" t="s">
        <v>274</v>
      </c>
      <c r="D60" s="52">
        <v>1</v>
      </c>
      <c r="E60" s="57" t="s">
        <v>215</v>
      </c>
      <c r="F60" s="57" t="s">
        <v>193</v>
      </c>
      <c r="G60" s="57"/>
      <c r="H60" s="49"/>
      <c r="I60" s="49"/>
    </row>
    <row r="61" spans="1:9" x14ac:dyDescent="0.3">
      <c r="A61" s="55">
        <v>53</v>
      </c>
      <c r="B61" s="54" t="s">
        <v>279</v>
      </c>
      <c r="C61" s="59" t="s">
        <v>274</v>
      </c>
      <c r="D61" s="52">
        <v>1</v>
      </c>
      <c r="E61" s="57" t="s">
        <v>215</v>
      </c>
      <c r="F61" s="57" t="s">
        <v>193</v>
      </c>
      <c r="G61" s="57"/>
      <c r="H61" s="49"/>
      <c r="I61" s="49"/>
    </row>
    <row r="62" spans="1:9" x14ac:dyDescent="0.3">
      <c r="A62" s="55">
        <v>54</v>
      </c>
      <c r="B62" s="54" t="s">
        <v>278</v>
      </c>
      <c r="C62" s="59" t="s">
        <v>274</v>
      </c>
      <c r="D62" s="52">
        <v>1</v>
      </c>
      <c r="E62" s="57" t="s">
        <v>215</v>
      </c>
      <c r="F62" s="57" t="s">
        <v>193</v>
      </c>
      <c r="G62" s="57"/>
      <c r="H62" s="49"/>
      <c r="I62" s="49"/>
    </row>
    <row r="63" spans="1:9" x14ac:dyDescent="0.3">
      <c r="A63" s="55">
        <v>55</v>
      </c>
      <c r="B63" s="54" t="s">
        <v>277</v>
      </c>
      <c r="C63" s="59" t="s">
        <v>274</v>
      </c>
      <c r="D63" s="52">
        <v>1</v>
      </c>
      <c r="E63" s="57" t="s">
        <v>215</v>
      </c>
      <c r="F63" s="57" t="s">
        <v>193</v>
      </c>
      <c r="G63" s="57"/>
      <c r="H63" s="49"/>
      <c r="I63" s="49"/>
    </row>
    <row r="64" spans="1:9" x14ac:dyDescent="0.3">
      <c r="A64" s="55">
        <v>56</v>
      </c>
      <c r="B64" s="54" t="s">
        <v>276</v>
      </c>
      <c r="C64" s="59" t="s">
        <v>274</v>
      </c>
      <c r="D64" s="52">
        <v>1</v>
      </c>
      <c r="E64" s="57" t="s">
        <v>215</v>
      </c>
      <c r="F64" s="57" t="s">
        <v>193</v>
      </c>
      <c r="G64" s="57"/>
      <c r="H64" s="49"/>
      <c r="I64" s="49"/>
    </row>
    <row r="65" spans="1:9" x14ac:dyDescent="0.3">
      <c r="A65" s="55">
        <v>57</v>
      </c>
      <c r="B65" s="54" t="s">
        <v>275</v>
      </c>
      <c r="C65" s="59" t="s">
        <v>274</v>
      </c>
      <c r="D65" s="52">
        <v>1</v>
      </c>
      <c r="E65" s="57" t="s">
        <v>215</v>
      </c>
      <c r="F65" s="57" t="s">
        <v>193</v>
      </c>
      <c r="G65" s="57"/>
      <c r="H65" s="49"/>
      <c r="I65" s="49"/>
    </row>
    <row r="66" spans="1:9" x14ac:dyDescent="0.3">
      <c r="A66" s="55">
        <v>58</v>
      </c>
      <c r="B66" s="19" t="s">
        <v>273</v>
      </c>
      <c r="C66" s="14" t="s">
        <v>269</v>
      </c>
      <c r="D66" s="52">
        <v>1</v>
      </c>
      <c r="E66" s="52" t="s">
        <v>229</v>
      </c>
      <c r="F66" s="52" t="s">
        <v>193</v>
      </c>
      <c r="G66" s="55"/>
      <c r="H66" s="49"/>
      <c r="I66" s="49"/>
    </row>
    <row r="67" spans="1:9" x14ac:dyDescent="0.3">
      <c r="A67" s="55">
        <v>59</v>
      </c>
      <c r="B67" s="19" t="s">
        <v>272</v>
      </c>
      <c r="C67" s="14" t="s">
        <v>173</v>
      </c>
      <c r="D67" s="52">
        <v>1</v>
      </c>
      <c r="E67" s="52" t="s">
        <v>229</v>
      </c>
      <c r="F67" s="52" t="s">
        <v>193</v>
      </c>
      <c r="G67" s="55"/>
      <c r="H67" s="49"/>
      <c r="I67" s="49"/>
    </row>
    <row r="68" spans="1:9" x14ac:dyDescent="0.3">
      <c r="A68" s="55">
        <v>60</v>
      </c>
      <c r="B68" s="19" t="s">
        <v>271</v>
      </c>
      <c r="C68" s="14" t="s">
        <v>269</v>
      </c>
      <c r="D68" s="52">
        <v>1</v>
      </c>
      <c r="E68" s="52" t="s">
        <v>229</v>
      </c>
      <c r="F68" s="52" t="s">
        <v>193</v>
      </c>
      <c r="G68" s="55"/>
      <c r="H68" s="49"/>
      <c r="I68" s="49"/>
    </row>
    <row r="69" spans="1:9" x14ac:dyDescent="0.3">
      <c r="A69" s="55">
        <v>61</v>
      </c>
      <c r="B69" s="19" t="s">
        <v>270</v>
      </c>
      <c r="C69" s="14" t="s">
        <v>269</v>
      </c>
      <c r="D69" s="52">
        <v>1</v>
      </c>
      <c r="E69" s="52" t="s">
        <v>229</v>
      </c>
      <c r="F69" s="52" t="s">
        <v>193</v>
      </c>
      <c r="G69" s="55"/>
      <c r="H69" s="49"/>
      <c r="I69" s="49"/>
    </row>
    <row r="70" spans="1:9" x14ac:dyDescent="0.3">
      <c r="A70" s="55">
        <v>62</v>
      </c>
      <c r="B70" s="19" t="s">
        <v>129</v>
      </c>
      <c r="C70" s="14" t="s">
        <v>173</v>
      </c>
      <c r="D70" s="52">
        <v>1</v>
      </c>
      <c r="E70" s="52" t="s">
        <v>229</v>
      </c>
      <c r="F70" s="52" t="s">
        <v>193</v>
      </c>
      <c r="G70" s="55"/>
      <c r="H70" s="49"/>
      <c r="I70" s="49"/>
    </row>
    <row r="71" spans="1:9" x14ac:dyDescent="0.3">
      <c r="A71" s="55">
        <v>63</v>
      </c>
      <c r="B71" s="54" t="s">
        <v>268</v>
      </c>
      <c r="C71" s="58" t="s">
        <v>173</v>
      </c>
      <c r="D71" s="52">
        <v>1</v>
      </c>
      <c r="E71" s="57" t="s">
        <v>215</v>
      </c>
      <c r="F71" s="57" t="s">
        <v>193</v>
      </c>
      <c r="G71" s="57"/>
      <c r="H71" s="49"/>
      <c r="I71" s="49"/>
    </row>
    <row r="72" spans="1:9" x14ac:dyDescent="0.3">
      <c r="A72" s="55">
        <v>64</v>
      </c>
      <c r="B72" s="54" t="s">
        <v>267</v>
      </c>
      <c r="C72" s="58" t="s">
        <v>173</v>
      </c>
      <c r="D72" s="52">
        <v>1</v>
      </c>
      <c r="E72" s="57" t="s">
        <v>215</v>
      </c>
      <c r="F72" s="57" t="s">
        <v>193</v>
      </c>
      <c r="G72" s="57"/>
      <c r="H72" s="49"/>
      <c r="I72" s="49"/>
    </row>
    <row r="73" spans="1:9" x14ac:dyDescent="0.3">
      <c r="A73" s="55">
        <v>65</v>
      </c>
      <c r="B73" s="54" t="s">
        <v>266</v>
      </c>
      <c r="C73" s="58" t="s">
        <v>173</v>
      </c>
      <c r="D73" s="52">
        <v>1</v>
      </c>
      <c r="E73" s="57" t="s">
        <v>215</v>
      </c>
      <c r="F73" s="57" t="s">
        <v>193</v>
      </c>
      <c r="G73" s="57"/>
      <c r="H73" s="49"/>
      <c r="I73" s="49"/>
    </row>
    <row r="74" spans="1:9" x14ac:dyDescent="0.3">
      <c r="A74" s="55">
        <v>66</v>
      </c>
      <c r="B74" s="54" t="s">
        <v>265</v>
      </c>
      <c r="C74" s="58" t="s">
        <v>173</v>
      </c>
      <c r="D74" s="52">
        <v>1</v>
      </c>
      <c r="E74" s="57" t="s">
        <v>215</v>
      </c>
      <c r="F74" s="57" t="s">
        <v>193</v>
      </c>
      <c r="G74" s="57"/>
      <c r="H74" s="49"/>
      <c r="I74" s="49"/>
    </row>
    <row r="75" spans="1:9" x14ac:dyDescent="0.3">
      <c r="A75" s="55">
        <v>67</v>
      </c>
      <c r="B75" s="54" t="s">
        <v>264</v>
      </c>
      <c r="C75" s="58" t="s">
        <v>173</v>
      </c>
      <c r="D75" s="52">
        <v>1</v>
      </c>
      <c r="E75" s="57" t="s">
        <v>215</v>
      </c>
      <c r="F75" s="57" t="s">
        <v>193</v>
      </c>
      <c r="G75" s="57"/>
      <c r="H75" s="49"/>
      <c r="I75" s="49"/>
    </row>
    <row r="76" spans="1:9" x14ac:dyDescent="0.3">
      <c r="A76" s="55">
        <v>68</v>
      </c>
      <c r="B76" s="54" t="s">
        <v>263</v>
      </c>
      <c r="C76" s="58" t="s">
        <v>173</v>
      </c>
      <c r="D76" s="52">
        <v>1</v>
      </c>
      <c r="E76" s="57" t="s">
        <v>215</v>
      </c>
      <c r="F76" s="57" t="s">
        <v>193</v>
      </c>
      <c r="G76" s="57"/>
      <c r="H76" s="49"/>
      <c r="I76" s="49"/>
    </row>
    <row r="77" spans="1:9" x14ac:dyDescent="0.3">
      <c r="A77" s="55">
        <v>69</v>
      </c>
      <c r="B77" s="54" t="s">
        <v>262</v>
      </c>
      <c r="C77" s="58" t="s">
        <v>173</v>
      </c>
      <c r="D77" s="52">
        <v>1</v>
      </c>
      <c r="E77" s="57" t="s">
        <v>215</v>
      </c>
      <c r="F77" s="57" t="s">
        <v>193</v>
      </c>
      <c r="G77" s="57"/>
      <c r="H77" s="49"/>
      <c r="I77" s="49"/>
    </row>
    <row r="78" spans="1:9" x14ac:dyDescent="0.3">
      <c r="A78" s="55">
        <v>70</v>
      </c>
      <c r="B78" s="17" t="s">
        <v>261</v>
      </c>
      <c r="C78" s="14" t="s">
        <v>260</v>
      </c>
      <c r="D78" s="52">
        <v>1</v>
      </c>
      <c r="E78" s="52" t="s">
        <v>229</v>
      </c>
      <c r="F78" s="52" t="s">
        <v>193</v>
      </c>
      <c r="G78" s="55"/>
      <c r="H78" s="49"/>
      <c r="I78" s="49"/>
    </row>
    <row r="79" spans="1:9" x14ac:dyDescent="0.3">
      <c r="A79" s="55">
        <v>71</v>
      </c>
      <c r="B79" s="54" t="s">
        <v>259</v>
      </c>
      <c r="C79" s="53" t="s">
        <v>164</v>
      </c>
      <c r="D79" s="52">
        <v>1</v>
      </c>
      <c r="E79" s="52" t="s">
        <v>215</v>
      </c>
      <c r="F79" s="52" t="s">
        <v>193</v>
      </c>
      <c r="G79" s="55"/>
      <c r="H79" s="49"/>
      <c r="I79" s="49"/>
    </row>
    <row r="80" spans="1:9" x14ac:dyDescent="0.3">
      <c r="A80" s="55">
        <v>72</v>
      </c>
      <c r="B80" s="54" t="s">
        <v>258</v>
      </c>
      <c r="C80" s="53" t="s">
        <v>164</v>
      </c>
      <c r="D80" s="52">
        <v>1</v>
      </c>
      <c r="E80" s="52" t="s">
        <v>215</v>
      </c>
      <c r="F80" s="52" t="s">
        <v>193</v>
      </c>
      <c r="G80" s="55"/>
      <c r="H80" s="49"/>
      <c r="I80" s="49"/>
    </row>
    <row r="81" spans="1:9" x14ac:dyDescent="0.3">
      <c r="A81" s="55">
        <v>73</v>
      </c>
      <c r="B81" s="54" t="s">
        <v>257</v>
      </c>
      <c r="C81" s="53" t="s">
        <v>164</v>
      </c>
      <c r="D81" s="52">
        <v>1</v>
      </c>
      <c r="E81" s="52" t="s">
        <v>215</v>
      </c>
      <c r="F81" s="52" t="s">
        <v>193</v>
      </c>
      <c r="G81" s="55"/>
      <c r="H81" s="49"/>
      <c r="I81" s="49"/>
    </row>
    <row r="82" spans="1:9" x14ac:dyDescent="0.3">
      <c r="A82" s="55">
        <v>74</v>
      </c>
      <c r="B82" s="54" t="s">
        <v>256</v>
      </c>
      <c r="C82" s="53" t="s">
        <v>164</v>
      </c>
      <c r="D82" s="52">
        <v>1</v>
      </c>
      <c r="E82" s="52" t="s">
        <v>215</v>
      </c>
      <c r="F82" s="52" t="s">
        <v>193</v>
      </c>
      <c r="G82" s="55"/>
      <c r="H82" s="49"/>
      <c r="I82" s="49"/>
    </row>
    <row r="83" spans="1:9" x14ac:dyDescent="0.3">
      <c r="A83" s="55">
        <v>75</v>
      </c>
      <c r="B83" s="54" t="s">
        <v>142</v>
      </c>
      <c r="C83" s="53" t="s">
        <v>164</v>
      </c>
      <c r="D83" s="52">
        <v>1</v>
      </c>
      <c r="E83" s="52" t="s">
        <v>215</v>
      </c>
      <c r="F83" s="52" t="s">
        <v>193</v>
      </c>
      <c r="G83" s="55"/>
      <c r="H83" s="49"/>
      <c r="I83" s="49"/>
    </row>
    <row r="84" spans="1:9" x14ac:dyDescent="0.3">
      <c r="A84" s="55">
        <v>76</v>
      </c>
      <c r="B84" s="54" t="s">
        <v>255</v>
      </c>
      <c r="C84" s="53" t="s">
        <v>164</v>
      </c>
      <c r="D84" s="52">
        <v>1</v>
      </c>
      <c r="E84" s="52" t="s">
        <v>215</v>
      </c>
      <c r="F84" s="52" t="s">
        <v>193</v>
      </c>
      <c r="G84" s="55"/>
      <c r="H84" s="49"/>
      <c r="I84" s="49"/>
    </row>
    <row r="85" spans="1:9" x14ac:dyDescent="0.3">
      <c r="A85" s="55">
        <v>77</v>
      </c>
      <c r="B85" s="54" t="s">
        <v>254</v>
      </c>
      <c r="C85" s="53" t="s">
        <v>164</v>
      </c>
      <c r="D85" s="52">
        <v>1</v>
      </c>
      <c r="E85" s="52" t="s">
        <v>215</v>
      </c>
      <c r="F85" s="52" t="s">
        <v>193</v>
      </c>
      <c r="G85" s="55"/>
      <c r="H85" s="49"/>
      <c r="I85" s="49"/>
    </row>
    <row r="86" spans="1:9" x14ac:dyDescent="0.3">
      <c r="A86" s="55">
        <v>78</v>
      </c>
      <c r="B86" s="54" t="s">
        <v>253</v>
      </c>
      <c r="C86" s="53" t="s">
        <v>164</v>
      </c>
      <c r="D86" s="52">
        <v>1</v>
      </c>
      <c r="E86" s="52" t="s">
        <v>215</v>
      </c>
      <c r="F86" s="52" t="s">
        <v>193</v>
      </c>
      <c r="G86" s="55"/>
      <c r="H86" s="49"/>
      <c r="I86" s="49"/>
    </row>
    <row r="87" spans="1:9" x14ac:dyDescent="0.3">
      <c r="A87" s="55">
        <v>79</v>
      </c>
      <c r="B87" s="54" t="s">
        <v>252</v>
      </c>
      <c r="C87" s="53" t="s">
        <v>164</v>
      </c>
      <c r="D87" s="52">
        <v>1</v>
      </c>
      <c r="E87" s="52" t="s">
        <v>215</v>
      </c>
      <c r="F87" s="52" t="s">
        <v>193</v>
      </c>
      <c r="G87" s="55"/>
      <c r="H87" s="49"/>
      <c r="I87" s="49"/>
    </row>
    <row r="88" spans="1:9" x14ac:dyDescent="0.3">
      <c r="A88" s="55">
        <v>80</v>
      </c>
      <c r="B88" s="54" t="s">
        <v>251</v>
      </c>
      <c r="C88" s="53" t="s">
        <v>164</v>
      </c>
      <c r="D88" s="52">
        <v>1</v>
      </c>
      <c r="E88" s="52" t="s">
        <v>215</v>
      </c>
      <c r="F88" s="52" t="s">
        <v>193</v>
      </c>
      <c r="G88" s="55"/>
      <c r="H88" s="49"/>
      <c r="I88" s="49"/>
    </row>
    <row r="89" spans="1:9" x14ac:dyDescent="0.3">
      <c r="A89" s="55">
        <v>81</v>
      </c>
      <c r="B89" s="54" t="s">
        <v>250</v>
      </c>
      <c r="C89" s="53" t="s">
        <v>164</v>
      </c>
      <c r="D89" s="52">
        <v>1</v>
      </c>
      <c r="E89" s="52" t="s">
        <v>215</v>
      </c>
      <c r="F89" s="52" t="s">
        <v>193</v>
      </c>
      <c r="G89" s="55"/>
      <c r="H89" s="49"/>
      <c r="I89" s="49"/>
    </row>
    <row r="90" spans="1:9" x14ac:dyDescent="0.3">
      <c r="A90" s="55">
        <v>82</v>
      </c>
      <c r="B90" s="54" t="s">
        <v>249</v>
      </c>
      <c r="C90" s="53" t="s">
        <v>164</v>
      </c>
      <c r="D90" s="52">
        <v>1</v>
      </c>
      <c r="E90" s="52" t="s">
        <v>215</v>
      </c>
      <c r="F90" s="52" t="s">
        <v>193</v>
      </c>
      <c r="G90" s="55"/>
      <c r="H90" s="49"/>
      <c r="I90" s="49"/>
    </row>
    <row r="91" spans="1:9" x14ac:dyDescent="0.3">
      <c r="A91" s="55">
        <v>83</v>
      </c>
      <c r="B91" s="54" t="s">
        <v>248</v>
      </c>
      <c r="C91" s="53" t="s">
        <v>164</v>
      </c>
      <c r="D91" s="52">
        <v>1</v>
      </c>
      <c r="E91" s="52" t="s">
        <v>215</v>
      </c>
      <c r="F91" s="52" t="s">
        <v>193</v>
      </c>
      <c r="G91" s="55"/>
      <c r="H91" s="49"/>
      <c r="I91" s="49"/>
    </row>
    <row r="92" spans="1:9" x14ac:dyDescent="0.3">
      <c r="A92" s="55">
        <v>84</v>
      </c>
      <c r="B92" s="54" t="s">
        <v>247</v>
      </c>
      <c r="C92" s="53" t="s">
        <v>164</v>
      </c>
      <c r="D92" s="52">
        <v>1</v>
      </c>
      <c r="E92" s="52" t="s">
        <v>215</v>
      </c>
      <c r="F92" s="52" t="s">
        <v>193</v>
      </c>
      <c r="G92" s="55"/>
      <c r="H92" s="49"/>
      <c r="I92" s="49"/>
    </row>
    <row r="93" spans="1:9" x14ac:dyDescent="0.3">
      <c r="A93" s="55">
        <v>85</v>
      </c>
      <c r="B93" s="55" t="s">
        <v>246</v>
      </c>
      <c r="C93" s="52" t="s">
        <v>164</v>
      </c>
      <c r="D93" s="52">
        <v>1</v>
      </c>
      <c r="E93" s="52" t="s">
        <v>215</v>
      </c>
      <c r="F93" s="52" t="s">
        <v>193</v>
      </c>
      <c r="G93" s="55"/>
      <c r="H93" s="49"/>
      <c r="I93" s="49"/>
    </row>
    <row r="94" spans="1:9" x14ac:dyDescent="0.3">
      <c r="A94" s="55">
        <v>86</v>
      </c>
      <c r="B94" s="55" t="s">
        <v>245</v>
      </c>
      <c r="C94" s="52" t="s">
        <v>164</v>
      </c>
      <c r="D94" s="52">
        <v>1</v>
      </c>
      <c r="E94" s="52" t="s">
        <v>215</v>
      </c>
      <c r="F94" s="52" t="s">
        <v>193</v>
      </c>
      <c r="G94" s="55"/>
      <c r="H94" s="49"/>
      <c r="I94" s="49"/>
    </row>
    <row r="95" spans="1:9" x14ac:dyDescent="0.3">
      <c r="A95" s="55">
        <v>87</v>
      </c>
      <c r="B95" s="55" t="s">
        <v>244</v>
      </c>
      <c r="C95" s="52" t="s">
        <v>164</v>
      </c>
      <c r="D95" s="52">
        <v>1</v>
      </c>
      <c r="E95" s="52" t="s">
        <v>215</v>
      </c>
      <c r="F95" s="52" t="s">
        <v>193</v>
      </c>
      <c r="G95" s="55"/>
      <c r="H95" s="49"/>
      <c r="I95" s="49"/>
    </row>
    <row r="96" spans="1:9" x14ac:dyDescent="0.3">
      <c r="A96" s="55">
        <v>88</v>
      </c>
      <c r="B96" s="55" t="s">
        <v>138</v>
      </c>
      <c r="C96" s="52" t="s">
        <v>164</v>
      </c>
      <c r="D96" s="52">
        <v>1</v>
      </c>
      <c r="E96" s="52" t="s">
        <v>215</v>
      </c>
      <c r="F96" s="52" t="s">
        <v>193</v>
      </c>
      <c r="G96" s="55"/>
      <c r="H96" s="49"/>
      <c r="I96" s="49"/>
    </row>
    <row r="97" spans="1:9" x14ac:dyDescent="0.3">
      <c r="A97" s="55">
        <v>89</v>
      </c>
      <c r="B97" s="55" t="s">
        <v>243</v>
      </c>
      <c r="C97" s="52" t="s">
        <v>164</v>
      </c>
      <c r="D97" s="52">
        <v>1</v>
      </c>
      <c r="E97" s="52" t="s">
        <v>215</v>
      </c>
      <c r="F97" s="52" t="s">
        <v>193</v>
      </c>
      <c r="G97" s="55"/>
      <c r="H97" s="49"/>
      <c r="I97" s="49"/>
    </row>
    <row r="98" spans="1:9" x14ac:dyDescent="0.3">
      <c r="A98" s="55">
        <v>90</v>
      </c>
      <c r="B98" s="17" t="s">
        <v>242</v>
      </c>
      <c r="C98" s="14" t="s">
        <v>241</v>
      </c>
      <c r="D98" s="52">
        <v>1</v>
      </c>
      <c r="E98" s="52" t="s">
        <v>229</v>
      </c>
      <c r="F98" s="52" t="s">
        <v>193</v>
      </c>
      <c r="G98" s="55"/>
      <c r="H98" s="49"/>
      <c r="I98" s="49"/>
    </row>
    <row r="99" spans="1:9" x14ac:dyDescent="0.3">
      <c r="A99" s="55">
        <v>91</v>
      </c>
      <c r="B99" s="55" t="s">
        <v>240</v>
      </c>
      <c r="C99" s="52" t="s">
        <v>216</v>
      </c>
      <c r="D99" s="52">
        <v>1</v>
      </c>
      <c r="E99" s="52" t="s">
        <v>215</v>
      </c>
      <c r="F99" s="52" t="s">
        <v>193</v>
      </c>
      <c r="G99" s="55"/>
      <c r="H99" s="49"/>
      <c r="I99" s="49"/>
    </row>
    <row r="100" spans="1:9" x14ac:dyDescent="0.3">
      <c r="A100" s="55">
        <v>92</v>
      </c>
      <c r="B100" s="55" t="s">
        <v>239</v>
      </c>
      <c r="C100" s="52" t="s">
        <v>216</v>
      </c>
      <c r="D100" s="52">
        <v>1</v>
      </c>
      <c r="E100" s="52" t="s">
        <v>215</v>
      </c>
      <c r="F100" s="52" t="s">
        <v>193</v>
      </c>
      <c r="G100" s="55"/>
      <c r="H100" s="49"/>
      <c r="I100" s="49"/>
    </row>
    <row r="101" spans="1:9" x14ac:dyDescent="0.3">
      <c r="A101" s="55">
        <v>93</v>
      </c>
      <c r="B101" s="55" t="s">
        <v>50</v>
      </c>
      <c r="C101" s="52" t="s">
        <v>216</v>
      </c>
      <c r="D101" s="52">
        <v>1</v>
      </c>
      <c r="E101" s="52" t="s">
        <v>215</v>
      </c>
      <c r="F101" s="52" t="s">
        <v>193</v>
      </c>
      <c r="G101" s="55"/>
      <c r="H101" s="49"/>
      <c r="I101" s="49"/>
    </row>
    <row r="102" spans="1:9" x14ac:dyDescent="0.3">
      <c r="A102" s="55">
        <v>94</v>
      </c>
      <c r="B102" s="55" t="s">
        <v>238</v>
      </c>
      <c r="C102" s="52" t="s">
        <v>216</v>
      </c>
      <c r="D102" s="52">
        <v>1</v>
      </c>
      <c r="E102" s="52" t="s">
        <v>215</v>
      </c>
      <c r="F102" s="52" t="s">
        <v>193</v>
      </c>
      <c r="G102" s="55"/>
      <c r="H102" s="49"/>
      <c r="I102" s="49"/>
    </row>
    <row r="103" spans="1:9" x14ac:dyDescent="0.3">
      <c r="A103" s="55">
        <v>95</v>
      </c>
      <c r="B103" s="55" t="s">
        <v>237</v>
      </c>
      <c r="C103" s="52" t="s">
        <v>216</v>
      </c>
      <c r="D103" s="52">
        <v>1</v>
      </c>
      <c r="E103" s="52" t="s">
        <v>215</v>
      </c>
      <c r="F103" s="52" t="s">
        <v>193</v>
      </c>
      <c r="G103" s="55"/>
      <c r="H103" s="49"/>
      <c r="I103" s="49"/>
    </row>
    <row r="104" spans="1:9" x14ac:dyDescent="0.3">
      <c r="A104" s="55">
        <v>96</v>
      </c>
      <c r="B104" s="55" t="s">
        <v>38</v>
      </c>
      <c r="C104" s="52" t="s">
        <v>216</v>
      </c>
      <c r="D104" s="52">
        <v>1</v>
      </c>
      <c r="E104" s="52" t="s">
        <v>215</v>
      </c>
      <c r="F104" s="52" t="s">
        <v>193</v>
      </c>
      <c r="G104" s="55"/>
      <c r="H104" s="49"/>
      <c r="I104" s="49"/>
    </row>
    <row r="105" spans="1:9" x14ac:dyDescent="0.3">
      <c r="A105" s="55">
        <v>97</v>
      </c>
      <c r="B105" s="54" t="s">
        <v>236</v>
      </c>
      <c r="C105" s="53" t="s">
        <v>216</v>
      </c>
      <c r="D105" s="52">
        <v>1</v>
      </c>
      <c r="E105" s="52" t="s">
        <v>215</v>
      </c>
      <c r="F105" s="52" t="s">
        <v>193</v>
      </c>
      <c r="G105" s="55"/>
      <c r="H105" s="49"/>
      <c r="I105" s="49"/>
    </row>
    <row r="106" spans="1:9" x14ac:dyDescent="0.3">
      <c r="A106" s="55">
        <v>98</v>
      </c>
      <c r="B106" s="54" t="s">
        <v>235</v>
      </c>
      <c r="C106" s="53" t="s">
        <v>216</v>
      </c>
      <c r="D106" s="52">
        <v>1</v>
      </c>
      <c r="E106" s="52" t="s">
        <v>215</v>
      </c>
      <c r="F106" s="52" t="s">
        <v>193</v>
      </c>
      <c r="G106" s="55"/>
      <c r="H106" s="49"/>
      <c r="I106" s="49"/>
    </row>
    <row r="107" spans="1:9" x14ac:dyDescent="0.3">
      <c r="A107" s="55">
        <v>99</v>
      </c>
      <c r="B107" s="54" t="s">
        <v>234</v>
      </c>
      <c r="C107" s="53" t="s">
        <v>216</v>
      </c>
      <c r="D107" s="52">
        <v>1</v>
      </c>
      <c r="E107" s="52" t="s">
        <v>215</v>
      </c>
      <c r="F107" s="52" t="s">
        <v>193</v>
      </c>
      <c r="G107" s="55"/>
      <c r="H107" s="49"/>
      <c r="I107" s="49"/>
    </row>
    <row r="108" spans="1:9" x14ac:dyDescent="0.3">
      <c r="A108" s="55">
        <v>100</v>
      </c>
      <c r="B108" s="54" t="s">
        <v>233</v>
      </c>
      <c r="C108" s="53" t="s">
        <v>216</v>
      </c>
      <c r="D108" s="52">
        <v>1</v>
      </c>
      <c r="E108" s="52" t="s">
        <v>215</v>
      </c>
      <c r="F108" s="52" t="s">
        <v>193</v>
      </c>
      <c r="G108" s="55"/>
      <c r="H108" s="49"/>
      <c r="I108" s="49"/>
    </row>
    <row r="109" spans="1:9" x14ac:dyDescent="0.3">
      <c r="A109" s="55">
        <v>101</v>
      </c>
      <c r="B109" s="54" t="s">
        <v>232</v>
      </c>
      <c r="C109" s="53" t="s">
        <v>216</v>
      </c>
      <c r="D109" s="52">
        <v>1</v>
      </c>
      <c r="E109" s="52" t="s">
        <v>215</v>
      </c>
      <c r="F109" s="52" t="s">
        <v>193</v>
      </c>
      <c r="G109" s="55"/>
      <c r="H109" s="49"/>
      <c r="I109" s="49"/>
    </row>
    <row r="110" spans="1:9" x14ac:dyDescent="0.3">
      <c r="A110" s="55">
        <v>102</v>
      </c>
      <c r="B110" s="54" t="s">
        <v>231</v>
      </c>
      <c r="C110" s="53" t="s">
        <v>216</v>
      </c>
      <c r="D110" s="52">
        <v>1</v>
      </c>
      <c r="E110" s="52" t="s">
        <v>215</v>
      </c>
      <c r="F110" s="52" t="s">
        <v>193</v>
      </c>
      <c r="G110" s="55"/>
      <c r="H110" s="49"/>
      <c r="I110" s="49"/>
    </row>
    <row r="111" spans="1:9" x14ac:dyDescent="0.3">
      <c r="A111" s="55">
        <v>103</v>
      </c>
      <c r="B111" s="54" t="s">
        <v>613</v>
      </c>
      <c r="C111" s="53" t="s">
        <v>216</v>
      </c>
      <c r="D111" s="52">
        <v>1</v>
      </c>
      <c r="E111" s="52" t="s">
        <v>215</v>
      </c>
      <c r="F111" s="52" t="s">
        <v>193</v>
      </c>
      <c r="G111" s="55"/>
      <c r="H111" s="49"/>
      <c r="I111" s="49"/>
    </row>
    <row r="112" spans="1:9" x14ac:dyDescent="0.3">
      <c r="A112" s="55">
        <v>104</v>
      </c>
      <c r="B112" s="56" t="s">
        <v>230</v>
      </c>
      <c r="C112" s="52" t="s">
        <v>216</v>
      </c>
      <c r="D112" s="52">
        <v>1</v>
      </c>
      <c r="E112" s="52" t="s">
        <v>229</v>
      </c>
      <c r="F112" s="52" t="s">
        <v>228</v>
      </c>
      <c r="G112" s="55"/>
      <c r="H112" s="49"/>
      <c r="I112" s="49"/>
    </row>
    <row r="113" spans="1:9" x14ac:dyDescent="0.3">
      <c r="A113" s="55">
        <v>105</v>
      </c>
      <c r="B113" s="54" t="s">
        <v>227</v>
      </c>
      <c r="C113" s="53" t="s">
        <v>216</v>
      </c>
      <c r="D113" s="52">
        <v>1</v>
      </c>
      <c r="E113" s="52" t="s">
        <v>215</v>
      </c>
      <c r="F113" s="52" t="s">
        <v>193</v>
      </c>
      <c r="G113" s="55"/>
      <c r="H113" s="49"/>
      <c r="I113" s="49"/>
    </row>
    <row r="114" spans="1:9" x14ac:dyDescent="0.3">
      <c r="A114" s="55">
        <v>106</v>
      </c>
      <c r="B114" s="54" t="s">
        <v>226</v>
      </c>
      <c r="C114" s="53" t="s">
        <v>216</v>
      </c>
      <c r="D114" s="52">
        <v>1</v>
      </c>
      <c r="E114" s="52" t="s">
        <v>215</v>
      </c>
      <c r="F114" s="52" t="s">
        <v>193</v>
      </c>
      <c r="G114" s="55"/>
      <c r="H114" s="49"/>
      <c r="I114" s="49"/>
    </row>
    <row r="115" spans="1:9" x14ac:dyDescent="0.3">
      <c r="A115" s="55">
        <v>107</v>
      </c>
      <c r="B115" s="54" t="s">
        <v>225</v>
      </c>
      <c r="C115" s="53" t="s">
        <v>216</v>
      </c>
      <c r="D115" s="52">
        <v>1</v>
      </c>
      <c r="E115" s="52" t="s">
        <v>215</v>
      </c>
      <c r="F115" s="52" t="s">
        <v>193</v>
      </c>
      <c r="G115" s="55"/>
      <c r="H115" s="49"/>
      <c r="I115" s="49"/>
    </row>
    <row r="116" spans="1:9" x14ac:dyDescent="0.3">
      <c r="A116" s="55">
        <v>108</v>
      </c>
      <c r="B116" s="54" t="s">
        <v>224</v>
      </c>
      <c r="C116" s="53" t="s">
        <v>216</v>
      </c>
      <c r="D116" s="52">
        <v>1</v>
      </c>
      <c r="E116" s="52" t="s">
        <v>215</v>
      </c>
      <c r="F116" s="52" t="s">
        <v>193</v>
      </c>
      <c r="G116" s="55"/>
      <c r="H116" s="49"/>
      <c r="I116" s="49"/>
    </row>
    <row r="117" spans="1:9" x14ac:dyDescent="0.3">
      <c r="A117" s="55">
        <v>109</v>
      </c>
      <c r="B117" s="54" t="s">
        <v>223</v>
      </c>
      <c r="C117" s="53" t="s">
        <v>216</v>
      </c>
      <c r="D117" s="52">
        <v>1</v>
      </c>
      <c r="E117" s="52" t="s">
        <v>215</v>
      </c>
      <c r="F117" s="52" t="s">
        <v>193</v>
      </c>
      <c r="G117" s="55"/>
      <c r="H117" s="49"/>
      <c r="I117" s="49"/>
    </row>
    <row r="118" spans="1:9" x14ac:dyDescent="0.3">
      <c r="A118" s="55">
        <v>110</v>
      </c>
      <c r="B118" s="54" t="s">
        <v>222</v>
      </c>
      <c r="C118" s="53" t="s">
        <v>216</v>
      </c>
      <c r="D118" s="52">
        <v>1</v>
      </c>
      <c r="E118" s="52" t="s">
        <v>215</v>
      </c>
      <c r="F118" s="52" t="s">
        <v>193</v>
      </c>
      <c r="G118" s="55"/>
      <c r="H118" s="49"/>
      <c r="I118" s="49"/>
    </row>
    <row r="119" spans="1:9" x14ac:dyDescent="0.3">
      <c r="A119" s="55">
        <v>111</v>
      </c>
      <c r="B119" s="54" t="s">
        <v>221</v>
      </c>
      <c r="C119" s="53" t="s">
        <v>216</v>
      </c>
      <c r="D119" s="52">
        <v>1</v>
      </c>
      <c r="E119" s="52" t="s">
        <v>215</v>
      </c>
      <c r="F119" s="52" t="s">
        <v>193</v>
      </c>
      <c r="G119" s="55"/>
      <c r="H119" s="49"/>
      <c r="I119" s="49"/>
    </row>
    <row r="120" spans="1:9" x14ac:dyDescent="0.3">
      <c r="A120" s="55">
        <v>112</v>
      </c>
      <c r="B120" s="54" t="s">
        <v>220</v>
      </c>
      <c r="C120" s="53" t="s">
        <v>216</v>
      </c>
      <c r="D120" s="52">
        <v>1</v>
      </c>
      <c r="E120" s="52" t="s">
        <v>215</v>
      </c>
      <c r="F120" s="52" t="s">
        <v>193</v>
      </c>
      <c r="G120" s="55"/>
      <c r="H120" s="49"/>
      <c r="I120" s="49"/>
    </row>
    <row r="121" spans="1:9" x14ac:dyDescent="0.3">
      <c r="A121" s="55">
        <v>113</v>
      </c>
      <c r="B121" s="54" t="s">
        <v>219</v>
      </c>
      <c r="C121" s="53" t="s">
        <v>216</v>
      </c>
      <c r="D121" s="52">
        <v>1</v>
      </c>
      <c r="E121" s="52" t="s">
        <v>215</v>
      </c>
      <c r="F121" s="52" t="s">
        <v>193</v>
      </c>
      <c r="G121" s="55"/>
      <c r="H121" s="49"/>
      <c r="I121" s="49"/>
    </row>
    <row r="122" spans="1:9" x14ac:dyDescent="0.3">
      <c r="A122" s="55">
        <v>114</v>
      </c>
      <c r="B122" s="54" t="s">
        <v>218</v>
      </c>
      <c r="C122" s="53" t="s">
        <v>216</v>
      </c>
      <c r="D122" s="52">
        <v>1</v>
      </c>
      <c r="E122" s="52" t="s">
        <v>215</v>
      </c>
      <c r="F122" s="52" t="s">
        <v>193</v>
      </c>
      <c r="G122" s="55"/>
      <c r="H122" s="49"/>
      <c r="I122" s="49"/>
    </row>
    <row r="123" spans="1:9" x14ac:dyDescent="0.3">
      <c r="A123" s="55">
        <v>115</v>
      </c>
      <c r="B123" s="54" t="s">
        <v>59</v>
      </c>
      <c r="C123" s="53" t="s">
        <v>216</v>
      </c>
      <c r="D123" s="52">
        <v>1</v>
      </c>
      <c r="E123" s="52" t="s">
        <v>215</v>
      </c>
      <c r="F123" s="52" t="s">
        <v>193</v>
      </c>
      <c r="G123" s="55"/>
      <c r="H123" s="49"/>
      <c r="I123" s="49"/>
    </row>
    <row r="124" spans="1:9" x14ac:dyDescent="0.3">
      <c r="A124" s="55">
        <v>116</v>
      </c>
      <c r="B124" s="54" t="s">
        <v>217</v>
      </c>
      <c r="C124" s="53" t="s">
        <v>216</v>
      </c>
      <c r="D124" s="52">
        <v>1</v>
      </c>
      <c r="E124" s="52" t="s">
        <v>215</v>
      </c>
      <c r="F124" s="52" t="s">
        <v>193</v>
      </c>
      <c r="G124" s="55"/>
      <c r="H124" s="49"/>
      <c r="I124" s="49"/>
    </row>
    <row r="125" spans="1:9" x14ac:dyDescent="0.3">
      <c r="A125" s="55">
        <v>117</v>
      </c>
      <c r="B125" s="54" t="s">
        <v>214</v>
      </c>
      <c r="C125" s="53" t="s">
        <v>195</v>
      </c>
      <c r="D125" s="52">
        <v>1</v>
      </c>
      <c r="E125" s="52" t="s">
        <v>194</v>
      </c>
      <c r="F125" s="52" t="s">
        <v>193</v>
      </c>
      <c r="G125" s="52"/>
      <c r="H125" s="49"/>
      <c r="I125" s="49"/>
    </row>
    <row r="126" spans="1:9" x14ac:dyDescent="0.3">
      <c r="A126" s="55">
        <v>118</v>
      </c>
      <c r="B126" s="54" t="s">
        <v>213</v>
      </c>
      <c r="C126" s="53" t="s">
        <v>195</v>
      </c>
      <c r="D126" s="52">
        <v>1</v>
      </c>
      <c r="E126" s="52" t="s">
        <v>194</v>
      </c>
      <c r="F126" s="52" t="s">
        <v>193</v>
      </c>
      <c r="G126" s="52"/>
      <c r="H126" s="49"/>
      <c r="I126" s="49"/>
    </row>
    <row r="127" spans="1:9" x14ac:dyDescent="0.3">
      <c r="A127" s="55">
        <v>119</v>
      </c>
      <c r="B127" s="54" t="s">
        <v>212</v>
      </c>
      <c r="C127" s="53" t="s">
        <v>195</v>
      </c>
      <c r="D127" s="52">
        <v>1</v>
      </c>
      <c r="E127" s="52" t="s">
        <v>194</v>
      </c>
      <c r="F127" s="52" t="s">
        <v>193</v>
      </c>
      <c r="G127" s="52"/>
      <c r="H127" s="49"/>
      <c r="I127" s="49"/>
    </row>
    <row r="128" spans="1:9" x14ac:dyDescent="0.3">
      <c r="A128" s="55">
        <v>120</v>
      </c>
      <c r="B128" s="54" t="s">
        <v>211</v>
      </c>
      <c r="C128" s="53" t="s">
        <v>195</v>
      </c>
      <c r="D128" s="52">
        <v>1</v>
      </c>
      <c r="E128" s="52" t="s">
        <v>194</v>
      </c>
      <c r="F128" s="52" t="s">
        <v>193</v>
      </c>
      <c r="G128" s="52"/>
      <c r="H128" s="49"/>
      <c r="I128" s="49"/>
    </row>
    <row r="129" spans="1:9" x14ac:dyDescent="0.3">
      <c r="A129" s="55">
        <v>121</v>
      </c>
      <c r="B129" s="54" t="s">
        <v>210</v>
      </c>
      <c r="C129" s="53" t="s">
        <v>195</v>
      </c>
      <c r="D129" s="52">
        <v>1</v>
      </c>
      <c r="E129" s="52" t="s">
        <v>194</v>
      </c>
      <c r="F129" s="52" t="s">
        <v>193</v>
      </c>
      <c r="G129" s="52"/>
      <c r="H129" s="49"/>
      <c r="I129" s="49"/>
    </row>
    <row r="130" spans="1:9" x14ac:dyDescent="0.3">
      <c r="A130" s="55">
        <v>122</v>
      </c>
      <c r="B130" s="54" t="s">
        <v>209</v>
      </c>
      <c r="C130" s="53" t="s">
        <v>195</v>
      </c>
      <c r="D130" s="52">
        <v>1</v>
      </c>
      <c r="E130" s="52" t="s">
        <v>194</v>
      </c>
      <c r="F130" s="52" t="s">
        <v>193</v>
      </c>
      <c r="G130" s="52"/>
      <c r="H130" s="49"/>
      <c r="I130" s="49"/>
    </row>
    <row r="131" spans="1:9" x14ac:dyDescent="0.3">
      <c r="A131" s="55">
        <v>123</v>
      </c>
      <c r="B131" s="54" t="s">
        <v>208</v>
      </c>
      <c r="C131" s="53" t="s">
        <v>195</v>
      </c>
      <c r="D131" s="52">
        <v>1</v>
      </c>
      <c r="E131" s="52" t="s">
        <v>194</v>
      </c>
      <c r="F131" s="52" t="s">
        <v>193</v>
      </c>
      <c r="G131" s="52"/>
      <c r="H131" s="49"/>
      <c r="I131" s="49"/>
    </row>
    <row r="132" spans="1:9" x14ac:dyDescent="0.3">
      <c r="A132" s="55">
        <v>124</v>
      </c>
      <c r="B132" s="54" t="s">
        <v>207</v>
      </c>
      <c r="C132" s="53" t="s">
        <v>195</v>
      </c>
      <c r="D132" s="52">
        <v>1</v>
      </c>
      <c r="E132" s="52" t="s">
        <v>194</v>
      </c>
      <c r="F132" s="52" t="s">
        <v>193</v>
      </c>
      <c r="G132" s="52"/>
      <c r="H132" s="49"/>
      <c r="I132" s="49"/>
    </row>
    <row r="133" spans="1:9" x14ac:dyDescent="0.3">
      <c r="A133" s="55">
        <v>125</v>
      </c>
      <c r="B133" s="54" t="s">
        <v>206</v>
      </c>
      <c r="C133" s="53" t="s">
        <v>195</v>
      </c>
      <c r="D133" s="52">
        <v>1</v>
      </c>
      <c r="E133" s="52" t="s">
        <v>194</v>
      </c>
      <c r="F133" s="52" t="s">
        <v>193</v>
      </c>
      <c r="G133" s="52"/>
      <c r="H133" s="49"/>
      <c r="I133" s="49"/>
    </row>
    <row r="134" spans="1:9" x14ac:dyDescent="0.3">
      <c r="A134" s="55">
        <v>126</v>
      </c>
      <c r="B134" s="54" t="s">
        <v>205</v>
      </c>
      <c r="C134" s="53" t="s">
        <v>195</v>
      </c>
      <c r="D134" s="52">
        <v>1</v>
      </c>
      <c r="E134" s="52" t="s">
        <v>194</v>
      </c>
      <c r="F134" s="52" t="s">
        <v>193</v>
      </c>
      <c r="G134" s="52"/>
      <c r="H134" s="49"/>
      <c r="I134" s="49"/>
    </row>
    <row r="135" spans="1:9" x14ac:dyDescent="0.3">
      <c r="A135" s="55">
        <v>127</v>
      </c>
      <c r="B135" s="54" t="s">
        <v>67</v>
      </c>
      <c r="C135" s="53" t="s">
        <v>195</v>
      </c>
      <c r="D135" s="52">
        <v>1</v>
      </c>
      <c r="E135" s="52" t="s">
        <v>194</v>
      </c>
      <c r="F135" s="52" t="s">
        <v>193</v>
      </c>
      <c r="G135" s="52"/>
      <c r="H135" s="49"/>
      <c r="I135" s="49"/>
    </row>
    <row r="136" spans="1:9" x14ac:dyDescent="0.3">
      <c r="A136" s="55">
        <v>128</v>
      </c>
      <c r="B136" s="54" t="s">
        <v>101</v>
      </c>
      <c r="C136" s="53" t="s">
        <v>195</v>
      </c>
      <c r="D136" s="52">
        <v>1</v>
      </c>
      <c r="E136" s="52" t="s">
        <v>194</v>
      </c>
      <c r="F136" s="52" t="s">
        <v>193</v>
      </c>
      <c r="G136" s="52"/>
      <c r="H136" s="49"/>
      <c r="I136" s="49"/>
    </row>
    <row r="137" spans="1:9" x14ac:dyDescent="0.3">
      <c r="A137" s="55">
        <v>129</v>
      </c>
      <c r="B137" s="54" t="s">
        <v>204</v>
      </c>
      <c r="C137" s="53" t="s">
        <v>195</v>
      </c>
      <c r="D137" s="52">
        <v>1</v>
      </c>
      <c r="E137" s="52" t="s">
        <v>194</v>
      </c>
      <c r="F137" s="52" t="s">
        <v>193</v>
      </c>
      <c r="G137" s="52"/>
      <c r="H137" s="49"/>
      <c r="I137" s="49"/>
    </row>
    <row r="138" spans="1:9" x14ac:dyDescent="0.3">
      <c r="A138" s="55">
        <v>130</v>
      </c>
      <c r="B138" s="54" t="s">
        <v>203</v>
      </c>
      <c r="C138" s="53" t="s">
        <v>195</v>
      </c>
      <c r="D138" s="52">
        <v>1</v>
      </c>
      <c r="E138" s="52" t="s">
        <v>194</v>
      </c>
      <c r="F138" s="52" t="s">
        <v>193</v>
      </c>
      <c r="G138" s="52"/>
      <c r="H138" s="49"/>
      <c r="I138" s="49"/>
    </row>
    <row r="139" spans="1:9" x14ac:dyDescent="0.3">
      <c r="A139" s="55">
        <v>131</v>
      </c>
      <c r="B139" s="54" t="s">
        <v>202</v>
      </c>
      <c r="C139" s="53" t="s">
        <v>195</v>
      </c>
      <c r="D139" s="52">
        <v>1</v>
      </c>
      <c r="E139" s="52" t="s">
        <v>194</v>
      </c>
      <c r="F139" s="52" t="s">
        <v>193</v>
      </c>
      <c r="G139" s="52"/>
      <c r="H139" s="49"/>
      <c r="I139" s="49"/>
    </row>
    <row r="140" spans="1:9" x14ac:dyDescent="0.3">
      <c r="A140" s="55">
        <v>132</v>
      </c>
      <c r="B140" s="54" t="s">
        <v>201</v>
      </c>
      <c r="C140" s="53" t="s">
        <v>195</v>
      </c>
      <c r="D140" s="52">
        <v>1</v>
      </c>
      <c r="E140" s="52" t="s">
        <v>194</v>
      </c>
      <c r="F140" s="52" t="s">
        <v>193</v>
      </c>
      <c r="G140" s="52"/>
      <c r="H140" s="49"/>
      <c r="I140" s="49"/>
    </row>
    <row r="141" spans="1:9" x14ac:dyDescent="0.3">
      <c r="A141" s="55">
        <v>133</v>
      </c>
      <c r="B141" s="54" t="s">
        <v>200</v>
      </c>
      <c r="C141" s="53" t="s">
        <v>195</v>
      </c>
      <c r="D141" s="52">
        <v>1</v>
      </c>
      <c r="E141" s="52" t="s">
        <v>194</v>
      </c>
      <c r="F141" s="52" t="s">
        <v>193</v>
      </c>
      <c r="G141" s="52"/>
      <c r="H141" s="49"/>
      <c r="I141" s="49"/>
    </row>
    <row r="142" spans="1:9" x14ac:dyDescent="0.3">
      <c r="A142" s="55">
        <v>134</v>
      </c>
      <c r="B142" s="54" t="s">
        <v>199</v>
      </c>
      <c r="C142" s="53" t="s">
        <v>195</v>
      </c>
      <c r="D142" s="52">
        <v>1</v>
      </c>
      <c r="E142" s="52" t="s">
        <v>194</v>
      </c>
      <c r="F142" s="52" t="s">
        <v>193</v>
      </c>
      <c r="G142" s="52"/>
      <c r="H142" s="49"/>
      <c r="I142" s="49"/>
    </row>
    <row r="143" spans="1:9" x14ac:dyDescent="0.3">
      <c r="A143" s="55">
        <v>135</v>
      </c>
      <c r="B143" s="54" t="s">
        <v>198</v>
      </c>
      <c r="C143" s="53" t="s">
        <v>195</v>
      </c>
      <c r="D143" s="52">
        <v>1</v>
      </c>
      <c r="E143" s="52" t="s">
        <v>194</v>
      </c>
      <c r="F143" s="52" t="s">
        <v>193</v>
      </c>
      <c r="G143" s="52"/>
      <c r="H143" s="49"/>
      <c r="I143" s="49"/>
    </row>
    <row r="144" spans="1:9" x14ac:dyDescent="0.3">
      <c r="A144" s="55">
        <v>136</v>
      </c>
      <c r="B144" s="54" t="s">
        <v>197</v>
      </c>
      <c r="C144" s="53" t="s">
        <v>195</v>
      </c>
      <c r="D144" s="52">
        <v>1</v>
      </c>
      <c r="E144" s="52" t="s">
        <v>194</v>
      </c>
      <c r="F144" s="52" t="s">
        <v>193</v>
      </c>
      <c r="G144" s="52"/>
      <c r="H144" s="49"/>
      <c r="I144" s="49"/>
    </row>
    <row r="145" spans="1:9" x14ac:dyDescent="0.3">
      <c r="A145" s="55">
        <v>137</v>
      </c>
      <c r="B145" s="54" t="s">
        <v>196</v>
      </c>
      <c r="C145" s="53" t="s">
        <v>195</v>
      </c>
      <c r="D145" s="52">
        <v>1</v>
      </c>
      <c r="E145" s="52" t="s">
        <v>194</v>
      </c>
      <c r="F145" s="52" t="s">
        <v>193</v>
      </c>
      <c r="G145" s="52"/>
      <c r="H145" s="49"/>
      <c r="I145" s="49"/>
    </row>
    <row r="146" spans="1:9" x14ac:dyDescent="0.3">
      <c r="A146" s="118" t="s">
        <v>192</v>
      </c>
      <c r="B146" s="119"/>
      <c r="C146" s="50"/>
      <c r="D146" s="51">
        <f>SUM(D9:D145)</f>
        <v>143</v>
      </c>
      <c r="E146" s="50"/>
      <c r="F146" s="50"/>
      <c r="G146" s="50"/>
      <c r="H146" s="49"/>
      <c r="I146" s="49"/>
    </row>
    <row r="147" spans="1:9" x14ac:dyDescent="0.3">
      <c r="A147" s="47"/>
      <c r="B147" s="47"/>
      <c r="C147" s="47"/>
      <c r="D147" s="47"/>
      <c r="H147" s="49"/>
      <c r="I147" s="49"/>
    </row>
    <row r="148" spans="1:9" x14ac:dyDescent="0.3">
      <c r="A148" s="47"/>
      <c r="B148" s="47"/>
      <c r="C148" s="47"/>
      <c r="D148" s="47"/>
      <c r="E148" s="112" t="s">
        <v>191</v>
      </c>
      <c r="F148" s="112"/>
      <c r="G148" s="112"/>
    </row>
    <row r="149" spans="1:9" x14ac:dyDescent="0.3">
      <c r="A149" s="47"/>
      <c r="B149" s="47"/>
      <c r="C149" s="47"/>
      <c r="D149" s="47"/>
      <c r="E149" s="112" t="s">
        <v>190</v>
      </c>
      <c r="F149" s="112"/>
      <c r="G149" s="112"/>
      <c r="H149" s="48"/>
    </row>
    <row r="150" spans="1:9" x14ac:dyDescent="0.3">
      <c r="A150" s="47"/>
      <c r="B150" s="47"/>
      <c r="C150" s="47"/>
      <c r="D150" s="47"/>
      <c r="E150" s="47"/>
      <c r="F150" s="49"/>
      <c r="G150" s="49"/>
      <c r="H150" s="48"/>
    </row>
    <row r="151" spans="1:9" x14ac:dyDescent="0.3">
      <c r="A151" s="47"/>
      <c r="B151" s="47"/>
      <c r="C151" s="47"/>
      <c r="D151" s="47"/>
      <c r="E151" s="47"/>
      <c r="F151" s="49"/>
      <c r="G151" s="49"/>
      <c r="H151" s="48"/>
    </row>
    <row r="152" spans="1:9" x14ac:dyDescent="0.3">
      <c r="A152" s="47"/>
      <c r="B152" s="47"/>
      <c r="C152" s="47"/>
      <c r="D152" s="47"/>
      <c r="E152" s="47"/>
      <c r="F152" s="49"/>
      <c r="G152" s="49"/>
      <c r="H152" s="49"/>
    </row>
    <row r="153" spans="1:9" x14ac:dyDescent="0.3">
      <c r="A153" s="47"/>
      <c r="B153" s="47"/>
      <c r="C153" s="47"/>
      <c r="D153" s="47"/>
      <c r="E153" s="47"/>
      <c r="F153" s="49"/>
      <c r="G153" s="49"/>
      <c r="H153" s="49"/>
    </row>
    <row r="154" spans="1:9" x14ac:dyDescent="0.3">
      <c r="A154" s="47"/>
      <c r="B154" s="47"/>
      <c r="C154" s="47"/>
      <c r="D154" s="47"/>
      <c r="E154" s="112"/>
      <c r="F154" s="112"/>
      <c r="G154" s="112"/>
      <c r="H154" s="49"/>
    </row>
    <row r="155" spans="1:9" x14ac:dyDescent="0.3">
      <c r="A155" s="47"/>
      <c r="B155" s="47"/>
      <c r="C155" s="47"/>
      <c r="D155" s="47"/>
      <c r="E155" s="47"/>
      <c r="F155" s="47"/>
      <c r="G155" s="47"/>
      <c r="H155" s="49"/>
    </row>
    <row r="156" spans="1:9" x14ac:dyDescent="0.3">
      <c r="A156" s="47"/>
      <c r="B156" s="47"/>
      <c r="C156" s="47"/>
      <c r="D156" s="47"/>
      <c r="E156" s="47"/>
      <c r="F156" s="47"/>
      <c r="G156" s="47"/>
      <c r="H156" s="48"/>
    </row>
    <row r="157" spans="1:9" x14ac:dyDescent="0.3">
      <c r="A157" s="47"/>
      <c r="B157" s="47"/>
      <c r="C157" s="47"/>
      <c r="D157" s="47"/>
      <c r="E157" s="47"/>
      <c r="F157" s="47"/>
      <c r="G157" s="47"/>
    </row>
    <row r="158" spans="1:9" x14ac:dyDescent="0.3">
      <c r="A158" s="47"/>
      <c r="B158" s="47"/>
      <c r="C158" s="47"/>
      <c r="D158" s="47"/>
      <c r="E158" s="47"/>
      <c r="F158" s="47"/>
      <c r="G158" s="47"/>
    </row>
    <row r="159" spans="1:9" x14ac:dyDescent="0.3">
      <c r="A159" s="47"/>
      <c r="B159" s="47"/>
      <c r="C159" s="47"/>
      <c r="D159" s="47"/>
      <c r="E159" s="47"/>
      <c r="F159" s="47"/>
      <c r="G159" s="47"/>
    </row>
    <row r="160" spans="1:9" x14ac:dyDescent="0.3">
      <c r="A160" s="47"/>
      <c r="B160" s="47"/>
      <c r="C160" s="47"/>
      <c r="D160" s="47"/>
      <c r="E160" s="47"/>
      <c r="F160" s="47"/>
      <c r="G160" s="47"/>
    </row>
    <row r="161" spans="1:7" x14ac:dyDescent="0.3">
      <c r="A161" s="47"/>
      <c r="B161" s="47"/>
      <c r="C161" s="47"/>
      <c r="D161" s="47"/>
      <c r="E161" s="47"/>
      <c r="F161" s="47"/>
      <c r="G161" s="47"/>
    </row>
    <row r="162" spans="1:7" x14ac:dyDescent="0.3">
      <c r="A162" s="47"/>
      <c r="B162" s="47"/>
      <c r="C162" s="47"/>
      <c r="D162" s="47"/>
      <c r="E162" s="47"/>
      <c r="F162" s="47"/>
      <c r="G162" s="47"/>
    </row>
    <row r="163" spans="1:7" x14ac:dyDescent="0.3">
      <c r="A163" s="47"/>
      <c r="B163" s="47"/>
      <c r="C163" s="47"/>
      <c r="D163" s="47"/>
      <c r="E163" s="47"/>
      <c r="F163" s="47"/>
      <c r="G163" s="47"/>
    </row>
    <row r="164" spans="1:7" x14ac:dyDescent="0.3">
      <c r="A164" s="47"/>
      <c r="B164" s="47"/>
      <c r="C164" s="47"/>
      <c r="D164" s="47"/>
      <c r="E164" s="47"/>
      <c r="F164" s="47"/>
      <c r="G164" s="47"/>
    </row>
    <row r="165" spans="1:7" x14ac:dyDescent="0.3">
      <c r="A165" s="47"/>
      <c r="B165" s="47"/>
      <c r="C165" s="47"/>
      <c r="D165" s="47"/>
      <c r="E165" s="47"/>
      <c r="F165" s="47"/>
      <c r="G165" s="47"/>
    </row>
    <row r="166" spans="1:7" x14ac:dyDescent="0.3">
      <c r="A166" s="47"/>
      <c r="B166" s="47"/>
      <c r="C166" s="47"/>
      <c r="D166" s="47"/>
      <c r="E166" s="47"/>
      <c r="F166" s="47"/>
      <c r="G166" s="47"/>
    </row>
    <row r="167" spans="1:7" x14ac:dyDescent="0.3">
      <c r="A167" s="47"/>
      <c r="B167" s="47"/>
      <c r="C167" s="47"/>
      <c r="D167" s="47"/>
      <c r="E167" s="47"/>
      <c r="F167" s="47"/>
      <c r="G167" s="47"/>
    </row>
    <row r="168" spans="1:7" x14ac:dyDescent="0.3">
      <c r="A168" s="47"/>
      <c r="B168" s="47"/>
      <c r="C168" s="47"/>
      <c r="D168" s="47"/>
      <c r="E168" s="47"/>
      <c r="F168" s="47"/>
      <c r="G168" s="47"/>
    </row>
    <row r="169" spans="1:7" x14ac:dyDescent="0.3">
      <c r="A169" s="47"/>
      <c r="B169" s="47"/>
      <c r="C169" s="47"/>
      <c r="D169" s="47"/>
      <c r="E169" s="47"/>
      <c r="F169" s="47"/>
      <c r="G169" s="47"/>
    </row>
    <row r="170" spans="1:7" x14ac:dyDescent="0.3">
      <c r="A170" s="47"/>
      <c r="B170" s="47"/>
      <c r="C170" s="47"/>
      <c r="D170" s="47"/>
      <c r="E170" s="47"/>
      <c r="F170" s="47"/>
      <c r="G170" s="47"/>
    </row>
    <row r="171" spans="1:7" x14ac:dyDescent="0.3">
      <c r="A171" s="47"/>
      <c r="B171" s="47"/>
      <c r="C171" s="47"/>
      <c r="D171" s="47"/>
      <c r="E171" s="47"/>
      <c r="F171" s="47"/>
      <c r="G171" s="47"/>
    </row>
    <row r="172" spans="1:7" x14ac:dyDescent="0.3">
      <c r="A172" s="47"/>
      <c r="B172" s="47"/>
      <c r="C172" s="47"/>
      <c r="D172" s="47"/>
      <c r="E172" s="47"/>
      <c r="F172" s="47"/>
      <c r="G172" s="47"/>
    </row>
    <row r="173" spans="1:7" x14ac:dyDescent="0.3">
      <c r="A173" s="47"/>
      <c r="B173" s="47"/>
      <c r="C173" s="47"/>
      <c r="D173" s="47"/>
      <c r="E173" s="47"/>
      <c r="F173" s="47"/>
      <c r="G173" s="47"/>
    </row>
    <row r="174" spans="1:7" x14ac:dyDescent="0.3">
      <c r="A174" s="47"/>
      <c r="B174" s="47"/>
      <c r="C174" s="47"/>
      <c r="D174" s="47"/>
      <c r="E174" s="47"/>
      <c r="F174" s="47"/>
      <c r="G174" s="47"/>
    </row>
    <row r="175" spans="1:7" x14ac:dyDescent="0.3">
      <c r="A175" s="47"/>
      <c r="B175" s="47"/>
      <c r="C175" s="47"/>
      <c r="D175" s="47"/>
      <c r="E175" s="47"/>
      <c r="F175" s="47"/>
      <c r="G175" s="47"/>
    </row>
    <row r="176" spans="1:7" x14ac:dyDescent="0.3">
      <c r="A176" s="47"/>
      <c r="B176" s="47"/>
      <c r="C176" s="47"/>
      <c r="D176" s="47"/>
      <c r="E176" s="47"/>
      <c r="F176" s="47"/>
      <c r="G176" s="47"/>
    </row>
    <row r="177" spans="1:7" x14ac:dyDescent="0.3">
      <c r="A177" s="47"/>
      <c r="B177" s="47"/>
      <c r="C177" s="47"/>
      <c r="D177" s="47"/>
      <c r="E177" s="47"/>
      <c r="F177" s="47"/>
      <c r="G177" s="47"/>
    </row>
    <row r="178" spans="1:7" x14ac:dyDescent="0.3">
      <c r="A178" s="47"/>
      <c r="B178" s="47"/>
      <c r="C178" s="47"/>
      <c r="D178" s="47"/>
      <c r="E178" s="47"/>
      <c r="F178" s="47"/>
      <c r="G178" s="47"/>
    </row>
    <row r="179" spans="1:7" x14ac:dyDescent="0.3">
      <c r="A179" s="47"/>
      <c r="B179" s="47"/>
      <c r="C179" s="47"/>
      <c r="D179" s="47"/>
      <c r="E179" s="47"/>
      <c r="F179" s="47"/>
      <c r="G179" s="47"/>
    </row>
    <row r="180" spans="1:7" x14ac:dyDescent="0.3">
      <c r="A180" s="47"/>
      <c r="B180" s="47"/>
      <c r="C180" s="47"/>
      <c r="D180" s="47"/>
      <c r="E180" s="47"/>
      <c r="F180" s="47"/>
      <c r="G180" s="47"/>
    </row>
    <row r="181" spans="1:7" x14ac:dyDescent="0.3">
      <c r="A181" s="47"/>
      <c r="B181" s="47"/>
      <c r="C181" s="47"/>
      <c r="D181" s="47"/>
      <c r="E181" s="47"/>
      <c r="F181" s="47"/>
      <c r="G181" s="47"/>
    </row>
    <row r="182" spans="1:7" x14ac:dyDescent="0.3">
      <c r="A182" s="47"/>
      <c r="B182" s="47"/>
      <c r="C182" s="47"/>
      <c r="D182" s="47"/>
      <c r="E182" s="47"/>
      <c r="F182" s="47"/>
      <c r="G182" s="47"/>
    </row>
    <row r="183" spans="1:7" x14ac:dyDescent="0.3">
      <c r="A183" s="47"/>
      <c r="B183" s="47"/>
      <c r="C183" s="47"/>
      <c r="D183" s="47"/>
      <c r="E183" s="47"/>
      <c r="F183" s="47"/>
      <c r="G183" s="47"/>
    </row>
    <row r="184" spans="1:7" x14ac:dyDescent="0.3">
      <c r="A184" s="47"/>
      <c r="B184" s="47"/>
      <c r="C184" s="47"/>
      <c r="D184" s="47"/>
      <c r="E184" s="47"/>
      <c r="F184" s="47"/>
      <c r="G184" s="47"/>
    </row>
    <row r="185" spans="1:7" x14ac:dyDescent="0.3">
      <c r="A185" s="47"/>
      <c r="B185" s="47"/>
      <c r="C185" s="47"/>
      <c r="D185" s="47"/>
      <c r="E185" s="47"/>
      <c r="F185" s="47"/>
      <c r="G185" s="47"/>
    </row>
    <row r="186" spans="1:7" x14ac:dyDescent="0.3">
      <c r="A186" s="47"/>
      <c r="B186" s="47"/>
      <c r="C186" s="47"/>
      <c r="D186" s="47"/>
      <c r="E186" s="47"/>
      <c r="F186" s="47"/>
      <c r="G186" s="47"/>
    </row>
    <row r="187" spans="1:7" x14ac:dyDescent="0.3">
      <c r="A187" s="47"/>
      <c r="B187" s="47"/>
      <c r="C187" s="47"/>
      <c r="D187" s="47"/>
      <c r="E187" s="47"/>
      <c r="F187" s="47"/>
      <c r="G187" s="47"/>
    </row>
    <row r="188" spans="1:7" x14ac:dyDescent="0.3">
      <c r="A188" s="47"/>
      <c r="B188" s="47"/>
      <c r="C188" s="47"/>
      <c r="D188" s="47"/>
      <c r="E188" s="47"/>
      <c r="F188" s="47"/>
      <c r="G188" s="47"/>
    </row>
    <row r="189" spans="1:7" x14ac:dyDescent="0.3">
      <c r="A189" s="47"/>
      <c r="B189" s="47"/>
      <c r="C189" s="47"/>
      <c r="D189" s="47"/>
      <c r="E189" s="47"/>
      <c r="F189" s="47"/>
      <c r="G189" s="47"/>
    </row>
    <row r="190" spans="1:7" x14ac:dyDescent="0.3">
      <c r="A190" s="47"/>
      <c r="B190" s="47"/>
      <c r="C190" s="47"/>
      <c r="D190" s="47"/>
      <c r="E190" s="47"/>
      <c r="F190" s="47"/>
      <c r="G190" s="47"/>
    </row>
    <row r="191" spans="1:7" x14ac:dyDescent="0.3">
      <c r="A191" s="47"/>
      <c r="B191" s="47"/>
      <c r="C191" s="47"/>
      <c r="D191" s="47"/>
      <c r="E191" s="47"/>
      <c r="F191" s="47"/>
      <c r="G191" s="47"/>
    </row>
    <row r="192" spans="1:7" x14ac:dyDescent="0.3">
      <c r="A192" s="47"/>
      <c r="B192" s="47"/>
      <c r="C192" s="47"/>
      <c r="D192" s="47"/>
      <c r="E192" s="47"/>
      <c r="F192" s="47"/>
      <c r="G192" s="47"/>
    </row>
    <row r="193" spans="1:7" x14ac:dyDescent="0.3">
      <c r="A193" s="47"/>
      <c r="B193" s="47"/>
      <c r="C193" s="47"/>
      <c r="D193" s="47"/>
      <c r="E193" s="47"/>
      <c r="F193" s="47"/>
      <c r="G193" s="47"/>
    </row>
    <row r="194" spans="1:7" x14ac:dyDescent="0.3">
      <c r="A194" s="47"/>
      <c r="B194" s="47"/>
      <c r="C194" s="47"/>
      <c r="D194" s="47"/>
      <c r="E194" s="47"/>
      <c r="F194" s="47"/>
      <c r="G194" s="47"/>
    </row>
    <row r="195" spans="1:7" x14ac:dyDescent="0.3">
      <c r="A195" s="47"/>
      <c r="B195" s="47"/>
      <c r="C195" s="47"/>
      <c r="D195" s="47"/>
      <c r="E195" s="47"/>
      <c r="F195" s="47"/>
      <c r="G195" s="47"/>
    </row>
    <row r="196" spans="1:7" x14ac:dyDescent="0.3">
      <c r="A196" s="47"/>
      <c r="B196" s="47"/>
      <c r="C196" s="47"/>
      <c r="D196" s="47"/>
      <c r="E196" s="47"/>
      <c r="F196" s="47"/>
      <c r="G196" s="47"/>
    </row>
    <row r="197" spans="1:7" x14ac:dyDescent="0.3">
      <c r="A197" s="47"/>
      <c r="B197" s="47"/>
      <c r="C197" s="47"/>
      <c r="D197" s="47"/>
      <c r="E197" s="47"/>
      <c r="F197" s="47"/>
      <c r="G197" s="47"/>
    </row>
    <row r="198" spans="1:7" x14ac:dyDescent="0.3">
      <c r="A198" s="47"/>
      <c r="B198" s="47"/>
      <c r="C198" s="47"/>
      <c r="D198" s="47"/>
      <c r="E198" s="47"/>
      <c r="F198" s="47"/>
      <c r="G198" s="47"/>
    </row>
    <row r="199" spans="1:7" x14ac:dyDescent="0.3">
      <c r="A199" s="47"/>
      <c r="B199" s="47"/>
      <c r="C199" s="47"/>
      <c r="D199" s="47"/>
      <c r="E199" s="47"/>
      <c r="F199" s="47"/>
      <c r="G199" s="47"/>
    </row>
    <row r="200" spans="1:7" x14ac:dyDescent="0.3">
      <c r="A200" s="47"/>
      <c r="B200" s="47"/>
      <c r="C200" s="47"/>
      <c r="D200" s="47"/>
      <c r="E200" s="47"/>
      <c r="F200" s="47"/>
      <c r="G200" s="47"/>
    </row>
    <row r="201" spans="1:7" x14ac:dyDescent="0.3">
      <c r="A201" s="47"/>
      <c r="B201" s="47"/>
      <c r="C201" s="47"/>
      <c r="D201" s="47"/>
      <c r="E201" s="47"/>
      <c r="F201" s="47"/>
      <c r="G201" s="47"/>
    </row>
    <row r="202" spans="1:7" x14ac:dyDescent="0.3">
      <c r="A202" s="47"/>
      <c r="B202" s="47"/>
      <c r="C202" s="47"/>
      <c r="D202" s="47"/>
      <c r="E202" s="47"/>
      <c r="F202" s="47"/>
      <c r="G202" s="47"/>
    </row>
    <row r="203" spans="1:7" x14ac:dyDescent="0.3">
      <c r="A203" s="47"/>
      <c r="B203" s="47"/>
      <c r="C203" s="47"/>
      <c r="D203" s="47"/>
      <c r="E203" s="47"/>
      <c r="F203" s="47"/>
      <c r="G203" s="47"/>
    </row>
    <row r="204" spans="1:7" x14ac:dyDescent="0.3">
      <c r="A204" s="47"/>
      <c r="B204" s="47"/>
      <c r="C204" s="47"/>
      <c r="D204" s="47"/>
      <c r="E204" s="47"/>
      <c r="F204" s="47"/>
      <c r="G204" s="47"/>
    </row>
    <row r="205" spans="1:7" x14ac:dyDescent="0.3">
      <c r="A205" s="47"/>
      <c r="B205" s="47"/>
      <c r="C205" s="47"/>
      <c r="D205" s="47"/>
      <c r="E205" s="47"/>
      <c r="F205" s="47"/>
      <c r="G205" s="47"/>
    </row>
    <row r="206" spans="1:7" x14ac:dyDescent="0.3">
      <c r="A206" s="47"/>
      <c r="B206" s="47"/>
      <c r="C206" s="47"/>
      <c r="D206" s="47"/>
      <c r="E206" s="47"/>
      <c r="F206" s="47"/>
      <c r="G206" s="47"/>
    </row>
    <row r="207" spans="1:7" x14ac:dyDescent="0.3">
      <c r="A207" s="47"/>
      <c r="B207" s="47"/>
      <c r="C207" s="47"/>
      <c r="D207" s="47"/>
      <c r="E207" s="47"/>
      <c r="F207" s="47"/>
      <c r="G207" s="47"/>
    </row>
    <row r="208" spans="1:7" x14ac:dyDescent="0.3">
      <c r="A208" s="47"/>
      <c r="B208" s="47"/>
      <c r="C208" s="47"/>
      <c r="D208" s="47"/>
      <c r="E208" s="47"/>
      <c r="F208" s="47"/>
      <c r="G208" s="47"/>
    </row>
    <row r="209" spans="1:7" x14ac:dyDescent="0.3">
      <c r="A209" s="47"/>
      <c r="B209" s="47"/>
      <c r="C209" s="47"/>
      <c r="D209" s="47"/>
      <c r="E209" s="47"/>
      <c r="F209" s="47"/>
      <c r="G209" s="47"/>
    </row>
    <row r="210" spans="1:7" x14ac:dyDescent="0.3">
      <c r="A210" s="47"/>
      <c r="B210" s="47"/>
      <c r="C210" s="47"/>
      <c r="D210" s="47"/>
      <c r="E210" s="47"/>
      <c r="F210" s="47"/>
      <c r="G210" s="47"/>
    </row>
    <row r="211" spans="1:7" x14ac:dyDescent="0.3">
      <c r="A211" s="47"/>
      <c r="B211" s="47"/>
      <c r="C211" s="47"/>
      <c r="D211" s="47"/>
      <c r="E211" s="47"/>
      <c r="F211" s="47"/>
      <c r="G211" s="47"/>
    </row>
    <row r="212" spans="1:7" x14ac:dyDescent="0.3">
      <c r="A212" s="47"/>
      <c r="B212" s="47"/>
      <c r="C212" s="47"/>
      <c r="D212" s="47"/>
      <c r="E212" s="47"/>
      <c r="F212" s="47"/>
      <c r="G212" s="47"/>
    </row>
    <row r="213" spans="1:7" x14ac:dyDescent="0.3">
      <c r="A213" s="47"/>
      <c r="B213" s="47"/>
      <c r="C213" s="47"/>
      <c r="D213" s="47"/>
      <c r="E213" s="47"/>
      <c r="F213" s="47"/>
      <c r="G213" s="47"/>
    </row>
    <row r="214" spans="1:7" x14ac:dyDescent="0.3">
      <c r="A214" s="47"/>
      <c r="B214" s="47"/>
      <c r="C214" s="47"/>
      <c r="D214" s="47"/>
      <c r="E214" s="47"/>
      <c r="F214" s="47"/>
      <c r="G214" s="47"/>
    </row>
    <row r="215" spans="1:7" x14ac:dyDescent="0.3">
      <c r="A215" s="47"/>
      <c r="B215" s="47"/>
      <c r="C215" s="47"/>
      <c r="D215" s="47"/>
      <c r="E215" s="47"/>
      <c r="F215" s="47"/>
      <c r="G215" s="47"/>
    </row>
    <row r="216" spans="1:7" x14ac:dyDescent="0.3">
      <c r="A216" s="47"/>
      <c r="B216" s="47"/>
      <c r="C216" s="47"/>
      <c r="D216" s="47"/>
      <c r="E216" s="47"/>
      <c r="F216" s="47"/>
      <c r="G216" s="47"/>
    </row>
    <row r="217" spans="1:7" x14ac:dyDescent="0.3">
      <c r="A217" s="47"/>
      <c r="B217" s="47"/>
      <c r="C217" s="47"/>
      <c r="D217" s="47"/>
      <c r="E217" s="47"/>
      <c r="F217" s="47"/>
      <c r="G217" s="47"/>
    </row>
    <row r="218" spans="1:7" x14ac:dyDescent="0.3">
      <c r="A218" s="47"/>
      <c r="B218" s="47"/>
      <c r="C218" s="47"/>
      <c r="D218" s="47"/>
      <c r="E218" s="47"/>
      <c r="F218" s="47"/>
      <c r="G218" s="47"/>
    </row>
    <row r="219" spans="1:7" x14ac:dyDescent="0.3">
      <c r="A219" s="47"/>
      <c r="B219" s="47"/>
      <c r="C219" s="47"/>
      <c r="D219" s="47"/>
      <c r="E219" s="47"/>
      <c r="F219" s="47"/>
      <c r="G219" s="47"/>
    </row>
    <row r="220" spans="1:7" x14ac:dyDescent="0.3">
      <c r="A220" s="47"/>
      <c r="B220" s="47"/>
      <c r="C220" s="47"/>
      <c r="D220" s="47"/>
      <c r="E220" s="47"/>
      <c r="F220" s="47"/>
      <c r="G220" s="47"/>
    </row>
    <row r="221" spans="1:7" x14ac:dyDescent="0.3">
      <c r="A221" s="47"/>
      <c r="B221" s="47"/>
      <c r="C221" s="47"/>
      <c r="D221" s="47"/>
      <c r="E221" s="47"/>
      <c r="F221" s="47"/>
      <c r="G221" s="47"/>
    </row>
    <row r="222" spans="1:7" x14ac:dyDescent="0.3">
      <c r="A222" s="47"/>
      <c r="B222" s="47"/>
      <c r="C222" s="47"/>
      <c r="D222" s="47"/>
      <c r="E222" s="47"/>
      <c r="F222" s="47"/>
      <c r="G222" s="47"/>
    </row>
    <row r="223" spans="1:7" x14ac:dyDescent="0.3">
      <c r="A223" s="47"/>
      <c r="B223" s="47"/>
      <c r="C223" s="47"/>
      <c r="D223" s="47"/>
      <c r="E223" s="47"/>
      <c r="F223" s="47"/>
      <c r="G223" s="47"/>
    </row>
    <row r="224" spans="1:7" x14ac:dyDescent="0.3">
      <c r="A224" s="47"/>
      <c r="B224" s="47"/>
      <c r="C224" s="47"/>
      <c r="D224" s="47"/>
      <c r="E224" s="47"/>
      <c r="F224" s="47"/>
      <c r="G224" s="47"/>
    </row>
    <row r="225" spans="1:7" x14ac:dyDescent="0.3">
      <c r="A225" s="47"/>
      <c r="B225" s="47"/>
      <c r="C225" s="47"/>
      <c r="D225" s="47"/>
      <c r="E225" s="47"/>
      <c r="F225" s="47"/>
      <c r="G225" s="47"/>
    </row>
    <row r="226" spans="1:7" x14ac:dyDescent="0.3">
      <c r="A226" s="47"/>
      <c r="B226" s="47"/>
      <c r="C226" s="47"/>
      <c r="D226" s="47"/>
      <c r="E226" s="47"/>
      <c r="F226" s="47"/>
      <c r="G226" s="47"/>
    </row>
    <row r="227" spans="1:7" x14ac:dyDescent="0.3">
      <c r="A227" s="47"/>
      <c r="B227" s="47"/>
      <c r="C227" s="47"/>
      <c r="D227" s="47"/>
      <c r="E227" s="47"/>
      <c r="F227" s="47"/>
      <c r="G227" s="47"/>
    </row>
    <row r="228" spans="1:7" x14ac:dyDescent="0.3">
      <c r="A228" s="47"/>
      <c r="B228" s="47"/>
      <c r="C228" s="47"/>
      <c r="D228" s="47"/>
      <c r="E228" s="47"/>
      <c r="F228" s="47"/>
      <c r="G228" s="47"/>
    </row>
    <row r="229" spans="1:7" x14ac:dyDescent="0.3">
      <c r="A229" s="47"/>
      <c r="B229" s="47"/>
      <c r="C229" s="47"/>
      <c r="D229" s="47"/>
      <c r="E229" s="47"/>
      <c r="F229" s="47"/>
      <c r="G229" s="47"/>
    </row>
    <row r="230" spans="1:7" x14ac:dyDescent="0.3">
      <c r="A230" s="47"/>
      <c r="B230" s="47"/>
      <c r="C230" s="47"/>
      <c r="D230" s="47"/>
      <c r="E230" s="47"/>
      <c r="F230" s="47"/>
      <c r="G230" s="47"/>
    </row>
    <row r="231" spans="1:7" x14ac:dyDescent="0.3">
      <c r="A231" s="47"/>
      <c r="B231" s="47"/>
      <c r="C231" s="47"/>
      <c r="D231" s="47"/>
      <c r="E231" s="47"/>
      <c r="F231" s="47"/>
      <c r="G231" s="47"/>
    </row>
    <row r="232" spans="1:7" x14ac:dyDescent="0.3">
      <c r="A232" s="47"/>
      <c r="B232" s="47"/>
      <c r="C232" s="47"/>
      <c r="D232" s="47"/>
      <c r="E232" s="47"/>
      <c r="F232" s="47"/>
      <c r="G232" s="47"/>
    </row>
    <row r="233" spans="1:7" x14ac:dyDescent="0.3">
      <c r="A233" s="47"/>
      <c r="B233" s="47"/>
      <c r="C233" s="47"/>
      <c r="D233" s="47"/>
      <c r="E233" s="47"/>
      <c r="F233" s="47"/>
      <c r="G233" s="47"/>
    </row>
    <row r="234" spans="1:7" x14ac:dyDescent="0.3">
      <c r="A234" s="47"/>
      <c r="B234" s="47"/>
      <c r="C234" s="47"/>
      <c r="D234" s="47"/>
      <c r="E234" s="47"/>
      <c r="F234" s="47"/>
      <c r="G234" s="47"/>
    </row>
    <row r="235" spans="1:7" x14ac:dyDescent="0.3">
      <c r="A235" s="47"/>
      <c r="B235" s="47"/>
      <c r="C235" s="47"/>
      <c r="D235" s="47"/>
      <c r="E235" s="47"/>
      <c r="F235" s="47"/>
      <c r="G235" s="47"/>
    </row>
    <row r="236" spans="1:7" x14ac:dyDescent="0.3">
      <c r="A236" s="47"/>
      <c r="B236" s="47"/>
      <c r="C236" s="47"/>
      <c r="D236" s="47"/>
      <c r="E236" s="47"/>
      <c r="F236" s="47"/>
      <c r="G236" s="47"/>
    </row>
    <row r="237" spans="1:7" x14ac:dyDescent="0.3">
      <c r="A237" s="47"/>
      <c r="B237" s="47"/>
      <c r="C237" s="47"/>
      <c r="D237" s="47"/>
      <c r="E237" s="47"/>
      <c r="F237" s="47"/>
      <c r="G237" s="47"/>
    </row>
    <row r="238" spans="1:7" x14ac:dyDescent="0.3">
      <c r="A238" s="47"/>
      <c r="B238" s="47"/>
      <c r="C238" s="47"/>
      <c r="D238" s="47"/>
      <c r="E238" s="47"/>
      <c r="F238" s="47"/>
      <c r="G238" s="47"/>
    </row>
    <row r="239" spans="1:7" x14ac:dyDescent="0.3">
      <c r="A239" s="47"/>
      <c r="B239" s="47"/>
      <c r="C239" s="47"/>
      <c r="D239" s="47"/>
      <c r="E239" s="47"/>
      <c r="F239" s="47"/>
      <c r="G239" s="47"/>
    </row>
    <row r="240" spans="1:7" x14ac:dyDescent="0.3">
      <c r="A240" s="47"/>
      <c r="B240" s="47"/>
      <c r="C240" s="47"/>
      <c r="D240" s="47"/>
      <c r="E240" s="47"/>
      <c r="F240" s="47"/>
      <c r="G240" s="47"/>
    </row>
    <row r="241" spans="1:7" x14ac:dyDescent="0.3">
      <c r="A241" s="47"/>
      <c r="B241" s="47"/>
      <c r="C241" s="47"/>
      <c r="D241" s="47"/>
      <c r="E241" s="47"/>
      <c r="F241" s="47"/>
      <c r="G241" s="47"/>
    </row>
    <row r="242" spans="1:7" x14ac:dyDescent="0.3">
      <c r="A242" s="47"/>
      <c r="B242" s="47"/>
      <c r="C242" s="47"/>
      <c r="D242" s="47"/>
      <c r="E242" s="47"/>
      <c r="F242" s="47"/>
      <c r="G242" s="47"/>
    </row>
    <row r="243" spans="1:7" x14ac:dyDescent="0.3">
      <c r="A243" s="47"/>
      <c r="B243" s="47"/>
      <c r="C243" s="47"/>
      <c r="D243" s="47"/>
      <c r="E243" s="47"/>
      <c r="F243" s="47"/>
      <c r="G243" s="47"/>
    </row>
    <row r="244" spans="1:7" x14ac:dyDescent="0.3">
      <c r="A244" s="47"/>
      <c r="B244" s="47"/>
      <c r="C244" s="47"/>
      <c r="D244" s="47"/>
      <c r="E244" s="47"/>
      <c r="F244" s="47"/>
      <c r="G244" s="47"/>
    </row>
    <row r="245" spans="1:7" x14ac:dyDescent="0.3">
      <c r="A245" s="47"/>
      <c r="B245" s="47"/>
      <c r="C245" s="47"/>
      <c r="D245" s="47"/>
      <c r="E245" s="47"/>
      <c r="F245" s="47"/>
      <c r="G245" s="47"/>
    </row>
    <row r="246" spans="1:7" x14ac:dyDescent="0.3">
      <c r="A246" s="47"/>
      <c r="B246" s="47"/>
      <c r="C246" s="47"/>
      <c r="D246" s="47"/>
      <c r="E246" s="47"/>
      <c r="F246" s="47"/>
      <c r="G246" s="47"/>
    </row>
    <row r="247" spans="1:7" x14ac:dyDescent="0.3">
      <c r="A247" s="47"/>
      <c r="B247" s="47"/>
      <c r="C247" s="47"/>
      <c r="D247" s="47"/>
      <c r="E247" s="47"/>
      <c r="F247" s="47"/>
      <c r="G247" s="47"/>
    </row>
    <row r="248" spans="1:7" x14ac:dyDescent="0.3">
      <c r="A248" s="47"/>
      <c r="B248" s="47"/>
      <c r="C248" s="47"/>
      <c r="D248" s="47"/>
      <c r="E248" s="47"/>
      <c r="F248" s="47"/>
      <c r="G248" s="47"/>
    </row>
    <row r="249" spans="1:7" x14ac:dyDescent="0.3">
      <c r="A249" s="47"/>
      <c r="B249" s="47"/>
      <c r="C249" s="47"/>
      <c r="D249" s="47"/>
      <c r="E249" s="47"/>
      <c r="F249" s="47"/>
      <c r="G249" s="47"/>
    </row>
    <row r="250" spans="1:7" x14ac:dyDescent="0.3">
      <c r="A250" s="47"/>
      <c r="B250" s="47"/>
      <c r="C250" s="47"/>
      <c r="D250" s="47"/>
      <c r="E250" s="47"/>
      <c r="F250" s="47"/>
      <c r="G250" s="47"/>
    </row>
    <row r="251" spans="1:7" x14ac:dyDescent="0.3">
      <c r="A251" s="47"/>
      <c r="B251" s="47"/>
      <c r="C251" s="47"/>
      <c r="D251" s="47"/>
      <c r="E251" s="47"/>
      <c r="F251" s="47"/>
      <c r="G251" s="47"/>
    </row>
    <row r="252" spans="1:7" x14ac:dyDescent="0.3">
      <c r="A252" s="47"/>
      <c r="B252" s="47"/>
      <c r="C252" s="47"/>
      <c r="D252" s="47"/>
      <c r="E252" s="47"/>
      <c r="F252" s="47"/>
      <c r="G252" s="47"/>
    </row>
    <row r="253" spans="1:7" x14ac:dyDescent="0.3">
      <c r="A253" s="47"/>
      <c r="B253" s="47"/>
      <c r="C253" s="47"/>
      <c r="D253" s="47"/>
      <c r="E253" s="47"/>
      <c r="F253" s="47"/>
      <c r="G253" s="47"/>
    </row>
    <row r="254" spans="1:7" x14ac:dyDescent="0.3">
      <c r="A254" s="47"/>
      <c r="B254" s="47"/>
      <c r="C254" s="47"/>
      <c r="D254" s="47"/>
      <c r="E254" s="47"/>
      <c r="F254" s="47"/>
      <c r="G254" s="47"/>
    </row>
    <row r="255" spans="1:7" x14ac:dyDescent="0.3">
      <c r="A255" s="47"/>
      <c r="B255" s="47"/>
      <c r="C255" s="47"/>
      <c r="D255" s="47"/>
      <c r="E255" s="47"/>
      <c r="F255" s="47"/>
      <c r="G255" s="47"/>
    </row>
    <row r="256" spans="1:7" x14ac:dyDescent="0.3">
      <c r="A256" s="47"/>
      <c r="B256" s="47"/>
      <c r="C256" s="47"/>
      <c r="D256" s="47"/>
      <c r="E256" s="47"/>
      <c r="F256" s="47"/>
      <c r="G256" s="47"/>
    </row>
    <row r="257" spans="1:7" x14ac:dyDescent="0.3">
      <c r="A257" s="47"/>
      <c r="B257" s="47"/>
      <c r="C257" s="47"/>
      <c r="D257" s="47"/>
      <c r="E257" s="47"/>
      <c r="F257" s="47"/>
      <c r="G257" s="47"/>
    </row>
    <row r="258" spans="1:7" x14ac:dyDescent="0.3">
      <c r="A258" s="47"/>
      <c r="B258" s="47"/>
      <c r="C258" s="47"/>
      <c r="D258" s="47"/>
      <c r="E258" s="47"/>
      <c r="F258" s="47"/>
      <c r="G258" s="47"/>
    </row>
    <row r="259" spans="1:7" x14ac:dyDescent="0.3">
      <c r="A259" s="47"/>
      <c r="B259" s="47"/>
      <c r="C259" s="47"/>
      <c r="D259" s="47"/>
      <c r="E259" s="47"/>
      <c r="F259" s="47"/>
      <c r="G259" s="47"/>
    </row>
    <row r="260" spans="1:7" x14ac:dyDescent="0.3">
      <c r="A260" s="47"/>
      <c r="B260" s="47"/>
      <c r="C260" s="47"/>
      <c r="D260" s="47"/>
      <c r="E260" s="47"/>
      <c r="F260" s="47"/>
      <c r="G260" s="47"/>
    </row>
    <row r="261" spans="1:7" x14ac:dyDescent="0.3">
      <c r="A261" s="47"/>
      <c r="B261" s="47"/>
      <c r="C261" s="47"/>
      <c r="D261" s="47"/>
      <c r="E261" s="47"/>
      <c r="F261" s="47"/>
      <c r="G261" s="47"/>
    </row>
    <row r="262" spans="1:7" x14ac:dyDescent="0.3">
      <c r="A262" s="47"/>
      <c r="B262" s="47"/>
      <c r="C262" s="47"/>
      <c r="D262" s="47"/>
      <c r="E262" s="47"/>
      <c r="F262" s="47"/>
      <c r="G262" s="47"/>
    </row>
    <row r="263" spans="1:7" x14ac:dyDescent="0.3">
      <c r="A263" s="47"/>
      <c r="B263" s="47"/>
      <c r="C263" s="47"/>
      <c r="D263" s="47"/>
      <c r="E263" s="47"/>
      <c r="F263" s="47"/>
      <c r="G263" s="47"/>
    </row>
    <row r="264" spans="1:7" x14ac:dyDescent="0.3">
      <c r="A264" s="47"/>
      <c r="B264" s="47"/>
      <c r="C264" s="47"/>
      <c r="D264" s="47"/>
      <c r="E264" s="47"/>
      <c r="F264" s="47"/>
      <c r="G264" s="47"/>
    </row>
    <row r="265" spans="1:7" x14ac:dyDescent="0.3">
      <c r="A265" s="47"/>
      <c r="B265" s="47"/>
      <c r="C265" s="47"/>
      <c r="D265" s="47"/>
      <c r="E265" s="47"/>
      <c r="F265" s="47"/>
      <c r="G265" s="47"/>
    </row>
    <row r="266" spans="1:7" x14ac:dyDescent="0.3">
      <c r="A266" s="47"/>
      <c r="B266" s="47"/>
      <c r="C266" s="47"/>
      <c r="D266" s="47"/>
      <c r="E266" s="47"/>
      <c r="F266" s="47"/>
      <c r="G266" s="47"/>
    </row>
    <row r="267" spans="1:7" x14ac:dyDescent="0.3">
      <c r="A267" s="47"/>
      <c r="B267" s="47"/>
      <c r="C267" s="47"/>
      <c r="D267" s="47"/>
      <c r="E267" s="47"/>
      <c r="F267" s="47"/>
      <c r="G267" s="47"/>
    </row>
    <row r="268" spans="1:7" x14ac:dyDescent="0.3">
      <c r="A268" s="47"/>
      <c r="B268" s="47"/>
      <c r="C268" s="47"/>
      <c r="D268" s="47"/>
      <c r="E268" s="47"/>
      <c r="F268" s="47"/>
      <c r="G268" s="47"/>
    </row>
    <row r="269" spans="1:7" x14ac:dyDescent="0.3">
      <c r="A269" s="47"/>
      <c r="B269" s="47"/>
      <c r="C269" s="47"/>
      <c r="D269" s="47"/>
      <c r="E269" s="47"/>
      <c r="F269" s="47"/>
      <c r="G269" s="47"/>
    </row>
    <row r="270" spans="1:7" x14ac:dyDescent="0.3">
      <c r="A270" s="47"/>
      <c r="B270" s="47"/>
      <c r="C270" s="47"/>
      <c r="D270" s="47"/>
      <c r="E270" s="47"/>
      <c r="F270" s="47"/>
      <c r="G270" s="47"/>
    </row>
    <row r="271" spans="1:7" x14ac:dyDescent="0.3">
      <c r="A271" s="47"/>
      <c r="B271" s="47"/>
      <c r="C271" s="47"/>
      <c r="D271" s="47"/>
      <c r="E271" s="47"/>
      <c r="F271" s="47"/>
      <c r="G271" s="47"/>
    </row>
    <row r="272" spans="1:7" x14ac:dyDescent="0.3">
      <c r="A272" s="47"/>
      <c r="B272" s="47"/>
      <c r="C272" s="47"/>
      <c r="D272" s="47"/>
      <c r="E272" s="47"/>
      <c r="F272" s="47"/>
      <c r="G272" s="47"/>
    </row>
    <row r="273" spans="1:7" x14ac:dyDescent="0.3">
      <c r="A273" s="47"/>
      <c r="B273" s="47"/>
      <c r="C273" s="47"/>
      <c r="D273" s="47"/>
      <c r="E273" s="47"/>
      <c r="F273" s="47"/>
      <c r="G273" s="47"/>
    </row>
    <row r="274" spans="1:7" x14ac:dyDescent="0.3">
      <c r="A274" s="47"/>
      <c r="B274" s="47"/>
      <c r="C274" s="47"/>
      <c r="D274" s="47"/>
      <c r="E274" s="47"/>
      <c r="F274" s="47"/>
      <c r="G274" s="47"/>
    </row>
    <row r="275" spans="1:7" x14ac:dyDescent="0.3">
      <c r="A275" s="47"/>
      <c r="B275" s="47"/>
      <c r="C275" s="47"/>
      <c r="D275" s="47"/>
      <c r="E275" s="47"/>
      <c r="F275" s="47"/>
      <c r="G275" s="47"/>
    </row>
    <row r="276" spans="1:7" x14ac:dyDescent="0.3">
      <c r="A276" s="47"/>
      <c r="B276" s="47"/>
      <c r="C276" s="47"/>
      <c r="D276" s="47"/>
      <c r="E276" s="47"/>
      <c r="F276" s="47"/>
      <c r="G276" s="47"/>
    </row>
    <row r="277" spans="1:7" x14ac:dyDescent="0.3">
      <c r="A277" s="47"/>
      <c r="B277" s="47"/>
      <c r="C277" s="47"/>
      <c r="D277" s="47"/>
      <c r="E277" s="47"/>
      <c r="F277" s="47"/>
      <c r="G277" s="47"/>
    </row>
    <row r="278" spans="1:7" x14ac:dyDescent="0.3">
      <c r="A278" s="47"/>
      <c r="B278" s="47"/>
      <c r="C278" s="47"/>
      <c r="D278" s="47"/>
      <c r="E278" s="47"/>
      <c r="F278" s="47"/>
      <c r="G278" s="47"/>
    </row>
    <row r="279" spans="1:7" x14ac:dyDescent="0.3">
      <c r="A279" s="47"/>
      <c r="B279" s="47"/>
      <c r="C279" s="47"/>
      <c r="D279" s="47"/>
      <c r="E279" s="47"/>
      <c r="F279" s="47"/>
      <c r="G279" s="47"/>
    </row>
    <row r="280" spans="1:7" x14ac:dyDescent="0.3">
      <c r="A280" s="47"/>
      <c r="B280" s="47"/>
      <c r="C280" s="47"/>
      <c r="D280" s="47"/>
      <c r="E280" s="47"/>
      <c r="F280" s="47"/>
      <c r="G280" s="47"/>
    </row>
    <row r="281" spans="1:7" x14ac:dyDescent="0.3">
      <c r="A281" s="47"/>
      <c r="B281" s="47"/>
      <c r="C281" s="47"/>
      <c r="D281" s="47"/>
      <c r="E281" s="47"/>
      <c r="F281" s="47"/>
      <c r="G281" s="47"/>
    </row>
    <row r="282" spans="1:7" x14ac:dyDescent="0.3">
      <c r="A282" s="47"/>
      <c r="B282" s="47"/>
      <c r="C282" s="47"/>
      <c r="D282" s="47"/>
      <c r="E282" s="47"/>
      <c r="F282" s="47"/>
      <c r="G282" s="47"/>
    </row>
    <row r="283" spans="1:7" x14ac:dyDescent="0.3">
      <c r="A283" s="47"/>
      <c r="B283" s="47"/>
      <c r="C283" s="47"/>
      <c r="D283" s="47"/>
      <c r="E283" s="47"/>
      <c r="F283" s="47"/>
      <c r="G283" s="47"/>
    </row>
    <row r="284" spans="1:7" x14ac:dyDescent="0.3">
      <c r="A284" s="47"/>
      <c r="B284" s="47"/>
      <c r="C284" s="47"/>
      <c r="D284" s="47"/>
      <c r="E284" s="47"/>
      <c r="F284" s="47"/>
      <c r="G284" s="47"/>
    </row>
    <row r="285" spans="1:7" x14ac:dyDescent="0.3">
      <c r="A285" s="47"/>
      <c r="B285" s="47"/>
      <c r="C285" s="47"/>
      <c r="D285" s="47"/>
      <c r="E285" s="47"/>
      <c r="F285" s="47"/>
      <c r="G285" s="47"/>
    </row>
    <row r="286" spans="1:7" x14ac:dyDescent="0.3">
      <c r="A286" s="47"/>
      <c r="B286" s="47"/>
      <c r="C286" s="47"/>
      <c r="D286" s="47"/>
      <c r="E286" s="47"/>
      <c r="F286" s="47"/>
      <c r="G286" s="47"/>
    </row>
    <row r="287" spans="1:7" x14ac:dyDescent="0.3">
      <c r="A287" s="47"/>
      <c r="B287" s="47"/>
      <c r="C287" s="47"/>
      <c r="D287" s="47"/>
      <c r="E287" s="47"/>
      <c r="F287" s="47"/>
      <c r="G287" s="47"/>
    </row>
    <row r="288" spans="1:7" x14ac:dyDescent="0.3">
      <c r="A288" s="47"/>
      <c r="B288" s="47"/>
      <c r="C288" s="47"/>
      <c r="D288" s="47"/>
      <c r="E288" s="47"/>
      <c r="F288" s="47"/>
      <c r="G288" s="47"/>
    </row>
    <row r="289" spans="1:7" x14ac:dyDescent="0.3">
      <c r="A289" s="47"/>
      <c r="B289" s="47"/>
      <c r="C289" s="47"/>
      <c r="D289" s="47"/>
      <c r="E289" s="47"/>
      <c r="F289" s="47"/>
      <c r="G289" s="47"/>
    </row>
    <row r="290" spans="1:7" x14ac:dyDescent="0.3">
      <c r="A290" s="47"/>
      <c r="B290" s="47"/>
      <c r="C290" s="47"/>
      <c r="D290" s="47"/>
      <c r="E290" s="47"/>
      <c r="F290" s="47"/>
      <c r="G290" s="47"/>
    </row>
    <row r="291" spans="1:7" x14ac:dyDescent="0.3">
      <c r="A291" s="47"/>
      <c r="B291" s="47"/>
      <c r="C291" s="47"/>
      <c r="D291" s="47"/>
      <c r="E291" s="47"/>
      <c r="F291" s="47"/>
      <c r="G291" s="47"/>
    </row>
    <row r="292" spans="1:7" x14ac:dyDescent="0.3">
      <c r="A292" s="47"/>
      <c r="B292" s="47"/>
      <c r="C292" s="47"/>
      <c r="D292" s="47"/>
      <c r="E292" s="47"/>
      <c r="F292" s="47"/>
      <c r="G292" s="47"/>
    </row>
    <row r="293" spans="1:7" x14ac:dyDescent="0.3">
      <c r="A293" s="47"/>
      <c r="B293" s="47"/>
      <c r="C293" s="47"/>
      <c r="D293" s="47"/>
      <c r="E293" s="47"/>
      <c r="F293" s="47"/>
      <c r="G293" s="47"/>
    </row>
    <row r="294" spans="1:7" x14ac:dyDescent="0.3">
      <c r="A294" s="47"/>
      <c r="B294" s="47"/>
      <c r="C294" s="47"/>
      <c r="D294" s="47"/>
      <c r="E294" s="47"/>
      <c r="F294" s="47"/>
      <c r="G294" s="47"/>
    </row>
    <row r="295" spans="1:7" x14ac:dyDescent="0.3">
      <c r="A295" s="47"/>
      <c r="B295" s="47"/>
      <c r="C295" s="47"/>
      <c r="D295" s="47"/>
      <c r="E295" s="47"/>
      <c r="F295" s="47"/>
      <c r="G295" s="47"/>
    </row>
    <row r="296" spans="1:7" x14ac:dyDescent="0.3">
      <c r="A296" s="47"/>
      <c r="B296" s="47"/>
      <c r="C296" s="47"/>
      <c r="D296" s="47"/>
      <c r="E296" s="47"/>
      <c r="F296" s="47"/>
      <c r="G296" s="47"/>
    </row>
    <row r="297" spans="1:7" x14ac:dyDescent="0.3">
      <c r="A297" s="47"/>
      <c r="B297" s="47"/>
      <c r="C297" s="47"/>
      <c r="D297" s="47"/>
      <c r="E297" s="47"/>
      <c r="F297" s="47"/>
      <c r="G297" s="47"/>
    </row>
    <row r="298" spans="1:7" x14ac:dyDescent="0.3">
      <c r="A298" s="47"/>
      <c r="B298" s="47"/>
      <c r="C298" s="47"/>
      <c r="D298" s="47"/>
      <c r="E298" s="47"/>
      <c r="F298" s="47"/>
      <c r="G298" s="47"/>
    </row>
    <row r="299" spans="1:7" x14ac:dyDescent="0.3">
      <c r="A299" s="47"/>
      <c r="B299" s="47"/>
      <c r="C299" s="47"/>
      <c r="D299" s="47"/>
      <c r="E299" s="47"/>
      <c r="F299" s="47"/>
      <c r="G299" s="47"/>
    </row>
    <row r="300" spans="1:7" x14ac:dyDescent="0.3">
      <c r="A300" s="47"/>
      <c r="B300" s="47"/>
      <c r="C300" s="47"/>
      <c r="D300" s="47"/>
      <c r="E300" s="47"/>
      <c r="F300" s="47"/>
      <c r="G300" s="47"/>
    </row>
    <row r="301" spans="1:7" x14ac:dyDescent="0.3">
      <c r="A301" s="47"/>
      <c r="B301" s="47"/>
      <c r="C301" s="47"/>
      <c r="D301" s="47"/>
      <c r="E301" s="47"/>
      <c r="F301" s="47"/>
      <c r="G301" s="47"/>
    </row>
    <row r="302" spans="1:7" x14ac:dyDescent="0.3">
      <c r="A302" s="47"/>
      <c r="B302" s="47"/>
      <c r="C302" s="47"/>
      <c r="D302" s="47"/>
      <c r="E302" s="47"/>
      <c r="F302" s="47"/>
      <c r="G302" s="47"/>
    </row>
    <row r="303" spans="1:7" x14ac:dyDescent="0.3">
      <c r="A303" s="47"/>
      <c r="B303" s="47"/>
      <c r="C303" s="47"/>
      <c r="D303" s="47"/>
      <c r="E303" s="47"/>
      <c r="F303" s="47"/>
      <c r="G303" s="47"/>
    </row>
    <row r="304" spans="1:7" x14ac:dyDescent="0.3">
      <c r="A304" s="47"/>
      <c r="B304" s="47"/>
      <c r="C304" s="47"/>
      <c r="D304" s="47"/>
      <c r="E304" s="47"/>
      <c r="F304" s="47"/>
      <c r="G304" s="47"/>
    </row>
    <row r="305" spans="1:7" x14ac:dyDescent="0.3">
      <c r="A305" s="47"/>
      <c r="B305" s="47"/>
      <c r="C305" s="47"/>
      <c r="D305" s="47"/>
      <c r="E305" s="47"/>
      <c r="F305" s="47"/>
      <c r="G305" s="47"/>
    </row>
    <row r="306" spans="1:7" x14ac:dyDescent="0.3">
      <c r="A306" s="47"/>
      <c r="B306" s="47"/>
      <c r="C306" s="47"/>
      <c r="D306" s="47"/>
      <c r="E306" s="47"/>
      <c r="F306" s="47"/>
      <c r="G306" s="47"/>
    </row>
    <row r="307" spans="1:7" x14ac:dyDescent="0.3">
      <c r="A307" s="47"/>
      <c r="B307" s="47"/>
      <c r="C307" s="47"/>
      <c r="D307" s="47"/>
      <c r="E307" s="47"/>
      <c r="F307" s="47"/>
      <c r="G307" s="47"/>
    </row>
    <row r="308" spans="1:7" x14ac:dyDescent="0.3">
      <c r="A308" s="47"/>
      <c r="B308" s="47"/>
      <c r="C308" s="47"/>
      <c r="D308" s="47"/>
      <c r="E308" s="47"/>
      <c r="F308" s="47"/>
      <c r="G308" s="47"/>
    </row>
    <row r="309" spans="1:7" x14ac:dyDescent="0.3">
      <c r="A309" s="47"/>
      <c r="B309" s="47"/>
      <c r="C309" s="47"/>
      <c r="D309" s="47"/>
      <c r="E309" s="47"/>
      <c r="F309" s="47"/>
      <c r="G309" s="47"/>
    </row>
    <row r="310" spans="1:7" x14ac:dyDescent="0.3">
      <c r="A310" s="47"/>
      <c r="B310" s="47"/>
      <c r="C310" s="47"/>
      <c r="D310" s="47"/>
      <c r="E310" s="47"/>
      <c r="F310" s="47"/>
      <c r="G310" s="47"/>
    </row>
    <row r="311" spans="1:7" x14ac:dyDescent="0.3">
      <c r="A311" s="47"/>
      <c r="B311" s="47"/>
      <c r="C311" s="47"/>
      <c r="D311" s="47"/>
      <c r="E311" s="47"/>
      <c r="F311" s="47"/>
      <c r="G311" s="47"/>
    </row>
    <row r="312" spans="1:7" x14ac:dyDescent="0.3">
      <c r="A312" s="47"/>
      <c r="B312" s="47"/>
      <c r="C312" s="47"/>
      <c r="D312" s="47"/>
      <c r="E312" s="47"/>
      <c r="F312" s="47"/>
      <c r="G312" s="47"/>
    </row>
    <row r="313" spans="1:7" x14ac:dyDescent="0.3">
      <c r="A313" s="47"/>
      <c r="B313" s="47"/>
      <c r="C313" s="47"/>
      <c r="D313" s="47"/>
      <c r="E313" s="47"/>
      <c r="F313" s="47"/>
      <c r="G313" s="47"/>
    </row>
    <row r="314" spans="1:7" x14ac:dyDescent="0.3">
      <c r="A314" s="47"/>
      <c r="B314" s="47"/>
      <c r="C314" s="47"/>
      <c r="D314" s="47"/>
      <c r="E314" s="47"/>
      <c r="F314" s="47"/>
      <c r="G314" s="47"/>
    </row>
    <row r="315" spans="1:7" x14ac:dyDescent="0.3">
      <c r="A315" s="47"/>
      <c r="B315" s="47"/>
      <c r="C315" s="47"/>
      <c r="D315" s="47"/>
      <c r="E315" s="47"/>
      <c r="F315" s="47"/>
      <c r="G315" s="47"/>
    </row>
    <row r="316" spans="1:7" x14ac:dyDescent="0.3">
      <c r="A316" s="47"/>
      <c r="B316" s="47"/>
      <c r="C316" s="47"/>
      <c r="D316" s="47"/>
      <c r="E316" s="47"/>
      <c r="F316" s="47"/>
      <c r="G316" s="47"/>
    </row>
    <row r="317" spans="1:7" x14ac:dyDescent="0.3">
      <c r="A317" s="47"/>
      <c r="B317" s="47"/>
      <c r="C317" s="47"/>
      <c r="D317" s="47"/>
      <c r="E317" s="47"/>
      <c r="F317" s="47"/>
      <c r="G317" s="47"/>
    </row>
    <row r="318" spans="1:7" x14ac:dyDescent="0.3">
      <c r="A318" s="47"/>
      <c r="B318" s="47"/>
      <c r="C318" s="47"/>
      <c r="D318" s="47"/>
      <c r="E318" s="47"/>
      <c r="F318" s="47"/>
      <c r="G318" s="47"/>
    </row>
    <row r="319" spans="1:7" x14ac:dyDescent="0.3">
      <c r="A319" s="47"/>
      <c r="B319" s="47"/>
      <c r="C319" s="47"/>
      <c r="D319" s="47"/>
      <c r="E319" s="47"/>
      <c r="F319" s="47"/>
      <c r="G319" s="47"/>
    </row>
    <row r="320" spans="1:7" x14ac:dyDescent="0.3">
      <c r="A320" s="47"/>
      <c r="B320" s="47"/>
      <c r="C320" s="47"/>
      <c r="D320" s="47"/>
      <c r="E320" s="47"/>
      <c r="F320" s="47"/>
      <c r="G320" s="47"/>
    </row>
    <row r="321" spans="1:7" x14ac:dyDescent="0.3">
      <c r="A321" s="47"/>
      <c r="B321" s="47"/>
      <c r="C321" s="47"/>
      <c r="D321" s="47"/>
      <c r="E321" s="47"/>
      <c r="F321" s="47"/>
      <c r="G321" s="47"/>
    </row>
    <row r="322" spans="1:7" x14ac:dyDescent="0.3">
      <c r="A322" s="47"/>
      <c r="B322" s="47"/>
      <c r="C322" s="47"/>
      <c r="D322" s="47"/>
      <c r="E322" s="47"/>
      <c r="F322" s="47"/>
      <c r="G322" s="47"/>
    </row>
    <row r="323" spans="1:7" x14ac:dyDescent="0.3">
      <c r="A323" s="47"/>
      <c r="B323" s="47"/>
      <c r="C323" s="47"/>
      <c r="D323" s="47"/>
      <c r="E323" s="47"/>
      <c r="F323" s="47"/>
      <c r="G323" s="47"/>
    </row>
    <row r="324" spans="1:7" x14ac:dyDescent="0.3">
      <c r="A324" s="47"/>
      <c r="B324" s="47"/>
      <c r="C324" s="47"/>
      <c r="D324" s="47"/>
      <c r="E324" s="47"/>
      <c r="F324" s="47"/>
      <c r="G324" s="47"/>
    </row>
    <row r="325" spans="1:7" x14ac:dyDescent="0.3">
      <c r="A325" s="47"/>
      <c r="B325" s="47"/>
      <c r="C325" s="47"/>
      <c r="D325" s="47"/>
      <c r="E325" s="47"/>
      <c r="F325" s="47"/>
      <c r="G325" s="47"/>
    </row>
    <row r="326" spans="1:7" x14ac:dyDescent="0.3">
      <c r="A326" s="47"/>
      <c r="B326" s="47"/>
      <c r="C326" s="47"/>
      <c r="D326" s="47"/>
      <c r="E326" s="47"/>
      <c r="F326" s="47"/>
      <c r="G326" s="47"/>
    </row>
    <row r="327" spans="1:7" x14ac:dyDescent="0.3">
      <c r="A327" s="47"/>
      <c r="B327" s="47"/>
      <c r="C327" s="47"/>
      <c r="D327" s="47"/>
      <c r="E327" s="47"/>
      <c r="F327" s="47"/>
      <c r="G327" s="47"/>
    </row>
    <row r="328" spans="1:7" x14ac:dyDescent="0.3">
      <c r="A328" s="47"/>
      <c r="B328" s="47"/>
      <c r="C328" s="47"/>
      <c r="D328" s="47"/>
      <c r="E328" s="47"/>
      <c r="F328" s="47"/>
      <c r="G328" s="47"/>
    </row>
    <row r="329" spans="1:7" x14ac:dyDescent="0.3">
      <c r="A329" s="47"/>
      <c r="B329" s="47"/>
      <c r="C329" s="47"/>
      <c r="D329" s="47"/>
      <c r="E329" s="47"/>
      <c r="F329" s="47"/>
      <c r="G329" s="47"/>
    </row>
    <row r="330" spans="1:7" x14ac:dyDescent="0.3">
      <c r="A330" s="47"/>
      <c r="B330" s="47"/>
      <c r="C330" s="47"/>
      <c r="D330" s="47"/>
      <c r="E330" s="47"/>
      <c r="F330" s="47"/>
      <c r="G330" s="47"/>
    </row>
    <row r="331" spans="1:7" x14ac:dyDescent="0.3">
      <c r="A331" s="47"/>
      <c r="B331" s="47"/>
      <c r="C331" s="47"/>
      <c r="D331" s="47"/>
      <c r="E331" s="47"/>
      <c r="F331" s="47"/>
      <c r="G331" s="47"/>
    </row>
    <row r="332" spans="1:7" x14ac:dyDescent="0.3">
      <c r="A332" s="47"/>
      <c r="B332" s="47"/>
      <c r="C332" s="47"/>
      <c r="D332" s="47"/>
      <c r="E332" s="47"/>
      <c r="F332" s="47"/>
      <c r="G332" s="47"/>
    </row>
    <row r="333" spans="1:7" x14ac:dyDescent="0.3">
      <c r="A333" s="47"/>
      <c r="B333" s="47"/>
      <c r="C333" s="47"/>
      <c r="D333" s="47"/>
      <c r="E333" s="47"/>
      <c r="F333" s="47"/>
      <c r="G333" s="47"/>
    </row>
    <row r="334" spans="1:7" x14ac:dyDescent="0.3">
      <c r="A334" s="47"/>
      <c r="B334" s="47"/>
      <c r="C334" s="47"/>
      <c r="D334" s="47"/>
      <c r="E334" s="47"/>
      <c r="F334" s="47"/>
      <c r="G334" s="47"/>
    </row>
    <row r="335" spans="1:7" x14ac:dyDescent="0.3">
      <c r="A335" s="47"/>
      <c r="B335" s="47"/>
      <c r="C335" s="47"/>
      <c r="D335" s="47"/>
      <c r="E335" s="47"/>
      <c r="F335" s="47"/>
      <c r="G335" s="47"/>
    </row>
    <row r="336" spans="1:7" x14ac:dyDescent="0.3">
      <c r="A336" s="47"/>
      <c r="B336" s="47"/>
      <c r="C336" s="47"/>
      <c r="D336" s="47"/>
      <c r="E336" s="47"/>
      <c r="F336" s="47"/>
      <c r="G336" s="47"/>
    </row>
    <row r="337" spans="1:7" x14ac:dyDescent="0.3">
      <c r="A337" s="47"/>
      <c r="B337" s="47"/>
      <c r="C337" s="47"/>
      <c r="D337" s="47"/>
      <c r="E337" s="47"/>
      <c r="F337" s="47"/>
      <c r="G337" s="47"/>
    </row>
    <row r="338" spans="1:7" x14ac:dyDescent="0.3">
      <c r="A338" s="47"/>
      <c r="B338" s="47"/>
      <c r="C338" s="47"/>
      <c r="D338" s="47"/>
      <c r="E338" s="47"/>
      <c r="F338" s="47"/>
      <c r="G338" s="47"/>
    </row>
  </sheetData>
  <mergeCells count="12">
    <mergeCell ref="A1:B1"/>
    <mergeCell ref="A2:B2"/>
    <mergeCell ref="C1:G1"/>
    <mergeCell ref="C2:G2"/>
    <mergeCell ref="C4:G4"/>
    <mergeCell ref="A4:B4"/>
    <mergeCell ref="E148:G148"/>
    <mergeCell ref="E149:G149"/>
    <mergeCell ref="E154:G154"/>
    <mergeCell ref="A6:G6"/>
    <mergeCell ref="A7:G7"/>
    <mergeCell ref="A146:B146"/>
  </mergeCells>
  <pageMargins left="0.25" right="0.25" top="0.75" bottom="0.75" header="0.3" footer="0.3"/>
  <pageSetup paperSize="9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  <pageSetUpPr fitToPage="1"/>
  </sheetPr>
  <dimension ref="A1:CK79"/>
  <sheetViews>
    <sheetView zoomScaleNormal="100" zoomScaleSheetLayoutView="40" workbookViewId="0">
      <selection activeCell="D21" sqref="D21"/>
    </sheetView>
  </sheetViews>
  <sheetFormatPr defaultRowHeight="15.75" x14ac:dyDescent="0.25"/>
  <cols>
    <col min="1" max="1" width="7.5703125" style="20" customWidth="1"/>
    <col min="2" max="2" width="19.28515625" style="20" customWidth="1"/>
    <col min="3" max="3" width="23.28515625" style="21" customWidth="1"/>
    <col min="4" max="5" width="15.7109375" style="21" customWidth="1"/>
    <col min="6" max="6" width="15.7109375" style="22" customWidth="1"/>
    <col min="7" max="7" width="15.7109375" style="21" customWidth="1"/>
    <col min="8" max="8" width="38.5703125" style="21" customWidth="1"/>
    <col min="9" max="16384" width="9.140625" style="5"/>
  </cols>
  <sheetData>
    <row r="1" spans="1:89" ht="53.25" customHeight="1" x14ac:dyDescent="0.25">
      <c r="A1" s="128" t="s">
        <v>150</v>
      </c>
      <c r="B1" s="128"/>
      <c r="C1" s="128"/>
      <c r="D1" s="128" t="s">
        <v>151</v>
      </c>
      <c r="E1" s="128"/>
      <c r="F1" s="128"/>
      <c r="G1" s="128"/>
      <c r="H1" s="128"/>
    </row>
    <row r="2" spans="1:89" ht="39.950000000000003" customHeight="1" x14ac:dyDescent="0.25">
      <c r="A2" s="129" t="s">
        <v>152</v>
      </c>
      <c r="B2" s="129"/>
      <c r="C2" s="129"/>
      <c r="D2" s="129"/>
      <c r="E2" s="129"/>
      <c r="F2" s="129"/>
      <c r="G2" s="129"/>
      <c r="H2" s="129"/>
    </row>
    <row r="3" spans="1:89" ht="20.25" customHeight="1" x14ac:dyDescent="0.25">
      <c r="A3" s="130" t="s">
        <v>153</v>
      </c>
      <c r="B3" s="130"/>
      <c r="C3" s="130"/>
      <c r="D3" s="130"/>
      <c r="E3" s="130"/>
      <c r="F3" s="130"/>
      <c r="G3" s="130"/>
      <c r="H3" s="130"/>
    </row>
    <row r="4" spans="1:89" ht="15" customHeight="1" x14ac:dyDescent="0.25">
      <c r="A4" s="126" t="s">
        <v>149</v>
      </c>
      <c r="B4" s="125" t="s">
        <v>154</v>
      </c>
      <c r="C4" s="131" t="s">
        <v>155</v>
      </c>
      <c r="D4" s="131" t="s">
        <v>156</v>
      </c>
      <c r="E4" s="131" t="s">
        <v>157</v>
      </c>
      <c r="F4" s="132" t="s">
        <v>158</v>
      </c>
      <c r="G4" s="125" t="s">
        <v>159</v>
      </c>
      <c r="H4" s="125" t="s">
        <v>6</v>
      </c>
      <c r="I4" s="127"/>
    </row>
    <row r="5" spans="1:89" ht="15.75" customHeight="1" x14ac:dyDescent="0.25">
      <c r="A5" s="126"/>
      <c r="B5" s="125"/>
      <c r="C5" s="131"/>
      <c r="D5" s="131"/>
      <c r="E5" s="131"/>
      <c r="F5" s="132"/>
      <c r="G5" s="126"/>
      <c r="H5" s="125"/>
      <c r="I5" s="127"/>
    </row>
    <row r="6" spans="1:89" ht="15.75" customHeight="1" x14ac:dyDescent="0.25">
      <c r="A6" s="126"/>
      <c r="B6" s="125"/>
      <c r="C6" s="131"/>
      <c r="D6" s="131"/>
      <c r="E6" s="131"/>
      <c r="F6" s="132"/>
      <c r="G6" s="126"/>
      <c r="H6" s="125"/>
      <c r="I6" s="127"/>
    </row>
    <row r="7" spans="1:89" ht="20.25" customHeight="1" x14ac:dyDescent="0.25">
      <c r="A7" s="126"/>
      <c r="B7" s="125"/>
      <c r="C7" s="131"/>
      <c r="D7" s="131"/>
      <c r="E7" s="131"/>
      <c r="F7" s="132"/>
      <c r="G7" s="126"/>
      <c r="H7" s="125"/>
      <c r="I7" s="127"/>
    </row>
    <row r="8" spans="1:89" s="11" customFormat="1" ht="20.25" customHeight="1" x14ac:dyDescent="0.25">
      <c r="A8" s="6">
        <v>1</v>
      </c>
      <c r="B8" s="7" t="s">
        <v>160</v>
      </c>
      <c r="C8" s="6" t="s">
        <v>161</v>
      </c>
      <c r="D8" s="8">
        <v>33</v>
      </c>
      <c r="E8" s="8">
        <v>49</v>
      </c>
      <c r="F8" s="8">
        <v>2916.3</v>
      </c>
      <c r="G8" s="6" t="s">
        <v>11</v>
      </c>
      <c r="H8" s="9" t="s">
        <v>620</v>
      </c>
      <c r="I8" s="10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</row>
    <row r="9" spans="1:89" s="11" customFormat="1" ht="20.25" customHeight="1" x14ac:dyDescent="0.25">
      <c r="A9" s="6">
        <v>2</v>
      </c>
      <c r="B9" s="7" t="s">
        <v>162</v>
      </c>
      <c r="C9" s="6" t="s">
        <v>161</v>
      </c>
      <c r="D9" s="8">
        <v>5</v>
      </c>
      <c r="E9" s="8">
        <v>32</v>
      </c>
      <c r="F9" s="8">
        <v>5931</v>
      </c>
      <c r="G9" s="6" t="s">
        <v>11</v>
      </c>
      <c r="H9" s="9" t="s">
        <v>620</v>
      </c>
      <c r="I9" s="10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</row>
    <row r="10" spans="1:89" s="11" customFormat="1" ht="20.25" customHeight="1" x14ac:dyDescent="0.25">
      <c r="A10" s="6">
        <v>3</v>
      </c>
      <c r="B10" s="7" t="s">
        <v>141</v>
      </c>
      <c r="C10" s="6" t="s">
        <v>163</v>
      </c>
      <c r="D10" s="8"/>
      <c r="E10" s="8"/>
      <c r="F10" s="8"/>
      <c r="G10" s="6"/>
      <c r="H10" s="9" t="s">
        <v>621</v>
      </c>
      <c r="I10" s="10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</row>
    <row r="11" spans="1:89" s="11" customFormat="1" ht="20.25" customHeight="1" x14ac:dyDescent="0.25">
      <c r="A11" s="6">
        <v>4</v>
      </c>
      <c r="B11" s="7" t="s">
        <v>119</v>
      </c>
      <c r="C11" s="6" t="s">
        <v>163</v>
      </c>
      <c r="D11" s="8"/>
      <c r="E11" s="8"/>
      <c r="F11" s="8"/>
      <c r="G11" s="6"/>
      <c r="H11" s="9" t="s">
        <v>621</v>
      </c>
      <c r="I11" s="10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</row>
    <row r="12" spans="1:89" s="11" customFormat="1" ht="20.25" customHeight="1" x14ac:dyDescent="0.25">
      <c r="A12" s="6">
        <v>5</v>
      </c>
      <c r="B12" s="7" t="s">
        <v>125</v>
      </c>
      <c r="C12" s="6" t="s">
        <v>163</v>
      </c>
      <c r="D12" s="8"/>
      <c r="E12" s="8"/>
      <c r="F12" s="8"/>
      <c r="G12" s="6"/>
      <c r="H12" s="9" t="s">
        <v>621</v>
      </c>
      <c r="I12" s="10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</row>
    <row r="13" spans="1:89" s="11" customFormat="1" ht="20.25" customHeight="1" x14ac:dyDescent="0.25">
      <c r="A13" s="6">
        <v>6</v>
      </c>
      <c r="B13" s="7" t="s">
        <v>122</v>
      </c>
      <c r="C13" s="6" t="s">
        <v>163</v>
      </c>
      <c r="D13" s="8"/>
      <c r="E13" s="8"/>
      <c r="F13" s="8"/>
      <c r="G13" s="6"/>
      <c r="H13" s="9" t="s">
        <v>621</v>
      </c>
      <c r="I13" s="10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</row>
    <row r="14" spans="1:89" s="11" customFormat="1" ht="20.25" customHeight="1" x14ac:dyDescent="0.25">
      <c r="A14" s="6">
        <v>7</v>
      </c>
      <c r="B14" s="7" t="s">
        <v>110</v>
      </c>
      <c r="C14" s="6" t="s">
        <v>163</v>
      </c>
      <c r="D14" s="8"/>
      <c r="E14" s="8"/>
      <c r="F14" s="8"/>
      <c r="G14" s="6"/>
      <c r="H14" s="9" t="s">
        <v>621</v>
      </c>
      <c r="I14" s="10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</row>
    <row r="15" spans="1:89" s="11" customFormat="1" ht="16.5" x14ac:dyDescent="0.25">
      <c r="A15" s="6">
        <v>8</v>
      </c>
      <c r="B15" s="12" t="s">
        <v>86</v>
      </c>
      <c r="C15" s="6" t="s">
        <v>163</v>
      </c>
      <c r="D15" s="8"/>
      <c r="E15" s="8"/>
      <c r="F15" s="8"/>
      <c r="G15" s="6"/>
      <c r="H15" s="9" t="s">
        <v>621</v>
      </c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</row>
    <row r="16" spans="1:89" s="11" customFormat="1" ht="16.5" x14ac:dyDescent="0.25">
      <c r="A16" s="6">
        <v>9</v>
      </c>
      <c r="B16" s="12" t="s">
        <v>130</v>
      </c>
      <c r="C16" s="6" t="s">
        <v>163</v>
      </c>
      <c r="D16" s="13"/>
      <c r="E16" s="71"/>
      <c r="F16" s="71"/>
      <c r="G16" s="71"/>
      <c r="H16" s="9" t="s">
        <v>621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</row>
    <row r="17" spans="1:89" s="11" customFormat="1" ht="16.5" x14ac:dyDescent="0.25">
      <c r="A17" s="6">
        <v>10</v>
      </c>
      <c r="B17" s="12" t="s">
        <v>21</v>
      </c>
      <c r="C17" s="13" t="s">
        <v>164</v>
      </c>
      <c r="D17" s="13">
        <v>3</v>
      </c>
      <c r="E17" s="14">
        <v>400</v>
      </c>
      <c r="F17" s="14">
        <v>10748</v>
      </c>
      <c r="G17" s="14" t="s">
        <v>11</v>
      </c>
      <c r="H17" s="15" t="s">
        <v>165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</row>
    <row r="18" spans="1:89" s="11" customFormat="1" ht="16.5" x14ac:dyDescent="0.25">
      <c r="A18" s="6">
        <v>11</v>
      </c>
      <c r="B18" s="12" t="s">
        <v>166</v>
      </c>
      <c r="C18" s="13" t="s">
        <v>407</v>
      </c>
      <c r="D18" s="13">
        <v>21</v>
      </c>
      <c r="E18" s="13">
        <v>99</v>
      </c>
      <c r="F18" s="16">
        <v>2566</v>
      </c>
      <c r="G18" s="13" t="s">
        <v>11</v>
      </c>
      <c r="H18" s="15" t="s">
        <v>625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</row>
    <row r="19" spans="1:89" s="11" customFormat="1" ht="16.5" x14ac:dyDescent="0.25">
      <c r="A19" s="6">
        <v>12</v>
      </c>
      <c r="B19" s="12" t="s">
        <v>166</v>
      </c>
      <c r="C19" s="13" t="s">
        <v>407</v>
      </c>
      <c r="D19" s="13">
        <v>21</v>
      </c>
      <c r="E19" s="13">
        <v>98</v>
      </c>
      <c r="F19" s="16">
        <v>3392</v>
      </c>
      <c r="G19" s="13" t="s">
        <v>11</v>
      </c>
      <c r="H19" s="15" t="s">
        <v>625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</row>
    <row r="20" spans="1:89" s="11" customFormat="1" ht="16.5" x14ac:dyDescent="0.25">
      <c r="A20" s="6">
        <v>13</v>
      </c>
      <c r="B20" s="12" t="s">
        <v>167</v>
      </c>
      <c r="C20" s="13" t="s">
        <v>407</v>
      </c>
      <c r="D20" s="13">
        <v>21</v>
      </c>
      <c r="E20" s="13">
        <v>141</v>
      </c>
      <c r="F20" s="16">
        <v>4128</v>
      </c>
      <c r="G20" s="13" t="s">
        <v>11</v>
      </c>
      <c r="H20" s="15" t="s">
        <v>617</v>
      </c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</row>
    <row r="21" spans="1:89" s="11" customFormat="1" ht="16.5" x14ac:dyDescent="0.25">
      <c r="A21" s="6">
        <v>14</v>
      </c>
      <c r="B21" s="12" t="s">
        <v>88</v>
      </c>
      <c r="C21" s="13" t="s">
        <v>407</v>
      </c>
      <c r="D21" s="13">
        <v>21</v>
      </c>
      <c r="E21" s="13">
        <v>171</v>
      </c>
      <c r="F21" s="16">
        <v>3186</v>
      </c>
      <c r="G21" s="13" t="s">
        <v>11</v>
      </c>
      <c r="H21" s="15" t="s">
        <v>617</v>
      </c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</row>
    <row r="22" spans="1:89" s="11" customFormat="1" ht="16.5" x14ac:dyDescent="0.25">
      <c r="A22" s="6">
        <v>15</v>
      </c>
      <c r="B22" s="12" t="s">
        <v>24</v>
      </c>
      <c r="C22" s="13" t="s">
        <v>407</v>
      </c>
      <c r="D22" s="13">
        <v>21</v>
      </c>
      <c r="E22" s="13">
        <v>71</v>
      </c>
      <c r="F22" s="16">
        <v>7637</v>
      </c>
      <c r="G22" s="13" t="s">
        <v>11</v>
      </c>
      <c r="H22" s="15" t="s">
        <v>617</v>
      </c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</row>
    <row r="23" spans="1:89" s="11" customFormat="1" ht="16.5" x14ac:dyDescent="0.25">
      <c r="A23" s="6">
        <v>16</v>
      </c>
      <c r="B23" s="12" t="s">
        <v>168</v>
      </c>
      <c r="C23" s="13" t="s">
        <v>407</v>
      </c>
      <c r="D23" s="13">
        <v>21</v>
      </c>
      <c r="E23" s="13">
        <v>189</v>
      </c>
      <c r="F23" s="16">
        <v>4497</v>
      </c>
      <c r="G23" s="13" t="s">
        <v>11</v>
      </c>
      <c r="H23" s="15" t="s">
        <v>617</v>
      </c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</row>
    <row r="24" spans="1:89" s="11" customFormat="1" ht="16.5" x14ac:dyDescent="0.25">
      <c r="A24" s="6">
        <v>17</v>
      </c>
      <c r="B24" s="12" t="s">
        <v>122</v>
      </c>
      <c r="C24" s="13" t="s">
        <v>407</v>
      </c>
      <c r="D24" s="13">
        <v>21</v>
      </c>
      <c r="E24" s="13">
        <v>227</v>
      </c>
      <c r="F24" s="16">
        <v>8079</v>
      </c>
      <c r="G24" s="13" t="s">
        <v>11</v>
      </c>
      <c r="H24" s="15" t="s">
        <v>617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</row>
    <row r="25" spans="1:89" s="11" customFormat="1" ht="16.5" x14ac:dyDescent="0.25">
      <c r="A25" s="6">
        <v>18</v>
      </c>
      <c r="B25" s="12" t="s">
        <v>84</v>
      </c>
      <c r="C25" s="13" t="s">
        <v>407</v>
      </c>
      <c r="D25" s="13">
        <v>21</v>
      </c>
      <c r="E25" s="13">
        <v>165</v>
      </c>
      <c r="F25" s="16">
        <v>3672</v>
      </c>
      <c r="G25" s="13" t="s">
        <v>11</v>
      </c>
      <c r="H25" s="15" t="s">
        <v>617</v>
      </c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</row>
    <row r="26" spans="1:89" s="11" customFormat="1" ht="16.5" x14ac:dyDescent="0.25">
      <c r="A26" s="6">
        <v>19</v>
      </c>
      <c r="B26" s="12" t="s">
        <v>51</v>
      </c>
      <c r="C26" s="13" t="s">
        <v>407</v>
      </c>
      <c r="D26" s="13">
        <v>21</v>
      </c>
      <c r="E26" s="13">
        <v>108</v>
      </c>
      <c r="F26" s="16">
        <v>31282</v>
      </c>
      <c r="G26" s="13" t="s">
        <v>11</v>
      </c>
      <c r="H26" s="15" t="s">
        <v>619</v>
      </c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</row>
    <row r="27" spans="1:89" s="11" customFormat="1" ht="16.5" x14ac:dyDescent="0.25">
      <c r="A27" s="6">
        <v>20</v>
      </c>
      <c r="B27" s="12" t="s">
        <v>51</v>
      </c>
      <c r="C27" s="13" t="s">
        <v>407</v>
      </c>
      <c r="D27" s="13">
        <v>21</v>
      </c>
      <c r="E27" s="13">
        <v>110</v>
      </c>
      <c r="F27" s="16">
        <v>1672</v>
      </c>
      <c r="G27" s="13" t="s">
        <v>11</v>
      </c>
      <c r="H27" s="15" t="s">
        <v>619</v>
      </c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</row>
    <row r="28" spans="1:89" s="11" customFormat="1" ht="16.5" x14ac:dyDescent="0.25">
      <c r="A28" s="6">
        <v>21</v>
      </c>
      <c r="B28" s="12" t="s">
        <v>51</v>
      </c>
      <c r="C28" s="13" t="s">
        <v>407</v>
      </c>
      <c r="D28" s="13">
        <v>21</v>
      </c>
      <c r="E28" s="13">
        <v>109</v>
      </c>
      <c r="F28" s="16">
        <v>3686</v>
      </c>
      <c r="G28" s="13" t="s">
        <v>11</v>
      </c>
      <c r="H28" s="15" t="s">
        <v>619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</row>
    <row r="29" spans="1:89" s="11" customFormat="1" ht="16.5" x14ac:dyDescent="0.25">
      <c r="A29" s="6">
        <v>22</v>
      </c>
      <c r="B29" s="12" t="s">
        <v>169</v>
      </c>
      <c r="C29" s="13" t="s">
        <v>407</v>
      </c>
      <c r="D29" s="13">
        <v>21</v>
      </c>
      <c r="E29" s="13">
        <v>115</v>
      </c>
      <c r="F29" s="16">
        <v>26358</v>
      </c>
      <c r="G29" s="13" t="s">
        <v>11</v>
      </c>
      <c r="H29" s="15" t="s">
        <v>624</v>
      </c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</row>
    <row r="30" spans="1:89" s="11" customFormat="1" ht="16.5" x14ac:dyDescent="0.25">
      <c r="A30" s="6">
        <v>23</v>
      </c>
      <c r="B30" s="12" t="s">
        <v>170</v>
      </c>
      <c r="C30" s="13" t="s">
        <v>171</v>
      </c>
      <c r="D30" s="13">
        <v>21</v>
      </c>
      <c r="E30" s="13">
        <v>236</v>
      </c>
      <c r="F30" s="16">
        <v>8046</v>
      </c>
      <c r="G30" s="13" t="s">
        <v>11</v>
      </c>
      <c r="H30" s="15" t="s">
        <v>617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</row>
    <row r="31" spans="1:89" s="11" customFormat="1" ht="16.5" x14ac:dyDescent="0.25">
      <c r="A31" s="6">
        <v>24</v>
      </c>
      <c r="B31" s="12" t="s">
        <v>29</v>
      </c>
      <c r="C31" s="13" t="s">
        <v>171</v>
      </c>
      <c r="D31" s="13">
        <v>21</v>
      </c>
      <c r="E31" s="13">
        <v>82</v>
      </c>
      <c r="F31" s="16">
        <v>14524</v>
      </c>
      <c r="G31" s="13" t="s">
        <v>11</v>
      </c>
      <c r="H31" s="15" t="s">
        <v>617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</row>
    <row r="32" spans="1:89" s="11" customFormat="1" ht="16.5" x14ac:dyDescent="0.25">
      <c r="A32" s="6">
        <v>25</v>
      </c>
      <c r="B32" s="12" t="s">
        <v>49</v>
      </c>
      <c r="C32" s="13" t="s">
        <v>171</v>
      </c>
      <c r="D32" s="13">
        <v>21</v>
      </c>
      <c r="E32" s="13">
        <v>105</v>
      </c>
      <c r="F32" s="16">
        <v>2993</v>
      </c>
      <c r="G32" s="13" t="s">
        <v>11</v>
      </c>
      <c r="H32" s="15" t="s">
        <v>617</v>
      </c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</row>
    <row r="33" spans="1:89" s="11" customFormat="1" ht="16.5" x14ac:dyDescent="0.25">
      <c r="A33" s="6">
        <v>26</v>
      </c>
      <c r="B33" s="12" t="s">
        <v>92</v>
      </c>
      <c r="C33" s="13" t="s">
        <v>171</v>
      </c>
      <c r="D33" s="13">
        <v>21</v>
      </c>
      <c r="E33" s="13">
        <v>74</v>
      </c>
      <c r="F33" s="16">
        <v>4352</v>
      </c>
      <c r="G33" s="13" t="s">
        <v>11</v>
      </c>
      <c r="H33" s="15" t="s">
        <v>617</v>
      </c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</row>
    <row r="34" spans="1:89" s="11" customFormat="1" ht="16.5" x14ac:dyDescent="0.25">
      <c r="A34" s="6">
        <v>27</v>
      </c>
      <c r="B34" s="12" t="s">
        <v>73</v>
      </c>
      <c r="C34" s="13" t="s">
        <v>171</v>
      </c>
      <c r="D34" s="13">
        <v>21</v>
      </c>
      <c r="E34" s="13">
        <v>73</v>
      </c>
      <c r="F34" s="16">
        <v>10414</v>
      </c>
      <c r="G34" s="13" t="s">
        <v>11</v>
      </c>
      <c r="H34" s="15" t="s">
        <v>617</v>
      </c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</row>
    <row r="35" spans="1:89" s="11" customFormat="1" ht="16.5" x14ac:dyDescent="0.25">
      <c r="A35" s="6">
        <v>28</v>
      </c>
      <c r="B35" s="12" t="s">
        <v>172</v>
      </c>
      <c r="C35" s="13" t="s">
        <v>171</v>
      </c>
      <c r="D35" s="13">
        <v>21</v>
      </c>
      <c r="E35" s="13">
        <v>72</v>
      </c>
      <c r="F35" s="16">
        <v>11043</v>
      </c>
      <c r="G35" s="13" t="s">
        <v>11</v>
      </c>
      <c r="H35" s="15" t="s">
        <v>617</v>
      </c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</row>
    <row r="36" spans="1:89" s="11" customFormat="1" ht="16.5" x14ac:dyDescent="0.25">
      <c r="A36" s="6">
        <v>29</v>
      </c>
      <c r="B36" s="12" t="s">
        <v>77</v>
      </c>
      <c r="C36" s="13" t="s">
        <v>164</v>
      </c>
      <c r="D36" s="13">
        <v>8</v>
      </c>
      <c r="E36" s="13">
        <v>244</v>
      </c>
      <c r="F36" s="16">
        <v>5208</v>
      </c>
      <c r="G36" s="13" t="s">
        <v>11</v>
      </c>
      <c r="H36" s="15" t="s">
        <v>617</v>
      </c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</row>
    <row r="37" spans="1:89" s="11" customFormat="1" ht="16.5" x14ac:dyDescent="0.25">
      <c r="A37" s="6">
        <v>30</v>
      </c>
      <c r="B37" s="12" t="s">
        <v>100</v>
      </c>
      <c r="C37" s="13" t="s">
        <v>173</v>
      </c>
      <c r="D37" s="13">
        <v>18</v>
      </c>
      <c r="E37" s="13">
        <v>226</v>
      </c>
      <c r="F37" s="16">
        <v>3728.8</v>
      </c>
      <c r="G37" s="13" t="s">
        <v>11</v>
      </c>
      <c r="H37" s="15" t="s">
        <v>617</v>
      </c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</row>
    <row r="38" spans="1:89" s="11" customFormat="1" ht="16.5" x14ac:dyDescent="0.25">
      <c r="A38" s="6">
        <v>31</v>
      </c>
      <c r="B38" s="12" t="s">
        <v>174</v>
      </c>
      <c r="C38" s="13" t="s">
        <v>173</v>
      </c>
      <c r="D38" s="13">
        <v>8</v>
      </c>
      <c r="E38" s="13">
        <v>227</v>
      </c>
      <c r="F38" s="16">
        <v>2500.9</v>
      </c>
      <c r="G38" s="13" t="s">
        <v>11</v>
      </c>
      <c r="H38" s="15" t="s">
        <v>617</v>
      </c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</row>
    <row r="39" spans="1:89" s="11" customFormat="1" ht="16.5" x14ac:dyDescent="0.25">
      <c r="A39" s="6">
        <v>32</v>
      </c>
      <c r="B39" s="12" t="s">
        <v>175</v>
      </c>
      <c r="C39" s="13" t="s">
        <v>173</v>
      </c>
      <c r="D39" s="13">
        <v>8</v>
      </c>
      <c r="E39" s="13">
        <v>229</v>
      </c>
      <c r="F39" s="16">
        <v>2611.5</v>
      </c>
      <c r="G39" s="13" t="s">
        <v>11</v>
      </c>
      <c r="H39" s="15" t="s">
        <v>618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</row>
    <row r="40" spans="1:89" s="11" customFormat="1" ht="16.5" x14ac:dyDescent="0.25">
      <c r="A40" s="6">
        <v>33</v>
      </c>
      <c r="B40" s="12" t="s">
        <v>175</v>
      </c>
      <c r="C40" s="13" t="s">
        <v>173</v>
      </c>
      <c r="D40" s="13">
        <v>8</v>
      </c>
      <c r="E40" s="13">
        <v>222</v>
      </c>
      <c r="F40" s="16">
        <v>2234.1999999999998</v>
      </c>
      <c r="G40" s="13" t="s">
        <v>11</v>
      </c>
      <c r="H40" s="15" t="s">
        <v>618</v>
      </c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</row>
    <row r="41" spans="1:89" s="11" customFormat="1" ht="16.5" x14ac:dyDescent="0.25">
      <c r="A41" s="6">
        <v>34</v>
      </c>
      <c r="B41" s="17" t="s">
        <v>66</v>
      </c>
      <c r="C41" s="14" t="s">
        <v>176</v>
      </c>
      <c r="D41" s="18">
        <v>21</v>
      </c>
      <c r="E41" s="18">
        <v>134</v>
      </c>
      <c r="F41" s="18">
        <v>6891</v>
      </c>
      <c r="G41" s="14" t="s">
        <v>11</v>
      </c>
      <c r="H41" s="15" t="s">
        <v>618</v>
      </c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</row>
    <row r="42" spans="1:89" s="11" customFormat="1" ht="16.5" x14ac:dyDescent="0.25">
      <c r="A42" s="6">
        <v>35</v>
      </c>
      <c r="B42" s="17" t="s">
        <v>66</v>
      </c>
      <c r="C42" s="14" t="s">
        <v>176</v>
      </c>
      <c r="D42" s="18">
        <v>21</v>
      </c>
      <c r="E42" s="18">
        <v>135</v>
      </c>
      <c r="F42" s="18">
        <v>36590</v>
      </c>
      <c r="G42" s="14" t="s">
        <v>11</v>
      </c>
      <c r="H42" s="15" t="s">
        <v>618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</row>
    <row r="43" spans="1:89" s="11" customFormat="1" ht="16.5" x14ac:dyDescent="0.25">
      <c r="A43" s="6">
        <v>36</v>
      </c>
      <c r="B43" s="17" t="s">
        <v>79</v>
      </c>
      <c r="C43" s="14" t="s">
        <v>176</v>
      </c>
      <c r="D43" s="18">
        <v>21</v>
      </c>
      <c r="E43" s="18">
        <v>150</v>
      </c>
      <c r="F43" s="18">
        <v>7258</v>
      </c>
      <c r="G43" s="14" t="s">
        <v>11</v>
      </c>
      <c r="H43" s="15" t="s">
        <v>618</v>
      </c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</row>
    <row r="44" spans="1:89" s="11" customFormat="1" ht="16.5" x14ac:dyDescent="0.25">
      <c r="A44" s="6">
        <v>37</v>
      </c>
      <c r="B44" s="17" t="s">
        <v>79</v>
      </c>
      <c r="C44" s="14" t="s">
        <v>176</v>
      </c>
      <c r="D44" s="18">
        <v>21</v>
      </c>
      <c r="E44" s="18">
        <v>152</v>
      </c>
      <c r="F44" s="18">
        <v>4680</v>
      </c>
      <c r="G44" s="14" t="s">
        <v>11</v>
      </c>
      <c r="H44" s="15" t="s">
        <v>618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</row>
    <row r="45" spans="1:89" s="11" customFormat="1" ht="16.5" x14ac:dyDescent="0.25">
      <c r="A45" s="6">
        <v>38</v>
      </c>
      <c r="B45" s="17" t="s">
        <v>32</v>
      </c>
      <c r="C45" s="14" t="s">
        <v>176</v>
      </c>
      <c r="D45" s="18">
        <v>21</v>
      </c>
      <c r="E45" s="18">
        <v>86</v>
      </c>
      <c r="F45" s="18">
        <v>8170</v>
      </c>
      <c r="G45" s="14" t="s">
        <v>11</v>
      </c>
      <c r="H45" s="15" t="s">
        <v>617</v>
      </c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</row>
    <row r="46" spans="1:89" s="11" customFormat="1" ht="16.5" x14ac:dyDescent="0.25">
      <c r="A46" s="6">
        <v>39</v>
      </c>
      <c r="B46" s="17" t="s">
        <v>30</v>
      </c>
      <c r="C46" s="14" t="s">
        <v>176</v>
      </c>
      <c r="D46" s="18">
        <v>21</v>
      </c>
      <c r="E46" s="18">
        <v>83</v>
      </c>
      <c r="F46" s="18">
        <v>5917</v>
      </c>
      <c r="G46" s="14" t="s">
        <v>11</v>
      </c>
      <c r="H46" s="15" t="s">
        <v>618</v>
      </c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</row>
    <row r="47" spans="1:89" s="11" customFormat="1" ht="16.5" x14ac:dyDescent="0.25">
      <c r="A47" s="6">
        <v>40</v>
      </c>
      <c r="B47" s="17" t="s">
        <v>30</v>
      </c>
      <c r="C47" s="14" t="s">
        <v>176</v>
      </c>
      <c r="D47" s="18">
        <v>21</v>
      </c>
      <c r="E47" s="18">
        <v>84</v>
      </c>
      <c r="F47" s="18">
        <v>3911</v>
      </c>
      <c r="G47" s="14" t="s">
        <v>11</v>
      </c>
      <c r="H47" s="15" t="s">
        <v>618</v>
      </c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</row>
    <row r="48" spans="1:89" s="11" customFormat="1" ht="16.5" x14ac:dyDescent="0.25">
      <c r="A48" s="6">
        <v>41</v>
      </c>
      <c r="B48" s="12" t="s">
        <v>120</v>
      </c>
      <c r="C48" s="14" t="s">
        <v>176</v>
      </c>
      <c r="D48" s="13">
        <v>21</v>
      </c>
      <c r="E48" s="13">
        <v>223</v>
      </c>
      <c r="F48" s="16">
        <v>4096</v>
      </c>
      <c r="G48" s="14" t="s">
        <v>11</v>
      </c>
      <c r="H48" s="15" t="s">
        <v>617</v>
      </c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</row>
    <row r="49" spans="1:89" s="11" customFormat="1" ht="16.5" x14ac:dyDescent="0.25">
      <c r="A49" s="6">
        <v>42</v>
      </c>
      <c r="B49" s="17" t="s">
        <v>91</v>
      </c>
      <c r="C49" s="14" t="s">
        <v>176</v>
      </c>
      <c r="D49" s="18">
        <v>21</v>
      </c>
      <c r="E49" s="18">
        <v>182</v>
      </c>
      <c r="F49" s="18">
        <v>5395</v>
      </c>
      <c r="G49" s="14" t="s">
        <v>11</v>
      </c>
      <c r="H49" s="15" t="s">
        <v>617</v>
      </c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</row>
    <row r="50" spans="1:89" s="11" customFormat="1" ht="16.5" x14ac:dyDescent="0.25">
      <c r="A50" s="6">
        <v>43</v>
      </c>
      <c r="B50" s="17" t="s">
        <v>61</v>
      </c>
      <c r="C50" s="14" t="s">
        <v>176</v>
      </c>
      <c r="D50" s="18">
        <v>21</v>
      </c>
      <c r="E50" s="18">
        <v>127</v>
      </c>
      <c r="F50" s="18">
        <v>5024</v>
      </c>
      <c r="G50" s="14" t="s">
        <v>11</v>
      </c>
      <c r="H50" s="15" t="s">
        <v>618</v>
      </c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</row>
    <row r="51" spans="1:89" s="11" customFormat="1" ht="16.5" x14ac:dyDescent="0.25">
      <c r="A51" s="6">
        <v>44</v>
      </c>
      <c r="B51" s="17" t="s">
        <v>61</v>
      </c>
      <c r="C51" s="14" t="s">
        <v>176</v>
      </c>
      <c r="D51" s="18">
        <v>21</v>
      </c>
      <c r="E51" s="18">
        <v>125</v>
      </c>
      <c r="F51" s="18">
        <v>9149</v>
      </c>
      <c r="G51" s="14" t="s">
        <v>11</v>
      </c>
      <c r="H51" s="15" t="s">
        <v>618</v>
      </c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</row>
    <row r="52" spans="1:89" s="11" customFormat="1" ht="16.5" x14ac:dyDescent="0.25">
      <c r="A52" s="6">
        <v>45</v>
      </c>
      <c r="B52" s="17" t="s">
        <v>177</v>
      </c>
      <c r="C52" s="14" t="s">
        <v>176</v>
      </c>
      <c r="D52" s="18">
        <v>21</v>
      </c>
      <c r="E52" s="18">
        <v>209</v>
      </c>
      <c r="F52" s="18">
        <v>6317</v>
      </c>
      <c r="G52" s="14" t="s">
        <v>11</v>
      </c>
      <c r="H52" s="15" t="s">
        <v>617</v>
      </c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</row>
    <row r="53" spans="1:89" s="11" customFormat="1" ht="16.5" x14ac:dyDescent="0.25">
      <c r="A53" s="6">
        <v>46</v>
      </c>
      <c r="B53" s="17" t="s">
        <v>103</v>
      </c>
      <c r="C53" s="14" t="s">
        <v>176</v>
      </c>
      <c r="D53" s="18">
        <v>21</v>
      </c>
      <c r="E53" s="18">
        <v>198</v>
      </c>
      <c r="F53" s="18">
        <v>4280</v>
      </c>
      <c r="G53" s="14" t="s">
        <v>11</v>
      </c>
      <c r="H53" s="15" t="s">
        <v>617</v>
      </c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</row>
    <row r="54" spans="1:89" s="11" customFormat="1" ht="16.5" x14ac:dyDescent="0.25">
      <c r="A54" s="6">
        <v>47</v>
      </c>
      <c r="B54" s="17" t="s">
        <v>178</v>
      </c>
      <c r="C54" s="14" t="s">
        <v>176</v>
      </c>
      <c r="D54" s="18">
        <v>21</v>
      </c>
      <c r="E54" s="18">
        <v>246</v>
      </c>
      <c r="F54" s="18">
        <v>39426</v>
      </c>
      <c r="G54" s="18" t="s">
        <v>11</v>
      </c>
      <c r="H54" s="15" t="s">
        <v>618</v>
      </c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</row>
    <row r="55" spans="1:89" s="11" customFormat="1" ht="16.5" x14ac:dyDescent="0.25">
      <c r="A55" s="6">
        <v>48</v>
      </c>
      <c r="B55" s="17" t="s">
        <v>178</v>
      </c>
      <c r="C55" s="14" t="s">
        <v>176</v>
      </c>
      <c r="D55" s="18">
        <v>21</v>
      </c>
      <c r="E55" s="18">
        <v>247</v>
      </c>
      <c r="F55" s="18">
        <v>20344</v>
      </c>
      <c r="G55" s="18" t="s">
        <v>11</v>
      </c>
      <c r="H55" s="15" t="s">
        <v>618</v>
      </c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</row>
    <row r="56" spans="1:89" s="11" customFormat="1" ht="16.5" x14ac:dyDescent="0.25">
      <c r="A56" s="6">
        <v>49</v>
      </c>
      <c r="B56" s="17" t="s">
        <v>179</v>
      </c>
      <c r="C56" s="14" t="s">
        <v>176</v>
      </c>
      <c r="D56" s="18">
        <v>21</v>
      </c>
      <c r="E56" s="18">
        <v>62</v>
      </c>
      <c r="F56" s="18">
        <v>12240</v>
      </c>
      <c r="G56" s="18" t="s">
        <v>11</v>
      </c>
      <c r="H56" s="15" t="s">
        <v>617</v>
      </c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</row>
    <row r="57" spans="1:89" s="11" customFormat="1" ht="16.5" x14ac:dyDescent="0.25">
      <c r="A57" s="6">
        <v>50</v>
      </c>
      <c r="B57" s="17" t="s">
        <v>83</v>
      </c>
      <c r="C57" s="14" t="s">
        <v>176</v>
      </c>
      <c r="D57" s="18">
        <v>21</v>
      </c>
      <c r="E57" s="18">
        <v>161</v>
      </c>
      <c r="F57" s="18">
        <v>12699</v>
      </c>
      <c r="G57" s="14" t="s">
        <v>11</v>
      </c>
      <c r="H57" s="15" t="s">
        <v>618</v>
      </c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</row>
    <row r="58" spans="1:89" s="11" customFormat="1" ht="16.5" x14ac:dyDescent="0.25">
      <c r="A58" s="6">
        <v>51</v>
      </c>
      <c r="B58" s="17" t="s">
        <v>83</v>
      </c>
      <c r="C58" s="14" t="s">
        <v>176</v>
      </c>
      <c r="D58" s="18">
        <v>21</v>
      </c>
      <c r="E58" s="18">
        <v>160</v>
      </c>
      <c r="F58" s="18">
        <v>6134</v>
      </c>
      <c r="G58" s="18" t="s">
        <v>11</v>
      </c>
      <c r="H58" s="15" t="s">
        <v>618</v>
      </c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</row>
    <row r="59" spans="1:89" s="11" customFormat="1" ht="16.5" x14ac:dyDescent="0.25">
      <c r="A59" s="6">
        <v>52</v>
      </c>
      <c r="B59" s="17" t="s">
        <v>82</v>
      </c>
      <c r="C59" s="14" t="s">
        <v>176</v>
      </c>
      <c r="D59" s="18">
        <v>21</v>
      </c>
      <c r="E59" s="18">
        <v>157</v>
      </c>
      <c r="F59" s="18">
        <v>5223</v>
      </c>
      <c r="G59" s="18" t="s">
        <v>11</v>
      </c>
      <c r="H59" s="15" t="s">
        <v>618</v>
      </c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</row>
    <row r="60" spans="1:89" s="11" customFormat="1" ht="16.5" x14ac:dyDescent="0.25">
      <c r="A60" s="6">
        <v>53</v>
      </c>
      <c r="B60" s="17" t="s">
        <v>82</v>
      </c>
      <c r="C60" s="14" t="s">
        <v>176</v>
      </c>
      <c r="D60" s="18">
        <v>21</v>
      </c>
      <c r="E60" s="18">
        <v>159</v>
      </c>
      <c r="F60" s="18">
        <v>3403</v>
      </c>
      <c r="G60" s="14" t="s">
        <v>11</v>
      </c>
      <c r="H60" s="15" t="s">
        <v>618</v>
      </c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</row>
    <row r="61" spans="1:89" s="11" customFormat="1" ht="16.5" x14ac:dyDescent="0.25">
      <c r="A61" s="6">
        <v>54</v>
      </c>
      <c r="B61" s="17" t="s">
        <v>180</v>
      </c>
      <c r="C61" s="14" t="s">
        <v>176</v>
      </c>
      <c r="D61" s="18">
        <v>21</v>
      </c>
      <c r="E61" s="18">
        <v>59</v>
      </c>
      <c r="F61" s="18">
        <v>8712</v>
      </c>
      <c r="G61" s="18" t="s">
        <v>11</v>
      </c>
      <c r="H61" s="15" t="s">
        <v>617</v>
      </c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</row>
    <row r="62" spans="1:89" s="11" customFormat="1" ht="16.5" x14ac:dyDescent="0.25">
      <c r="A62" s="6">
        <v>55</v>
      </c>
      <c r="B62" s="17" t="s">
        <v>180</v>
      </c>
      <c r="C62" s="14" t="s">
        <v>176</v>
      </c>
      <c r="D62" s="18">
        <v>21</v>
      </c>
      <c r="E62" s="18">
        <v>60</v>
      </c>
      <c r="F62" s="18">
        <v>23170</v>
      </c>
      <c r="G62" s="18" t="s">
        <v>11</v>
      </c>
      <c r="H62" s="15" t="s">
        <v>617</v>
      </c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3" spans="1:89" s="11" customFormat="1" ht="16.5" x14ac:dyDescent="0.25">
      <c r="A63" s="6">
        <v>56</v>
      </c>
      <c r="B63" s="17" t="s">
        <v>20</v>
      </c>
      <c r="C63" s="14" t="s">
        <v>176</v>
      </c>
      <c r="D63" s="18">
        <v>21</v>
      </c>
      <c r="E63" s="18">
        <v>63</v>
      </c>
      <c r="F63" s="18">
        <v>7913</v>
      </c>
      <c r="G63" s="14" t="s">
        <v>11</v>
      </c>
      <c r="H63" s="15" t="s">
        <v>617</v>
      </c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</row>
    <row r="64" spans="1:89" s="11" customFormat="1" ht="16.5" x14ac:dyDescent="0.25">
      <c r="A64" s="6">
        <v>57</v>
      </c>
      <c r="B64" s="17" t="s">
        <v>90</v>
      </c>
      <c r="C64" s="14" t="s">
        <v>176</v>
      </c>
      <c r="D64" s="18">
        <v>21</v>
      </c>
      <c r="E64" s="18">
        <v>178</v>
      </c>
      <c r="F64" s="18">
        <v>6472</v>
      </c>
      <c r="G64" s="14" t="s">
        <v>11</v>
      </c>
      <c r="H64" s="15" t="s">
        <v>618</v>
      </c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</row>
    <row r="65" spans="1:89" s="11" customFormat="1" ht="16.5" x14ac:dyDescent="0.25">
      <c r="A65" s="6">
        <v>58</v>
      </c>
      <c r="B65" s="17" t="s">
        <v>88</v>
      </c>
      <c r="C65" s="14" t="s">
        <v>176</v>
      </c>
      <c r="D65" s="18">
        <v>21</v>
      </c>
      <c r="E65" s="18">
        <v>179</v>
      </c>
      <c r="F65" s="18">
        <v>10813</v>
      </c>
      <c r="G65" s="14" t="s">
        <v>11</v>
      </c>
      <c r="H65" s="15" t="s">
        <v>619</v>
      </c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</row>
    <row r="66" spans="1:89" s="11" customFormat="1" ht="16.5" x14ac:dyDescent="0.25">
      <c r="A66" s="6">
        <v>59</v>
      </c>
      <c r="B66" s="17" t="s">
        <v>88</v>
      </c>
      <c r="C66" s="14" t="s">
        <v>176</v>
      </c>
      <c r="D66" s="18">
        <v>21</v>
      </c>
      <c r="E66" s="18">
        <v>174</v>
      </c>
      <c r="F66" s="18">
        <v>11112</v>
      </c>
      <c r="G66" s="14" t="s">
        <v>11</v>
      </c>
      <c r="H66" s="15" t="s">
        <v>619</v>
      </c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</row>
    <row r="67" spans="1:89" s="11" customFormat="1" ht="16.5" x14ac:dyDescent="0.25">
      <c r="A67" s="6">
        <v>60</v>
      </c>
      <c r="B67" s="17" t="s">
        <v>88</v>
      </c>
      <c r="C67" s="14" t="s">
        <v>176</v>
      </c>
      <c r="D67" s="18">
        <v>21</v>
      </c>
      <c r="E67" s="18">
        <v>176</v>
      </c>
      <c r="F67" s="18">
        <v>18329</v>
      </c>
      <c r="G67" s="14" t="s">
        <v>11</v>
      </c>
      <c r="H67" s="15" t="s">
        <v>619</v>
      </c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</row>
    <row r="68" spans="1:89" s="11" customFormat="1" ht="16.5" x14ac:dyDescent="0.25">
      <c r="A68" s="6">
        <v>61</v>
      </c>
      <c r="B68" s="12" t="s">
        <v>110</v>
      </c>
      <c r="C68" s="14" t="s">
        <v>176</v>
      </c>
      <c r="D68" s="13">
        <v>21</v>
      </c>
      <c r="E68" s="13">
        <v>206</v>
      </c>
      <c r="F68" s="16">
        <v>38824</v>
      </c>
      <c r="G68" s="14" t="s">
        <v>11</v>
      </c>
      <c r="H68" s="15" t="s">
        <v>617</v>
      </c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</row>
    <row r="69" spans="1:89" s="11" customFormat="1" ht="16.5" x14ac:dyDescent="0.25">
      <c r="A69" s="6">
        <v>62</v>
      </c>
      <c r="B69" s="17" t="s">
        <v>28</v>
      </c>
      <c r="C69" s="14" t="s">
        <v>176</v>
      </c>
      <c r="D69" s="18">
        <v>21</v>
      </c>
      <c r="E69" s="18">
        <v>80</v>
      </c>
      <c r="F69" s="18">
        <v>13907</v>
      </c>
      <c r="G69" s="18" t="s">
        <v>11</v>
      </c>
      <c r="H69" s="15" t="s">
        <v>618</v>
      </c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</row>
    <row r="70" spans="1:89" s="11" customFormat="1" ht="16.5" x14ac:dyDescent="0.25">
      <c r="A70" s="6">
        <v>63</v>
      </c>
      <c r="B70" s="17" t="s">
        <v>28</v>
      </c>
      <c r="C70" s="14" t="s">
        <v>176</v>
      </c>
      <c r="D70" s="18">
        <v>21</v>
      </c>
      <c r="E70" s="18">
        <v>79</v>
      </c>
      <c r="F70" s="18">
        <v>9667</v>
      </c>
      <c r="G70" s="14" t="s">
        <v>11</v>
      </c>
      <c r="H70" s="15" t="s">
        <v>618</v>
      </c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</row>
    <row r="71" spans="1:89" s="11" customFormat="1" ht="16.5" x14ac:dyDescent="0.25">
      <c r="A71" s="6">
        <v>64</v>
      </c>
      <c r="B71" s="17" t="s">
        <v>80</v>
      </c>
      <c r="C71" s="14" t="s">
        <v>176</v>
      </c>
      <c r="D71" s="18">
        <v>21</v>
      </c>
      <c r="E71" s="18">
        <v>153</v>
      </c>
      <c r="F71" s="18">
        <v>7804</v>
      </c>
      <c r="G71" s="14" t="s">
        <v>11</v>
      </c>
      <c r="H71" s="15" t="s">
        <v>617</v>
      </c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</row>
    <row r="72" spans="1:89" s="11" customFormat="1" ht="16.5" x14ac:dyDescent="0.25">
      <c r="A72" s="6">
        <v>65</v>
      </c>
      <c r="B72" s="17" t="s">
        <v>119</v>
      </c>
      <c r="C72" s="14" t="s">
        <v>176</v>
      </c>
      <c r="D72" s="18">
        <v>21</v>
      </c>
      <c r="E72" s="18">
        <v>220</v>
      </c>
      <c r="F72" s="18">
        <v>11197</v>
      </c>
      <c r="G72" s="14" t="s">
        <v>11</v>
      </c>
      <c r="H72" s="15" t="s">
        <v>618</v>
      </c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</row>
    <row r="73" spans="1:89" s="11" customFormat="1" ht="16.5" x14ac:dyDescent="0.25">
      <c r="A73" s="6">
        <v>66</v>
      </c>
      <c r="B73" s="17" t="s">
        <v>119</v>
      </c>
      <c r="C73" s="14" t="s">
        <v>176</v>
      </c>
      <c r="D73" s="18">
        <v>21</v>
      </c>
      <c r="E73" s="18">
        <v>221</v>
      </c>
      <c r="F73" s="18">
        <v>4587</v>
      </c>
      <c r="G73" s="18" t="s">
        <v>11</v>
      </c>
      <c r="H73" s="15" t="s">
        <v>618</v>
      </c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</row>
    <row r="74" spans="1:89" s="11" customFormat="1" ht="16.5" x14ac:dyDescent="0.25">
      <c r="A74" s="6">
        <v>67</v>
      </c>
      <c r="B74" s="17" t="s">
        <v>181</v>
      </c>
      <c r="C74" s="14" t="s">
        <v>176</v>
      </c>
      <c r="D74" s="18">
        <v>21</v>
      </c>
      <c r="E74" s="18">
        <v>66</v>
      </c>
      <c r="F74" s="18">
        <v>7693</v>
      </c>
      <c r="G74" s="14" t="s">
        <v>11</v>
      </c>
      <c r="H74" s="15" t="s">
        <v>617</v>
      </c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</row>
    <row r="75" spans="1:89" s="11" customFormat="1" ht="16.5" x14ac:dyDescent="0.25">
      <c r="A75" s="6">
        <v>68</v>
      </c>
      <c r="B75" s="19" t="s">
        <v>115</v>
      </c>
      <c r="C75" s="14" t="s">
        <v>176</v>
      </c>
      <c r="D75" s="14">
        <v>21</v>
      </c>
      <c r="E75" s="14">
        <v>215</v>
      </c>
      <c r="F75" s="14">
        <v>15445</v>
      </c>
      <c r="G75" s="14" t="s">
        <v>11</v>
      </c>
      <c r="H75" s="15" t="s">
        <v>617</v>
      </c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</row>
    <row r="76" spans="1:89" s="11" customFormat="1" ht="16.5" x14ac:dyDescent="0.25">
      <c r="A76" s="6">
        <v>69</v>
      </c>
      <c r="B76" s="17" t="s">
        <v>76</v>
      </c>
      <c r="C76" s="14" t="s">
        <v>176</v>
      </c>
      <c r="D76" s="18">
        <v>21</v>
      </c>
      <c r="E76" s="18">
        <v>147</v>
      </c>
      <c r="F76" s="18">
        <v>4738</v>
      </c>
      <c r="G76" s="18" t="s">
        <v>11</v>
      </c>
      <c r="H76" s="15" t="s">
        <v>618</v>
      </c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</row>
    <row r="77" spans="1:89" s="11" customFormat="1" ht="16.5" x14ac:dyDescent="0.25">
      <c r="A77" s="6">
        <v>70</v>
      </c>
      <c r="B77" s="17" t="s">
        <v>76</v>
      </c>
      <c r="C77" s="14" t="s">
        <v>176</v>
      </c>
      <c r="D77" s="18">
        <v>21</v>
      </c>
      <c r="E77" s="18">
        <v>146</v>
      </c>
      <c r="F77" s="18">
        <v>7264</v>
      </c>
      <c r="G77" s="14" t="s">
        <v>11</v>
      </c>
      <c r="H77" s="15" t="s">
        <v>618</v>
      </c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</row>
    <row r="78" spans="1:89" s="11" customFormat="1" ht="16.5" x14ac:dyDescent="0.25">
      <c r="A78" s="6">
        <v>71</v>
      </c>
      <c r="B78" s="19" t="s">
        <v>121</v>
      </c>
      <c r="C78" s="14" t="s">
        <v>176</v>
      </c>
      <c r="D78" s="14">
        <v>32</v>
      </c>
      <c r="E78" s="14">
        <v>119</v>
      </c>
      <c r="F78" s="14">
        <v>6114</v>
      </c>
      <c r="G78" s="14" t="s">
        <v>11</v>
      </c>
      <c r="H78" s="15" t="s">
        <v>617</v>
      </c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</row>
    <row r="79" spans="1:89" s="11" customFormat="1" ht="16.5" x14ac:dyDescent="0.25">
      <c r="A79" s="6">
        <v>72</v>
      </c>
      <c r="B79" s="12" t="s">
        <v>182</v>
      </c>
      <c r="C79" s="13" t="s">
        <v>164</v>
      </c>
      <c r="D79" s="13">
        <v>1</v>
      </c>
      <c r="E79" s="13">
        <v>533</v>
      </c>
      <c r="F79" s="16">
        <v>27162.3</v>
      </c>
      <c r="G79" s="13" t="s">
        <v>11</v>
      </c>
      <c r="H79" s="15" t="s">
        <v>183</v>
      </c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</row>
  </sheetData>
  <mergeCells count="13">
    <mergeCell ref="G4:G7"/>
    <mergeCell ref="H4:H7"/>
    <mergeCell ref="I4:I7"/>
    <mergeCell ref="A1:C1"/>
    <mergeCell ref="D1:H1"/>
    <mergeCell ref="A2:H2"/>
    <mergeCell ref="A3:H3"/>
    <mergeCell ref="A4:A7"/>
    <mergeCell ref="B4:B7"/>
    <mergeCell ref="C4:C7"/>
    <mergeCell ref="D4:D7"/>
    <mergeCell ref="E4:E7"/>
    <mergeCell ref="F4:F7"/>
  </mergeCells>
  <pageMargins left="0.7" right="0.88" top="0.2" bottom="0.2" header="0.23" footer="0.2"/>
  <pageSetup paperSize="9" scale="85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CF79"/>
  <sheetViews>
    <sheetView topLeftCell="A31" workbookViewId="0">
      <selection activeCell="B44" sqref="B44"/>
    </sheetView>
  </sheetViews>
  <sheetFormatPr defaultRowHeight="28.5" customHeight="1" x14ac:dyDescent="0.25"/>
  <cols>
    <col min="2" max="2" width="24.140625" customWidth="1"/>
    <col min="3" max="3" width="15.42578125" customWidth="1"/>
    <col min="4" max="4" width="8.5703125" customWidth="1"/>
    <col min="5" max="5" width="11.42578125" customWidth="1"/>
    <col min="6" max="6" width="10.42578125" customWidth="1"/>
    <col min="7" max="7" width="12.5703125" customWidth="1"/>
    <col min="8" max="8" width="40.7109375" customWidth="1"/>
  </cols>
  <sheetData>
    <row r="1" spans="1:84" ht="36.75" customHeight="1" x14ac:dyDescent="0.25">
      <c r="A1" s="128" t="s">
        <v>151</v>
      </c>
      <c r="B1" s="128"/>
      <c r="C1" s="128"/>
      <c r="D1" s="128"/>
      <c r="E1" s="128"/>
      <c r="F1" s="128"/>
      <c r="G1" s="128"/>
      <c r="H1" s="128"/>
    </row>
    <row r="2" spans="1:84" ht="37.5" customHeight="1" x14ac:dyDescent="0.25">
      <c r="A2" s="129" t="s">
        <v>184</v>
      </c>
      <c r="B2" s="129"/>
      <c r="C2" s="129"/>
      <c r="D2" s="129"/>
      <c r="E2" s="129"/>
      <c r="F2" s="129"/>
      <c r="G2" s="129"/>
      <c r="H2" s="129"/>
    </row>
    <row r="3" spans="1:84" ht="28.5" customHeight="1" x14ac:dyDescent="0.25">
      <c r="A3" s="128" t="s">
        <v>185</v>
      </c>
      <c r="B3" s="128"/>
      <c r="C3" s="128"/>
      <c r="D3" s="128"/>
      <c r="E3" s="128"/>
      <c r="F3" s="128"/>
      <c r="G3" s="128"/>
      <c r="H3" s="128"/>
    </row>
    <row r="4" spans="1:84" ht="28.5" customHeight="1" x14ac:dyDescent="0.25">
      <c r="A4" s="126" t="s">
        <v>149</v>
      </c>
      <c r="B4" s="125" t="s">
        <v>154</v>
      </c>
      <c r="C4" s="131" t="s">
        <v>155</v>
      </c>
      <c r="D4" s="131" t="s">
        <v>156</v>
      </c>
      <c r="E4" s="131" t="s">
        <v>157</v>
      </c>
      <c r="F4" s="132" t="s">
        <v>158</v>
      </c>
      <c r="G4" s="125" t="s">
        <v>159</v>
      </c>
      <c r="H4" s="125" t="s">
        <v>6</v>
      </c>
    </row>
    <row r="5" spans="1:84" ht="28.5" customHeight="1" x14ac:dyDescent="0.25">
      <c r="A5" s="126"/>
      <c r="B5" s="125"/>
      <c r="C5" s="131"/>
      <c r="D5" s="131"/>
      <c r="E5" s="131"/>
      <c r="F5" s="132"/>
      <c r="G5" s="126"/>
      <c r="H5" s="125"/>
    </row>
    <row r="6" spans="1:84" ht="28.5" customHeight="1" x14ac:dyDescent="0.25">
      <c r="A6" s="126"/>
      <c r="B6" s="125"/>
      <c r="C6" s="131"/>
      <c r="D6" s="131"/>
      <c r="E6" s="131"/>
      <c r="F6" s="132"/>
      <c r="G6" s="126"/>
      <c r="H6" s="125"/>
    </row>
    <row r="7" spans="1:84" ht="28.5" customHeight="1" x14ac:dyDescent="0.25">
      <c r="A7" s="126"/>
      <c r="B7" s="125"/>
      <c r="C7" s="131"/>
      <c r="D7" s="131"/>
      <c r="E7" s="131"/>
      <c r="F7" s="132"/>
      <c r="G7" s="126"/>
      <c r="H7" s="125"/>
    </row>
    <row r="8" spans="1:84" s="1" customFormat="1" ht="28.5" customHeight="1" x14ac:dyDescent="0.25">
      <c r="A8" s="6">
        <v>1</v>
      </c>
      <c r="B8" s="7" t="s">
        <v>110</v>
      </c>
      <c r="C8" s="6" t="s">
        <v>163</v>
      </c>
      <c r="D8" s="8"/>
      <c r="E8" s="8"/>
      <c r="F8" s="8"/>
      <c r="G8" s="6"/>
      <c r="H8" s="23" t="s">
        <v>621</v>
      </c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</row>
    <row r="9" spans="1:84" s="1" customFormat="1" ht="28.5" customHeight="1" x14ac:dyDescent="0.25">
      <c r="A9" s="6">
        <v>2</v>
      </c>
      <c r="B9" s="12" t="s">
        <v>86</v>
      </c>
      <c r="C9" s="6" t="s">
        <v>163</v>
      </c>
      <c r="D9" s="8"/>
      <c r="E9" s="8"/>
      <c r="F9" s="8"/>
      <c r="G9" s="6"/>
      <c r="H9" s="23" t="s">
        <v>621</v>
      </c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</row>
    <row r="10" spans="1:84" s="1" customFormat="1" ht="28.5" customHeight="1" x14ac:dyDescent="0.25">
      <c r="A10" s="6">
        <v>3</v>
      </c>
      <c r="B10" s="12" t="s">
        <v>21</v>
      </c>
      <c r="C10" s="13" t="s">
        <v>164</v>
      </c>
      <c r="D10" s="13">
        <v>3</v>
      </c>
      <c r="E10" s="14">
        <v>400</v>
      </c>
      <c r="F10" s="14">
        <v>10748</v>
      </c>
      <c r="G10" s="14" t="s">
        <v>11</v>
      </c>
      <c r="H10" s="13" t="s">
        <v>165</v>
      </c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</row>
    <row r="11" spans="1:84" s="1" customFormat="1" ht="28.5" customHeight="1" x14ac:dyDescent="0.25">
      <c r="A11" s="6">
        <v>4</v>
      </c>
      <c r="B11" s="12" t="s">
        <v>166</v>
      </c>
      <c r="C11" s="13" t="s">
        <v>407</v>
      </c>
      <c r="D11" s="13">
        <v>21</v>
      </c>
      <c r="E11" s="13">
        <v>99</v>
      </c>
      <c r="F11" s="16">
        <v>2566</v>
      </c>
      <c r="G11" s="13" t="s">
        <v>11</v>
      </c>
      <c r="H11" s="13" t="s">
        <v>625</v>
      </c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</row>
    <row r="12" spans="1:84" s="1" customFormat="1" ht="28.5" customHeight="1" x14ac:dyDescent="0.25">
      <c r="A12" s="6">
        <v>5</v>
      </c>
      <c r="B12" s="12" t="s">
        <v>166</v>
      </c>
      <c r="C12" s="13" t="s">
        <v>407</v>
      </c>
      <c r="D12" s="13">
        <v>21</v>
      </c>
      <c r="E12" s="13">
        <v>98</v>
      </c>
      <c r="F12" s="16">
        <v>3392</v>
      </c>
      <c r="G12" s="13" t="s">
        <v>11</v>
      </c>
      <c r="H12" s="13" t="s">
        <v>625</v>
      </c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</row>
    <row r="13" spans="1:84" s="1" customFormat="1" ht="28.5" customHeight="1" x14ac:dyDescent="0.25">
      <c r="A13" s="6">
        <v>6</v>
      </c>
      <c r="B13" s="12" t="s">
        <v>167</v>
      </c>
      <c r="C13" s="13" t="s">
        <v>407</v>
      </c>
      <c r="D13" s="13">
        <v>21</v>
      </c>
      <c r="E13" s="13">
        <v>141</v>
      </c>
      <c r="F13" s="16">
        <v>4128</v>
      </c>
      <c r="G13" s="13" t="s">
        <v>11</v>
      </c>
      <c r="H13" s="13" t="s">
        <v>617</v>
      </c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</row>
    <row r="14" spans="1:84" s="1" customFormat="1" ht="28.5" customHeight="1" x14ac:dyDescent="0.25">
      <c r="A14" s="6">
        <v>7</v>
      </c>
      <c r="B14" s="12" t="s">
        <v>88</v>
      </c>
      <c r="C14" s="13" t="s">
        <v>407</v>
      </c>
      <c r="D14" s="13">
        <v>21</v>
      </c>
      <c r="E14" s="13">
        <v>171</v>
      </c>
      <c r="F14" s="16">
        <v>3186</v>
      </c>
      <c r="G14" s="13" t="s">
        <v>11</v>
      </c>
      <c r="H14" s="13" t="s">
        <v>617</v>
      </c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</row>
    <row r="15" spans="1:84" s="1" customFormat="1" ht="28.5" customHeight="1" x14ac:dyDescent="0.25">
      <c r="A15" s="6">
        <v>8</v>
      </c>
      <c r="B15" s="12" t="s">
        <v>122</v>
      </c>
      <c r="C15" s="13" t="s">
        <v>407</v>
      </c>
      <c r="D15" s="13">
        <v>21</v>
      </c>
      <c r="E15" s="13">
        <v>227</v>
      </c>
      <c r="F15" s="16">
        <v>8079</v>
      </c>
      <c r="G15" s="13" t="s">
        <v>11</v>
      </c>
      <c r="H15" s="13" t="s">
        <v>617</v>
      </c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</row>
    <row r="16" spans="1:84" s="1" customFormat="1" ht="28.5" customHeight="1" x14ac:dyDescent="0.25">
      <c r="A16" s="6">
        <v>9</v>
      </c>
      <c r="B16" s="12" t="s">
        <v>84</v>
      </c>
      <c r="C16" s="13" t="s">
        <v>407</v>
      </c>
      <c r="D16" s="13">
        <v>21</v>
      </c>
      <c r="E16" s="13">
        <v>165</v>
      </c>
      <c r="F16" s="16">
        <v>3672</v>
      </c>
      <c r="G16" s="13" t="s">
        <v>11</v>
      </c>
      <c r="H16" s="13" t="s">
        <v>617</v>
      </c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</row>
    <row r="17" spans="1:84" s="1" customFormat="1" ht="28.5" customHeight="1" x14ac:dyDescent="0.25">
      <c r="A17" s="6">
        <v>10</v>
      </c>
      <c r="B17" s="12" t="s">
        <v>51</v>
      </c>
      <c r="C17" s="13" t="s">
        <v>407</v>
      </c>
      <c r="D17" s="13">
        <v>21</v>
      </c>
      <c r="E17" s="13">
        <v>108</v>
      </c>
      <c r="F17" s="16">
        <v>31282</v>
      </c>
      <c r="G17" s="13" t="s">
        <v>11</v>
      </c>
      <c r="H17" s="13" t="s">
        <v>619</v>
      </c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</row>
    <row r="18" spans="1:84" s="1" customFormat="1" ht="28.5" customHeight="1" x14ac:dyDescent="0.25">
      <c r="A18" s="6">
        <v>11</v>
      </c>
      <c r="B18" s="12" t="s">
        <v>51</v>
      </c>
      <c r="C18" s="13" t="s">
        <v>407</v>
      </c>
      <c r="D18" s="13">
        <v>21</v>
      </c>
      <c r="E18" s="13">
        <v>110</v>
      </c>
      <c r="F18" s="16">
        <v>1672</v>
      </c>
      <c r="G18" s="13" t="s">
        <v>11</v>
      </c>
      <c r="H18" s="13" t="s">
        <v>619</v>
      </c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</row>
    <row r="19" spans="1:84" s="1" customFormat="1" ht="28.5" customHeight="1" x14ac:dyDescent="0.25">
      <c r="A19" s="6">
        <v>12</v>
      </c>
      <c r="B19" s="12" t="s">
        <v>51</v>
      </c>
      <c r="C19" s="13" t="s">
        <v>407</v>
      </c>
      <c r="D19" s="13">
        <v>21</v>
      </c>
      <c r="E19" s="13">
        <v>109</v>
      </c>
      <c r="F19" s="16">
        <v>3686</v>
      </c>
      <c r="G19" s="13" t="s">
        <v>11</v>
      </c>
      <c r="H19" s="13" t="s">
        <v>619</v>
      </c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</row>
    <row r="20" spans="1:84" s="1" customFormat="1" ht="28.5" customHeight="1" x14ac:dyDescent="0.25">
      <c r="A20" s="6">
        <v>13</v>
      </c>
      <c r="B20" s="12" t="s">
        <v>170</v>
      </c>
      <c r="C20" s="13" t="s">
        <v>171</v>
      </c>
      <c r="D20" s="13">
        <v>21</v>
      </c>
      <c r="E20" s="13">
        <v>236</v>
      </c>
      <c r="F20" s="16">
        <v>8046</v>
      </c>
      <c r="G20" s="13" t="s">
        <v>11</v>
      </c>
      <c r="H20" s="13" t="s">
        <v>617</v>
      </c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</row>
    <row r="21" spans="1:84" s="1" customFormat="1" ht="28.5" customHeight="1" x14ac:dyDescent="0.25">
      <c r="A21" s="6">
        <v>14</v>
      </c>
      <c r="B21" s="12" t="s">
        <v>29</v>
      </c>
      <c r="C21" s="13" t="s">
        <v>171</v>
      </c>
      <c r="D21" s="13">
        <v>21</v>
      </c>
      <c r="E21" s="13">
        <v>82</v>
      </c>
      <c r="F21" s="16">
        <v>14524</v>
      </c>
      <c r="G21" s="13" t="s">
        <v>11</v>
      </c>
      <c r="H21" s="13" t="s">
        <v>617</v>
      </c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</row>
    <row r="22" spans="1:84" s="1" customFormat="1" ht="28.5" customHeight="1" x14ac:dyDescent="0.25">
      <c r="A22" s="6">
        <v>15</v>
      </c>
      <c r="B22" s="12" t="s">
        <v>49</v>
      </c>
      <c r="C22" s="13" t="s">
        <v>171</v>
      </c>
      <c r="D22" s="13">
        <v>21</v>
      </c>
      <c r="E22" s="13">
        <v>105</v>
      </c>
      <c r="F22" s="16">
        <v>2993</v>
      </c>
      <c r="G22" s="13" t="s">
        <v>11</v>
      </c>
      <c r="H22" s="13" t="s">
        <v>617</v>
      </c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</row>
    <row r="23" spans="1:84" s="1" customFormat="1" ht="28.5" customHeight="1" x14ac:dyDescent="0.25">
      <c r="A23" s="6">
        <v>16</v>
      </c>
      <c r="B23" s="12" t="s">
        <v>92</v>
      </c>
      <c r="C23" s="13" t="s">
        <v>171</v>
      </c>
      <c r="D23" s="13">
        <v>21</v>
      </c>
      <c r="E23" s="13">
        <v>74</v>
      </c>
      <c r="F23" s="16">
        <v>4352</v>
      </c>
      <c r="G23" s="13" t="s">
        <v>11</v>
      </c>
      <c r="H23" s="13" t="s">
        <v>617</v>
      </c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</row>
    <row r="24" spans="1:84" s="1" customFormat="1" ht="28.5" customHeight="1" x14ac:dyDescent="0.25">
      <c r="A24" s="6">
        <v>17</v>
      </c>
      <c r="B24" s="12" t="s">
        <v>73</v>
      </c>
      <c r="C24" s="13" t="s">
        <v>171</v>
      </c>
      <c r="D24" s="13">
        <v>21</v>
      </c>
      <c r="E24" s="13">
        <v>73</v>
      </c>
      <c r="F24" s="16">
        <v>10414</v>
      </c>
      <c r="G24" s="13" t="s">
        <v>11</v>
      </c>
      <c r="H24" s="13" t="s">
        <v>617</v>
      </c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</row>
    <row r="25" spans="1:84" s="1" customFormat="1" ht="28.5" customHeight="1" x14ac:dyDescent="0.25">
      <c r="A25" s="6">
        <v>18</v>
      </c>
      <c r="B25" s="12" t="s">
        <v>77</v>
      </c>
      <c r="C25" s="13" t="s">
        <v>164</v>
      </c>
      <c r="D25" s="13">
        <v>8</v>
      </c>
      <c r="E25" s="13">
        <v>244</v>
      </c>
      <c r="F25" s="16">
        <v>5208</v>
      </c>
      <c r="G25" s="13" t="s">
        <v>11</v>
      </c>
      <c r="H25" s="13" t="s">
        <v>617</v>
      </c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</row>
    <row r="26" spans="1:84" s="1" customFormat="1" ht="28.5" customHeight="1" x14ac:dyDescent="0.25">
      <c r="A26" s="6">
        <v>19</v>
      </c>
      <c r="B26" s="12" t="s">
        <v>100</v>
      </c>
      <c r="C26" s="13" t="s">
        <v>173</v>
      </c>
      <c r="D26" s="13">
        <v>18</v>
      </c>
      <c r="E26" s="13">
        <v>226</v>
      </c>
      <c r="F26" s="16">
        <v>3728.8</v>
      </c>
      <c r="G26" s="13" t="s">
        <v>11</v>
      </c>
      <c r="H26" s="13" t="s">
        <v>617</v>
      </c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</row>
    <row r="27" spans="1:84" s="1" customFormat="1" ht="28.5" customHeight="1" x14ac:dyDescent="0.25">
      <c r="A27" s="6">
        <v>20</v>
      </c>
      <c r="B27" s="12" t="s">
        <v>174</v>
      </c>
      <c r="C27" s="13" t="s">
        <v>173</v>
      </c>
      <c r="D27" s="13">
        <v>8</v>
      </c>
      <c r="E27" s="13">
        <v>227</v>
      </c>
      <c r="F27" s="16">
        <v>2500.9</v>
      </c>
      <c r="G27" s="13" t="s">
        <v>11</v>
      </c>
      <c r="H27" s="13" t="s">
        <v>617</v>
      </c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</row>
    <row r="28" spans="1:84" s="1" customFormat="1" ht="28.5" customHeight="1" x14ac:dyDescent="0.25">
      <c r="A28" s="6">
        <v>21</v>
      </c>
      <c r="B28" s="12" t="s">
        <v>175</v>
      </c>
      <c r="C28" s="13" t="s">
        <v>173</v>
      </c>
      <c r="D28" s="13">
        <v>8</v>
      </c>
      <c r="E28" s="13">
        <v>229</v>
      </c>
      <c r="F28" s="16">
        <v>2611.5</v>
      </c>
      <c r="G28" s="13" t="s">
        <v>11</v>
      </c>
      <c r="H28" s="13" t="s">
        <v>618</v>
      </c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</row>
    <row r="29" spans="1:84" s="1" customFormat="1" ht="28.5" customHeight="1" x14ac:dyDescent="0.25">
      <c r="A29" s="6">
        <v>22</v>
      </c>
      <c r="B29" s="12" t="s">
        <v>175</v>
      </c>
      <c r="C29" s="13" t="s">
        <v>173</v>
      </c>
      <c r="D29" s="13">
        <v>8</v>
      </c>
      <c r="E29" s="13">
        <v>222</v>
      </c>
      <c r="F29" s="16">
        <v>2234.1999999999998</v>
      </c>
      <c r="G29" s="13" t="s">
        <v>11</v>
      </c>
      <c r="H29" s="13" t="s">
        <v>618</v>
      </c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</row>
    <row r="30" spans="1:84" s="1" customFormat="1" ht="28.5" customHeight="1" x14ac:dyDescent="0.25">
      <c r="A30" s="6">
        <v>23</v>
      </c>
      <c r="B30" s="17" t="s">
        <v>180</v>
      </c>
      <c r="C30" s="14" t="s">
        <v>176</v>
      </c>
      <c r="D30" s="18">
        <v>21</v>
      </c>
      <c r="E30" s="18">
        <v>59</v>
      </c>
      <c r="F30" s="18">
        <v>8712</v>
      </c>
      <c r="G30" s="18" t="s">
        <v>11</v>
      </c>
      <c r="H30" s="13" t="s">
        <v>617</v>
      </c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</row>
    <row r="31" spans="1:84" s="1" customFormat="1" ht="28.5" customHeight="1" x14ac:dyDescent="0.25">
      <c r="A31" s="6">
        <v>24</v>
      </c>
      <c r="B31" s="17" t="s">
        <v>180</v>
      </c>
      <c r="C31" s="14" t="s">
        <v>176</v>
      </c>
      <c r="D31" s="18">
        <v>21</v>
      </c>
      <c r="E31" s="18">
        <v>60</v>
      </c>
      <c r="F31" s="18">
        <v>23170</v>
      </c>
      <c r="G31" s="18" t="s">
        <v>11</v>
      </c>
      <c r="H31" s="13" t="s">
        <v>617</v>
      </c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</row>
    <row r="32" spans="1:84" s="1" customFormat="1" ht="28.5" customHeight="1" x14ac:dyDescent="0.25">
      <c r="A32" s="6">
        <v>25</v>
      </c>
      <c r="B32" s="17" t="s">
        <v>20</v>
      </c>
      <c r="C32" s="14" t="s">
        <v>176</v>
      </c>
      <c r="D32" s="18">
        <v>21</v>
      </c>
      <c r="E32" s="18">
        <v>63</v>
      </c>
      <c r="F32" s="18">
        <v>7913</v>
      </c>
      <c r="G32" s="14" t="s">
        <v>11</v>
      </c>
      <c r="H32" s="13" t="s">
        <v>617</v>
      </c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</row>
    <row r="33" spans="1:84" s="1" customFormat="1" ht="28.5" customHeight="1" x14ac:dyDescent="0.25">
      <c r="A33" s="6">
        <v>26</v>
      </c>
      <c r="B33" s="17" t="s">
        <v>90</v>
      </c>
      <c r="C33" s="14" t="s">
        <v>176</v>
      </c>
      <c r="D33" s="18">
        <v>21</v>
      </c>
      <c r="E33" s="18">
        <v>178</v>
      </c>
      <c r="F33" s="18">
        <v>6472</v>
      </c>
      <c r="G33" s="14" t="s">
        <v>11</v>
      </c>
      <c r="H33" s="13" t="s">
        <v>618</v>
      </c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</row>
    <row r="34" spans="1:84" s="1" customFormat="1" ht="28.5" customHeight="1" x14ac:dyDescent="0.25">
      <c r="A34" s="6">
        <v>27</v>
      </c>
      <c r="B34" s="17" t="s">
        <v>88</v>
      </c>
      <c r="C34" s="14" t="s">
        <v>176</v>
      </c>
      <c r="D34" s="18">
        <v>21</v>
      </c>
      <c r="E34" s="18">
        <v>179</v>
      </c>
      <c r="F34" s="18">
        <v>10813</v>
      </c>
      <c r="G34" s="14" t="s">
        <v>11</v>
      </c>
      <c r="H34" s="13" t="s">
        <v>619</v>
      </c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</row>
    <row r="35" spans="1:84" s="1" customFormat="1" ht="28.5" customHeight="1" x14ac:dyDescent="0.25">
      <c r="A35" s="6">
        <v>28</v>
      </c>
      <c r="B35" s="17" t="s">
        <v>88</v>
      </c>
      <c r="C35" s="14" t="s">
        <v>176</v>
      </c>
      <c r="D35" s="18">
        <v>21</v>
      </c>
      <c r="E35" s="18">
        <v>174</v>
      </c>
      <c r="F35" s="18">
        <v>11112</v>
      </c>
      <c r="G35" s="14" t="s">
        <v>11</v>
      </c>
      <c r="H35" s="13" t="s">
        <v>619</v>
      </c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</row>
    <row r="36" spans="1:84" s="1" customFormat="1" ht="28.5" customHeight="1" x14ac:dyDescent="0.25">
      <c r="A36" s="6">
        <v>29</v>
      </c>
      <c r="B36" s="17" t="s">
        <v>88</v>
      </c>
      <c r="C36" s="14" t="s">
        <v>176</v>
      </c>
      <c r="D36" s="18">
        <v>21</v>
      </c>
      <c r="E36" s="18">
        <v>176</v>
      </c>
      <c r="F36" s="18">
        <v>18329</v>
      </c>
      <c r="G36" s="14" t="s">
        <v>11</v>
      </c>
      <c r="H36" s="13" t="s">
        <v>619</v>
      </c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</row>
    <row r="37" spans="1:84" s="1" customFormat="1" ht="28.5" customHeight="1" x14ac:dyDescent="0.25">
      <c r="A37" s="6">
        <v>30</v>
      </c>
      <c r="B37" s="12" t="s">
        <v>110</v>
      </c>
      <c r="C37" s="14" t="s">
        <v>176</v>
      </c>
      <c r="D37" s="13">
        <v>21</v>
      </c>
      <c r="E37" s="13">
        <v>206</v>
      </c>
      <c r="F37" s="16">
        <v>38824</v>
      </c>
      <c r="G37" s="14" t="s">
        <v>11</v>
      </c>
      <c r="H37" s="13" t="s">
        <v>617</v>
      </c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</row>
    <row r="38" spans="1:84" s="1" customFormat="1" ht="28.5" customHeight="1" x14ac:dyDescent="0.25">
      <c r="A38" s="6">
        <v>31</v>
      </c>
      <c r="B38" s="17" t="s">
        <v>28</v>
      </c>
      <c r="C38" s="14" t="s">
        <v>176</v>
      </c>
      <c r="D38" s="18">
        <v>21</v>
      </c>
      <c r="E38" s="18">
        <v>80</v>
      </c>
      <c r="F38" s="18">
        <v>13907</v>
      </c>
      <c r="G38" s="18" t="s">
        <v>11</v>
      </c>
      <c r="H38" s="13" t="s">
        <v>618</v>
      </c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</row>
    <row r="39" spans="1:84" s="1" customFormat="1" ht="28.5" customHeight="1" x14ac:dyDescent="0.25">
      <c r="A39" s="6">
        <v>32</v>
      </c>
      <c r="B39" s="17" t="s">
        <v>28</v>
      </c>
      <c r="C39" s="14" t="s">
        <v>176</v>
      </c>
      <c r="D39" s="18">
        <v>21</v>
      </c>
      <c r="E39" s="18">
        <v>79</v>
      </c>
      <c r="F39" s="18">
        <v>9667</v>
      </c>
      <c r="G39" s="14" t="s">
        <v>11</v>
      </c>
      <c r="H39" s="13" t="s">
        <v>618</v>
      </c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</row>
    <row r="40" spans="1:84" s="1" customFormat="1" ht="28.5" customHeight="1" x14ac:dyDescent="0.25">
      <c r="A40" s="6">
        <v>33</v>
      </c>
      <c r="B40" s="17" t="s">
        <v>80</v>
      </c>
      <c r="C40" s="14" t="s">
        <v>176</v>
      </c>
      <c r="D40" s="18">
        <v>21</v>
      </c>
      <c r="E40" s="18">
        <v>153</v>
      </c>
      <c r="F40" s="18">
        <v>7804</v>
      </c>
      <c r="G40" s="14" t="s">
        <v>11</v>
      </c>
      <c r="H40" s="13" t="s">
        <v>617</v>
      </c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</row>
    <row r="41" spans="1:84" s="1" customFormat="1" ht="28.5" customHeight="1" x14ac:dyDescent="0.25">
      <c r="A41" s="6">
        <v>34</v>
      </c>
      <c r="B41" s="17" t="s">
        <v>119</v>
      </c>
      <c r="C41" s="14" t="s">
        <v>176</v>
      </c>
      <c r="D41" s="18">
        <v>21</v>
      </c>
      <c r="E41" s="18">
        <v>220</v>
      </c>
      <c r="F41" s="18">
        <v>11197</v>
      </c>
      <c r="G41" s="14" t="s">
        <v>11</v>
      </c>
      <c r="H41" s="13" t="s">
        <v>618</v>
      </c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</row>
    <row r="42" spans="1:84" s="1" customFormat="1" ht="28.5" customHeight="1" x14ac:dyDescent="0.25">
      <c r="A42" s="6">
        <v>35</v>
      </c>
      <c r="B42" s="17" t="s">
        <v>119</v>
      </c>
      <c r="C42" s="14" t="s">
        <v>176</v>
      </c>
      <c r="D42" s="18">
        <v>21</v>
      </c>
      <c r="E42" s="18">
        <v>221</v>
      </c>
      <c r="F42" s="18">
        <v>4587</v>
      </c>
      <c r="G42" s="18" t="s">
        <v>11</v>
      </c>
      <c r="H42" s="13" t="s">
        <v>618</v>
      </c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</row>
    <row r="43" spans="1:84" s="1" customFormat="1" ht="28.5" customHeight="1" x14ac:dyDescent="0.25">
      <c r="A43" s="6">
        <v>36</v>
      </c>
      <c r="B43" s="17" t="s">
        <v>181</v>
      </c>
      <c r="C43" s="14" t="s">
        <v>176</v>
      </c>
      <c r="D43" s="18">
        <v>21</v>
      </c>
      <c r="E43" s="18">
        <v>66</v>
      </c>
      <c r="F43" s="18">
        <v>7693</v>
      </c>
      <c r="G43" s="14" t="s">
        <v>11</v>
      </c>
      <c r="H43" s="13" t="s">
        <v>617</v>
      </c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</row>
    <row r="44" spans="1:84" s="1" customFormat="1" ht="28.5" customHeight="1" x14ac:dyDescent="0.25">
      <c r="A44" s="6">
        <v>37</v>
      </c>
      <c r="B44" s="19" t="s">
        <v>115</v>
      </c>
      <c r="C44" s="14" t="s">
        <v>176</v>
      </c>
      <c r="D44" s="14">
        <v>21</v>
      </c>
      <c r="E44" s="14">
        <v>215</v>
      </c>
      <c r="F44" s="14">
        <v>15445</v>
      </c>
      <c r="G44" s="14" t="s">
        <v>11</v>
      </c>
      <c r="H44" s="13" t="s">
        <v>617</v>
      </c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</row>
    <row r="45" spans="1:84" s="1" customFormat="1" ht="28.5" customHeight="1" x14ac:dyDescent="0.25">
      <c r="A45" s="6">
        <v>38</v>
      </c>
      <c r="B45" s="17" t="s">
        <v>76</v>
      </c>
      <c r="C45" s="14" t="s">
        <v>176</v>
      </c>
      <c r="D45" s="18">
        <v>21</v>
      </c>
      <c r="E45" s="18">
        <v>147</v>
      </c>
      <c r="F45" s="18">
        <v>4738</v>
      </c>
      <c r="G45" s="18" t="s">
        <v>11</v>
      </c>
      <c r="H45" s="13" t="s">
        <v>618</v>
      </c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</row>
    <row r="46" spans="1:84" s="1" customFormat="1" ht="28.5" customHeight="1" x14ac:dyDescent="0.25">
      <c r="A46" s="6">
        <v>39</v>
      </c>
      <c r="B46" s="17" t="s">
        <v>76</v>
      </c>
      <c r="C46" s="14" t="s">
        <v>176</v>
      </c>
      <c r="D46" s="18">
        <v>21</v>
      </c>
      <c r="E46" s="18">
        <v>146</v>
      </c>
      <c r="F46" s="18">
        <v>7264</v>
      </c>
      <c r="G46" s="14" t="s">
        <v>11</v>
      </c>
      <c r="H46" s="13" t="s">
        <v>618</v>
      </c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</row>
    <row r="47" spans="1:84" s="1" customFormat="1" ht="28.5" customHeight="1" x14ac:dyDescent="0.25">
      <c r="A47" s="6">
        <v>40</v>
      </c>
      <c r="B47" s="19" t="s">
        <v>121</v>
      </c>
      <c r="C47" s="14" t="s">
        <v>176</v>
      </c>
      <c r="D47" s="14">
        <v>32</v>
      </c>
      <c r="E47" s="14">
        <v>119</v>
      </c>
      <c r="F47" s="14">
        <v>6114</v>
      </c>
      <c r="G47" s="14" t="s">
        <v>11</v>
      </c>
      <c r="H47" s="13" t="s">
        <v>617</v>
      </c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</row>
    <row r="48" spans="1:84" s="1" customFormat="1" ht="28.5" customHeight="1" x14ac:dyDescent="0.25">
      <c r="A48" s="6">
        <v>41</v>
      </c>
      <c r="B48" s="12" t="s">
        <v>182</v>
      </c>
      <c r="C48" s="13" t="s">
        <v>164</v>
      </c>
      <c r="D48" s="13">
        <v>1</v>
      </c>
      <c r="E48" s="13">
        <v>533</v>
      </c>
      <c r="F48" s="16">
        <v>27162.3</v>
      </c>
      <c r="G48" s="13" t="s">
        <v>11</v>
      </c>
      <c r="H48" s="13" t="s">
        <v>183</v>
      </c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</row>
    <row r="49" spans="1:84" ht="28.5" customHeight="1" x14ac:dyDescent="0.25">
      <c r="A49" s="20"/>
      <c r="B49" s="20"/>
      <c r="C49" s="21"/>
      <c r="D49" s="21"/>
      <c r="E49" s="21"/>
      <c r="F49" s="22"/>
      <c r="G49" s="21"/>
      <c r="H49" s="21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</row>
    <row r="50" spans="1:84" ht="28.5" customHeight="1" x14ac:dyDescent="0.25">
      <c r="A50" s="20"/>
      <c r="B50" s="20"/>
      <c r="C50" s="21"/>
      <c r="D50" s="21"/>
      <c r="E50" s="21"/>
      <c r="F50" s="22"/>
      <c r="G50" s="21"/>
      <c r="H50" s="21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</row>
    <row r="51" spans="1:84" ht="28.5" customHeight="1" x14ac:dyDescent="0.25"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</row>
    <row r="52" spans="1:84" ht="28.5" customHeight="1" x14ac:dyDescent="0.25"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4"/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</row>
    <row r="53" spans="1:84" ht="28.5" customHeight="1" x14ac:dyDescent="0.25"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</row>
    <row r="54" spans="1:84" ht="28.5" customHeight="1" x14ac:dyDescent="0.25"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</row>
    <row r="55" spans="1:84" ht="28.5" customHeight="1" x14ac:dyDescent="0.25"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</row>
    <row r="56" spans="1:84" ht="28.5" customHeight="1" x14ac:dyDescent="0.25"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</row>
    <row r="57" spans="1:84" ht="28.5" customHeight="1" x14ac:dyDescent="0.25"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</row>
    <row r="58" spans="1:84" ht="28.5" customHeight="1" x14ac:dyDescent="0.25"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</row>
    <row r="59" spans="1:84" ht="28.5" customHeight="1" x14ac:dyDescent="0.25"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</row>
    <row r="60" spans="1:84" ht="28.5" customHeight="1" x14ac:dyDescent="0.25"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</row>
    <row r="61" spans="1:84" ht="28.5" customHeight="1" x14ac:dyDescent="0.25"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</row>
    <row r="62" spans="1:84" ht="28.5" customHeight="1" x14ac:dyDescent="0.25"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</row>
    <row r="63" spans="1:84" ht="28.5" customHeight="1" x14ac:dyDescent="0.25"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</row>
    <row r="64" spans="1:84" ht="28.5" customHeight="1" x14ac:dyDescent="0.25"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</row>
    <row r="65" spans="9:84" ht="28.5" customHeight="1" x14ac:dyDescent="0.25"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</row>
    <row r="66" spans="9:84" ht="28.5" customHeight="1" x14ac:dyDescent="0.25"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</row>
    <row r="67" spans="9:84" ht="28.5" customHeight="1" x14ac:dyDescent="0.25"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</row>
    <row r="68" spans="9:84" ht="28.5" customHeight="1" x14ac:dyDescent="0.25"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</row>
    <row r="69" spans="9:84" ht="28.5" customHeight="1" x14ac:dyDescent="0.25"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</row>
    <row r="70" spans="9:84" ht="28.5" customHeight="1" x14ac:dyDescent="0.25"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4"/>
      <c r="BB70" s="24"/>
      <c r="BC70" s="24"/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</row>
    <row r="71" spans="9:84" ht="28.5" customHeight="1" x14ac:dyDescent="0.25"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</row>
    <row r="72" spans="9:84" ht="28.5" customHeight="1" x14ac:dyDescent="0.25"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</row>
    <row r="73" spans="9:84" ht="28.5" customHeight="1" x14ac:dyDescent="0.25"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4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</row>
    <row r="74" spans="9:84" ht="28.5" customHeight="1" x14ac:dyDescent="0.25"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</row>
    <row r="75" spans="9:84" ht="28.5" customHeight="1" x14ac:dyDescent="0.25"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</row>
    <row r="76" spans="9:84" ht="28.5" customHeight="1" x14ac:dyDescent="0.25"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</row>
    <row r="77" spans="9:84" ht="28.5" customHeight="1" x14ac:dyDescent="0.25"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  <c r="CC77" s="24"/>
      <c r="CD77" s="24"/>
      <c r="CE77" s="24"/>
      <c r="CF77" s="24"/>
    </row>
    <row r="78" spans="9:84" ht="28.5" customHeight="1" x14ac:dyDescent="0.25"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</row>
    <row r="79" spans="9:84" ht="28.5" customHeight="1" x14ac:dyDescent="0.25"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4"/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</row>
  </sheetData>
  <mergeCells count="11">
    <mergeCell ref="H4:H7"/>
    <mergeCell ref="A1:H1"/>
    <mergeCell ref="A2:H2"/>
    <mergeCell ref="A3:H3"/>
    <mergeCell ref="A4:A7"/>
    <mergeCell ref="B4:B7"/>
    <mergeCell ref="C4:C7"/>
    <mergeCell ref="D4:D7"/>
    <mergeCell ref="E4:E7"/>
    <mergeCell ref="F4:F7"/>
    <mergeCell ref="G4:G7"/>
  </mergeCells>
  <pageMargins left="0.51" right="0.7" top="0.22" bottom="0.28999999999999998" header="0.3" footer="0.3"/>
  <pageSetup paperSize="9" orientation="landscape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H40"/>
  <sheetViews>
    <sheetView topLeftCell="A28" workbookViewId="0">
      <selection activeCell="E14" sqref="E14:G14"/>
    </sheetView>
  </sheetViews>
  <sheetFormatPr defaultRowHeight="28.5" customHeight="1" x14ac:dyDescent="0.25"/>
  <cols>
    <col min="2" max="2" width="24.140625" customWidth="1"/>
    <col min="3" max="3" width="15.42578125" customWidth="1"/>
    <col min="4" max="4" width="8.5703125" customWidth="1"/>
    <col min="5" max="5" width="11.42578125" customWidth="1"/>
    <col min="6" max="6" width="10.42578125" customWidth="1"/>
    <col min="7" max="7" width="12.5703125" customWidth="1"/>
    <col min="8" max="8" width="40.7109375" customWidth="1"/>
  </cols>
  <sheetData>
    <row r="1" spans="1:8" ht="36.75" customHeight="1" x14ac:dyDescent="0.25">
      <c r="A1" s="128" t="s">
        <v>151</v>
      </c>
      <c r="B1" s="128"/>
      <c r="C1" s="128"/>
      <c r="D1" s="128"/>
      <c r="E1" s="128"/>
      <c r="F1" s="128"/>
      <c r="G1" s="128"/>
      <c r="H1" s="128"/>
    </row>
    <row r="2" spans="1:8" ht="37.5" customHeight="1" x14ac:dyDescent="0.25">
      <c r="A2" s="129" t="s">
        <v>186</v>
      </c>
      <c r="B2" s="129"/>
      <c r="C2" s="129"/>
      <c r="D2" s="129"/>
      <c r="E2" s="129"/>
      <c r="F2" s="129"/>
      <c r="G2" s="129"/>
      <c r="H2" s="129"/>
    </row>
    <row r="3" spans="1:8" ht="28.5" customHeight="1" x14ac:dyDescent="0.25">
      <c r="A3" s="128" t="s">
        <v>185</v>
      </c>
      <c r="B3" s="128"/>
      <c r="C3" s="128"/>
      <c r="D3" s="128"/>
      <c r="E3" s="128"/>
      <c r="F3" s="128"/>
      <c r="G3" s="128"/>
      <c r="H3" s="128"/>
    </row>
    <row r="4" spans="1:8" ht="28.5" customHeight="1" x14ac:dyDescent="0.25">
      <c r="A4" s="126" t="s">
        <v>149</v>
      </c>
      <c r="B4" s="125" t="s">
        <v>154</v>
      </c>
      <c r="C4" s="131" t="s">
        <v>155</v>
      </c>
      <c r="D4" s="131" t="s">
        <v>156</v>
      </c>
      <c r="E4" s="131" t="s">
        <v>157</v>
      </c>
      <c r="F4" s="132" t="s">
        <v>158</v>
      </c>
      <c r="G4" s="125" t="s">
        <v>159</v>
      </c>
      <c r="H4" s="125" t="s">
        <v>6</v>
      </c>
    </row>
    <row r="5" spans="1:8" ht="28.5" customHeight="1" x14ac:dyDescent="0.25">
      <c r="A5" s="126"/>
      <c r="B5" s="125"/>
      <c r="C5" s="131"/>
      <c r="D5" s="131"/>
      <c r="E5" s="131"/>
      <c r="F5" s="132"/>
      <c r="G5" s="126"/>
      <c r="H5" s="125"/>
    </row>
    <row r="6" spans="1:8" ht="28.5" customHeight="1" x14ac:dyDescent="0.25">
      <c r="A6" s="126"/>
      <c r="B6" s="125"/>
      <c r="C6" s="131"/>
      <c r="D6" s="131"/>
      <c r="E6" s="131"/>
      <c r="F6" s="132"/>
      <c r="G6" s="126"/>
      <c r="H6" s="125"/>
    </row>
    <row r="7" spans="1:8" ht="28.5" customHeight="1" x14ac:dyDescent="0.25">
      <c r="A7" s="126"/>
      <c r="B7" s="125"/>
      <c r="C7" s="131"/>
      <c r="D7" s="131"/>
      <c r="E7" s="131"/>
      <c r="F7" s="132"/>
      <c r="G7" s="126"/>
      <c r="H7" s="125"/>
    </row>
    <row r="8" spans="1:8" ht="28.5" customHeight="1" x14ac:dyDescent="0.25">
      <c r="A8" s="6">
        <v>1</v>
      </c>
      <c r="B8" s="7" t="s">
        <v>160</v>
      </c>
      <c r="C8" s="6" t="s">
        <v>161</v>
      </c>
      <c r="D8" s="8">
        <v>33</v>
      </c>
      <c r="E8" s="8">
        <v>49</v>
      </c>
      <c r="F8" s="8">
        <v>2916.3</v>
      </c>
      <c r="G8" s="6" t="s">
        <v>11</v>
      </c>
      <c r="H8" s="9" t="s">
        <v>620</v>
      </c>
    </row>
    <row r="9" spans="1:8" ht="28.5" customHeight="1" x14ac:dyDescent="0.25">
      <c r="A9" s="6">
        <v>2</v>
      </c>
      <c r="B9" s="7" t="s">
        <v>162</v>
      </c>
      <c r="C9" s="6" t="s">
        <v>161</v>
      </c>
      <c r="D9" s="8">
        <v>5</v>
      </c>
      <c r="E9" s="8">
        <v>32</v>
      </c>
      <c r="F9" s="8">
        <v>5931</v>
      </c>
      <c r="G9" s="6" t="s">
        <v>11</v>
      </c>
      <c r="H9" s="9" t="s">
        <v>620</v>
      </c>
    </row>
    <row r="10" spans="1:8" ht="28.5" customHeight="1" x14ac:dyDescent="0.25">
      <c r="A10" s="6">
        <v>3</v>
      </c>
      <c r="B10" s="7" t="s">
        <v>141</v>
      </c>
      <c r="C10" s="6" t="s">
        <v>163</v>
      </c>
      <c r="D10" s="8"/>
      <c r="E10" s="8"/>
      <c r="F10" s="8"/>
      <c r="G10" s="6"/>
      <c r="H10" s="9" t="s">
        <v>621</v>
      </c>
    </row>
    <row r="11" spans="1:8" ht="28.5" customHeight="1" x14ac:dyDescent="0.25">
      <c r="A11" s="6">
        <v>4</v>
      </c>
      <c r="B11" s="7" t="s">
        <v>119</v>
      </c>
      <c r="C11" s="6" t="s">
        <v>163</v>
      </c>
      <c r="D11" s="8"/>
      <c r="E11" s="8"/>
      <c r="F11" s="8"/>
      <c r="G11" s="6"/>
      <c r="H11" s="9" t="s">
        <v>621</v>
      </c>
    </row>
    <row r="12" spans="1:8" ht="28.5" customHeight="1" x14ac:dyDescent="0.25">
      <c r="A12" s="6">
        <v>5</v>
      </c>
      <c r="B12" s="7" t="s">
        <v>125</v>
      </c>
      <c r="C12" s="6" t="s">
        <v>163</v>
      </c>
      <c r="D12" s="8"/>
      <c r="E12" s="8"/>
      <c r="F12" s="8"/>
      <c r="G12" s="6"/>
      <c r="H12" s="9" t="s">
        <v>621</v>
      </c>
    </row>
    <row r="13" spans="1:8" ht="28.5" customHeight="1" x14ac:dyDescent="0.25">
      <c r="A13" s="6">
        <v>6</v>
      </c>
      <c r="B13" s="7" t="s">
        <v>122</v>
      </c>
      <c r="C13" s="6" t="s">
        <v>163</v>
      </c>
      <c r="D13" s="8"/>
      <c r="E13" s="8"/>
      <c r="F13" s="8"/>
      <c r="G13" s="6"/>
      <c r="H13" s="9" t="s">
        <v>621</v>
      </c>
    </row>
    <row r="14" spans="1:8" ht="28.5" customHeight="1" x14ac:dyDescent="0.25">
      <c r="A14" s="6">
        <v>7</v>
      </c>
      <c r="B14" s="12" t="s">
        <v>130</v>
      </c>
      <c r="C14" s="6" t="s">
        <v>163</v>
      </c>
      <c r="D14" s="13"/>
      <c r="E14" s="71"/>
      <c r="F14" s="71"/>
      <c r="G14" s="71"/>
      <c r="H14" s="9" t="s">
        <v>621</v>
      </c>
    </row>
    <row r="15" spans="1:8" ht="28.5" customHeight="1" x14ac:dyDescent="0.25">
      <c r="A15" s="6">
        <v>8</v>
      </c>
      <c r="B15" s="12" t="s">
        <v>24</v>
      </c>
      <c r="C15" s="13" t="s">
        <v>407</v>
      </c>
      <c r="D15" s="13">
        <v>21</v>
      </c>
      <c r="E15" s="13">
        <v>71</v>
      </c>
      <c r="F15" s="16">
        <v>7637</v>
      </c>
      <c r="G15" s="13" t="s">
        <v>11</v>
      </c>
      <c r="H15" s="15" t="s">
        <v>617</v>
      </c>
    </row>
    <row r="16" spans="1:8" ht="28.5" customHeight="1" x14ac:dyDescent="0.25">
      <c r="A16" s="6">
        <v>9</v>
      </c>
      <c r="B16" s="12" t="s">
        <v>168</v>
      </c>
      <c r="C16" s="13" t="s">
        <v>407</v>
      </c>
      <c r="D16" s="13">
        <v>21</v>
      </c>
      <c r="E16" s="13">
        <v>189</v>
      </c>
      <c r="F16" s="16">
        <v>4497</v>
      </c>
      <c r="G16" s="13" t="s">
        <v>11</v>
      </c>
      <c r="H16" s="15" t="s">
        <v>617</v>
      </c>
    </row>
    <row r="17" spans="1:8" ht="28.5" customHeight="1" x14ac:dyDescent="0.25">
      <c r="A17" s="6">
        <v>10</v>
      </c>
      <c r="B17" s="12" t="s">
        <v>169</v>
      </c>
      <c r="C17" s="13" t="s">
        <v>407</v>
      </c>
      <c r="D17" s="13">
        <v>21</v>
      </c>
      <c r="E17" s="13">
        <v>115</v>
      </c>
      <c r="F17" s="16">
        <v>26358</v>
      </c>
      <c r="G17" s="13" t="s">
        <v>11</v>
      </c>
      <c r="H17" s="15" t="s">
        <v>624</v>
      </c>
    </row>
    <row r="18" spans="1:8" ht="28.5" customHeight="1" x14ac:dyDescent="0.25">
      <c r="A18" s="6">
        <v>11</v>
      </c>
      <c r="B18" s="12" t="s">
        <v>172</v>
      </c>
      <c r="C18" s="13" t="s">
        <v>171</v>
      </c>
      <c r="D18" s="13">
        <v>21</v>
      </c>
      <c r="E18" s="13">
        <v>72</v>
      </c>
      <c r="F18" s="16">
        <v>11043</v>
      </c>
      <c r="G18" s="13" t="s">
        <v>11</v>
      </c>
      <c r="H18" s="15" t="s">
        <v>617</v>
      </c>
    </row>
    <row r="19" spans="1:8" ht="28.5" customHeight="1" x14ac:dyDescent="0.25">
      <c r="A19" s="6">
        <v>12</v>
      </c>
      <c r="B19" s="17" t="s">
        <v>66</v>
      </c>
      <c r="C19" s="14" t="s">
        <v>176</v>
      </c>
      <c r="D19" s="18">
        <v>21</v>
      </c>
      <c r="E19" s="18">
        <v>134</v>
      </c>
      <c r="F19" s="18">
        <v>6891</v>
      </c>
      <c r="G19" s="14" t="s">
        <v>11</v>
      </c>
      <c r="H19" s="15" t="s">
        <v>618</v>
      </c>
    </row>
    <row r="20" spans="1:8" ht="28.5" customHeight="1" x14ac:dyDescent="0.25">
      <c r="A20" s="6">
        <v>13</v>
      </c>
      <c r="B20" s="17" t="s">
        <v>66</v>
      </c>
      <c r="C20" s="14" t="s">
        <v>176</v>
      </c>
      <c r="D20" s="18">
        <v>21</v>
      </c>
      <c r="E20" s="18">
        <v>135</v>
      </c>
      <c r="F20" s="18">
        <v>36590</v>
      </c>
      <c r="G20" s="14" t="s">
        <v>11</v>
      </c>
      <c r="H20" s="15" t="s">
        <v>618</v>
      </c>
    </row>
    <row r="21" spans="1:8" ht="28.5" customHeight="1" x14ac:dyDescent="0.25">
      <c r="A21" s="6">
        <v>14</v>
      </c>
      <c r="B21" s="17" t="s">
        <v>79</v>
      </c>
      <c r="C21" s="14" t="s">
        <v>176</v>
      </c>
      <c r="D21" s="18">
        <v>21</v>
      </c>
      <c r="E21" s="18">
        <v>150</v>
      </c>
      <c r="F21" s="18">
        <v>7258</v>
      </c>
      <c r="G21" s="14" t="s">
        <v>11</v>
      </c>
      <c r="H21" s="15" t="s">
        <v>618</v>
      </c>
    </row>
    <row r="22" spans="1:8" ht="28.5" customHeight="1" x14ac:dyDescent="0.25">
      <c r="A22" s="6">
        <v>15</v>
      </c>
      <c r="B22" s="17" t="s">
        <v>79</v>
      </c>
      <c r="C22" s="14" t="s">
        <v>176</v>
      </c>
      <c r="D22" s="18">
        <v>21</v>
      </c>
      <c r="E22" s="18">
        <v>152</v>
      </c>
      <c r="F22" s="18">
        <v>4680</v>
      </c>
      <c r="G22" s="14" t="s">
        <v>11</v>
      </c>
      <c r="H22" s="15" t="s">
        <v>618</v>
      </c>
    </row>
    <row r="23" spans="1:8" ht="28.5" customHeight="1" x14ac:dyDescent="0.25">
      <c r="A23" s="6">
        <v>16</v>
      </c>
      <c r="B23" s="17" t="s">
        <v>32</v>
      </c>
      <c r="C23" s="14" t="s">
        <v>176</v>
      </c>
      <c r="D23" s="18">
        <v>21</v>
      </c>
      <c r="E23" s="18">
        <v>86</v>
      </c>
      <c r="F23" s="18">
        <v>8170</v>
      </c>
      <c r="G23" s="14" t="s">
        <v>11</v>
      </c>
      <c r="H23" s="15" t="s">
        <v>617</v>
      </c>
    </row>
    <row r="24" spans="1:8" ht="28.5" customHeight="1" x14ac:dyDescent="0.25">
      <c r="A24" s="6">
        <v>17</v>
      </c>
      <c r="B24" s="17" t="s">
        <v>30</v>
      </c>
      <c r="C24" s="14" t="s">
        <v>176</v>
      </c>
      <c r="D24" s="18">
        <v>21</v>
      </c>
      <c r="E24" s="18">
        <v>83</v>
      </c>
      <c r="F24" s="18">
        <v>5917</v>
      </c>
      <c r="G24" s="14" t="s">
        <v>11</v>
      </c>
      <c r="H24" s="15" t="s">
        <v>618</v>
      </c>
    </row>
    <row r="25" spans="1:8" ht="28.5" customHeight="1" x14ac:dyDescent="0.25">
      <c r="A25" s="6">
        <v>18</v>
      </c>
      <c r="B25" s="17" t="s">
        <v>30</v>
      </c>
      <c r="C25" s="14" t="s">
        <v>176</v>
      </c>
      <c r="D25" s="18">
        <v>21</v>
      </c>
      <c r="E25" s="18">
        <v>84</v>
      </c>
      <c r="F25" s="18">
        <v>3911</v>
      </c>
      <c r="G25" s="14" t="s">
        <v>11</v>
      </c>
      <c r="H25" s="15" t="s">
        <v>618</v>
      </c>
    </row>
    <row r="26" spans="1:8" ht="28.5" customHeight="1" x14ac:dyDescent="0.25">
      <c r="A26" s="6">
        <v>19</v>
      </c>
      <c r="B26" s="12" t="s">
        <v>120</v>
      </c>
      <c r="C26" s="14" t="s">
        <v>176</v>
      </c>
      <c r="D26" s="13">
        <v>21</v>
      </c>
      <c r="E26" s="13">
        <v>223</v>
      </c>
      <c r="F26" s="16">
        <v>4096</v>
      </c>
      <c r="G26" s="14" t="s">
        <v>11</v>
      </c>
      <c r="H26" s="15" t="s">
        <v>617</v>
      </c>
    </row>
    <row r="27" spans="1:8" ht="28.5" customHeight="1" x14ac:dyDescent="0.25">
      <c r="A27" s="6">
        <v>20</v>
      </c>
      <c r="B27" s="17" t="s">
        <v>91</v>
      </c>
      <c r="C27" s="14" t="s">
        <v>176</v>
      </c>
      <c r="D27" s="18">
        <v>21</v>
      </c>
      <c r="E27" s="18">
        <v>182</v>
      </c>
      <c r="F27" s="18">
        <v>5395</v>
      </c>
      <c r="G27" s="14" t="s">
        <v>11</v>
      </c>
      <c r="H27" s="15" t="s">
        <v>617</v>
      </c>
    </row>
    <row r="28" spans="1:8" ht="28.5" customHeight="1" x14ac:dyDescent="0.25">
      <c r="A28" s="6">
        <v>21</v>
      </c>
      <c r="B28" s="17" t="s">
        <v>61</v>
      </c>
      <c r="C28" s="14" t="s">
        <v>176</v>
      </c>
      <c r="D28" s="18">
        <v>21</v>
      </c>
      <c r="E28" s="18">
        <v>127</v>
      </c>
      <c r="F28" s="18">
        <v>5024</v>
      </c>
      <c r="G28" s="14" t="s">
        <v>11</v>
      </c>
      <c r="H28" s="15" t="s">
        <v>618</v>
      </c>
    </row>
    <row r="29" spans="1:8" ht="28.5" customHeight="1" x14ac:dyDescent="0.25">
      <c r="A29" s="6">
        <v>22</v>
      </c>
      <c r="B29" s="17" t="s">
        <v>61</v>
      </c>
      <c r="C29" s="14" t="s">
        <v>176</v>
      </c>
      <c r="D29" s="18">
        <v>21</v>
      </c>
      <c r="E29" s="18">
        <v>125</v>
      </c>
      <c r="F29" s="18">
        <v>9149</v>
      </c>
      <c r="G29" s="14" t="s">
        <v>11</v>
      </c>
      <c r="H29" s="15" t="s">
        <v>618</v>
      </c>
    </row>
    <row r="30" spans="1:8" ht="28.5" customHeight="1" x14ac:dyDescent="0.25">
      <c r="A30" s="6">
        <v>23</v>
      </c>
      <c r="B30" s="17" t="s">
        <v>177</v>
      </c>
      <c r="C30" s="14" t="s">
        <v>176</v>
      </c>
      <c r="D30" s="18">
        <v>21</v>
      </c>
      <c r="E30" s="18">
        <v>209</v>
      </c>
      <c r="F30" s="18">
        <v>6317</v>
      </c>
      <c r="G30" s="14" t="s">
        <v>11</v>
      </c>
      <c r="H30" s="15" t="s">
        <v>617</v>
      </c>
    </row>
    <row r="31" spans="1:8" ht="28.5" customHeight="1" x14ac:dyDescent="0.25">
      <c r="A31" s="6">
        <v>24</v>
      </c>
      <c r="B31" s="17" t="s">
        <v>103</v>
      </c>
      <c r="C31" s="14" t="s">
        <v>176</v>
      </c>
      <c r="D31" s="18">
        <v>21</v>
      </c>
      <c r="E31" s="18">
        <v>198</v>
      </c>
      <c r="F31" s="18">
        <v>4280</v>
      </c>
      <c r="G31" s="14" t="s">
        <v>11</v>
      </c>
      <c r="H31" s="15" t="s">
        <v>617</v>
      </c>
    </row>
    <row r="32" spans="1:8" ht="28.5" customHeight="1" x14ac:dyDescent="0.25">
      <c r="A32" s="6">
        <v>25</v>
      </c>
      <c r="B32" s="17" t="s">
        <v>178</v>
      </c>
      <c r="C32" s="14" t="s">
        <v>176</v>
      </c>
      <c r="D32" s="18">
        <v>21</v>
      </c>
      <c r="E32" s="18">
        <v>246</v>
      </c>
      <c r="F32" s="18">
        <v>39426</v>
      </c>
      <c r="G32" s="18" t="s">
        <v>11</v>
      </c>
      <c r="H32" s="15" t="s">
        <v>618</v>
      </c>
    </row>
    <row r="33" spans="1:8" ht="28.5" customHeight="1" x14ac:dyDescent="0.25">
      <c r="A33" s="6">
        <v>26</v>
      </c>
      <c r="B33" s="17" t="s">
        <v>178</v>
      </c>
      <c r="C33" s="14" t="s">
        <v>176</v>
      </c>
      <c r="D33" s="18">
        <v>21</v>
      </c>
      <c r="E33" s="18">
        <v>247</v>
      </c>
      <c r="F33" s="18">
        <v>20344</v>
      </c>
      <c r="G33" s="18" t="s">
        <v>11</v>
      </c>
      <c r="H33" s="15" t="s">
        <v>618</v>
      </c>
    </row>
    <row r="34" spans="1:8" ht="28.5" customHeight="1" x14ac:dyDescent="0.25">
      <c r="A34" s="6">
        <v>27</v>
      </c>
      <c r="B34" s="17" t="s">
        <v>179</v>
      </c>
      <c r="C34" s="14" t="s">
        <v>176</v>
      </c>
      <c r="D34" s="18">
        <v>21</v>
      </c>
      <c r="E34" s="18">
        <v>62</v>
      </c>
      <c r="F34" s="18">
        <v>12240</v>
      </c>
      <c r="G34" s="18" t="s">
        <v>11</v>
      </c>
      <c r="H34" s="15" t="s">
        <v>617</v>
      </c>
    </row>
    <row r="35" spans="1:8" ht="28.5" customHeight="1" x14ac:dyDescent="0.25">
      <c r="A35" s="6">
        <v>28</v>
      </c>
      <c r="B35" s="17" t="s">
        <v>83</v>
      </c>
      <c r="C35" s="14" t="s">
        <v>176</v>
      </c>
      <c r="D35" s="18">
        <v>21</v>
      </c>
      <c r="E35" s="18">
        <v>161</v>
      </c>
      <c r="F35" s="18">
        <v>12699</v>
      </c>
      <c r="G35" s="14" t="s">
        <v>11</v>
      </c>
      <c r="H35" s="15" t="s">
        <v>618</v>
      </c>
    </row>
    <row r="36" spans="1:8" ht="28.5" customHeight="1" x14ac:dyDescent="0.25">
      <c r="A36" s="6">
        <v>29</v>
      </c>
      <c r="B36" s="17" t="s">
        <v>83</v>
      </c>
      <c r="C36" s="14" t="s">
        <v>176</v>
      </c>
      <c r="D36" s="18">
        <v>21</v>
      </c>
      <c r="E36" s="18">
        <v>160</v>
      </c>
      <c r="F36" s="18">
        <v>6134</v>
      </c>
      <c r="G36" s="18" t="s">
        <v>11</v>
      </c>
      <c r="H36" s="15" t="s">
        <v>618</v>
      </c>
    </row>
    <row r="37" spans="1:8" ht="28.5" customHeight="1" x14ac:dyDescent="0.25">
      <c r="A37" s="6">
        <v>30</v>
      </c>
      <c r="B37" s="17" t="s">
        <v>82</v>
      </c>
      <c r="C37" s="14" t="s">
        <v>176</v>
      </c>
      <c r="D37" s="18">
        <v>21</v>
      </c>
      <c r="E37" s="18">
        <v>157</v>
      </c>
      <c r="F37" s="18">
        <v>5223</v>
      </c>
      <c r="G37" s="18" t="s">
        <v>11</v>
      </c>
      <c r="H37" s="15" t="s">
        <v>618</v>
      </c>
    </row>
    <row r="38" spans="1:8" ht="28.5" customHeight="1" x14ac:dyDescent="0.25">
      <c r="A38" s="6">
        <v>31</v>
      </c>
      <c r="B38" s="17" t="s">
        <v>82</v>
      </c>
      <c r="C38" s="14" t="s">
        <v>176</v>
      </c>
      <c r="D38" s="18">
        <v>21</v>
      </c>
      <c r="E38" s="18">
        <v>159</v>
      </c>
      <c r="F38" s="18">
        <v>3403</v>
      </c>
      <c r="G38" s="14" t="s">
        <v>11</v>
      </c>
      <c r="H38" s="15" t="s">
        <v>618</v>
      </c>
    </row>
    <row r="39" spans="1:8" ht="28.5" customHeight="1" x14ac:dyDescent="0.25">
      <c r="A39" s="20"/>
      <c r="B39" s="20"/>
      <c r="C39" s="21"/>
      <c r="D39" s="21"/>
      <c r="E39" s="21"/>
      <c r="F39" s="22"/>
      <c r="G39" s="21"/>
      <c r="H39" s="21"/>
    </row>
    <row r="40" spans="1:8" ht="28.5" customHeight="1" x14ac:dyDescent="0.25">
      <c r="A40" s="20"/>
      <c r="B40" s="20"/>
      <c r="C40" s="21"/>
      <c r="D40" s="21"/>
      <c r="E40" s="21"/>
      <c r="F40" s="22"/>
      <c r="G40" s="21"/>
      <c r="H40" s="21"/>
    </row>
  </sheetData>
  <mergeCells count="11">
    <mergeCell ref="H4:H7"/>
    <mergeCell ref="A1:H1"/>
    <mergeCell ref="A2:H2"/>
    <mergeCell ref="A3:H3"/>
    <mergeCell ref="A4:A7"/>
    <mergeCell ref="B4:B7"/>
    <mergeCell ref="C4:C7"/>
    <mergeCell ref="D4:D7"/>
    <mergeCell ref="E4:E7"/>
    <mergeCell ref="F4:F7"/>
    <mergeCell ref="G4:G7"/>
  </mergeCells>
  <pageMargins left="0.51" right="0.7" top="0.22" bottom="0.28999999999999998" header="0.3" footer="0.3"/>
  <pageSetup paperSize="9" orientation="landscape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/>
  </sheetPr>
  <dimension ref="A1:H81"/>
  <sheetViews>
    <sheetView topLeftCell="A67" workbookViewId="0">
      <selection activeCell="B75" sqref="B75"/>
    </sheetView>
  </sheetViews>
  <sheetFormatPr defaultRowHeight="28.5" customHeight="1" x14ac:dyDescent="0.25"/>
  <cols>
    <col min="2" max="2" width="24.140625" customWidth="1"/>
    <col min="3" max="3" width="15.42578125" customWidth="1"/>
    <col min="4" max="4" width="8.5703125" customWidth="1"/>
    <col min="5" max="5" width="11.42578125" customWidth="1"/>
    <col min="6" max="6" width="10.42578125" customWidth="1"/>
    <col min="7" max="7" width="12.5703125" customWidth="1"/>
    <col min="8" max="8" width="40.7109375" customWidth="1"/>
  </cols>
  <sheetData>
    <row r="1" spans="1:8" ht="36.75" customHeight="1" x14ac:dyDescent="0.25">
      <c r="A1" s="128" t="s">
        <v>151</v>
      </c>
      <c r="B1" s="128"/>
      <c r="C1" s="128"/>
      <c r="D1" s="128"/>
      <c r="E1" s="128"/>
      <c r="F1" s="128"/>
      <c r="G1" s="128"/>
      <c r="H1" s="128"/>
    </row>
    <row r="2" spans="1:8" ht="37.5" customHeight="1" x14ac:dyDescent="0.25">
      <c r="A2" s="129" t="s">
        <v>187</v>
      </c>
      <c r="B2" s="129"/>
      <c r="C2" s="129"/>
      <c r="D2" s="129"/>
      <c r="E2" s="129"/>
      <c r="F2" s="129"/>
      <c r="G2" s="129"/>
      <c r="H2" s="129"/>
    </row>
    <row r="3" spans="1:8" ht="28.5" customHeight="1" x14ac:dyDescent="0.25">
      <c r="A3" s="128" t="s">
        <v>185</v>
      </c>
      <c r="B3" s="128"/>
      <c r="C3" s="128"/>
      <c r="D3" s="128"/>
      <c r="E3" s="128"/>
      <c r="F3" s="128"/>
      <c r="G3" s="128"/>
      <c r="H3" s="128"/>
    </row>
    <row r="4" spans="1:8" ht="28.5" customHeight="1" x14ac:dyDescent="0.25">
      <c r="A4" s="126" t="s">
        <v>149</v>
      </c>
      <c r="B4" s="125" t="s">
        <v>154</v>
      </c>
      <c r="C4" s="131" t="s">
        <v>155</v>
      </c>
      <c r="D4" s="131" t="s">
        <v>156</v>
      </c>
      <c r="E4" s="131" t="s">
        <v>157</v>
      </c>
      <c r="F4" s="132" t="s">
        <v>158</v>
      </c>
      <c r="G4" s="125" t="s">
        <v>159</v>
      </c>
      <c r="H4" s="125" t="s">
        <v>6</v>
      </c>
    </row>
    <row r="5" spans="1:8" ht="28.5" customHeight="1" x14ac:dyDescent="0.25">
      <c r="A5" s="126"/>
      <c r="B5" s="125"/>
      <c r="C5" s="131"/>
      <c r="D5" s="131"/>
      <c r="E5" s="131"/>
      <c r="F5" s="132"/>
      <c r="G5" s="126"/>
      <c r="H5" s="125"/>
    </row>
    <row r="6" spans="1:8" ht="28.5" customHeight="1" x14ac:dyDescent="0.25">
      <c r="A6" s="126"/>
      <c r="B6" s="125"/>
      <c r="C6" s="131"/>
      <c r="D6" s="131"/>
      <c r="E6" s="131"/>
      <c r="F6" s="132"/>
      <c r="G6" s="126"/>
      <c r="H6" s="125"/>
    </row>
    <row r="7" spans="1:8" ht="28.5" customHeight="1" x14ac:dyDescent="0.25">
      <c r="A7" s="126"/>
      <c r="B7" s="125"/>
      <c r="C7" s="131"/>
      <c r="D7" s="131"/>
      <c r="E7" s="131"/>
      <c r="F7" s="132"/>
      <c r="G7" s="126"/>
      <c r="H7" s="125"/>
    </row>
    <row r="8" spans="1:8" ht="28.5" customHeight="1" x14ac:dyDescent="0.25">
      <c r="A8" s="6">
        <v>1</v>
      </c>
      <c r="B8" s="7" t="s">
        <v>160</v>
      </c>
      <c r="C8" s="6" t="s">
        <v>161</v>
      </c>
      <c r="D8" s="8">
        <v>33</v>
      </c>
      <c r="E8" s="8">
        <v>49</v>
      </c>
      <c r="F8" s="8">
        <v>2916.3</v>
      </c>
      <c r="G8" s="6" t="s">
        <v>11</v>
      </c>
      <c r="H8" s="9" t="s">
        <v>620</v>
      </c>
    </row>
    <row r="9" spans="1:8" ht="28.5" customHeight="1" x14ac:dyDescent="0.25">
      <c r="A9" s="6">
        <v>2</v>
      </c>
      <c r="B9" s="7" t="s">
        <v>162</v>
      </c>
      <c r="C9" s="6" t="s">
        <v>161</v>
      </c>
      <c r="D9" s="8">
        <v>5</v>
      </c>
      <c r="E9" s="8">
        <v>32</v>
      </c>
      <c r="F9" s="8">
        <v>5931</v>
      </c>
      <c r="G9" s="6" t="s">
        <v>11</v>
      </c>
      <c r="H9" s="9" t="s">
        <v>620</v>
      </c>
    </row>
    <row r="10" spans="1:8" ht="28.5" customHeight="1" x14ac:dyDescent="0.25">
      <c r="A10" s="6">
        <v>3</v>
      </c>
      <c r="B10" s="7" t="s">
        <v>141</v>
      </c>
      <c r="C10" s="6" t="s">
        <v>163</v>
      </c>
      <c r="D10" s="8"/>
      <c r="E10" s="8"/>
      <c r="F10" s="8"/>
      <c r="G10" s="6"/>
      <c r="H10" s="9" t="s">
        <v>621</v>
      </c>
    </row>
    <row r="11" spans="1:8" ht="28.5" customHeight="1" x14ac:dyDescent="0.25">
      <c r="A11" s="6">
        <v>4</v>
      </c>
      <c r="B11" s="7" t="s">
        <v>119</v>
      </c>
      <c r="C11" s="6" t="s">
        <v>163</v>
      </c>
      <c r="D11" s="8"/>
      <c r="E11" s="8"/>
      <c r="F11" s="8"/>
      <c r="G11" s="6"/>
      <c r="H11" s="9" t="s">
        <v>621</v>
      </c>
    </row>
    <row r="12" spans="1:8" ht="28.5" customHeight="1" x14ac:dyDescent="0.25">
      <c r="A12" s="6">
        <v>5</v>
      </c>
      <c r="B12" s="7" t="s">
        <v>125</v>
      </c>
      <c r="C12" s="6" t="s">
        <v>163</v>
      </c>
      <c r="D12" s="8"/>
      <c r="E12" s="8"/>
      <c r="F12" s="8"/>
      <c r="G12" s="6"/>
      <c r="H12" s="9" t="s">
        <v>621</v>
      </c>
    </row>
    <row r="13" spans="1:8" ht="28.5" customHeight="1" x14ac:dyDescent="0.25">
      <c r="A13" s="6">
        <v>6</v>
      </c>
      <c r="B13" s="7" t="s">
        <v>122</v>
      </c>
      <c r="C13" s="6" t="s">
        <v>163</v>
      </c>
      <c r="D13" s="8"/>
      <c r="E13" s="8"/>
      <c r="F13" s="8"/>
      <c r="G13" s="6"/>
      <c r="H13" s="9" t="s">
        <v>621</v>
      </c>
    </row>
    <row r="14" spans="1:8" s="1" customFormat="1" ht="28.5" customHeight="1" x14ac:dyDescent="0.25">
      <c r="A14" s="25">
        <v>7</v>
      </c>
      <c r="B14" s="26" t="s">
        <v>110</v>
      </c>
      <c r="C14" s="25" t="s">
        <v>163</v>
      </c>
      <c r="D14" s="27"/>
      <c r="E14" s="27"/>
      <c r="F14" s="27"/>
      <c r="G14" s="25"/>
      <c r="H14" s="28" t="s">
        <v>621</v>
      </c>
    </row>
    <row r="15" spans="1:8" s="1" customFormat="1" ht="28.5" customHeight="1" x14ac:dyDescent="0.25">
      <c r="A15" s="25">
        <v>8</v>
      </c>
      <c r="B15" s="29" t="s">
        <v>86</v>
      </c>
      <c r="C15" s="25" t="s">
        <v>163</v>
      </c>
      <c r="D15" s="27"/>
      <c r="E15" s="27"/>
      <c r="F15" s="27"/>
      <c r="G15" s="25"/>
      <c r="H15" s="28" t="s">
        <v>621</v>
      </c>
    </row>
    <row r="16" spans="1:8" ht="28.5" customHeight="1" x14ac:dyDescent="0.25">
      <c r="A16" s="6">
        <v>9</v>
      </c>
      <c r="B16" s="12" t="s">
        <v>130</v>
      </c>
      <c r="C16" s="6" t="s">
        <v>163</v>
      </c>
      <c r="D16" s="13"/>
      <c r="E16" s="133"/>
      <c r="F16" s="133"/>
      <c r="G16" s="133"/>
      <c r="H16" s="9" t="s">
        <v>621</v>
      </c>
    </row>
    <row r="17" spans="1:8" s="1" customFormat="1" ht="28.5" customHeight="1" x14ac:dyDescent="0.25">
      <c r="A17" s="25">
        <v>10</v>
      </c>
      <c r="B17" s="29" t="s">
        <v>21</v>
      </c>
      <c r="C17" s="30" t="s">
        <v>164</v>
      </c>
      <c r="D17" s="30">
        <v>3</v>
      </c>
      <c r="E17" s="31">
        <v>400</v>
      </c>
      <c r="F17" s="31">
        <v>10748</v>
      </c>
      <c r="G17" s="31" t="s">
        <v>11</v>
      </c>
      <c r="H17" s="30" t="s">
        <v>165</v>
      </c>
    </row>
    <row r="18" spans="1:8" s="1" customFormat="1" ht="28.5" customHeight="1" x14ac:dyDescent="0.25">
      <c r="A18" s="25">
        <v>11</v>
      </c>
      <c r="B18" s="29" t="s">
        <v>166</v>
      </c>
      <c r="C18" s="30" t="s">
        <v>407</v>
      </c>
      <c r="D18" s="30">
        <v>21</v>
      </c>
      <c r="E18" s="30">
        <v>99</v>
      </c>
      <c r="F18" s="32">
        <v>2566</v>
      </c>
      <c r="G18" s="30" t="s">
        <v>11</v>
      </c>
      <c r="H18" s="30" t="s">
        <v>625</v>
      </c>
    </row>
    <row r="19" spans="1:8" s="1" customFormat="1" ht="28.5" customHeight="1" x14ac:dyDescent="0.25">
      <c r="A19" s="25">
        <v>12</v>
      </c>
      <c r="B19" s="29" t="s">
        <v>166</v>
      </c>
      <c r="C19" s="30" t="s">
        <v>407</v>
      </c>
      <c r="D19" s="30">
        <v>21</v>
      </c>
      <c r="E19" s="30">
        <v>98</v>
      </c>
      <c r="F19" s="32">
        <v>3392</v>
      </c>
      <c r="G19" s="30" t="s">
        <v>11</v>
      </c>
      <c r="H19" s="30" t="s">
        <v>625</v>
      </c>
    </row>
    <row r="20" spans="1:8" s="1" customFormat="1" ht="28.5" customHeight="1" x14ac:dyDescent="0.25">
      <c r="A20" s="25">
        <v>13</v>
      </c>
      <c r="B20" s="29" t="s">
        <v>167</v>
      </c>
      <c r="C20" s="30" t="s">
        <v>407</v>
      </c>
      <c r="D20" s="30">
        <v>21</v>
      </c>
      <c r="E20" s="30">
        <v>141</v>
      </c>
      <c r="F20" s="32">
        <v>4128</v>
      </c>
      <c r="G20" s="30" t="s">
        <v>11</v>
      </c>
      <c r="H20" s="30" t="s">
        <v>617</v>
      </c>
    </row>
    <row r="21" spans="1:8" s="1" customFormat="1" ht="28.5" customHeight="1" x14ac:dyDescent="0.25">
      <c r="A21" s="25">
        <v>14</v>
      </c>
      <c r="B21" s="29" t="s">
        <v>88</v>
      </c>
      <c r="C21" s="30" t="s">
        <v>407</v>
      </c>
      <c r="D21" s="30">
        <v>21</v>
      </c>
      <c r="E21" s="30">
        <v>171</v>
      </c>
      <c r="F21" s="32">
        <v>3186</v>
      </c>
      <c r="G21" s="30" t="s">
        <v>11</v>
      </c>
      <c r="H21" s="30" t="s">
        <v>617</v>
      </c>
    </row>
    <row r="22" spans="1:8" ht="28.5" customHeight="1" x14ac:dyDescent="0.25">
      <c r="A22" s="6">
        <v>15</v>
      </c>
      <c r="B22" s="12" t="s">
        <v>24</v>
      </c>
      <c r="C22" s="13" t="s">
        <v>407</v>
      </c>
      <c r="D22" s="13">
        <v>21</v>
      </c>
      <c r="E22" s="13">
        <v>71</v>
      </c>
      <c r="F22" s="16">
        <v>7637</v>
      </c>
      <c r="G22" s="13" t="s">
        <v>11</v>
      </c>
      <c r="H22" s="15" t="s">
        <v>617</v>
      </c>
    </row>
    <row r="23" spans="1:8" ht="28.5" customHeight="1" x14ac:dyDescent="0.25">
      <c r="A23" s="6">
        <v>16</v>
      </c>
      <c r="B23" s="12" t="s">
        <v>168</v>
      </c>
      <c r="C23" s="13" t="s">
        <v>407</v>
      </c>
      <c r="D23" s="13">
        <v>21</v>
      </c>
      <c r="E23" s="13">
        <v>189</v>
      </c>
      <c r="F23" s="16">
        <v>4497</v>
      </c>
      <c r="G23" s="13" t="s">
        <v>11</v>
      </c>
      <c r="H23" s="15" t="s">
        <v>617</v>
      </c>
    </row>
    <row r="24" spans="1:8" s="1" customFormat="1" ht="28.5" customHeight="1" x14ac:dyDescent="0.25">
      <c r="A24" s="25">
        <v>17</v>
      </c>
      <c r="B24" s="29" t="s">
        <v>122</v>
      </c>
      <c r="C24" s="30" t="s">
        <v>407</v>
      </c>
      <c r="D24" s="30">
        <v>21</v>
      </c>
      <c r="E24" s="30">
        <v>227</v>
      </c>
      <c r="F24" s="32">
        <v>8079</v>
      </c>
      <c r="G24" s="30" t="s">
        <v>11</v>
      </c>
      <c r="H24" s="30" t="s">
        <v>617</v>
      </c>
    </row>
    <row r="25" spans="1:8" s="1" customFormat="1" ht="28.5" customHeight="1" x14ac:dyDescent="0.25">
      <c r="A25" s="25">
        <v>18</v>
      </c>
      <c r="B25" s="29" t="s">
        <v>84</v>
      </c>
      <c r="C25" s="30" t="s">
        <v>407</v>
      </c>
      <c r="D25" s="30">
        <v>21</v>
      </c>
      <c r="E25" s="30">
        <v>165</v>
      </c>
      <c r="F25" s="32">
        <v>3672</v>
      </c>
      <c r="G25" s="30" t="s">
        <v>11</v>
      </c>
      <c r="H25" s="30" t="s">
        <v>617</v>
      </c>
    </row>
    <row r="26" spans="1:8" s="1" customFormat="1" ht="28.5" customHeight="1" x14ac:dyDescent="0.25">
      <c r="A26" s="25">
        <v>19</v>
      </c>
      <c r="B26" s="29" t="s">
        <v>51</v>
      </c>
      <c r="C26" s="30" t="s">
        <v>407</v>
      </c>
      <c r="D26" s="30">
        <v>21</v>
      </c>
      <c r="E26" s="30">
        <v>108</v>
      </c>
      <c r="F26" s="32">
        <v>31282</v>
      </c>
      <c r="G26" s="30" t="s">
        <v>11</v>
      </c>
      <c r="H26" s="30" t="s">
        <v>619</v>
      </c>
    </row>
    <row r="27" spans="1:8" s="1" customFormat="1" ht="28.5" customHeight="1" x14ac:dyDescent="0.25">
      <c r="A27" s="25">
        <v>20</v>
      </c>
      <c r="B27" s="29" t="s">
        <v>51</v>
      </c>
      <c r="C27" s="30" t="s">
        <v>407</v>
      </c>
      <c r="D27" s="30">
        <v>21</v>
      </c>
      <c r="E27" s="30">
        <v>110</v>
      </c>
      <c r="F27" s="32">
        <v>1672</v>
      </c>
      <c r="G27" s="30" t="s">
        <v>11</v>
      </c>
      <c r="H27" s="30" t="s">
        <v>619</v>
      </c>
    </row>
    <row r="28" spans="1:8" s="1" customFormat="1" ht="28.5" customHeight="1" x14ac:dyDescent="0.25">
      <c r="A28" s="25">
        <v>21</v>
      </c>
      <c r="B28" s="29" t="s">
        <v>51</v>
      </c>
      <c r="C28" s="30" t="s">
        <v>407</v>
      </c>
      <c r="D28" s="30">
        <v>21</v>
      </c>
      <c r="E28" s="30">
        <v>109</v>
      </c>
      <c r="F28" s="32">
        <v>3686</v>
      </c>
      <c r="G28" s="30" t="s">
        <v>11</v>
      </c>
      <c r="H28" s="30" t="s">
        <v>619</v>
      </c>
    </row>
    <row r="29" spans="1:8" ht="28.5" customHeight="1" x14ac:dyDescent="0.25">
      <c r="A29" s="6">
        <v>22</v>
      </c>
      <c r="B29" s="12" t="s">
        <v>169</v>
      </c>
      <c r="C29" s="13" t="s">
        <v>407</v>
      </c>
      <c r="D29" s="13">
        <v>21</v>
      </c>
      <c r="E29" s="13">
        <v>115</v>
      </c>
      <c r="F29" s="16">
        <v>26358</v>
      </c>
      <c r="G29" s="13" t="s">
        <v>11</v>
      </c>
      <c r="H29" s="15" t="s">
        <v>624</v>
      </c>
    </row>
    <row r="30" spans="1:8" s="1" customFormat="1" ht="28.5" customHeight="1" x14ac:dyDescent="0.25">
      <c r="A30" s="25">
        <v>23</v>
      </c>
      <c r="B30" s="29" t="s">
        <v>170</v>
      </c>
      <c r="C30" s="30" t="s">
        <v>171</v>
      </c>
      <c r="D30" s="30">
        <v>21</v>
      </c>
      <c r="E30" s="30">
        <v>236</v>
      </c>
      <c r="F30" s="32">
        <v>8046</v>
      </c>
      <c r="G30" s="30" t="s">
        <v>11</v>
      </c>
      <c r="H30" s="30" t="s">
        <v>617</v>
      </c>
    </row>
    <row r="31" spans="1:8" s="1" customFormat="1" ht="28.5" customHeight="1" x14ac:dyDescent="0.25">
      <c r="A31" s="25">
        <v>24</v>
      </c>
      <c r="B31" s="29" t="s">
        <v>29</v>
      </c>
      <c r="C31" s="30" t="s">
        <v>171</v>
      </c>
      <c r="D31" s="30">
        <v>21</v>
      </c>
      <c r="E31" s="30">
        <v>82</v>
      </c>
      <c r="F31" s="32">
        <v>14524</v>
      </c>
      <c r="G31" s="30" t="s">
        <v>11</v>
      </c>
      <c r="H31" s="30" t="s">
        <v>617</v>
      </c>
    </row>
    <row r="32" spans="1:8" s="1" customFormat="1" ht="28.5" customHeight="1" x14ac:dyDescent="0.25">
      <c r="A32" s="25">
        <v>25</v>
      </c>
      <c r="B32" s="29" t="s">
        <v>49</v>
      </c>
      <c r="C32" s="30" t="s">
        <v>171</v>
      </c>
      <c r="D32" s="30">
        <v>21</v>
      </c>
      <c r="E32" s="30">
        <v>105</v>
      </c>
      <c r="F32" s="32">
        <v>2993</v>
      </c>
      <c r="G32" s="30" t="s">
        <v>11</v>
      </c>
      <c r="H32" s="30" t="s">
        <v>617</v>
      </c>
    </row>
    <row r="33" spans="1:8" s="1" customFormat="1" ht="28.5" customHeight="1" x14ac:dyDescent="0.25">
      <c r="A33" s="25">
        <v>26</v>
      </c>
      <c r="B33" s="29" t="s">
        <v>92</v>
      </c>
      <c r="C33" s="30" t="s">
        <v>171</v>
      </c>
      <c r="D33" s="30">
        <v>21</v>
      </c>
      <c r="E33" s="30">
        <v>74</v>
      </c>
      <c r="F33" s="32">
        <v>4352</v>
      </c>
      <c r="G33" s="30" t="s">
        <v>11</v>
      </c>
      <c r="H33" s="30" t="s">
        <v>617</v>
      </c>
    </row>
    <row r="34" spans="1:8" s="1" customFormat="1" ht="28.5" customHeight="1" x14ac:dyDescent="0.25">
      <c r="A34" s="25">
        <v>27</v>
      </c>
      <c r="B34" s="29" t="s">
        <v>73</v>
      </c>
      <c r="C34" s="30" t="s">
        <v>171</v>
      </c>
      <c r="D34" s="30">
        <v>21</v>
      </c>
      <c r="E34" s="30">
        <v>73</v>
      </c>
      <c r="F34" s="32">
        <v>10414</v>
      </c>
      <c r="G34" s="30" t="s">
        <v>11</v>
      </c>
      <c r="H34" s="30" t="s">
        <v>617</v>
      </c>
    </row>
    <row r="35" spans="1:8" ht="28.5" customHeight="1" x14ac:dyDescent="0.25">
      <c r="A35" s="6">
        <v>28</v>
      </c>
      <c r="B35" s="12" t="s">
        <v>172</v>
      </c>
      <c r="C35" s="13" t="s">
        <v>171</v>
      </c>
      <c r="D35" s="13">
        <v>21</v>
      </c>
      <c r="E35" s="13">
        <v>72</v>
      </c>
      <c r="F35" s="16">
        <v>11043</v>
      </c>
      <c r="G35" s="13" t="s">
        <v>11</v>
      </c>
      <c r="H35" s="15" t="s">
        <v>617</v>
      </c>
    </row>
    <row r="36" spans="1:8" s="1" customFormat="1" ht="28.5" customHeight="1" x14ac:dyDescent="0.25">
      <c r="A36" s="25">
        <v>29</v>
      </c>
      <c r="B36" s="29" t="s">
        <v>77</v>
      </c>
      <c r="C36" s="30" t="s">
        <v>164</v>
      </c>
      <c r="D36" s="30">
        <v>8</v>
      </c>
      <c r="E36" s="30">
        <v>244</v>
      </c>
      <c r="F36" s="32">
        <v>5208</v>
      </c>
      <c r="G36" s="30" t="s">
        <v>11</v>
      </c>
      <c r="H36" s="30" t="s">
        <v>617</v>
      </c>
    </row>
    <row r="37" spans="1:8" s="1" customFormat="1" ht="28.5" customHeight="1" x14ac:dyDescent="0.25">
      <c r="A37" s="25">
        <v>30</v>
      </c>
      <c r="B37" s="29" t="s">
        <v>100</v>
      </c>
      <c r="C37" s="30" t="s">
        <v>173</v>
      </c>
      <c r="D37" s="30">
        <v>18</v>
      </c>
      <c r="E37" s="30">
        <v>226</v>
      </c>
      <c r="F37" s="32">
        <v>3728.8</v>
      </c>
      <c r="G37" s="30" t="s">
        <v>11</v>
      </c>
      <c r="H37" s="30" t="s">
        <v>617</v>
      </c>
    </row>
    <row r="38" spans="1:8" s="1" customFormat="1" ht="28.5" customHeight="1" x14ac:dyDescent="0.25">
      <c r="A38" s="25">
        <v>31</v>
      </c>
      <c r="B38" s="29" t="s">
        <v>174</v>
      </c>
      <c r="C38" s="30" t="s">
        <v>173</v>
      </c>
      <c r="D38" s="30">
        <v>8</v>
      </c>
      <c r="E38" s="30">
        <v>227</v>
      </c>
      <c r="F38" s="32">
        <v>2500.9</v>
      </c>
      <c r="G38" s="30" t="s">
        <v>11</v>
      </c>
      <c r="H38" s="30" t="s">
        <v>617</v>
      </c>
    </row>
    <row r="39" spans="1:8" s="1" customFormat="1" ht="28.5" customHeight="1" x14ac:dyDescent="0.25">
      <c r="A39" s="25">
        <v>32</v>
      </c>
      <c r="B39" s="29" t="s">
        <v>175</v>
      </c>
      <c r="C39" s="30" t="s">
        <v>173</v>
      </c>
      <c r="D39" s="30">
        <v>8</v>
      </c>
      <c r="E39" s="30">
        <v>229</v>
      </c>
      <c r="F39" s="32">
        <v>2611.5</v>
      </c>
      <c r="G39" s="30" t="s">
        <v>11</v>
      </c>
      <c r="H39" s="30" t="s">
        <v>618</v>
      </c>
    </row>
    <row r="40" spans="1:8" s="1" customFormat="1" ht="28.5" customHeight="1" x14ac:dyDescent="0.25">
      <c r="A40" s="25">
        <v>33</v>
      </c>
      <c r="B40" s="29" t="s">
        <v>175</v>
      </c>
      <c r="C40" s="30" t="s">
        <v>173</v>
      </c>
      <c r="D40" s="30">
        <v>8</v>
      </c>
      <c r="E40" s="30">
        <v>222</v>
      </c>
      <c r="F40" s="32">
        <v>2234.1999999999998</v>
      </c>
      <c r="G40" s="30" t="s">
        <v>11</v>
      </c>
      <c r="H40" s="30" t="s">
        <v>618</v>
      </c>
    </row>
    <row r="41" spans="1:8" ht="28.5" customHeight="1" x14ac:dyDescent="0.25">
      <c r="A41" s="6">
        <v>34</v>
      </c>
      <c r="B41" s="17" t="s">
        <v>66</v>
      </c>
      <c r="C41" s="14" t="s">
        <v>176</v>
      </c>
      <c r="D41" s="18">
        <v>21</v>
      </c>
      <c r="E41" s="18">
        <v>134</v>
      </c>
      <c r="F41" s="18">
        <v>6891</v>
      </c>
      <c r="G41" s="14" t="s">
        <v>11</v>
      </c>
      <c r="H41" s="15" t="s">
        <v>618</v>
      </c>
    </row>
    <row r="42" spans="1:8" ht="28.5" customHeight="1" x14ac:dyDescent="0.25">
      <c r="A42" s="6">
        <v>35</v>
      </c>
      <c r="B42" s="17" t="s">
        <v>66</v>
      </c>
      <c r="C42" s="14" t="s">
        <v>176</v>
      </c>
      <c r="D42" s="18">
        <v>21</v>
      </c>
      <c r="E42" s="18">
        <v>135</v>
      </c>
      <c r="F42" s="18">
        <v>36590</v>
      </c>
      <c r="G42" s="14" t="s">
        <v>11</v>
      </c>
      <c r="H42" s="15" t="s">
        <v>618</v>
      </c>
    </row>
    <row r="43" spans="1:8" ht="28.5" customHeight="1" x14ac:dyDescent="0.25">
      <c r="A43" s="6">
        <v>36</v>
      </c>
      <c r="B43" s="17" t="s">
        <v>79</v>
      </c>
      <c r="C43" s="14" t="s">
        <v>176</v>
      </c>
      <c r="D43" s="18">
        <v>21</v>
      </c>
      <c r="E43" s="18">
        <v>150</v>
      </c>
      <c r="F43" s="18">
        <v>7258</v>
      </c>
      <c r="G43" s="14" t="s">
        <v>11</v>
      </c>
      <c r="H43" s="15" t="s">
        <v>618</v>
      </c>
    </row>
    <row r="44" spans="1:8" ht="28.5" customHeight="1" x14ac:dyDescent="0.25">
      <c r="A44" s="6">
        <v>37</v>
      </c>
      <c r="B44" s="17" t="s">
        <v>79</v>
      </c>
      <c r="C44" s="14" t="s">
        <v>176</v>
      </c>
      <c r="D44" s="18">
        <v>21</v>
      </c>
      <c r="E44" s="18">
        <v>152</v>
      </c>
      <c r="F44" s="18">
        <v>4680</v>
      </c>
      <c r="G44" s="14" t="s">
        <v>11</v>
      </c>
      <c r="H44" s="15" t="s">
        <v>618</v>
      </c>
    </row>
    <row r="45" spans="1:8" ht="28.5" customHeight="1" x14ac:dyDescent="0.25">
      <c r="A45" s="6">
        <v>38</v>
      </c>
      <c r="B45" s="17" t="s">
        <v>32</v>
      </c>
      <c r="C45" s="14" t="s">
        <v>176</v>
      </c>
      <c r="D45" s="18">
        <v>21</v>
      </c>
      <c r="E45" s="18">
        <v>86</v>
      </c>
      <c r="F45" s="18">
        <v>8170</v>
      </c>
      <c r="G45" s="14" t="s">
        <v>11</v>
      </c>
      <c r="H45" s="15" t="s">
        <v>617</v>
      </c>
    </row>
    <row r="46" spans="1:8" ht="28.5" customHeight="1" x14ac:dyDescent="0.25">
      <c r="A46" s="6">
        <v>39</v>
      </c>
      <c r="B46" s="17" t="s">
        <v>30</v>
      </c>
      <c r="C46" s="14" t="s">
        <v>176</v>
      </c>
      <c r="D46" s="18">
        <v>21</v>
      </c>
      <c r="E46" s="18">
        <v>83</v>
      </c>
      <c r="F46" s="18">
        <v>5917</v>
      </c>
      <c r="G46" s="14" t="s">
        <v>11</v>
      </c>
      <c r="H46" s="15" t="s">
        <v>618</v>
      </c>
    </row>
    <row r="47" spans="1:8" ht="28.5" customHeight="1" x14ac:dyDescent="0.25">
      <c r="A47" s="6">
        <v>40</v>
      </c>
      <c r="B47" s="17" t="s">
        <v>30</v>
      </c>
      <c r="C47" s="14" t="s">
        <v>176</v>
      </c>
      <c r="D47" s="18">
        <v>21</v>
      </c>
      <c r="E47" s="18">
        <v>84</v>
      </c>
      <c r="F47" s="18">
        <v>3911</v>
      </c>
      <c r="G47" s="14" t="s">
        <v>11</v>
      </c>
      <c r="H47" s="15" t="s">
        <v>618</v>
      </c>
    </row>
    <row r="48" spans="1:8" ht="28.5" customHeight="1" x14ac:dyDescent="0.25">
      <c r="A48" s="6">
        <v>41</v>
      </c>
      <c r="B48" s="12" t="s">
        <v>120</v>
      </c>
      <c r="C48" s="14" t="s">
        <v>176</v>
      </c>
      <c r="D48" s="13">
        <v>21</v>
      </c>
      <c r="E48" s="13">
        <v>223</v>
      </c>
      <c r="F48" s="16">
        <v>4096</v>
      </c>
      <c r="G48" s="14" t="s">
        <v>11</v>
      </c>
      <c r="H48" s="15" t="s">
        <v>617</v>
      </c>
    </row>
    <row r="49" spans="1:8" ht="28.5" customHeight="1" x14ac:dyDescent="0.25">
      <c r="A49" s="6">
        <v>42</v>
      </c>
      <c r="B49" s="17" t="s">
        <v>91</v>
      </c>
      <c r="C49" s="14" t="s">
        <v>176</v>
      </c>
      <c r="D49" s="18">
        <v>21</v>
      </c>
      <c r="E49" s="18">
        <v>182</v>
      </c>
      <c r="F49" s="18">
        <v>5395</v>
      </c>
      <c r="G49" s="14" t="s">
        <v>11</v>
      </c>
      <c r="H49" s="15" t="s">
        <v>617</v>
      </c>
    </row>
    <row r="50" spans="1:8" ht="28.5" customHeight="1" x14ac:dyDescent="0.25">
      <c r="A50" s="6">
        <v>43</v>
      </c>
      <c r="B50" s="17" t="s">
        <v>61</v>
      </c>
      <c r="C50" s="14" t="s">
        <v>176</v>
      </c>
      <c r="D50" s="18">
        <v>21</v>
      </c>
      <c r="E50" s="18">
        <v>127</v>
      </c>
      <c r="F50" s="18">
        <v>5024</v>
      </c>
      <c r="G50" s="14" t="s">
        <v>11</v>
      </c>
      <c r="H50" s="15" t="s">
        <v>618</v>
      </c>
    </row>
    <row r="51" spans="1:8" ht="28.5" customHeight="1" x14ac:dyDescent="0.25">
      <c r="A51" s="6">
        <v>44</v>
      </c>
      <c r="B51" s="17" t="s">
        <v>61</v>
      </c>
      <c r="C51" s="14" t="s">
        <v>176</v>
      </c>
      <c r="D51" s="18">
        <v>21</v>
      </c>
      <c r="E51" s="18">
        <v>125</v>
      </c>
      <c r="F51" s="18">
        <v>9149</v>
      </c>
      <c r="G51" s="14" t="s">
        <v>11</v>
      </c>
      <c r="H51" s="15" t="s">
        <v>618</v>
      </c>
    </row>
    <row r="52" spans="1:8" ht="28.5" customHeight="1" x14ac:dyDescent="0.25">
      <c r="A52" s="6">
        <v>45</v>
      </c>
      <c r="B52" s="17" t="s">
        <v>177</v>
      </c>
      <c r="C52" s="14" t="s">
        <v>176</v>
      </c>
      <c r="D52" s="18">
        <v>21</v>
      </c>
      <c r="E52" s="18">
        <v>209</v>
      </c>
      <c r="F52" s="18">
        <v>6317</v>
      </c>
      <c r="G52" s="14" t="s">
        <v>11</v>
      </c>
      <c r="H52" s="15" t="s">
        <v>617</v>
      </c>
    </row>
    <row r="53" spans="1:8" ht="28.5" customHeight="1" x14ac:dyDescent="0.25">
      <c r="A53" s="6">
        <v>46</v>
      </c>
      <c r="B53" s="17" t="s">
        <v>103</v>
      </c>
      <c r="C53" s="14" t="s">
        <v>176</v>
      </c>
      <c r="D53" s="18">
        <v>21</v>
      </c>
      <c r="E53" s="18">
        <v>198</v>
      </c>
      <c r="F53" s="18">
        <v>4280</v>
      </c>
      <c r="G53" s="14" t="s">
        <v>11</v>
      </c>
      <c r="H53" s="15" t="s">
        <v>617</v>
      </c>
    </row>
    <row r="54" spans="1:8" ht="28.5" customHeight="1" x14ac:dyDescent="0.25">
      <c r="A54" s="6">
        <v>47</v>
      </c>
      <c r="B54" s="17" t="s">
        <v>178</v>
      </c>
      <c r="C54" s="14" t="s">
        <v>176</v>
      </c>
      <c r="D54" s="18">
        <v>21</v>
      </c>
      <c r="E54" s="18">
        <v>246</v>
      </c>
      <c r="F54" s="18">
        <v>39426</v>
      </c>
      <c r="G54" s="18" t="s">
        <v>11</v>
      </c>
      <c r="H54" s="15" t="s">
        <v>618</v>
      </c>
    </row>
    <row r="55" spans="1:8" ht="28.5" customHeight="1" x14ac:dyDescent="0.25">
      <c r="A55" s="6">
        <v>48</v>
      </c>
      <c r="B55" s="17" t="s">
        <v>178</v>
      </c>
      <c r="C55" s="14" t="s">
        <v>176</v>
      </c>
      <c r="D55" s="18">
        <v>21</v>
      </c>
      <c r="E55" s="18">
        <v>247</v>
      </c>
      <c r="F55" s="18">
        <v>20344</v>
      </c>
      <c r="G55" s="18" t="s">
        <v>11</v>
      </c>
      <c r="H55" s="15" t="s">
        <v>618</v>
      </c>
    </row>
    <row r="56" spans="1:8" ht="28.5" customHeight="1" x14ac:dyDescent="0.25">
      <c r="A56" s="6">
        <v>49</v>
      </c>
      <c r="B56" s="17" t="s">
        <v>179</v>
      </c>
      <c r="C56" s="14" t="s">
        <v>176</v>
      </c>
      <c r="D56" s="18">
        <v>21</v>
      </c>
      <c r="E56" s="18">
        <v>62</v>
      </c>
      <c r="F56" s="18">
        <v>12240</v>
      </c>
      <c r="G56" s="18" t="s">
        <v>11</v>
      </c>
      <c r="H56" s="15" t="s">
        <v>617</v>
      </c>
    </row>
    <row r="57" spans="1:8" ht="28.5" customHeight="1" x14ac:dyDescent="0.25">
      <c r="A57" s="6">
        <v>50</v>
      </c>
      <c r="B57" s="17" t="s">
        <v>83</v>
      </c>
      <c r="C57" s="14" t="s">
        <v>176</v>
      </c>
      <c r="D57" s="18">
        <v>21</v>
      </c>
      <c r="E57" s="18">
        <v>161</v>
      </c>
      <c r="F57" s="18">
        <v>12699</v>
      </c>
      <c r="G57" s="14" t="s">
        <v>11</v>
      </c>
      <c r="H57" s="15" t="s">
        <v>618</v>
      </c>
    </row>
    <row r="58" spans="1:8" ht="28.5" customHeight="1" x14ac:dyDescent="0.25">
      <c r="A58" s="6">
        <v>51</v>
      </c>
      <c r="B58" s="17" t="s">
        <v>83</v>
      </c>
      <c r="C58" s="14" t="s">
        <v>176</v>
      </c>
      <c r="D58" s="18">
        <v>21</v>
      </c>
      <c r="E58" s="18">
        <v>160</v>
      </c>
      <c r="F58" s="18">
        <v>6134</v>
      </c>
      <c r="G58" s="18" t="s">
        <v>11</v>
      </c>
      <c r="H58" s="15" t="s">
        <v>618</v>
      </c>
    </row>
    <row r="59" spans="1:8" ht="28.5" customHeight="1" x14ac:dyDescent="0.25">
      <c r="A59" s="6">
        <v>52</v>
      </c>
      <c r="B59" s="17" t="s">
        <v>82</v>
      </c>
      <c r="C59" s="14" t="s">
        <v>176</v>
      </c>
      <c r="D59" s="18">
        <v>21</v>
      </c>
      <c r="E59" s="18">
        <v>157</v>
      </c>
      <c r="F59" s="18">
        <v>5223</v>
      </c>
      <c r="G59" s="18" t="s">
        <v>11</v>
      </c>
      <c r="H59" s="15" t="s">
        <v>618</v>
      </c>
    </row>
    <row r="60" spans="1:8" ht="28.5" customHeight="1" x14ac:dyDescent="0.25">
      <c r="A60" s="6">
        <v>53</v>
      </c>
      <c r="B60" s="17" t="s">
        <v>82</v>
      </c>
      <c r="C60" s="14" t="s">
        <v>176</v>
      </c>
      <c r="D60" s="18">
        <v>21</v>
      </c>
      <c r="E60" s="18">
        <v>159</v>
      </c>
      <c r="F60" s="18">
        <v>3403</v>
      </c>
      <c r="G60" s="14" t="s">
        <v>11</v>
      </c>
      <c r="H60" s="15" t="s">
        <v>618</v>
      </c>
    </row>
    <row r="61" spans="1:8" s="1" customFormat="1" ht="28.5" customHeight="1" x14ac:dyDescent="0.25">
      <c r="A61" s="25">
        <v>54</v>
      </c>
      <c r="B61" s="33" t="s">
        <v>180</v>
      </c>
      <c r="C61" s="31" t="s">
        <v>176</v>
      </c>
      <c r="D61" s="34">
        <v>21</v>
      </c>
      <c r="E61" s="34">
        <v>59</v>
      </c>
      <c r="F61" s="34">
        <v>8712</v>
      </c>
      <c r="G61" s="34" t="s">
        <v>11</v>
      </c>
      <c r="H61" s="30" t="s">
        <v>617</v>
      </c>
    </row>
    <row r="62" spans="1:8" s="1" customFormat="1" ht="28.5" customHeight="1" x14ac:dyDescent="0.25">
      <c r="A62" s="25">
        <v>55</v>
      </c>
      <c r="B62" s="33" t="s">
        <v>180</v>
      </c>
      <c r="C62" s="31" t="s">
        <v>176</v>
      </c>
      <c r="D62" s="34">
        <v>21</v>
      </c>
      <c r="E62" s="34">
        <v>60</v>
      </c>
      <c r="F62" s="34">
        <v>23170</v>
      </c>
      <c r="G62" s="34" t="s">
        <v>11</v>
      </c>
      <c r="H62" s="30" t="s">
        <v>617</v>
      </c>
    </row>
    <row r="63" spans="1:8" s="1" customFormat="1" ht="28.5" customHeight="1" x14ac:dyDescent="0.25">
      <c r="A63" s="25">
        <v>56</v>
      </c>
      <c r="B63" s="33" t="s">
        <v>20</v>
      </c>
      <c r="C63" s="31" t="s">
        <v>176</v>
      </c>
      <c r="D63" s="34">
        <v>21</v>
      </c>
      <c r="E63" s="34">
        <v>63</v>
      </c>
      <c r="F63" s="34">
        <v>7913</v>
      </c>
      <c r="G63" s="31" t="s">
        <v>11</v>
      </c>
      <c r="H63" s="30" t="s">
        <v>617</v>
      </c>
    </row>
    <row r="64" spans="1:8" s="1" customFormat="1" ht="28.5" customHeight="1" x14ac:dyDescent="0.25">
      <c r="A64" s="25">
        <v>57</v>
      </c>
      <c r="B64" s="33" t="s">
        <v>90</v>
      </c>
      <c r="C64" s="31" t="s">
        <v>176</v>
      </c>
      <c r="D64" s="34">
        <v>21</v>
      </c>
      <c r="E64" s="34">
        <v>178</v>
      </c>
      <c r="F64" s="34">
        <v>6472</v>
      </c>
      <c r="G64" s="31" t="s">
        <v>11</v>
      </c>
      <c r="H64" s="30" t="s">
        <v>618</v>
      </c>
    </row>
    <row r="65" spans="1:8" s="1" customFormat="1" ht="28.5" customHeight="1" x14ac:dyDescent="0.25">
      <c r="A65" s="25">
        <v>58</v>
      </c>
      <c r="B65" s="33" t="s">
        <v>88</v>
      </c>
      <c r="C65" s="31" t="s">
        <v>176</v>
      </c>
      <c r="D65" s="34">
        <v>21</v>
      </c>
      <c r="E65" s="34">
        <v>179</v>
      </c>
      <c r="F65" s="34">
        <v>10813</v>
      </c>
      <c r="G65" s="31" t="s">
        <v>11</v>
      </c>
      <c r="H65" s="30" t="s">
        <v>619</v>
      </c>
    </row>
    <row r="66" spans="1:8" s="1" customFormat="1" ht="28.5" customHeight="1" x14ac:dyDescent="0.25">
      <c r="A66" s="25">
        <v>59</v>
      </c>
      <c r="B66" s="33" t="s">
        <v>88</v>
      </c>
      <c r="C66" s="31" t="s">
        <v>176</v>
      </c>
      <c r="D66" s="34">
        <v>21</v>
      </c>
      <c r="E66" s="34">
        <v>174</v>
      </c>
      <c r="F66" s="34">
        <v>11112</v>
      </c>
      <c r="G66" s="31" t="s">
        <v>11</v>
      </c>
      <c r="H66" s="30" t="s">
        <v>619</v>
      </c>
    </row>
    <row r="67" spans="1:8" s="1" customFormat="1" ht="28.5" customHeight="1" x14ac:dyDescent="0.25">
      <c r="A67" s="25">
        <v>60</v>
      </c>
      <c r="B67" s="33" t="s">
        <v>88</v>
      </c>
      <c r="C67" s="31" t="s">
        <v>176</v>
      </c>
      <c r="D67" s="34">
        <v>21</v>
      </c>
      <c r="E67" s="34">
        <v>176</v>
      </c>
      <c r="F67" s="34">
        <v>18329</v>
      </c>
      <c r="G67" s="31" t="s">
        <v>11</v>
      </c>
      <c r="H67" s="30" t="s">
        <v>619</v>
      </c>
    </row>
    <row r="68" spans="1:8" s="1" customFormat="1" ht="28.5" customHeight="1" x14ac:dyDescent="0.25">
      <c r="A68" s="25">
        <v>61</v>
      </c>
      <c r="B68" s="29" t="s">
        <v>110</v>
      </c>
      <c r="C68" s="31" t="s">
        <v>176</v>
      </c>
      <c r="D68" s="30">
        <v>21</v>
      </c>
      <c r="E68" s="30">
        <v>206</v>
      </c>
      <c r="F68" s="32">
        <v>38824</v>
      </c>
      <c r="G68" s="31" t="s">
        <v>11</v>
      </c>
      <c r="H68" s="30" t="s">
        <v>617</v>
      </c>
    </row>
    <row r="69" spans="1:8" s="1" customFormat="1" ht="28.5" customHeight="1" x14ac:dyDescent="0.25">
      <c r="A69" s="25">
        <v>62</v>
      </c>
      <c r="B69" s="33" t="s">
        <v>28</v>
      </c>
      <c r="C69" s="31" t="s">
        <v>176</v>
      </c>
      <c r="D69" s="34">
        <v>21</v>
      </c>
      <c r="E69" s="34">
        <v>80</v>
      </c>
      <c r="F69" s="34">
        <v>13907</v>
      </c>
      <c r="G69" s="34" t="s">
        <v>11</v>
      </c>
      <c r="H69" s="30" t="s">
        <v>618</v>
      </c>
    </row>
    <row r="70" spans="1:8" s="1" customFormat="1" ht="28.5" customHeight="1" x14ac:dyDescent="0.25">
      <c r="A70" s="25">
        <v>63</v>
      </c>
      <c r="B70" s="33" t="s">
        <v>28</v>
      </c>
      <c r="C70" s="31" t="s">
        <v>176</v>
      </c>
      <c r="D70" s="34">
        <v>21</v>
      </c>
      <c r="E70" s="34">
        <v>79</v>
      </c>
      <c r="F70" s="34">
        <v>9667</v>
      </c>
      <c r="G70" s="31" t="s">
        <v>11</v>
      </c>
      <c r="H70" s="30" t="s">
        <v>618</v>
      </c>
    </row>
    <row r="71" spans="1:8" s="1" customFormat="1" ht="28.5" customHeight="1" x14ac:dyDescent="0.25">
      <c r="A71" s="25">
        <v>64</v>
      </c>
      <c r="B71" s="33" t="s">
        <v>80</v>
      </c>
      <c r="C71" s="31" t="s">
        <v>176</v>
      </c>
      <c r="D71" s="34">
        <v>21</v>
      </c>
      <c r="E71" s="34">
        <v>153</v>
      </c>
      <c r="F71" s="34">
        <v>7804</v>
      </c>
      <c r="G71" s="31" t="s">
        <v>11</v>
      </c>
      <c r="H71" s="30" t="s">
        <v>617</v>
      </c>
    </row>
    <row r="72" spans="1:8" s="1" customFormat="1" ht="28.5" customHeight="1" x14ac:dyDescent="0.25">
      <c r="A72" s="25">
        <v>65</v>
      </c>
      <c r="B72" s="33" t="s">
        <v>119</v>
      </c>
      <c r="C72" s="31" t="s">
        <v>176</v>
      </c>
      <c r="D72" s="34">
        <v>21</v>
      </c>
      <c r="E72" s="34">
        <v>220</v>
      </c>
      <c r="F72" s="34">
        <v>11197</v>
      </c>
      <c r="G72" s="31" t="s">
        <v>11</v>
      </c>
      <c r="H72" s="30" t="s">
        <v>618</v>
      </c>
    </row>
    <row r="73" spans="1:8" s="1" customFormat="1" ht="28.5" customHeight="1" x14ac:dyDescent="0.25">
      <c r="A73" s="25">
        <v>66</v>
      </c>
      <c r="B73" s="33" t="s">
        <v>119</v>
      </c>
      <c r="C73" s="31" t="s">
        <v>176</v>
      </c>
      <c r="D73" s="34">
        <v>21</v>
      </c>
      <c r="E73" s="34">
        <v>221</v>
      </c>
      <c r="F73" s="34">
        <v>4587</v>
      </c>
      <c r="G73" s="34" t="s">
        <v>11</v>
      </c>
      <c r="H73" s="30" t="s">
        <v>618</v>
      </c>
    </row>
    <row r="74" spans="1:8" s="1" customFormat="1" ht="28.5" customHeight="1" x14ac:dyDescent="0.25">
      <c r="A74" s="25">
        <v>67</v>
      </c>
      <c r="B74" s="33" t="s">
        <v>181</v>
      </c>
      <c r="C74" s="31" t="s">
        <v>176</v>
      </c>
      <c r="D74" s="34">
        <v>21</v>
      </c>
      <c r="E74" s="34">
        <v>66</v>
      </c>
      <c r="F74" s="34">
        <v>7693</v>
      </c>
      <c r="G74" s="31" t="s">
        <v>11</v>
      </c>
      <c r="H74" s="30" t="s">
        <v>617</v>
      </c>
    </row>
    <row r="75" spans="1:8" s="1" customFormat="1" ht="28.5" customHeight="1" x14ac:dyDescent="0.25">
      <c r="A75" s="25">
        <v>68</v>
      </c>
      <c r="B75" s="35" t="s">
        <v>115</v>
      </c>
      <c r="C75" s="31" t="s">
        <v>176</v>
      </c>
      <c r="D75" s="31">
        <v>21</v>
      </c>
      <c r="E75" s="31">
        <v>215</v>
      </c>
      <c r="F75" s="31">
        <v>15445</v>
      </c>
      <c r="G75" s="31" t="s">
        <v>11</v>
      </c>
      <c r="H75" s="30" t="s">
        <v>617</v>
      </c>
    </row>
    <row r="76" spans="1:8" s="1" customFormat="1" ht="28.5" customHeight="1" x14ac:dyDescent="0.25">
      <c r="A76" s="25">
        <v>69</v>
      </c>
      <c r="B76" s="33" t="s">
        <v>76</v>
      </c>
      <c r="C76" s="31" t="s">
        <v>176</v>
      </c>
      <c r="D76" s="34">
        <v>21</v>
      </c>
      <c r="E76" s="34">
        <v>147</v>
      </c>
      <c r="F76" s="34">
        <v>4738</v>
      </c>
      <c r="G76" s="34" t="s">
        <v>11</v>
      </c>
      <c r="H76" s="30" t="s">
        <v>618</v>
      </c>
    </row>
    <row r="77" spans="1:8" s="1" customFormat="1" ht="28.5" customHeight="1" x14ac:dyDescent="0.25">
      <c r="A77" s="25">
        <v>70</v>
      </c>
      <c r="B77" s="33" t="s">
        <v>76</v>
      </c>
      <c r="C77" s="31" t="s">
        <v>176</v>
      </c>
      <c r="D77" s="34">
        <v>21</v>
      </c>
      <c r="E77" s="34">
        <v>146</v>
      </c>
      <c r="F77" s="34">
        <v>7264</v>
      </c>
      <c r="G77" s="31" t="s">
        <v>11</v>
      </c>
      <c r="H77" s="30" t="s">
        <v>618</v>
      </c>
    </row>
    <row r="78" spans="1:8" s="1" customFormat="1" ht="28.5" customHeight="1" x14ac:dyDescent="0.25">
      <c r="A78" s="25">
        <v>71</v>
      </c>
      <c r="B78" s="35" t="s">
        <v>121</v>
      </c>
      <c r="C78" s="31" t="s">
        <v>176</v>
      </c>
      <c r="D78" s="31">
        <v>32</v>
      </c>
      <c r="E78" s="31">
        <v>119</v>
      </c>
      <c r="F78" s="31">
        <v>6114</v>
      </c>
      <c r="G78" s="31" t="s">
        <v>11</v>
      </c>
      <c r="H78" s="30" t="s">
        <v>617</v>
      </c>
    </row>
    <row r="79" spans="1:8" s="1" customFormat="1" ht="28.5" customHeight="1" x14ac:dyDescent="0.25">
      <c r="A79" s="25">
        <v>72</v>
      </c>
      <c r="B79" s="29" t="s">
        <v>182</v>
      </c>
      <c r="C79" s="30" t="s">
        <v>164</v>
      </c>
      <c r="D79" s="30">
        <v>1</v>
      </c>
      <c r="E79" s="30">
        <v>533</v>
      </c>
      <c r="F79" s="32">
        <v>27162.3</v>
      </c>
      <c r="G79" s="30" t="s">
        <v>11</v>
      </c>
      <c r="H79" s="30" t="s">
        <v>183</v>
      </c>
    </row>
    <row r="80" spans="1:8" ht="28.5" customHeight="1" x14ac:dyDescent="0.25">
      <c r="A80" s="20"/>
      <c r="B80" s="20"/>
      <c r="C80" s="21"/>
      <c r="D80" s="21"/>
      <c r="E80" s="21"/>
      <c r="F80" s="22"/>
      <c r="G80" s="21"/>
      <c r="H80" s="21"/>
    </row>
    <row r="81" spans="1:8" ht="28.5" customHeight="1" x14ac:dyDescent="0.25">
      <c r="A81" s="20"/>
      <c r="B81" s="20"/>
      <c r="C81" s="21"/>
      <c r="D81" s="21"/>
      <c r="E81" s="21"/>
      <c r="F81" s="22"/>
      <c r="G81" s="21"/>
      <c r="H81" s="21"/>
    </row>
  </sheetData>
  <mergeCells count="12">
    <mergeCell ref="H4:H7"/>
    <mergeCell ref="E16:G16"/>
    <mergeCell ref="A1:H1"/>
    <mergeCell ref="A2:H2"/>
    <mergeCell ref="A3:H3"/>
    <mergeCell ref="A4:A7"/>
    <mergeCell ref="B4:B7"/>
    <mergeCell ref="C4:C7"/>
    <mergeCell ref="D4:D7"/>
    <mergeCell ref="E4:E7"/>
    <mergeCell ref="F4:F7"/>
    <mergeCell ref="G4:G7"/>
  </mergeCells>
  <pageMargins left="0.51" right="0.7" top="0.22" bottom="0.28999999999999998" header="0.3" footer="0.3"/>
  <pageSetup paperSize="9" orientation="landscape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/>
  </sheetPr>
  <dimension ref="A1:H79"/>
  <sheetViews>
    <sheetView topLeftCell="A75" workbookViewId="0">
      <selection activeCell="B75" sqref="B75"/>
    </sheetView>
  </sheetViews>
  <sheetFormatPr defaultRowHeight="15" x14ac:dyDescent="0.25"/>
  <cols>
    <col min="1" max="1" width="12.85546875" style="2" customWidth="1"/>
    <col min="2" max="2" width="24.140625" style="2" customWidth="1"/>
    <col min="3" max="3" width="16.140625" style="2" customWidth="1"/>
    <col min="4" max="4" width="14.42578125" style="2" customWidth="1"/>
    <col min="5" max="5" width="15.5703125" style="2" customWidth="1"/>
    <col min="6" max="6" width="17.42578125" style="2" customWidth="1"/>
    <col min="7" max="7" width="12.7109375" style="2" customWidth="1"/>
    <col min="8" max="8" width="20.7109375" style="2" customWidth="1"/>
    <col min="9" max="16384" width="9.140625" style="2"/>
  </cols>
  <sheetData>
    <row r="1" spans="1:8" ht="45" customHeight="1" x14ac:dyDescent="0.25">
      <c r="A1" s="128" t="s">
        <v>151</v>
      </c>
      <c r="B1" s="128"/>
      <c r="C1" s="128"/>
      <c r="D1" s="128"/>
      <c r="E1" s="128"/>
      <c r="F1" s="128"/>
      <c r="G1" s="128"/>
      <c r="H1" s="128"/>
    </row>
    <row r="2" spans="1:8" ht="38.25" customHeight="1" x14ac:dyDescent="0.25">
      <c r="A2" s="134" t="s">
        <v>188</v>
      </c>
      <c r="B2" s="134"/>
      <c r="C2" s="134"/>
      <c r="D2" s="134"/>
      <c r="E2" s="134"/>
      <c r="F2" s="134"/>
      <c r="G2" s="134"/>
      <c r="H2" s="134"/>
    </row>
    <row r="3" spans="1:8" ht="3.75" customHeight="1" x14ac:dyDescent="0.25">
      <c r="A3" s="134"/>
      <c r="B3" s="134"/>
      <c r="C3" s="134"/>
      <c r="D3" s="134"/>
      <c r="E3" s="134"/>
      <c r="F3" s="134"/>
      <c r="G3" s="134"/>
      <c r="H3" s="134"/>
    </row>
    <row r="4" spans="1:8" x14ac:dyDescent="0.25">
      <c r="A4" s="126" t="s">
        <v>149</v>
      </c>
      <c r="B4" s="125" t="s">
        <v>154</v>
      </c>
      <c r="C4" s="131" t="s">
        <v>155</v>
      </c>
      <c r="D4" s="131" t="s">
        <v>156</v>
      </c>
      <c r="E4" s="131" t="s">
        <v>157</v>
      </c>
      <c r="F4" s="132" t="s">
        <v>158</v>
      </c>
      <c r="G4" s="125" t="s">
        <v>159</v>
      </c>
      <c r="H4" s="125" t="s">
        <v>6</v>
      </c>
    </row>
    <row r="5" spans="1:8" x14ac:dyDescent="0.25">
      <c r="A5" s="126"/>
      <c r="B5" s="125"/>
      <c r="C5" s="131"/>
      <c r="D5" s="131"/>
      <c r="E5" s="131"/>
      <c r="F5" s="132"/>
      <c r="G5" s="126"/>
      <c r="H5" s="125"/>
    </row>
    <row r="6" spans="1:8" x14ac:dyDescent="0.25">
      <c r="A6" s="126"/>
      <c r="B6" s="125"/>
      <c r="C6" s="131"/>
      <c r="D6" s="131"/>
      <c r="E6" s="131"/>
      <c r="F6" s="132"/>
      <c r="G6" s="126"/>
      <c r="H6" s="125"/>
    </row>
    <row r="7" spans="1:8" x14ac:dyDescent="0.25">
      <c r="A7" s="126"/>
      <c r="B7" s="125"/>
      <c r="C7" s="131"/>
      <c r="D7" s="131"/>
      <c r="E7" s="131"/>
      <c r="F7" s="132"/>
      <c r="G7" s="126"/>
      <c r="H7" s="125"/>
    </row>
    <row r="8" spans="1:8" ht="16.5" x14ac:dyDescent="0.25">
      <c r="A8" s="6">
        <v>1</v>
      </c>
      <c r="B8" s="7" t="s">
        <v>160</v>
      </c>
      <c r="C8" s="6" t="s">
        <v>161</v>
      </c>
      <c r="D8" s="8">
        <v>33</v>
      </c>
      <c r="E8" s="8">
        <v>49</v>
      </c>
      <c r="F8" s="8">
        <v>2916.3</v>
      </c>
      <c r="G8" s="6" t="s">
        <v>11</v>
      </c>
      <c r="H8" s="36"/>
    </row>
    <row r="9" spans="1:8" ht="16.5" x14ac:dyDescent="0.25">
      <c r="A9" s="6">
        <v>2</v>
      </c>
      <c r="B9" s="7" t="s">
        <v>162</v>
      </c>
      <c r="C9" s="6" t="s">
        <v>161</v>
      </c>
      <c r="D9" s="8">
        <v>5</v>
      </c>
      <c r="E9" s="8">
        <v>32</v>
      </c>
      <c r="F9" s="8">
        <v>5931</v>
      </c>
      <c r="G9" s="6" t="s">
        <v>11</v>
      </c>
      <c r="H9" s="36"/>
    </row>
    <row r="10" spans="1:8" ht="16.5" x14ac:dyDescent="0.25">
      <c r="A10" s="6">
        <v>3</v>
      </c>
      <c r="B10" s="7" t="s">
        <v>141</v>
      </c>
      <c r="C10" s="6" t="s">
        <v>163</v>
      </c>
      <c r="D10" s="8"/>
      <c r="E10" s="8"/>
      <c r="F10" s="8"/>
      <c r="G10" s="6"/>
      <c r="H10" s="36"/>
    </row>
    <row r="11" spans="1:8" ht="16.5" x14ac:dyDescent="0.25">
      <c r="A11" s="6">
        <v>4</v>
      </c>
      <c r="B11" s="7" t="s">
        <v>119</v>
      </c>
      <c r="C11" s="6" t="s">
        <v>163</v>
      </c>
      <c r="D11" s="8"/>
      <c r="E11" s="8"/>
      <c r="F11" s="8"/>
      <c r="G11" s="6"/>
      <c r="H11" s="36"/>
    </row>
    <row r="12" spans="1:8" ht="16.5" x14ac:dyDescent="0.25">
      <c r="A12" s="6">
        <v>5</v>
      </c>
      <c r="B12" s="7" t="s">
        <v>125</v>
      </c>
      <c r="C12" s="6" t="s">
        <v>163</v>
      </c>
      <c r="D12" s="8"/>
      <c r="E12" s="8"/>
      <c r="F12" s="8"/>
      <c r="G12" s="6"/>
      <c r="H12" s="36"/>
    </row>
    <row r="13" spans="1:8" ht="16.5" x14ac:dyDescent="0.25">
      <c r="A13" s="6">
        <v>6</v>
      </c>
      <c r="B13" s="7" t="s">
        <v>122</v>
      </c>
      <c r="C13" s="6" t="s">
        <v>163</v>
      </c>
      <c r="D13" s="8"/>
      <c r="E13" s="8"/>
      <c r="F13" s="8"/>
      <c r="G13" s="6"/>
      <c r="H13" s="36"/>
    </row>
    <row r="14" spans="1:8" ht="16.5" x14ac:dyDescent="0.25">
      <c r="A14" s="6">
        <v>7</v>
      </c>
      <c r="B14" s="7" t="s">
        <v>110</v>
      </c>
      <c r="C14" s="6" t="s">
        <v>163</v>
      </c>
      <c r="D14" s="8"/>
      <c r="E14" s="8"/>
      <c r="F14" s="8"/>
      <c r="G14" s="6"/>
      <c r="H14" s="36"/>
    </row>
    <row r="15" spans="1:8" ht="16.5" x14ac:dyDescent="0.25">
      <c r="A15" s="6">
        <v>8</v>
      </c>
      <c r="B15" s="12" t="s">
        <v>86</v>
      </c>
      <c r="C15" s="6" t="s">
        <v>163</v>
      </c>
      <c r="D15" s="8"/>
      <c r="E15" s="8"/>
      <c r="F15" s="8"/>
      <c r="G15" s="6"/>
      <c r="H15" s="36"/>
    </row>
    <row r="16" spans="1:8" ht="16.5" x14ac:dyDescent="0.25">
      <c r="A16" s="6">
        <v>9</v>
      </c>
      <c r="B16" s="12" t="s">
        <v>130</v>
      </c>
      <c r="C16" s="6" t="s">
        <v>163</v>
      </c>
      <c r="D16" s="13"/>
      <c r="E16" s="133"/>
      <c r="F16" s="133"/>
      <c r="G16" s="133"/>
      <c r="H16" s="36"/>
    </row>
    <row r="17" spans="1:8" ht="16.5" x14ac:dyDescent="0.25">
      <c r="A17" s="6">
        <v>10</v>
      </c>
      <c r="B17" s="12" t="s">
        <v>21</v>
      </c>
      <c r="C17" s="13" t="s">
        <v>164</v>
      </c>
      <c r="D17" s="13">
        <v>3</v>
      </c>
      <c r="E17" s="14">
        <v>400</v>
      </c>
      <c r="F17" s="14">
        <v>10748</v>
      </c>
      <c r="G17" s="14" t="s">
        <v>11</v>
      </c>
      <c r="H17" s="13"/>
    </row>
    <row r="18" spans="1:8" ht="16.5" x14ac:dyDescent="0.25">
      <c r="A18" s="6">
        <v>11</v>
      </c>
      <c r="B18" s="12" t="s">
        <v>166</v>
      </c>
      <c r="C18" s="13" t="s">
        <v>407</v>
      </c>
      <c r="D18" s="13">
        <v>21</v>
      </c>
      <c r="E18" s="13">
        <v>99</v>
      </c>
      <c r="F18" s="16">
        <v>2566</v>
      </c>
      <c r="G18" s="13" t="s">
        <v>11</v>
      </c>
      <c r="H18" s="13"/>
    </row>
    <row r="19" spans="1:8" ht="16.5" x14ac:dyDescent="0.25">
      <c r="A19" s="6">
        <v>12</v>
      </c>
      <c r="B19" s="12" t="s">
        <v>166</v>
      </c>
      <c r="C19" s="13" t="s">
        <v>407</v>
      </c>
      <c r="D19" s="13">
        <v>21</v>
      </c>
      <c r="E19" s="13">
        <v>98</v>
      </c>
      <c r="F19" s="16">
        <v>3392</v>
      </c>
      <c r="G19" s="13" t="s">
        <v>11</v>
      </c>
      <c r="H19" s="13"/>
    </row>
    <row r="20" spans="1:8" ht="16.5" x14ac:dyDescent="0.25">
      <c r="A20" s="6">
        <v>13</v>
      </c>
      <c r="B20" s="12" t="s">
        <v>167</v>
      </c>
      <c r="C20" s="13" t="s">
        <v>407</v>
      </c>
      <c r="D20" s="13">
        <v>21</v>
      </c>
      <c r="E20" s="13">
        <v>141</v>
      </c>
      <c r="F20" s="16">
        <v>4128</v>
      </c>
      <c r="G20" s="13" t="s">
        <v>11</v>
      </c>
      <c r="H20" s="13"/>
    </row>
    <row r="21" spans="1:8" ht="16.5" x14ac:dyDescent="0.25">
      <c r="A21" s="6">
        <v>14</v>
      </c>
      <c r="B21" s="12" t="s">
        <v>88</v>
      </c>
      <c r="C21" s="13" t="s">
        <v>407</v>
      </c>
      <c r="D21" s="13">
        <v>21</v>
      </c>
      <c r="E21" s="13">
        <v>171</v>
      </c>
      <c r="F21" s="16">
        <v>3186</v>
      </c>
      <c r="G21" s="13" t="s">
        <v>11</v>
      </c>
      <c r="H21" s="13"/>
    </row>
    <row r="22" spans="1:8" ht="16.5" x14ac:dyDescent="0.25">
      <c r="A22" s="6">
        <v>15</v>
      </c>
      <c r="B22" s="12" t="s">
        <v>24</v>
      </c>
      <c r="C22" s="13" t="s">
        <v>407</v>
      </c>
      <c r="D22" s="13">
        <v>21</v>
      </c>
      <c r="E22" s="13">
        <v>71</v>
      </c>
      <c r="F22" s="16">
        <v>7637</v>
      </c>
      <c r="G22" s="13" t="s">
        <v>11</v>
      </c>
      <c r="H22" s="13"/>
    </row>
    <row r="23" spans="1:8" ht="16.5" x14ac:dyDescent="0.25">
      <c r="A23" s="6">
        <v>16</v>
      </c>
      <c r="B23" s="12" t="s">
        <v>168</v>
      </c>
      <c r="C23" s="13" t="s">
        <v>407</v>
      </c>
      <c r="D23" s="13">
        <v>21</v>
      </c>
      <c r="E23" s="13">
        <v>189</v>
      </c>
      <c r="F23" s="16">
        <v>4497</v>
      </c>
      <c r="G23" s="13" t="s">
        <v>11</v>
      </c>
      <c r="H23" s="13"/>
    </row>
    <row r="24" spans="1:8" ht="16.5" x14ac:dyDescent="0.25">
      <c r="A24" s="6">
        <v>17</v>
      </c>
      <c r="B24" s="12" t="s">
        <v>122</v>
      </c>
      <c r="C24" s="13" t="s">
        <v>407</v>
      </c>
      <c r="D24" s="13">
        <v>21</v>
      </c>
      <c r="E24" s="13">
        <v>227</v>
      </c>
      <c r="F24" s="16">
        <v>8079</v>
      </c>
      <c r="G24" s="13" t="s">
        <v>11</v>
      </c>
      <c r="H24" s="13"/>
    </row>
    <row r="25" spans="1:8" ht="16.5" x14ac:dyDescent="0.25">
      <c r="A25" s="6">
        <v>18</v>
      </c>
      <c r="B25" s="12" t="s">
        <v>84</v>
      </c>
      <c r="C25" s="13" t="s">
        <v>407</v>
      </c>
      <c r="D25" s="13">
        <v>21</v>
      </c>
      <c r="E25" s="13">
        <v>165</v>
      </c>
      <c r="F25" s="16">
        <v>3672</v>
      </c>
      <c r="G25" s="13" t="s">
        <v>11</v>
      </c>
      <c r="H25" s="13"/>
    </row>
    <row r="26" spans="1:8" ht="16.5" x14ac:dyDescent="0.25">
      <c r="A26" s="6">
        <v>19</v>
      </c>
      <c r="B26" s="12" t="s">
        <v>51</v>
      </c>
      <c r="C26" s="13" t="s">
        <v>407</v>
      </c>
      <c r="D26" s="13">
        <v>21</v>
      </c>
      <c r="E26" s="13">
        <v>108</v>
      </c>
      <c r="F26" s="16">
        <v>31282</v>
      </c>
      <c r="G26" s="13" t="s">
        <v>11</v>
      </c>
      <c r="H26" s="13"/>
    </row>
    <row r="27" spans="1:8" ht="16.5" x14ac:dyDescent="0.25">
      <c r="A27" s="6">
        <v>20</v>
      </c>
      <c r="B27" s="12" t="s">
        <v>51</v>
      </c>
      <c r="C27" s="13" t="s">
        <v>407</v>
      </c>
      <c r="D27" s="13">
        <v>21</v>
      </c>
      <c r="E27" s="13">
        <v>110</v>
      </c>
      <c r="F27" s="16">
        <v>1672</v>
      </c>
      <c r="G27" s="13" t="s">
        <v>11</v>
      </c>
      <c r="H27" s="13"/>
    </row>
    <row r="28" spans="1:8" ht="16.5" x14ac:dyDescent="0.25">
      <c r="A28" s="6">
        <v>21</v>
      </c>
      <c r="B28" s="12" t="s">
        <v>51</v>
      </c>
      <c r="C28" s="13" t="s">
        <v>407</v>
      </c>
      <c r="D28" s="13">
        <v>21</v>
      </c>
      <c r="E28" s="13">
        <v>109</v>
      </c>
      <c r="F28" s="16">
        <v>3686</v>
      </c>
      <c r="G28" s="13" t="s">
        <v>11</v>
      </c>
      <c r="H28" s="13"/>
    </row>
    <row r="29" spans="1:8" ht="16.5" x14ac:dyDescent="0.25">
      <c r="A29" s="6">
        <v>22</v>
      </c>
      <c r="B29" s="12" t="s">
        <v>169</v>
      </c>
      <c r="C29" s="13" t="s">
        <v>407</v>
      </c>
      <c r="D29" s="13">
        <v>21</v>
      </c>
      <c r="E29" s="13">
        <v>115</v>
      </c>
      <c r="F29" s="16">
        <v>26358</v>
      </c>
      <c r="G29" s="13" t="s">
        <v>11</v>
      </c>
      <c r="H29" s="13"/>
    </row>
    <row r="30" spans="1:8" ht="16.5" x14ac:dyDescent="0.25">
      <c r="A30" s="6">
        <v>23</v>
      </c>
      <c r="B30" s="12" t="s">
        <v>170</v>
      </c>
      <c r="C30" s="13" t="s">
        <v>171</v>
      </c>
      <c r="D30" s="13">
        <v>21</v>
      </c>
      <c r="E30" s="13">
        <v>236</v>
      </c>
      <c r="F30" s="16">
        <v>8046</v>
      </c>
      <c r="G30" s="13" t="s">
        <v>11</v>
      </c>
      <c r="H30" s="13"/>
    </row>
    <row r="31" spans="1:8" ht="16.5" x14ac:dyDescent="0.25">
      <c r="A31" s="6">
        <v>24</v>
      </c>
      <c r="B31" s="12" t="s">
        <v>29</v>
      </c>
      <c r="C31" s="13" t="s">
        <v>171</v>
      </c>
      <c r="D31" s="13">
        <v>21</v>
      </c>
      <c r="E31" s="13">
        <v>82</v>
      </c>
      <c r="F31" s="16">
        <v>14524</v>
      </c>
      <c r="G31" s="13" t="s">
        <v>11</v>
      </c>
      <c r="H31" s="13"/>
    </row>
    <row r="32" spans="1:8" ht="16.5" x14ac:dyDescent="0.25">
      <c r="A32" s="6">
        <v>25</v>
      </c>
      <c r="B32" s="12" t="s">
        <v>49</v>
      </c>
      <c r="C32" s="13" t="s">
        <v>171</v>
      </c>
      <c r="D32" s="13">
        <v>21</v>
      </c>
      <c r="E32" s="13">
        <v>105</v>
      </c>
      <c r="F32" s="16">
        <v>2993</v>
      </c>
      <c r="G32" s="13" t="s">
        <v>11</v>
      </c>
      <c r="H32" s="13"/>
    </row>
    <row r="33" spans="1:8" ht="16.5" x14ac:dyDescent="0.25">
      <c r="A33" s="6">
        <v>26</v>
      </c>
      <c r="B33" s="12" t="s">
        <v>92</v>
      </c>
      <c r="C33" s="13" t="s">
        <v>171</v>
      </c>
      <c r="D33" s="13">
        <v>21</v>
      </c>
      <c r="E33" s="13">
        <v>74</v>
      </c>
      <c r="F33" s="16">
        <v>4352</v>
      </c>
      <c r="G33" s="13" t="s">
        <v>11</v>
      </c>
      <c r="H33" s="13"/>
    </row>
    <row r="34" spans="1:8" ht="16.5" x14ac:dyDescent="0.25">
      <c r="A34" s="6">
        <v>27</v>
      </c>
      <c r="B34" s="12" t="s">
        <v>73</v>
      </c>
      <c r="C34" s="13" t="s">
        <v>171</v>
      </c>
      <c r="D34" s="13">
        <v>21</v>
      </c>
      <c r="E34" s="13">
        <v>73</v>
      </c>
      <c r="F34" s="16">
        <v>10414</v>
      </c>
      <c r="G34" s="13" t="s">
        <v>11</v>
      </c>
      <c r="H34" s="13"/>
    </row>
    <row r="35" spans="1:8" ht="16.5" x14ac:dyDescent="0.25">
      <c r="A35" s="6">
        <v>28</v>
      </c>
      <c r="B35" s="12" t="s">
        <v>172</v>
      </c>
      <c r="C35" s="13" t="s">
        <v>171</v>
      </c>
      <c r="D35" s="13">
        <v>21</v>
      </c>
      <c r="E35" s="13">
        <v>72</v>
      </c>
      <c r="F35" s="16">
        <v>11043</v>
      </c>
      <c r="G35" s="13" t="s">
        <v>11</v>
      </c>
      <c r="H35" s="13"/>
    </row>
    <row r="36" spans="1:8" ht="16.5" x14ac:dyDescent="0.25">
      <c r="A36" s="6">
        <v>29</v>
      </c>
      <c r="B36" s="12" t="s">
        <v>77</v>
      </c>
      <c r="C36" s="13" t="s">
        <v>164</v>
      </c>
      <c r="D36" s="13">
        <v>8</v>
      </c>
      <c r="E36" s="13">
        <v>244</v>
      </c>
      <c r="F36" s="16">
        <v>5208</v>
      </c>
      <c r="G36" s="13" t="s">
        <v>11</v>
      </c>
      <c r="H36" s="13"/>
    </row>
    <row r="37" spans="1:8" ht="16.5" x14ac:dyDescent="0.25">
      <c r="A37" s="6">
        <v>30</v>
      </c>
      <c r="B37" s="12" t="s">
        <v>100</v>
      </c>
      <c r="C37" s="13" t="s">
        <v>173</v>
      </c>
      <c r="D37" s="13">
        <v>18</v>
      </c>
      <c r="E37" s="13">
        <v>226</v>
      </c>
      <c r="F37" s="16">
        <v>3728.8</v>
      </c>
      <c r="G37" s="13" t="s">
        <v>11</v>
      </c>
      <c r="H37" s="13"/>
    </row>
    <row r="38" spans="1:8" ht="16.5" x14ac:dyDescent="0.25">
      <c r="A38" s="6">
        <v>31</v>
      </c>
      <c r="B38" s="12" t="s">
        <v>174</v>
      </c>
      <c r="C38" s="13" t="s">
        <v>173</v>
      </c>
      <c r="D38" s="13">
        <v>8</v>
      </c>
      <c r="E38" s="13">
        <v>227</v>
      </c>
      <c r="F38" s="16">
        <v>2500.9</v>
      </c>
      <c r="G38" s="13" t="s">
        <v>11</v>
      </c>
      <c r="H38" s="13"/>
    </row>
    <row r="39" spans="1:8" ht="16.5" x14ac:dyDescent="0.25">
      <c r="A39" s="6">
        <v>32</v>
      </c>
      <c r="B39" s="12" t="s">
        <v>175</v>
      </c>
      <c r="C39" s="13" t="s">
        <v>173</v>
      </c>
      <c r="D39" s="13">
        <v>8</v>
      </c>
      <c r="E39" s="13">
        <v>229</v>
      </c>
      <c r="F39" s="16">
        <v>2611.5</v>
      </c>
      <c r="G39" s="13" t="s">
        <v>11</v>
      </c>
      <c r="H39" s="13"/>
    </row>
    <row r="40" spans="1:8" ht="16.5" x14ac:dyDescent="0.25">
      <c r="A40" s="6">
        <v>33</v>
      </c>
      <c r="B40" s="12" t="s">
        <v>175</v>
      </c>
      <c r="C40" s="13" t="s">
        <v>173</v>
      </c>
      <c r="D40" s="13">
        <v>8</v>
      </c>
      <c r="E40" s="13">
        <v>222</v>
      </c>
      <c r="F40" s="16">
        <v>2234.1999999999998</v>
      </c>
      <c r="G40" s="13" t="s">
        <v>11</v>
      </c>
      <c r="H40" s="13"/>
    </row>
    <row r="41" spans="1:8" ht="16.5" x14ac:dyDescent="0.25">
      <c r="A41" s="6">
        <v>34</v>
      </c>
      <c r="B41" s="17" t="s">
        <v>66</v>
      </c>
      <c r="C41" s="14" t="s">
        <v>176</v>
      </c>
      <c r="D41" s="18">
        <v>21</v>
      </c>
      <c r="E41" s="18">
        <v>134</v>
      </c>
      <c r="F41" s="18">
        <v>6891</v>
      </c>
      <c r="G41" s="14" t="s">
        <v>11</v>
      </c>
      <c r="H41" s="13"/>
    </row>
    <row r="42" spans="1:8" ht="16.5" x14ac:dyDescent="0.25">
      <c r="A42" s="6">
        <v>35</v>
      </c>
      <c r="B42" s="17" t="s">
        <v>66</v>
      </c>
      <c r="C42" s="14" t="s">
        <v>176</v>
      </c>
      <c r="D42" s="18">
        <v>21</v>
      </c>
      <c r="E42" s="18">
        <v>135</v>
      </c>
      <c r="F42" s="18">
        <v>36590</v>
      </c>
      <c r="G42" s="14" t="s">
        <v>11</v>
      </c>
      <c r="H42" s="13"/>
    </row>
    <row r="43" spans="1:8" ht="16.5" x14ac:dyDescent="0.25">
      <c r="A43" s="6">
        <v>36</v>
      </c>
      <c r="B43" s="17" t="s">
        <v>79</v>
      </c>
      <c r="C43" s="14" t="s">
        <v>176</v>
      </c>
      <c r="D43" s="18">
        <v>21</v>
      </c>
      <c r="E43" s="18">
        <v>150</v>
      </c>
      <c r="F43" s="18">
        <v>7258</v>
      </c>
      <c r="G43" s="14" t="s">
        <v>11</v>
      </c>
      <c r="H43" s="13"/>
    </row>
    <row r="44" spans="1:8" ht="16.5" x14ac:dyDescent="0.25">
      <c r="A44" s="6">
        <v>37</v>
      </c>
      <c r="B44" s="17" t="s">
        <v>79</v>
      </c>
      <c r="C44" s="14" t="s">
        <v>176</v>
      </c>
      <c r="D44" s="18">
        <v>21</v>
      </c>
      <c r="E44" s="18">
        <v>152</v>
      </c>
      <c r="F44" s="18">
        <v>4680</v>
      </c>
      <c r="G44" s="14" t="s">
        <v>11</v>
      </c>
      <c r="H44" s="13"/>
    </row>
    <row r="45" spans="1:8" ht="16.5" x14ac:dyDescent="0.25">
      <c r="A45" s="6">
        <v>38</v>
      </c>
      <c r="B45" s="17" t="s">
        <v>32</v>
      </c>
      <c r="C45" s="14" t="s">
        <v>176</v>
      </c>
      <c r="D45" s="18">
        <v>21</v>
      </c>
      <c r="E45" s="18">
        <v>86</v>
      </c>
      <c r="F45" s="18">
        <v>8170</v>
      </c>
      <c r="G45" s="14" t="s">
        <v>11</v>
      </c>
      <c r="H45" s="13"/>
    </row>
    <row r="46" spans="1:8" ht="16.5" x14ac:dyDescent="0.25">
      <c r="A46" s="6">
        <v>39</v>
      </c>
      <c r="B46" s="17" t="s">
        <v>30</v>
      </c>
      <c r="C46" s="14" t="s">
        <v>176</v>
      </c>
      <c r="D46" s="18">
        <v>21</v>
      </c>
      <c r="E46" s="18">
        <v>83</v>
      </c>
      <c r="F46" s="18">
        <v>5917</v>
      </c>
      <c r="G46" s="14" t="s">
        <v>11</v>
      </c>
      <c r="H46" s="13"/>
    </row>
    <row r="47" spans="1:8" ht="16.5" x14ac:dyDescent="0.25">
      <c r="A47" s="6">
        <v>40</v>
      </c>
      <c r="B47" s="17" t="s">
        <v>30</v>
      </c>
      <c r="C47" s="14" t="s">
        <v>176</v>
      </c>
      <c r="D47" s="18">
        <v>21</v>
      </c>
      <c r="E47" s="18">
        <v>84</v>
      </c>
      <c r="F47" s="18">
        <v>3911</v>
      </c>
      <c r="G47" s="14" t="s">
        <v>11</v>
      </c>
      <c r="H47" s="13"/>
    </row>
    <row r="48" spans="1:8" ht="16.5" x14ac:dyDescent="0.25">
      <c r="A48" s="6">
        <v>41</v>
      </c>
      <c r="B48" s="12" t="s">
        <v>120</v>
      </c>
      <c r="C48" s="14" t="s">
        <v>176</v>
      </c>
      <c r="D48" s="13">
        <v>21</v>
      </c>
      <c r="E48" s="13">
        <v>223</v>
      </c>
      <c r="F48" s="16">
        <v>4096</v>
      </c>
      <c r="G48" s="14" t="s">
        <v>11</v>
      </c>
      <c r="H48" s="13"/>
    </row>
    <row r="49" spans="1:8" ht="16.5" x14ac:dyDescent="0.25">
      <c r="A49" s="6">
        <v>42</v>
      </c>
      <c r="B49" s="17" t="s">
        <v>91</v>
      </c>
      <c r="C49" s="14" t="s">
        <v>176</v>
      </c>
      <c r="D49" s="18">
        <v>21</v>
      </c>
      <c r="E49" s="18">
        <v>182</v>
      </c>
      <c r="F49" s="18">
        <v>5395</v>
      </c>
      <c r="G49" s="14" t="s">
        <v>11</v>
      </c>
      <c r="H49" s="13"/>
    </row>
    <row r="50" spans="1:8" ht="16.5" x14ac:dyDescent="0.25">
      <c r="A50" s="6">
        <v>43</v>
      </c>
      <c r="B50" s="17" t="s">
        <v>61</v>
      </c>
      <c r="C50" s="14" t="s">
        <v>176</v>
      </c>
      <c r="D50" s="18">
        <v>21</v>
      </c>
      <c r="E50" s="18">
        <v>127</v>
      </c>
      <c r="F50" s="18">
        <v>5024</v>
      </c>
      <c r="G50" s="14" t="s">
        <v>11</v>
      </c>
      <c r="H50" s="13"/>
    </row>
    <row r="51" spans="1:8" ht="16.5" x14ac:dyDescent="0.25">
      <c r="A51" s="6">
        <v>44</v>
      </c>
      <c r="B51" s="17" t="s">
        <v>61</v>
      </c>
      <c r="C51" s="14" t="s">
        <v>176</v>
      </c>
      <c r="D51" s="18">
        <v>21</v>
      </c>
      <c r="E51" s="18">
        <v>125</v>
      </c>
      <c r="F51" s="18">
        <v>9149</v>
      </c>
      <c r="G51" s="14" t="s">
        <v>11</v>
      </c>
      <c r="H51" s="13"/>
    </row>
    <row r="52" spans="1:8" ht="16.5" x14ac:dyDescent="0.25">
      <c r="A52" s="6">
        <v>45</v>
      </c>
      <c r="B52" s="17" t="s">
        <v>177</v>
      </c>
      <c r="C52" s="14" t="s">
        <v>176</v>
      </c>
      <c r="D52" s="18">
        <v>21</v>
      </c>
      <c r="E52" s="18">
        <v>209</v>
      </c>
      <c r="F52" s="18">
        <v>6317</v>
      </c>
      <c r="G52" s="14" t="s">
        <v>11</v>
      </c>
      <c r="H52" s="13"/>
    </row>
    <row r="53" spans="1:8" ht="16.5" x14ac:dyDescent="0.25">
      <c r="A53" s="6">
        <v>46</v>
      </c>
      <c r="B53" s="17" t="s">
        <v>103</v>
      </c>
      <c r="C53" s="14" t="s">
        <v>176</v>
      </c>
      <c r="D53" s="18">
        <v>21</v>
      </c>
      <c r="E53" s="18">
        <v>198</v>
      </c>
      <c r="F53" s="18">
        <v>4280</v>
      </c>
      <c r="G53" s="14" t="s">
        <v>11</v>
      </c>
      <c r="H53" s="13"/>
    </row>
    <row r="54" spans="1:8" ht="16.5" x14ac:dyDescent="0.25">
      <c r="A54" s="6">
        <v>47</v>
      </c>
      <c r="B54" s="17" t="s">
        <v>178</v>
      </c>
      <c r="C54" s="14" t="s">
        <v>176</v>
      </c>
      <c r="D54" s="18">
        <v>21</v>
      </c>
      <c r="E54" s="18">
        <v>246</v>
      </c>
      <c r="F54" s="18">
        <v>39426</v>
      </c>
      <c r="G54" s="18" t="s">
        <v>11</v>
      </c>
      <c r="H54" s="13"/>
    </row>
    <row r="55" spans="1:8" ht="16.5" x14ac:dyDescent="0.25">
      <c r="A55" s="6">
        <v>48</v>
      </c>
      <c r="B55" s="17" t="s">
        <v>178</v>
      </c>
      <c r="C55" s="14" t="s">
        <v>176</v>
      </c>
      <c r="D55" s="18">
        <v>21</v>
      </c>
      <c r="E55" s="18">
        <v>247</v>
      </c>
      <c r="F55" s="18">
        <v>20344</v>
      </c>
      <c r="G55" s="18" t="s">
        <v>11</v>
      </c>
      <c r="H55" s="13"/>
    </row>
    <row r="56" spans="1:8" ht="16.5" x14ac:dyDescent="0.25">
      <c r="A56" s="6">
        <v>49</v>
      </c>
      <c r="B56" s="17" t="s">
        <v>179</v>
      </c>
      <c r="C56" s="14" t="s">
        <v>176</v>
      </c>
      <c r="D56" s="18">
        <v>21</v>
      </c>
      <c r="E56" s="18">
        <v>62</v>
      </c>
      <c r="F56" s="18">
        <v>12240</v>
      </c>
      <c r="G56" s="18" t="s">
        <v>11</v>
      </c>
      <c r="H56" s="13"/>
    </row>
    <row r="57" spans="1:8" ht="16.5" x14ac:dyDescent="0.25">
      <c r="A57" s="6">
        <v>50</v>
      </c>
      <c r="B57" s="17" t="s">
        <v>83</v>
      </c>
      <c r="C57" s="14" t="s">
        <v>176</v>
      </c>
      <c r="D57" s="18">
        <v>21</v>
      </c>
      <c r="E57" s="18">
        <v>161</v>
      </c>
      <c r="F57" s="18">
        <v>12699</v>
      </c>
      <c r="G57" s="14" t="s">
        <v>11</v>
      </c>
      <c r="H57" s="13"/>
    </row>
    <row r="58" spans="1:8" ht="16.5" x14ac:dyDescent="0.25">
      <c r="A58" s="6">
        <v>51</v>
      </c>
      <c r="B58" s="17" t="s">
        <v>83</v>
      </c>
      <c r="C58" s="14" t="s">
        <v>176</v>
      </c>
      <c r="D58" s="18">
        <v>21</v>
      </c>
      <c r="E58" s="18">
        <v>160</v>
      </c>
      <c r="F58" s="18">
        <v>6134</v>
      </c>
      <c r="G58" s="18" t="s">
        <v>11</v>
      </c>
      <c r="H58" s="13"/>
    </row>
    <row r="59" spans="1:8" ht="16.5" x14ac:dyDescent="0.25">
      <c r="A59" s="6">
        <v>52</v>
      </c>
      <c r="B59" s="17" t="s">
        <v>82</v>
      </c>
      <c r="C59" s="14" t="s">
        <v>176</v>
      </c>
      <c r="D59" s="18">
        <v>21</v>
      </c>
      <c r="E59" s="18">
        <v>157</v>
      </c>
      <c r="F59" s="18">
        <v>5223</v>
      </c>
      <c r="G59" s="18" t="s">
        <v>11</v>
      </c>
      <c r="H59" s="13"/>
    </row>
    <row r="60" spans="1:8" ht="16.5" x14ac:dyDescent="0.25">
      <c r="A60" s="6">
        <v>53</v>
      </c>
      <c r="B60" s="17" t="s">
        <v>82</v>
      </c>
      <c r="C60" s="14" t="s">
        <v>176</v>
      </c>
      <c r="D60" s="18">
        <v>21</v>
      </c>
      <c r="E60" s="18">
        <v>159</v>
      </c>
      <c r="F60" s="18">
        <v>3403</v>
      </c>
      <c r="G60" s="14" t="s">
        <v>11</v>
      </c>
      <c r="H60" s="13"/>
    </row>
    <row r="61" spans="1:8" ht="16.5" x14ac:dyDescent="0.25">
      <c r="A61" s="6">
        <v>54</v>
      </c>
      <c r="B61" s="17" t="s">
        <v>180</v>
      </c>
      <c r="C61" s="14" t="s">
        <v>176</v>
      </c>
      <c r="D61" s="18">
        <v>21</v>
      </c>
      <c r="E61" s="18">
        <v>59</v>
      </c>
      <c r="F61" s="18">
        <v>8712</v>
      </c>
      <c r="G61" s="18" t="s">
        <v>11</v>
      </c>
      <c r="H61" s="13"/>
    </row>
    <row r="62" spans="1:8" ht="16.5" x14ac:dyDescent="0.25">
      <c r="A62" s="6">
        <v>55</v>
      </c>
      <c r="B62" s="17" t="s">
        <v>180</v>
      </c>
      <c r="C62" s="14" t="s">
        <v>176</v>
      </c>
      <c r="D62" s="18">
        <v>21</v>
      </c>
      <c r="E62" s="18">
        <v>60</v>
      </c>
      <c r="F62" s="18">
        <v>23170</v>
      </c>
      <c r="G62" s="18" t="s">
        <v>11</v>
      </c>
      <c r="H62" s="13"/>
    </row>
    <row r="63" spans="1:8" ht="16.5" x14ac:dyDescent="0.25">
      <c r="A63" s="6">
        <v>56</v>
      </c>
      <c r="B63" s="17" t="s">
        <v>20</v>
      </c>
      <c r="C63" s="14" t="s">
        <v>176</v>
      </c>
      <c r="D63" s="18">
        <v>21</v>
      </c>
      <c r="E63" s="18">
        <v>63</v>
      </c>
      <c r="F63" s="18">
        <v>7913</v>
      </c>
      <c r="G63" s="14" t="s">
        <v>11</v>
      </c>
      <c r="H63" s="13"/>
    </row>
    <row r="64" spans="1:8" ht="16.5" x14ac:dyDescent="0.25">
      <c r="A64" s="6">
        <v>57</v>
      </c>
      <c r="B64" s="17" t="s">
        <v>90</v>
      </c>
      <c r="C64" s="14" t="s">
        <v>176</v>
      </c>
      <c r="D64" s="18">
        <v>21</v>
      </c>
      <c r="E64" s="18">
        <v>178</v>
      </c>
      <c r="F64" s="18">
        <v>6472</v>
      </c>
      <c r="G64" s="14" t="s">
        <v>11</v>
      </c>
      <c r="H64" s="13"/>
    </row>
    <row r="65" spans="1:8" ht="16.5" x14ac:dyDescent="0.25">
      <c r="A65" s="6">
        <v>58</v>
      </c>
      <c r="B65" s="17" t="s">
        <v>88</v>
      </c>
      <c r="C65" s="14" t="s">
        <v>176</v>
      </c>
      <c r="D65" s="18">
        <v>21</v>
      </c>
      <c r="E65" s="18">
        <v>179</v>
      </c>
      <c r="F65" s="18">
        <v>10813</v>
      </c>
      <c r="G65" s="14" t="s">
        <v>11</v>
      </c>
      <c r="H65" s="13"/>
    </row>
    <row r="66" spans="1:8" ht="16.5" x14ac:dyDescent="0.25">
      <c r="A66" s="6">
        <v>59</v>
      </c>
      <c r="B66" s="17" t="s">
        <v>88</v>
      </c>
      <c r="C66" s="14" t="s">
        <v>176</v>
      </c>
      <c r="D66" s="18">
        <v>21</v>
      </c>
      <c r="E66" s="18">
        <v>174</v>
      </c>
      <c r="F66" s="18">
        <v>11112</v>
      </c>
      <c r="G66" s="14" t="s">
        <v>11</v>
      </c>
      <c r="H66" s="13"/>
    </row>
    <row r="67" spans="1:8" ht="16.5" x14ac:dyDescent="0.25">
      <c r="A67" s="6">
        <v>60</v>
      </c>
      <c r="B67" s="17" t="s">
        <v>88</v>
      </c>
      <c r="C67" s="14" t="s">
        <v>176</v>
      </c>
      <c r="D67" s="18">
        <v>21</v>
      </c>
      <c r="E67" s="18">
        <v>176</v>
      </c>
      <c r="F67" s="18">
        <v>18329</v>
      </c>
      <c r="G67" s="14" t="s">
        <v>11</v>
      </c>
      <c r="H67" s="13"/>
    </row>
    <row r="68" spans="1:8" ht="16.5" x14ac:dyDescent="0.25">
      <c r="A68" s="6">
        <v>61</v>
      </c>
      <c r="B68" s="12" t="s">
        <v>110</v>
      </c>
      <c r="C68" s="14" t="s">
        <v>176</v>
      </c>
      <c r="D68" s="13">
        <v>21</v>
      </c>
      <c r="E68" s="13">
        <v>206</v>
      </c>
      <c r="F68" s="16">
        <v>38824</v>
      </c>
      <c r="G68" s="14" t="s">
        <v>11</v>
      </c>
      <c r="H68" s="13"/>
    </row>
    <row r="69" spans="1:8" ht="16.5" x14ac:dyDescent="0.25">
      <c r="A69" s="6">
        <v>62</v>
      </c>
      <c r="B69" s="17" t="s">
        <v>28</v>
      </c>
      <c r="C69" s="14" t="s">
        <v>176</v>
      </c>
      <c r="D69" s="18">
        <v>21</v>
      </c>
      <c r="E69" s="18">
        <v>80</v>
      </c>
      <c r="F69" s="18">
        <v>13907</v>
      </c>
      <c r="G69" s="18" t="s">
        <v>11</v>
      </c>
      <c r="H69" s="13"/>
    </row>
    <row r="70" spans="1:8" ht="16.5" x14ac:dyDescent="0.25">
      <c r="A70" s="6">
        <v>63</v>
      </c>
      <c r="B70" s="17" t="s">
        <v>28</v>
      </c>
      <c r="C70" s="14" t="s">
        <v>176</v>
      </c>
      <c r="D70" s="18">
        <v>21</v>
      </c>
      <c r="E70" s="18">
        <v>79</v>
      </c>
      <c r="F70" s="18">
        <v>9667</v>
      </c>
      <c r="G70" s="14" t="s">
        <v>11</v>
      </c>
      <c r="H70" s="13"/>
    </row>
    <row r="71" spans="1:8" ht="16.5" x14ac:dyDescent="0.25">
      <c r="A71" s="6">
        <v>64</v>
      </c>
      <c r="B71" s="17" t="s">
        <v>80</v>
      </c>
      <c r="C71" s="14" t="s">
        <v>176</v>
      </c>
      <c r="D71" s="18">
        <v>21</v>
      </c>
      <c r="E71" s="18">
        <v>153</v>
      </c>
      <c r="F71" s="18">
        <v>7804</v>
      </c>
      <c r="G71" s="14" t="s">
        <v>11</v>
      </c>
      <c r="H71" s="13"/>
    </row>
    <row r="72" spans="1:8" ht="16.5" x14ac:dyDescent="0.25">
      <c r="A72" s="6">
        <v>65</v>
      </c>
      <c r="B72" s="17" t="s">
        <v>119</v>
      </c>
      <c r="C72" s="14" t="s">
        <v>176</v>
      </c>
      <c r="D72" s="18">
        <v>21</v>
      </c>
      <c r="E72" s="18">
        <v>220</v>
      </c>
      <c r="F72" s="18">
        <v>11197</v>
      </c>
      <c r="G72" s="14" t="s">
        <v>11</v>
      </c>
      <c r="H72" s="13"/>
    </row>
    <row r="73" spans="1:8" ht="16.5" x14ac:dyDescent="0.25">
      <c r="A73" s="6">
        <v>66</v>
      </c>
      <c r="B73" s="17" t="s">
        <v>119</v>
      </c>
      <c r="C73" s="14" t="s">
        <v>176</v>
      </c>
      <c r="D73" s="18">
        <v>21</v>
      </c>
      <c r="E73" s="18">
        <v>221</v>
      </c>
      <c r="F73" s="18">
        <v>4587</v>
      </c>
      <c r="G73" s="18" t="s">
        <v>11</v>
      </c>
      <c r="H73" s="13"/>
    </row>
    <row r="74" spans="1:8" ht="16.5" x14ac:dyDescent="0.25">
      <c r="A74" s="6">
        <v>67</v>
      </c>
      <c r="B74" s="17" t="s">
        <v>181</v>
      </c>
      <c r="C74" s="14" t="s">
        <v>176</v>
      </c>
      <c r="D74" s="18">
        <v>21</v>
      </c>
      <c r="E74" s="18">
        <v>66</v>
      </c>
      <c r="F74" s="18">
        <v>7693</v>
      </c>
      <c r="G74" s="14" t="s">
        <v>11</v>
      </c>
      <c r="H74" s="13"/>
    </row>
    <row r="75" spans="1:8" ht="16.5" x14ac:dyDescent="0.25">
      <c r="A75" s="6">
        <v>68</v>
      </c>
      <c r="B75" s="19" t="s">
        <v>115</v>
      </c>
      <c r="C75" s="14" t="s">
        <v>176</v>
      </c>
      <c r="D75" s="14">
        <v>21</v>
      </c>
      <c r="E75" s="14">
        <v>215</v>
      </c>
      <c r="F75" s="14">
        <v>15445</v>
      </c>
      <c r="G75" s="14" t="s">
        <v>11</v>
      </c>
      <c r="H75" s="13"/>
    </row>
    <row r="76" spans="1:8" ht="16.5" x14ac:dyDescent="0.25">
      <c r="A76" s="6">
        <v>69</v>
      </c>
      <c r="B76" s="17" t="s">
        <v>76</v>
      </c>
      <c r="C76" s="14" t="s">
        <v>176</v>
      </c>
      <c r="D76" s="18">
        <v>21</v>
      </c>
      <c r="E76" s="18">
        <v>147</v>
      </c>
      <c r="F76" s="18">
        <v>4738</v>
      </c>
      <c r="G76" s="18" t="s">
        <v>11</v>
      </c>
      <c r="H76" s="13"/>
    </row>
    <row r="77" spans="1:8" ht="16.5" x14ac:dyDescent="0.25">
      <c r="A77" s="6">
        <v>70</v>
      </c>
      <c r="B77" s="17" t="s">
        <v>76</v>
      </c>
      <c r="C77" s="14" t="s">
        <v>176</v>
      </c>
      <c r="D77" s="18">
        <v>21</v>
      </c>
      <c r="E77" s="18">
        <v>146</v>
      </c>
      <c r="F77" s="18">
        <v>7264</v>
      </c>
      <c r="G77" s="14" t="s">
        <v>11</v>
      </c>
      <c r="H77" s="13"/>
    </row>
    <row r="78" spans="1:8" ht="16.5" x14ac:dyDescent="0.25">
      <c r="A78" s="6">
        <v>71</v>
      </c>
      <c r="B78" s="19" t="s">
        <v>121</v>
      </c>
      <c r="C78" s="14" t="s">
        <v>176</v>
      </c>
      <c r="D78" s="14">
        <v>32</v>
      </c>
      <c r="E78" s="14">
        <v>119</v>
      </c>
      <c r="F78" s="14">
        <v>6114</v>
      </c>
      <c r="G78" s="14" t="s">
        <v>11</v>
      </c>
      <c r="H78" s="13"/>
    </row>
    <row r="79" spans="1:8" ht="16.5" x14ac:dyDescent="0.25">
      <c r="A79" s="6">
        <v>72</v>
      </c>
      <c r="B79" s="12" t="s">
        <v>182</v>
      </c>
      <c r="C79" s="13" t="s">
        <v>164</v>
      </c>
      <c r="D79" s="13">
        <v>1</v>
      </c>
      <c r="E79" s="13">
        <v>533</v>
      </c>
      <c r="F79" s="16">
        <v>27162.3</v>
      </c>
      <c r="G79" s="13" t="s">
        <v>11</v>
      </c>
      <c r="H79" s="13"/>
    </row>
  </sheetData>
  <mergeCells count="11">
    <mergeCell ref="E16:G16"/>
    <mergeCell ref="A1:H1"/>
    <mergeCell ref="A2:H3"/>
    <mergeCell ref="A4:A7"/>
    <mergeCell ref="B4:B7"/>
    <mergeCell ref="C4:C7"/>
    <mergeCell ref="D4:D7"/>
    <mergeCell ref="E4:E7"/>
    <mergeCell ref="F4:F7"/>
    <mergeCell ref="G4:G7"/>
    <mergeCell ref="H4:H7"/>
  </mergeCells>
  <pageMargins left="0.45" right="0.7" top="0.31" bottom="0.27" header="0.3" footer="0.3"/>
  <pageSetup paperSize="9" orientation="landscape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/>
    <pageSetUpPr fitToPage="1"/>
  </sheetPr>
  <dimension ref="A1:I79"/>
  <sheetViews>
    <sheetView topLeftCell="A51" zoomScaleNormal="100" zoomScaleSheetLayoutView="40" workbookViewId="0">
      <selection activeCell="B75" sqref="B75"/>
    </sheetView>
  </sheetViews>
  <sheetFormatPr defaultRowHeight="15.75" x14ac:dyDescent="0.25"/>
  <cols>
    <col min="1" max="1" width="7.5703125" style="20" customWidth="1"/>
    <col min="2" max="2" width="19.28515625" style="20" customWidth="1"/>
    <col min="3" max="3" width="23.28515625" style="21" customWidth="1"/>
    <col min="4" max="5" width="15.7109375" style="21" customWidth="1"/>
    <col min="6" max="6" width="15.7109375" style="22" customWidth="1"/>
    <col min="7" max="7" width="15.7109375" style="21" customWidth="1"/>
    <col min="8" max="8" width="38.5703125" style="21" customWidth="1"/>
    <col min="9" max="16384" width="9.140625" style="5"/>
  </cols>
  <sheetData>
    <row r="1" spans="1:9" ht="53.25" customHeight="1" x14ac:dyDescent="0.25">
      <c r="A1" s="128" t="s">
        <v>150</v>
      </c>
      <c r="B1" s="128"/>
      <c r="C1" s="128"/>
      <c r="D1" s="128" t="s">
        <v>151</v>
      </c>
      <c r="E1" s="128"/>
      <c r="F1" s="128"/>
      <c r="G1" s="128"/>
      <c r="H1" s="128"/>
    </row>
    <row r="2" spans="1:9" ht="39.950000000000003" customHeight="1" x14ac:dyDescent="0.25">
      <c r="A2" s="136" t="s">
        <v>152</v>
      </c>
      <c r="B2" s="136"/>
      <c r="C2" s="136"/>
      <c r="D2" s="136"/>
      <c r="E2" s="136"/>
      <c r="F2" s="136"/>
      <c r="G2" s="136"/>
      <c r="H2" s="136"/>
    </row>
    <row r="3" spans="1:9" ht="20.25" customHeight="1" x14ac:dyDescent="0.25">
      <c r="A3" s="130" t="s">
        <v>153</v>
      </c>
      <c r="B3" s="130"/>
      <c r="C3" s="130"/>
      <c r="D3" s="130"/>
      <c r="E3" s="130"/>
      <c r="F3" s="130"/>
      <c r="G3" s="130"/>
      <c r="H3" s="130"/>
    </row>
    <row r="4" spans="1:9" ht="15" customHeight="1" x14ac:dyDescent="0.25">
      <c r="A4" s="126" t="s">
        <v>149</v>
      </c>
      <c r="B4" s="125" t="s">
        <v>154</v>
      </c>
      <c r="C4" s="131" t="s">
        <v>155</v>
      </c>
      <c r="D4" s="131" t="s">
        <v>156</v>
      </c>
      <c r="E4" s="131" t="s">
        <v>157</v>
      </c>
      <c r="F4" s="132" t="s">
        <v>158</v>
      </c>
      <c r="G4" s="125" t="s">
        <v>159</v>
      </c>
      <c r="H4" s="125" t="s">
        <v>189</v>
      </c>
      <c r="I4" s="127"/>
    </row>
    <row r="5" spans="1:9" ht="15.75" customHeight="1" x14ac:dyDescent="0.25">
      <c r="A5" s="126"/>
      <c r="B5" s="125"/>
      <c r="C5" s="131"/>
      <c r="D5" s="131"/>
      <c r="E5" s="131"/>
      <c r="F5" s="132"/>
      <c r="G5" s="126"/>
      <c r="H5" s="125"/>
      <c r="I5" s="127"/>
    </row>
    <row r="6" spans="1:9" ht="15.75" customHeight="1" x14ac:dyDescent="0.25">
      <c r="A6" s="126"/>
      <c r="B6" s="125"/>
      <c r="C6" s="131"/>
      <c r="D6" s="131"/>
      <c r="E6" s="131"/>
      <c r="F6" s="132"/>
      <c r="G6" s="126"/>
      <c r="H6" s="125"/>
      <c r="I6" s="127"/>
    </row>
    <row r="7" spans="1:9" ht="20.25" customHeight="1" x14ac:dyDescent="0.25">
      <c r="A7" s="126"/>
      <c r="B7" s="125"/>
      <c r="C7" s="131"/>
      <c r="D7" s="131"/>
      <c r="E7" s="131"/>
      <c r="F7" s="132"/>
      <c r="G7" s="126"/>
      <c r="H7" s="125"/>
      <c r="I7" s="127"/>
    </row>
    <row r="8" spans="1:9" s="11" customFormat="1" ht="20.25" customHeight="1" x14ac:dyDescent="0.25">
      <c r="A8" s="25">
        <v>1</v>
      </c>
      <c r="B8" s="37" t="s">
        <v>160</v>
      </c>
      <c r="C8" s="25" t="s">
        <v>161</v>
      </c>
      <c r="D8" s="27">
        <v>33</v>
      </c>
      <c r="E8" s="27">
        <v>49</v>
      </c>
      <c r="F8" s="27">
        <v>2916.3</v>
      </c>
      <c r="G8" s="25" t="s">
        <v>11</v>
      </c>
      <c r="H8" s="38" t="s">
        <v>620</v>
      </c>
      <c r="I8" s="39"/>
    </row>
    <row r="9" spans="1:9" s="11" customFormat="1" ht="20.25" customHeight="1" x14ac:dyDescent="0.25">
      <c r="A9" s="25">
        <v>2</v>
      </c>
      <c r="B9" s="37" t="s">
        <v>162</v>
      </c>
      <c r="C9" s="25" t="s">
        <v>161</v>
      </c>
      <c r="D9" s="27">
        <v>5</v>
      </c>
      <c r="E9" s="27">
        <v>32</v>
      </c>
      <c r="F9" s="27">
        <v>5931</v>
      </c>
      <c r="G9" s="25" t="s">
        <v>11</v>
      </c>
      <c r="H9" s="38" t="s">
        <v>620</v>
      </c>
      <c r="I9" s="39"/>
    </row>
    <row r="10" spans="1:9" s="11" customFormat="1" ht="20.25" customHeight="1" x14ac:dyDescent="0.25">
      <c r="A10" s="25">
        <v>3</v>
      </c>
      <c r="B10" s="37" t="s">
        <v>141</v>
      </c>
      <c r="C10" s="25" t="s">
        <v>163</v>
      </c>
      <c r="D10" s="27"/>
      <c r="E10" s="27"/>
      <c r="F10" s="27"/>
      <c r="G10" s="25"/>
      <c r="H10" s="38" t="s">
        <v>621</v>
      </c>
      <c r="I10" s="39"/>
    </row>
    <row r="11" spans="1:9" s="11" customFormat="1" ht="20.25" customHeight="1" x14ac:dyDescent="0.25">
      <c r="A11" s="25">
        <v>4</v>
      </c>
      <c r="B11" s="37" t="s">
        <v>119</v>
      </c>
      <c r="C11" s="25" t="s">
        <v>163</v>
      </c>
      <c r="D11" s="27"/>
      <c r="E11" s="27"/>
      <c r="F11" s="27"/>
      <c r="G11" s="25"/>
      <c r="H11" s="38" t="s">
        <v>621</v>
      </c>
      <c r="I11" s="39"/>
    </row>
    <row r="12" spans="1:9" s="11" customFormat="1" ht="20.25" customHeight="1" x14ac:dyDescent="0.25">
      <c r="A12" s="25">
        <v>5</v>
      </c>
      <c r="B12" s="37" t="s">
        <v>125</v>
      </c>
      <c r="C12" s="25" t="s">
        <v>163</v>
      </c>
      <c r="D12" s="27"/>
      <c r="E12" s="27"/>
      <c r="F12" s="27"/>
      <c r="G12" s="25"/>
      <c r="H12" s="38" t="s">
        <v>621</v>
      </c>
      <c r="I12" s="39"/>
    </row>
    <row r="13" spans="1:9" s="11" customFormat="1" ht="20.25" customHeight="1" x14ac:dyDescent="0.25">
      <c r="A13" s="25">
        <v>6</v>
      </c>
      <c r="B13" s="37" t="s">
        <v>122</v>
      </c>
      <c r="C13" s="25" t="s">
        <v>163</v>
      </c>
      <c r="D13" s="27"/>
      <c r="E13" s="27"/>
      <c r="F13" s="27"/>
      <c r="G13" s="25"/>
      <c r="H13" s="38" t="s">
        <v>621</v>
      </c>
      <c r="I13" s="39"/>
    </row>
    <row r="14" spans="1:9" s="11" customFormat="1" ht="20.25" customHeight="1" x14ac:dyDescent="0.25">
      <c r="A14" s="25">
        <v>7</v>
      </c>
      <c r="B14" s="37" t="s">
        <v>110</v>
      </c>
      <c r="C14" s="25" t="s">
        <v>163</v>
      </c>
      <c r="D14" s="27"/>
      <c r="E14" s="27"/>
      <c r="F14" s="27"/>
      <c r="G14" s="25"/>
      <c r="H14" s="38" t="s">
        <v>621</v>
      </c>
      <c r="I14" s="39"/>
    </row>
    <row r="15" spans="1:9" s="11" customFormat="1" ht="16.5" x14ac:dyDescent="0.25">
      <c r="A15" s="25">
        <v>8</v>
      </c>
      <c r="B15" s="40" t="s">
        <v>86</v>
      </c>
      <c r="C15" s="25" t="s">
        <v>163</v>
      </c>
      <c r="D15" s="27"/>
      <c r="E15" s="27"/>
      <c r="F15" s="27"/>
      <c r="G15" s="25"/>
      <c r="H15" s="38" t="s">
        <v>621</v>
      </c>
    </row>
    <row r="16" spans="1:9" s="11" customFormat="1" ht="16.5" x14ac:dyDescent="0.25">
      <c r="A16" s="25">
        <v>9</v>
      </c>
      <c r="B16" s="40" t="s">
        <v>130</v>
      </c>
      <c r="C16" s="25" t="s">
        <v>163</v>
      </c>
      <c r="D16" s="41"/>
      <c r="E16" s="135"/>
      <c r="F16" s="135"/>
      <c r="G16" s="135"/>
      <c r="H16" s="38" t="s">
        <v>621</v>
      </c>
    </row>
    <row r="17" spans="1:8" s="11" customFormat="1" ht="16.5" x14ac:dyDescent="0.25">
      <c r="A17" s="25">
        <v>10</v>
      </c>
      <c r="B17" s="40" t="s">
        <v>21</v>
      </c>
      <c r="C17" s="41" t="s">
        <v>164</v>
      </c>
      <c r="D17" s="41">
        <v>3</v>
      </c>
      <c r="E17" s="42">
        <v>400</v>
      </c>
      <c r="F17" s="43">
        <v>10748</v>
      </c>
      <c r="G17" s="43" t="s">
        <v>11</v>
      </c>
      <c r="H17" s="41" t="s">
        <v>165</v>
      </c>
    </row>
    <row r="18" spans="1:8" s="11" customFormat="1" ht="16.5" x14ac:dyDescent="0.25">
      <c r="A18" s="25">
        <v>11</v>
      </c>
      <c r="B18" s="40" t="s">
        <v>166</v>
      </c>
      <c r="C18" s="41" t="s">
        <v>407</v>
      </c>
      <c r="D18" s="41">
        <v>21</v>
      </c>
      <c r="E18" s="41">
        <v>99</v>
      </c>
      <c r="F18" s="44">
        <v>2566</v>
      </c>
      <c r="G18" s="41" t="s">
        <v>11</v>
      </c>
      <c r="H18" s="41" t="s">
        <v>625</v>
      </c>
    </row>
    <row r="19" spans="1:8" s="11" customFormat="1" ht="16.5" x14ac:dyDescent="0.25">
      <c r="A19" s="25">
        <v>12</v>
      </c>
      <c r="B19" s="40" t="s">
        <v>166</v>
      </c>
      <c r="C19" s="41" t="s">
        <v>407</v>
      </c>
      <c r="D19" s="41">
        <v>21</v>
      </c>
      <c r="E19" s="41">
        <v>98</v>
      </c>
      <c r="F19" s="44">
        <v>3392</v>
      </c>
      <c r="G19" s="41" t="s">
        <v>11</v>
      </c>
      <c r="H19" s="41" t="s">
        <v>625</v>
      </c>
    </row>
    <row r="20" spans="1:8" s="11" customFormat="1" ht="16.5" x14ac:dyDescent="0.25">
      <c r="A20" s="25">
        <v>13</v>
      </c>
      <c r="B20" s="40" t="s">
        <v>167</v>
      </c>
      <c r="C20" s="41" t="s">
        <v>407</v>
      </c>
      <c r="D20" s="41">
        <v>21</v>
      </c>
      <c r="E20" s="41">
        <v>141</v>
      </c>
      <c r="F20" s="44">
        <v>4128</v>
      </c>
      <c r="G20" s="41" t="s">
        <v>11</v>
      </c>
      <c r="H20" s="41" t="s">
        <v>617</v>
      </c>
    </row>
    <row r="21" spans="1:8" s="11" customFormat="1" ht="16.5" x14ac:dyDescent="0.25">
      <c r="A21" s="25">
        <v>14</v>
      </c>
      <c r="B21" s="40" t="s">
        <v>88</v>
      </c>
      <c r="C21" s="41" t="s">
        <v>407</v>
      </c>
      <c r="D21" s="41">
        <v>21</v>
      </c>
      <c r="E21" s="41">
        <v>171</v>
      </c>
      <c r="F21" s="44">
        <v>3186</v>
      </c>
      <c r="G21" s="41" t="s">
        <v>11</v>
      </c>
      <c r="H21" s="41" t="s">
        <v>617</v>
      </c>
    </row>
    <row r="22" spans="1:8" s="11" customFormat="1" ht="16.5" x14ac:dyDescent="0.25">
      <c r="A22" s="25">
        <v>15</v>
      </c>
      <c r="B22" s="40" t="s">
        <v>24</v>
      </c>
      <c r="C22" s="41" t="s">
        <v>407</v>
      </c>
      <c r="D22" s="41">
        <v>21</v>
      </c>
      <c r="E22" s="41">
        <v>71</v>
      </c>
      <c r="F22" s="44">
        <v>7637</v>
      </c>
      <c r="G22" s="41" t="s">
        <v>11</v>
      </c>
      <c r="H22" s="41" t="s">
        <v>617</v>
      </c>
    </row>
    <row r="23" spans="1:8" s="11" customFormat="1" ht="16.5" x14ac:dyDescent="0.25">
      <c r="A23" s="25">
        <v>16</v>
      </c>
      <c r="B23" s="40" t="s">
        <v>168</v>
      </c>
      <c r="C23" s="41" t="s">
        <v>407</v>
      </c>
      <c r="D23" s="41">
        <v>21</v>
      </c>
      <c r="E23" s="41">
        <v>189</v>
      </c>
      <c r="F23" s="44">
        <v>4497</v>
      </c>
      <c r="G23" s="41" t="s">
        <v>11</v>
      </c>
      <c r="H23" s="41" t="s">
        <v>617</v>
      </c>
    </row>
    <row r="24" spans="1:8" s="11" customFormat="1" ht="16.5" x14ac:dyDescent="0.25">
      <c r="A24" s="25">
        <v>17</v>
      </c>
      <c r="B24" s="40" t="s">
        <v>122</v>
      </c>
      <c r="C24" s="41" t="s">
        <v>407</v>
      </c>
      <c r="D24" s="41">
        <v>21</v>
      </c>
      <c r="E24" s="41">
        <v>227</v>
      </c>
      <c r="F24" s="44">
        <v>8079</v>
      </c>
      <c r="G24" s="41" t="s">
        <v>11</v>
      </c>
      <c r="H24" s="41" t="s">
        <v>617</v>
      </c>
    </row>
    <row r="25" spans="1:8" s="11" customFormat="1" ht="16.5" x14ac:dyDescent="0.25">
      <c r="A25" s="25">
        <v>18</v>
      </c>
      <c r="B25" s="40" t="s">
        <v>84</v>
      </c>
      <c r="C25" s="41" t="s">
        <v>407</v>
      </c>
      <c r="D25" s="41">
        <v>21</v>
      </c>
      <c r="E25" s="41">
        <v>165</v>
      </c>
      <c r="F25" s="44">
        <v>3672</v>
      </c>
      <c r="G25" s="41" t="s">
        <v>11</v>
      </c>
      <c r="H25" s="41" t="s">
        <v>617</v>
      </c>
    </row>
    <row r="26" spans="1:8" s="11" customFormat="1" ht="16.5" x14ac:dyDescent="0.25">
      <c r="A26" s="25">
        <v>19</v>
      </c>
      <c r="B26" s="40" t="s">
        <v>51</v>
      </c>
      <c r="C26" s="41" t="s">
        <v>407</v>
      </c>
      <c r="D26" s="41">
        <v>21</v>
      </c>
      <c r="E26" s="41">
        <v>108</v>
      </c>
      <c r="F26" s="44">
        <v>31282</v>
      </c>
      <c r="G26" s="41" t="s">
        <v>11</v>
      </c>
      <c r="H26" s="41" t="s">
        <v>619</v>
      </c>
    </row>
    <row r="27" spans="1:8" s="11" customFormat="1" ht="16.5" x14ac:dyDescent="0.25">
      <c r="A27" s="25">
        <v>20</v>
      </c>
      <c r="B27" s="40" t="s">
        <v>51</v>
      </c>
      <c r="C27" s="41" t="s">
        <v>407</v>
      </c>
      <c r="D27" s="41">
        <v>21</v>
      </c>
      <c r="E27" s="41">
        <v>110</v>
      </c>
      <c r="F27" s="44">
        <v>1672</v>
      </c>
      <c r="G27" s="41" t="s">
        <v>11</v>
      </c>
      <c r="H27" s="41" t="s">
        <v>619</v>
      </c>
    </row>
    <row r="28" spans="1:8" s="11" customFormat="1" ht="16.5" x14ac:dyDescent="0.25">
      <c r="A28" s="25">
        <v>21</v>
      </c>
      <c r="B28" s="40" t="s">
        <v>51</v>
      </c>
      <c r="C28" s="41" t="s">
        <v>407</v>
      </c>
      <c r="D28" s="41">
        <v>21</v>
      </c>
      <c r="E28" s="41">
        <v>109</v>
      </c>
      <c r="F28" s="44">
        <v>3686</v>
      </c>
      <c r="G28" s="41" t="s">
        <v>11</v>
      </c>
      <c r="H28" s="41" t="s">
        <v>619</v>
      </c>
    </row>
    <row r="29" spans="1:8" s="11" customFormat="1" ht="16.5" x14ac:dyDescent="0.25">
      <c r="A29" s="25">
        <v>22</v>
      </c>
      <c r="B29" s="40" t="s">
        <v>169</v>
      </c>
      <c r="C29" s="41" t="s">
        <v>407</v>
      </c>
      <c r="D29" s="41">
        <v>21</v>
      </c>
      <c r="E29" s="41">
        <v>115</v>
      </c>
      <c r="F29" s="44">
        <v>26358</v>
      </c>
      <c r="G29" s="41" t="s">
        <v>11</v>
      </c>
      <c r="H29" s="41" t="s">
        <v>624</v>
      </c>
    </row>
    <row r="30" spans="1:8" s="11" customFormat="1" ht="16.5" x14ac:dyDescent="0.25">
      <c r="A30" s="25">
        <v>23</v>
      </c>
      <c r="B30" s="40" t="s">
        <v>170</v>
      </c>
      <c r="C30" s="41" t="s">
        <v>171</v>
      </c>
      <c r="D30" s="41">
        <v>21</v>
      </c>
      <c r="E30" s="41">
        <v>236</v>
      </c>
      <c r="F30" s="44">
        <v>8046</v>
      </c>
      <c r="G30" s="41" t="s">
        <v>11</v>
      </c>
      <c r="H30" s="41" t="s">
        <v>617</v>
      </c>
    </row>
    <row r="31" spans="1:8" s="11" customFormat="1" ht="16.5" x14ac:dyDescent="0.25">
      <c r="A31" s="25">
        <v>24</v>
      </c>
      <c r="B31" s="40" t="s">
        <v>29</v>
      </c>
      <c r="C31" s="41" t="s">
        <v>171</v>
      </c>
      <c r="D31" s="41">
        <v>21</v>
      </c>
      <c r="E31" s="41">
        <v>82</v>
      </c>
      <c r="F31" s="44">
        <v>14524</v>
      </c>
      <c r="G31" s="41" t="s">
        <v>11</v>
      </c>
      <c r="H31" s="41" t="s">
        <v>617</v>
      </c>
    </row>
    <row r="32" spans="1:8" s="11" customFormat="1" ht="16.5" x14ac:dyDescent="0.25">
      <c r="A32" s="25">
        <v>25</v>
      </c>
      <c r="B32" s="40" t="s">
        <v>49</v>
      </c>
      <c r="C32" s="41" t="s">
        <v>171</v>
      </c>
      <c r="D32" s="41">
        <v>21</v>
      </c>
      <c r="E32" s="41">
        <v>105</v>
      </c>
      <c r="F32" s="44">
        <v>2993</v>
      </c>
      <c r="G32" s="41" t="s">
        <v>11</v>
      </c>
      <c r="H32" s="41" t="s">
        <v>617</v>
      </c>
    </row>
    <row r="33" spans="1:8" s="11" customFormat="1" ht="16.5" x14ac:dyDescent="0.25">
      <c r="A33" s="25">
        <v>26</v>
      </c>
      <c r="B33" s="40" t="s">
        <v>92</v>
      </c>
      <c r="C33" s="41" t="s">
        <v>171</v>
      </c>
      <c r="D33" s="41">
        <v>21</v>
      </c>
      <c r="E33" s="41">
        <v>74</v>
      </c>
      <c r="F33" s="44">
        <v>4352</v>
      </c>
      <c r="G33" s="41" t="s">
        <v>11</v>
      </c>
      <c r="H33" s="41" t="s">
        <v>617</v>
      </c>
    </row>
    <row r="34" spans="1:8" s="11" customFormat="1" ht="16.5" x14ac:dyDescent="0.25">
      <c r="A34" s="25">
        <v>27</v>
      </c>
      <c r="B34" s="40" t="s">
        <v>73</v>
      </c>
      <c r="C34" s="41" t="s">
        <v>171</v>
      </c>
      <c r="D34" s="41">
        <v>21</v>
      </c>
      <c r="E34" s="41">
        <v>73</v>
      </c>
      <c r="F34" s="44">
        <v>10414</v>
      </c>
      <c r="G34" s="41" t="s">
        <v>11</v>
      </c>
      <c r="H34" s="41" t="s">
        <v>617</v>
      </c>
    </row>
    <row r="35" spans="1:8" s="11" customFormat="1" ht="16.5" x14ac:dyDescent="0.25">
      <c r="A35" s="25">
        <v>28</v>
      </c>
      <c r="B35" s="40" t="s">
        <v>172</v>
      </c>
      <c r="C35" s="41" t="s">
        <v>171</v>
      </c>
      <c r="D35" s="41">
        <v>21</v>
      </c>
      <c r="E35" s="41">
        <v>72</v>
      </c>
      <c r="F35" s="44">
        <v>11043</v>
      </c>
      <c r="G35" s="41" t="s">
        <v>11</v>
      </c>
      <c r="H35" s="41" t="s">
        <v>617</v>
      </c>
    </row>
    <row r="36" spans="1:8" s="11" customFormat="1" ht="16.5" x14ac:dyDescent="0.25">
      <c r="A36" s="25">
        <v>29</v>
      </c>
      <c r="B36" s="40" t="s">
        <v>77</v>
      </c>
      <c r="C36" s="41" t="s">
        <v>164</v>
      </c>
      <c r="D36" s="41">
        <v>8</v>
      </c>
      <c r="E36" s="41">
        <v>244</v>
      </c>
      <c r="F36" s="44">
        <v>5208</v>
      </c>
      <c r="G36" s="41" t="s">
        <v>11</v>
      </c>
      <c r="H36" s="41" t="s">
        <v>617</v>
      </c>
    </row>
    <row r="37" spans="1:8" s="11" customFormat="1" ht="16.5" x14ac:dyDescent="0.25">
      <c r="A37" s="25">
        <v>30</v>
      </c>
      <c r="B37" s="40" t="s">
        <v>100</v>
      </c>
      <c r="C37" s="41" t="s">
        <v>173</v>
      </c>
      <c r="D37" s="41">
        <v>18</v>
      </c>
      <c r="E37" s="41">
        <v>226</v>
      </c>
      <c r="F37" s="44">
        <v>3728.8</v>
      </c>
      <c r="G37" s="41" t="s">
        <v>11</v>
      </c>
      <c r="H37" s="41" t="s">
        <v>617</v>
      </c>
    </row>
    <row r="38" spans="1:8" s="11" customFormat="1" ht="16.5" x14ac:dyDescent="0.25">
      <c r="A38" s="25">
        <v>31</v>
      </c>
      <c r="B38" s="40" t="s">
        <v>174</v>
      </c>
      <c r="C38" s="41" t="s">
        <v>173</v>
      </c>
      <c r="D38" s="41">
        <v>8</v>
      </c>
      <c r="E38" s="41">
        <v>227</v>
      </c>
      <c r="F38" s="44">
        <v>2500.9</v>
      </c>
      <c r="G38" s="41" t="s">
        <v>11</v>
      </c>
      <c r="H38" s="41" t="s">
        <v>617</v>
      </c>
    </row>
    <row r="39" spans="1:8" s="11" customFormat="1" ht="16.5" x14ac:dyDescent="0.25">
      <c r="A39" s="25">
        <v>32</v>
      </c>
      <c r="B39" s="40" t="s">
        <v>175</v>
      </c>
      <c r="C39" s="41" t="s">
        <v>173</v>
      </c>
      <c r="D39" s="41">
        <v>8</v>
      </c>
      <c r="E39" s="41">
        <v>229</v>
      </c>
      <c r="F39" s="44">
        <v>2611.5</v>
      </c>
      <c r="G39" s="41" t="s">
        <v>11</v>
      </c>
      <c r="H39" s="41" t="s">
        <v>618</v>
      </c>
    </row>
    <row r="40" spans="1:8" s="11" customFormat="1" ht="16.5" x14ac:dyDescent="0.25">
      <c r="A40" s="25">
        <v>33</v>
      </c>
      <c r="B40" s="40" t="s">
        <v>175</v>
      </c>
      <c r="C40" s="41" t="s">
        <v>173</v>
      </c>
      <c r="D40" s="41">
        <v>8</v>
      </c>
      <c r="E40" s="41">
        <v>222</v>
      </c>
      <c r="F40" s="44">
        <v>2234.1999999999998</v>
      </c>
      <c r="G40" s="41" t="s">
        <v>11</v>
      </c>
      <c r="H40" s="41" t="s">
        <v>618</v>
      </c>
    </row>
    <row r="41" spans="1:8" s="11" customFormat="1" ht="16.5" x14ac:dyDescent="0.25">
      <c r="A41" s="25">
        <v>34</v>
      </c>
      <c r="B41" s="33" t="s">
        <v>66</v>
      </c>
      <c r="C41" s="31" t="s">
        <v>176</v>
      </c>
      <c r="D41" s="34">
        <v>21</v>
      </c>
      <c r="E41" s="34">
        <v>134</v>
      </c>
      <c r="F41" s="34">
        <v>6891</v>
      </c>
      <c r="G41" s="31" t="s">
        <v>11</v>
      </c>
      <c r="H41" s="41" t="s">
        <v>618</v>
      </c>
    </row>
    <row r="42" spans="1:8" s="11" customFormat="1" ht="16.5" x14ac:dyDescent="0.25">
      <c r="A42" s="25">
        <v>35</v>
      </c>
      <c r="B42" s="33" t="s">
        <v>66</v>
      </c>
      <c r="C42" s="31" t="s">
        <v>176</v>
      </c>
      <c r="D42" s="34">
        <v>21</v>
      </c>
      <c r="E42" s="34">
        <v>135</v>
      </c>
      <c r="F42" s="34">
        <v>36590</v>
      </c>
      <c r="G42" s="31" t="s">
        <v>11</v>
      </c>
      <c r="H42" s="41" t="s">
        <v>618</v>
      </c>
    </row>
    <row r="43" spans="1:8" s="11" customFormat="1" ht="16.5" x14ac:dyDescent="0.25">
      <c r="A43" s="25">
        <v>36</v>
      </c>
      <c r="B43" s="33" t="s">
        <v>79</v>
      </c>
      <c r="C43" s="31" t="s">
        <v>176</v>
      </c>
      <c r="D43" s="34">
        <v>21</v>
      </c>
      <c r="E43" s="34">
        <v>150</v>
      </c>
      <c r="F43" s="34">
        <v>7258</v>
      </c>
      <c r="G43" s="31" t="s">
        <v>11</v>
      </c>
      <c r="H43" s="41" t="s">
        <v>618</v>
      </c>
    </row>
    <row r="44" spans="1:8" s="11" customFormat="1" ht="16.5" x14ac:dyDescent="0.25">
      <c r="A44" s="25">
        <v>37</v>
      </c>
      <c r="B44" s="33" t="s">
        <v>79</v>
      </c>
      <c r="C44" s="31" t="s">
        <v>176</v>
      </c>
      <c r="D44" s="34">
        <v>21</v>
      </c>
      <c r="E44" s="34">
        <v>152</v>
      </c>
      <c r="F44" s="34">
        <v>4680</v>
      </c>
      <c r="G44" s="31" t="s">
        <v>11</v>
      </c>
      <c r="H44" s="41" t="s">
        <v>618</v>
      </c>
    </row>
    <row r="45" spans="1:8" s="11" customFormat="1" ht="16.5" x14ac:dyDescent="0.25">
      <c r="A45" s="25">
        <v>38</v>
      </c>
      <c r="B45" s="33" t="s">
        <v>32</v>
      </c>
      <c r="C45" s="31" t="s">
        <v>176</v>
      </c>
      <c r="D45" s="34">
        <v>21</v>
      </c>
      <c r="E45" s="34">
        <v>86</v>
      </c>
      <c r="F45" s="34">
        <v>8170</v>
      </c>
      <c r="G45" s="31" t="s">
        <v>11</v>
      </c>
      <c r="H45" s="41" t="s">
        <v>617</v>
      </c>
    </row>
    <row r="46" spans="1:8" s="11" customFormat="1" ht="16.5" x14ac:dyDescent="0.25">
      <c r="A46" s="25">
        <v>39</v>
      </c>
      <c r="B46" s="33" t="s">
        <v>30</v>
      </c>
      <c r="C46" s="31" t="s">
        <v>176</v>
      </c>
      <c r="D46" s="34">
        <v>21</v>
      </c>
      <c r="E46" s="34">
        <v>83</v>
      </c>
      <c r="F46" s="34">
        <v>5917</v>
      </c>
      <c r="G46" s="31" t="s">
        <v>11</v>
      </c>
      <c r="H46" s="41" t="s">
        <v>618</v>
      </c>
    </row>
    <row r="47" spans="1:8" s="11" customFormat="1" ht="16.5" x14ac:dyDescent="0.25">
      <c r="A47" s="25">
        <v>40</v>
      </c>
      <c r="B47" s="33" t="s">
        <v>30</v>
      </c>
      <c r="C47" s="31" t="s">
        <v>176</v>
      </c>
      <c r="D47" s="34">
        <v>21</v>
      </c>
      <c r="E47" s="34">
        <v>84</v>
      </c>
      <c r="F47" s="34">
        <v>3911</v>
      </c>
      <c r="G47" s="31" t="s">
        <v>11</v>
      </c>
      <c r="H47" s="41" t="s">
        <v>618</v>
      </c>
    </row>
    <row r="48" spans="1:8" s="11" customFormat="1" ht="16.5" x14ac:dyDescent="0.25">
      <c r="A48" s="25">
        <v>41</v>
      </c>
      <c r="B48" s="45" t="s">
        <v>120</v>
      </c>
      <c r="C48" s="31" t="s">
        <v>176</v>
      </c>
      <c r="D48" s="41">
        <v>21</v>
      </c>
      <c r="E48" s="41">
        <v>223</v>
      </c>
      <c r="F48" s="44">
        <v>4096</v>
      </c>
      <c r="G48" s="31" t="s">
        <v>11</v>
      </c>
      <c r="H48" s="41" t="s">
        <v>617</v>
      </c>
    </row>
    <row r="49" spans="1:8" s="11" customFormat="1" ht="16.5" x14ac:dyDescent="0.25">
      <c r="A49" s="25">
        <v>42</v>
      </c>
      <c r="B49" s="33" t="s">
        <v>91</v>
      </c>
      <c r="C49" s="31" t="s">
        <v>176</v>
      </c>
      <c r="D49" s="34">
        <v>21</v>
      </c>
      <c r="E49" s="34">
        <v>182</v>
      </c>
      <c r="F49" s="34">
        <v>5395</v>
      </c>
      <c r="G49" s="31" t="s">
        <v>11</v>
      </c>
      <c r="H49" s="41" t="s">
        <v>617</v>
      </c>
    </row>
    <row r="50" spans="1:8" s="11" customFormat="1" ht="16.5" x14ac:dyDescent="0.25">
      <c r="A50" s="25">
        <v>43</v>
      </c>
      <c r="B50" s="33" t="s">
        <v>61</v>
      </c>
      <c r="C50" s="31" t="s">
        <v>176</v>
      </c>
      <c r="D50" s="34">
        <v>21</v>
      </c>
      <c r="E50" s="34">
        <v>127</v>
      </c>
      <c r="F50" s="34">
        <v>5024</v>
      </c>
      <c r="G50" s="31" t="s">
        <v>11</v>
      </c>
      <c r="H50" s="41" t="s">
        <v>618</v>
      </c>
    </row>
    <row r="51" spans="1:8" s="11" customFormat="1" ht="16.5" x14ac:dyDescent="0.25">
      <c r="A51" s="25">
        <v>44</v>
      </c>
      <c r="B51" s="33" t="s">
        <v>61</v>
      </c>
      <c r="C51" s="31" t="s">
        <v>176</v>
      </c>
      <c r="D51" s="34">
        <v>21</v>
      </c>
      <c r="E51" s="34">
        <v>125</v>
      </c>
      <c r="F51" s="34">
        <v>9149</v>
      </c>
      <c r="G51" s="31" t="s">
        <v>11</v>
      </c>
      <c r="H51" s="41" t="s">
        <v>618</v>
      </c>
    </row>
    <row r="52" spans="1:8" s="11" customFormat="1" ht="16.5" x14ac:dyDescent="0.25">
      <c r="A52" s="25">
        <v>45</v>
      </c>
      <c r="B52" s="33" t="s">
        <v>177</v>
      </c>
      <c r="C52" s="31" t="s">
        <v>176</v>
      </c>
      <c r="D52" s="34">
        <v>21</v>
      </c>
      <c r="E52" s="34">
        <v>209</v>
      </c>
      <c r="F52" s="34">
        <v>6317</v>
      </c>
      <c r="G52" s="31" t="s">
        <v>11</v>
      </c>
      <c r="H52" s="41" t="s">
        <v>617</v>
      </c>
    </row>
    <row r="53" spans="1:8" s="11" customFormat="1" ht="16.5" x14ac:dyDescent="0.25">
      <c r="A53" s="25">
        <v>46</v>
      </c>
      <c r="B53" s="33" t="s">
        <v>103</v>
      </c>
      <c r="C53" s="31" t="s">
        <v>176</v>
      </c>
      <c r="D53" s="34">
        <v>21</v>
      </c>
      <c r="E53" s="34">
        <v>198</v>
      </c>
      <c r="F53" s="34">
        <v>4280</v>
      </c>
      <c r="G53" s="31" t="s">
        <v>11</v>
      </c>
      <c r="H53" s="41" t="s">
        <v>617</v>
      </c>
    </row>
    <row r="54" spans="1:8" s="11" customFormat="1" ht="16.5" x14ac:dyDescent="0.25">
      <c r="A54" s="25">
        <v>47</v>
      </c>
      <c r="B54" s="33" t="s">
        <v>178</v>
      </c>
      <c r="C54" s="31" t="s">
        <v>176</v>
      </c>
      <c r="D54" s="34">
        <v>21</v>
      </c>
      <c r="E54" s="34">
        <v>246</v>
      </c>
      <c r="F54" s="34">
        <v>39426</v>
      </c>
      <c r="G54" s="34" t="s">
        <v>11</v>
      </c>
      <c r="H54" s="41" t="s">
        <v>618</v>
      </c>
    </row>
    <row r="55" spans="1:8" s="11" customFormat="1" ht="16.5" x14ac:dyDescent="0.25">
      <c r="A55" s="25">
        <v>48</v>
      </c>
      <c r="B55" s="33" t="s">
        <v>178</v>
      </c>
      <c r="C55" s="31" t="s">
        <v>176</v>
      </c>
      <c r="D55" s="34">
        <v>21</v>
      </c>
      <c r="E55" s="34">
        <v>247</v>
      </c>
      <c r="F55" s="34">
        <v>20344</v>
      </c>
      <c r="G55" s="34" t="s">
        <v>11</v>
      </c>
      <c r="H55" s="41" t="s">
        <v>618</v>
      </c>
    </row>
    <row r="56" spans="1:8" s="11" customFormat="1" ht="16.5" x14ac:dyDescent="0.25">
      <c r="A56" s="25">
        <v>49</v>
      </c>
      <c r="B56" s="33" t="s">
        <v>179</v>
      </c>
      <c r="C56" s="31" t="s">
        <v>176</v>
      </c>
      <c r="D56" s="34">
        <v>21</v>
      </c>
      <c r="E56" s="34">
        <v>62</v>
      </c>
      <c r="F56" s="34">
        <v>12240</v>
      </c>
      <c r="G56" s="34" t="s">
        <v>11</v>
      </c>
      <c r="H56" s="41" t="s">
        <v>617</v>
      </c>
    </row>
    <row r="57" spans="1:8" s="11" customFormat="1" ht="16.5" x14ac:dyDescent="0.25">
      <c r="A57" s="25">
        <v>50</v>
      </c>
      <c r="B57" s="33" t="s">
        <v>83</v>
      </c>
      <c r="C57" s="31" t="s">
        <v>176</v>
      </c>
      <c r="D57" s="34">
        <v>21</v>
      </c>
      <c r="E57" s="34">
        <v>161</v>
      </c>
      <c r="F57" s="34">
        <v>12699</v>
      </c>
      <c r="G57" s="31" t="s">
        <v>11</v>
      </c>
      <c r="H57" s="41" t="s">
        <v>618</v>
      </c>
    </row>
    <row r="58" spans="1:8" s="11" customFormat="1" ht="16.5" x14ac:dyDescent="0.25">
      <c r="A58" s="25">
        <v>51</v>
      </c>
      <c r="B58" s="33" t="s">
        <v>83</v>
      </c>
      <c r="C58" s="31" t="s">
        <v>176</v>
      </c>
      <c r="D58" s="34">
        <v>21</v>
      </c>
      <c r="E58" s="34">
        <v>160</v>
      </c>
      <c r="F58" s="34">
        <v>6134</v>
      </c>
      <c r="G58" s="34" t="s">
        <v>11</v>
      </c>
      <c r="H58" s="41" t="s">
        <v>618</v>
      </c>
    </row>
    <row r="59" spans="1:8" s="11" customFormat="1" ht="16.5" x14ac:dyDescent="0.25">
      <c r="A59" s="25">
        <v>52</v>
      </c>
      <c r="B59" s="33" t="s">
        <v>82</v>
      </c>
      <c r="C59" s="31" t="s">
        <v>176</v>
      </c>
      <c r="D59" s="34">
        <v>21</v>
      </c>
      <c r="E59" s="34">
        <v>157</v>
      </c>
      <c r="F59" s="34">
        <v>5223</v>
      </c>
      <c r="G59" s="34" t="s">
        <v>11</v>
      </c>
      <c r="H59" s="41" t="s">
        <v>618</v>
      </c>
    </row>
    <row r="60" spans="1:8" s="11" customFormat="1" ht="16.5" x14ac:dyDescent="0.25">
      <c r="A60" s="25">
        <v>53</v>
      </c>
      <c r="B60" s="33" t="s">
        <v>82</v>
      </c>
      <c r="C60" s="31" t="s">
        <v>176</v>
      </c>
      <c r="D60" s="34">
        <v>21</v>
      </c>
      <c r="E60" s="34">
        <v>159</v>
      </c>
      <c r="F60" s="34">
        <v>3403</v>
      </c>
      <c r="G60" s="31" t="s">
        <v>11</v>
      </c>
      <c r="H60" s="41" t="s">
        <v>618</v>
      </c>
    </row>
    <row r="61" spans="1:8" s="11" customFormat="1" ht="16.5" x14ac:dyDescent="0.25">
      <c r="A61" s="25">
        <v>54</v>
      </c>
      <c r="B61" s="33" t="s">
        <v>180</v>
      </c>
      <c r="C61" s="31" t="s">
        <v>176</v>
      </c>
      <c r="D61" s="34">
        <v>21</v>
      </c>
      <c r="E61" s="34">
        <v>59</v>
      </c>
      <c r="F61" s="34">
        <v>8712</v>
      </c>
      <c r="G61" s="34" t="s">
        <v>11</v>
      </c>
      <c r="H61" s="41" t="s">
        <v>617</v>
      </c>
    </row>
    <row r="62" spans="1:8" s="11" customFormat="1" ht="16.5" x14ac:dyDescent="0.25">
      <c r="A62" s="25">
        <v>55</v>
      </c>
      <c r="B62" s="33" t="s">
        <v>180</v>
      </c>
      <c r="C62" s="31" t="s">
        <v>176</v>
      </c>
      <c r="D62" s="34">
        <v>21</v>
      </c>
      <c r="E62" s="34">
        <v>60</v>
      </c>
      <c r="F62" s="34">
        <v>23170</v>
      </c>
      <c r="G62" s="34" t="s">
        <v>11</v>
      </c>
      <c r="H62" s="41" t="s">
        <v>617</v>
      </c>
    </row>
    <row r="63" spans="1:8" s="11" customFormat="1" ht="16.5" x14ac:dyDescent="0.25">
      <c r="A63" s="25">
        <v>56</v>
      </c>
      <c r="B63" s="33" t="s">
        <v>20</v>
      </c>
      <c r="C63" s="31" t="s">
        <v>176</v>
      </c>
      <c r="D63" s="34">
        <v>21</v>
      </c>
      <c r="E63" s="34">
        <v>63</v>
      </c>
      <c r="F63" s="34">
        <v>7913</v>
      </c>
      <c r="G63" s="31" t="s">
        <v>11</v>
      </c>
      <c r="H63" s="41" t="s">
        <v>617</v>
      </c>
    </row>
    <row r="64" spans="1:8" s="11" customFormat="1" ht="16.5" x14ac:dyDescent="0.25">
      <c r="A64" s="25">
        <v>57</v>
      </c>
      <c r="B64" s="33" t="s">
        <v>90</v>
      </c>
      <c r="C64" s="31" t="s">
        <v>176</v>
      </c>
      <c r="D64" s="34">
        <v>21</v>
      </c>
      <c r="E64" s="34">
        <v>178</v>
      </c>
      <c r="F64" s="34">
        <v>6472</v>
      </c>
      <c r="G64" s="31" t="s">
        <v>11</v>
      </c>
      <c r="H64" s="41" t="s">
        <v>618</v>
      </c>
    </row>
    <row r="65" spans="1:8" s="11" customFormat="1" ht="16.5" x14ac:dyDescent="0.25">
      <c r="A65" s="25">
        <v>58</v>
      </c>
      <c r="B65" s="33" t="s">
        <v>88</v>
      </c>
      <c r="C65" s="31" t="s">
        <v>176</v>
      </c>
      <c r="D65" s="34">
        <v>21</v>
      </c>
      <c r="E65" s="34">
        <v>179</v>
      </c>
      <c r="F65" s="34">
        <v>10813</v>
      </c>
      <c r="G65" s="31" t="s">
        <v>11</v>
      </c>
      <c r="H65" s="41" t="s">
        <v>619</v>
      </c>
    </row>
    <row r="66" spans="1:8" s="11" customFormat="1" ht="16.5" x14ac:dyDescent="0.25">
      <c r="A66" s="25">
        <v>59</v>
      </c>
      <c r="B66" s="33" t="s">
        <v>88</v>
      </c>
      <c r="C66" s="31" t="s">
        <v>176</v>
      </c>
      <c r="D66" s="34">
        <v>21</v>
      </c>
      <c r="E66" s="34">
        <v>174</v>
      </c>
      <c r="F66" s="34">
        <v>11112</v>
      </c>
      <c r="G66" s="31" t="s">
        <v>11</v>
      </c>
      <c r="H66" s="41" t="s">
        <v>619</v>
      </c>
    </row>
    <row r="67" spans="1:8" s="11" customFormat="1" ht="16.5" x14ac:dyDescent="0.25">
      <c r="A67" s="25">
        <v>60</v>
      </c>
      <c r="B67" s="33" t="s">
        <v>88</v>
      </c>
      <c r="C67" s="31" t="s">
        <v>176</v>
      </c>
      <c r="D67" s="34">
        <v>21</v>
      </c>
      <c r="E67" s="34">
        <v>176</v>
      </c>
      <c r="F67" s="34">
        <v>18329</v>
      </c>
      <c r="G67" s="31" t="s">
        <v>11</v>
      </c>
      <c r="H67" s="41" t="s">
        <v>619</v>
      </c>
    </row>
    <row r="68" spans="1:8" s="11" customFormat="1" ht="16.5" x14ac:dyDescent="0.25">
      <c r="A68" s="25">
        <v>61</v>
      </c>
      <c r="B68" s="40" t="s">
        <v>110</v>
      </c>
      <c r="C68" s="31" t="s">
        <v>176</v>
      </c>
      <c r="D68" s="41">
        <v>21</v>
      </c>
      <c r="E68" s="41">
        <v>206</v>
      </c>
      <c r="F68" s="44">
        <v>38824</v>
      </c>
      <c r="G68" s="31" t="s">
        <v>11</v>
      </c>
      <c r="H68" s="41" t="s">
        <v>617</v>
      </c>
    </row>
    <row r="69" spans="1:8" s="11" customFormat="1" ht="16.5" x14ac:dyDescent="0.25">
      <c r="A69" s="25">
        <v>62</v>
      </c>
      <c r="B69" s="33" t="s">
        <v>28</v>
      </c>
      <c r="C69" s="31" t="s">
        <v>176</v>
      </c>
      <c r="D69" s="34">
        <v>21</v>
      </c>
      <c r="E69" s="34">
        <v>80</v>
      </c>
      <c r="F69" s="34">
        <v>13907</v>
      </c>
      <c r="G69" s="34" t="s">
        <v>11</v>
      </c>
      <c r="H69" s="41" t="s">
        <v>618</v>
      </c>
    </row>
    <row r="70" spans="1:8" s="11" customFormat="1" ht="16.5" x14ac:dyDescent="0.25">
      <c r="A70" s="25">
        <v>63</v>
      </c>
      <c r="B70" s="33" t="s">
        <v>28</v>
      </c>
      <c r="C70" s="31" t="s">
        <v>176</v>
      </c>
      <c r="D70" s="34">
        <v>21</v>
      </c>
      <c r="E70" s="34">
        <v>79</v>
      </c>
      <c r="F70" s="34">
        <v>9667</v>
      </c>
      <c r="G70" s="31" t="s">
        <v>11</v>
      </c>
      <c r="H70" s="41" t="s">
        <v>618</v>
      </c>
    </row>
    <row r="71" spans="1:8" s="11" customFormat="1" ht="16.5" x14ac:dyDescent="0.25">
      <c r="A71" s="25">
        <v>64</v>
      </c>
      <c r="B71" s="33" t="s">
        <v>80</v>
      </c>
      <c r="C71" s="31" t="s">
        <v>176</v>
      </c>
      <c r="D71" s="34">
        <v>21</v>
      </c>
      <c r="E71" s="34">
        <v>153</v>
      </c>
      <c r="F71" s="34">
        <v>7804</v>
      </c>
      <c r="G71" s="31" t="s">
        <v>11</v>
      </c>
      <c r="H71" s="41" t="s">
        <v>617</v>
      </c>
    </row>
    <row r="72" spans="1:8" s="11" customFormat="1" ht="16.5" x14ac:dyDescent="0.25">
      <c r="A72" s="25">
        <v>65</v>
      </c>
      <c r="B72" s="33" t="s">
        <v>119</v>
      </c>
      <c r="C72" s="31" t="s">
        <v>176</v>
      </c>
      <c r="D72" s="34">
        <v>21</v>
      </c>
      <c r="E72" s="34">
        <v>220</v>
      </c>
      <c r="F72" s="34">
        <v>11197</v>
      </c>
      <c r="G72" s="31" t="s">
        <v>11</v>
      </c>
      <c r="H72" s="41" t="s">
        <v>618</v>
      </c>
    </row>
    <row r="73" spans="1:8" s="11" customFormat="1" ht="16.5" x14ac:dyDescent="0.25">
      <c r="A73" s="25">
        <v>66</v>
      </c>
      <c r="B73" s="33" t="s">
        <v>119</v>
      </c>
      <c r="C73" s="31" t="s">
        <v>176</v>
      </c>
      <c r="D73" s="34">
        <v>21</v>
      </c>
      <c r="E73" s="34">
        <v>221</v>
      </c>
      <c r="F73" s="34">
        <v>4587</v>
      </c>
      <c r="G73" s="34" t="s">
        <v>11</v>
      </c>
      <c r="H73" s="41" t="s">
        <v>618</v>
      </c>
    </row>
    <row r="74" spans="1:8" s="11" customFormat="1" ht="16.5" x14ac:dyDescent="0.25">
      <c r="A74" s="25">
        <v>67</v>
      </c>
      <c r="B74" s="33" t="s">
        <v>181</v>
      </c>
      <c r="C74" s="31" t="s">
        <v>176</v>
      </c>
      <c r="D74" s="34">
        <v>21</v>
      </c>
      <c r="E74" s="34">
        <v>66</v>
      </c>
      <c r="F74" s="34">
        <v>7693</v>
      </c>
      <c r="G74" s="31" t="s">
        <v>11</v>
      </c>
      <c r="H74" s="41" t="s">
        <v>617</v>
      </c>
    </row>
    <row r="75" spans="1:8" s="11" customFormat="1" ht="16.5" x14ac:dyDescent="0.25">
      <c r="A75" s="25">
        <v>68</v>
      </c>
      <c r="B75" s="35" t="s">
        <v>115</v>
      </c>
      <c r="C75" s="31" t="s">
        <v>176</v>
      </c>
      <c r="D75" s="31">
        <v>21</v>
      </c>
      <c r="E75" s="31">
        <v>215</v>
      </c>
      <c r="F75" s="31">
        <v>15445</v>
      </c>
      <c r="G75" s="31" t="s">
        <v>11</v>
      </c>
      <c r="H75" s="41" t="s">
        <v>617</v>
      </c>
    </row>
    <row r="76" spans="1:8" s="11" customFormat="1" ht="16.5" x14ac:dyDescent="0.25">
      <c r="A76" s="25">
        <v>69</v>
      </c>
      <c r="B76" s="33" t="s">
        <v>76</v>
      </c>
      <c r="C76" s="31" t="s">
        <v>176</v>
      </c>
      <c r="D76" s="34">
        <v>21</v>
      </c>
      <c r="E76" s="34">
        <v>147</v>
      </c>
      <c r="F76" s="34">
        <v>4738</v>
      </c>
      <c r="G76" s="34" t="s">
        <v>11</v>
      </c>
      <c r="H76" s="41" t="s">
        <v>618</v>
      </c>
    </row>
    <row r="77" spans="1:8" s="11" customFormat="1" ht="16.5" x14ac:dyDescent="0.25">
      <c r="A77" s="25">
        <v>70</v>
      </c>
      <c r="B77" s="33" t="s">
        <v>76</v>
      </c>
      <c r="C77" s="31" t="s">
        <v>176</v>
      </c>
      <c r="D77" s="34">
        <v>21</v>
      </c>
      <c r="E77" s="34">
        <v>146</v>
      </c>
      <c r="F77" s="34">
        <v>7264</v>
      </c>
      <c r="G77" s="31" t="s">
        <v>11</v>
      </c>
      <c r="H77" s="41" t="s">
        <v>618</v>
      </c>
    </row>
    <row r="78" spans="1:8" s="11" customFormat="1" ht="16.5" x14ac:dyDescent="0.25">
      <c r="A78" s="25">
        <v>71</v>
      </c>
      <c r="B78" s="35" t="s">
        <v>121</v>
      </c>
      <c r="C78" s="31" t="s">
        <v>176</v>
      </c>
      <c r="D78" s="31">
        <v>32</v>
      </c>
      <c r="E78" s="31">
        <v>119</v>
      </c>
      <c r="F78" s="31">
        <v>6114</v>
      </c>
      <c r="G78" s="31" t="s">
        <v>11</v>
      </c>
      <c r="H78" s="41" t="s">
        <v>617</v>
      </c>
    </row>
    <row r="79" spans="1:8" s="11" customFormat="1" ht="16.5" x14ac:dyDescent="0.25">
      <c r="A79" s="25">
        <v>72</v>
      </c>
      <c r="B79" s="40" t="s">
        <v>182</v>
      </c>
      <c r="C79" s="41" t="s">
        <v>164</v>
      </c>
      <c r="D79" s="41">
        <v>1</v>
      </c>
      <c r="E79" s="41">
        <v>533</v>
      </c>
      <c r="F79" s="44">
        <v>27162.3</v>
      </c>
      <c r="G79" s="41" t="s">
        <v>11</v>
      </c>
      <c r="H79" s="41" t="s">
        <v>183</v>
      </c>
    </row>
  </sheetData>
  <mergeCells count="14">
    <mergeCell ref="G4:G7"/>
    <mergeCell ref="H4:H7"/>
    <mergeCell ref="I4:I7"/>
    <mergeCell ref="E16:G16"/>
    <mergeCell ref="A1:C1"/>
    <mergeCell ref="D1:H1"/>
    <mergeCell ref="A2:H2"/>
    <mergeCell ref="A3:H3"/>
    <mergeCell ref="A4:A7"/>
    <mergeCell ref="B4:B7"/>
    <mergeCell ref="C4:C7"/>
    <mergeCell ref="D4:D7"/>
    <mergeCell ref="E4:E7"/>
    <mergeCell ref="F4:F7"/>
  </mergeCells>
  <pageMargins left="0.7" right="0.88" top="0.2" bottom="0.2" header="0.23" footer="0.2"/>
  <pageSetup paperSize="9" scale="85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</vt:i4>
      </vt:variant>
    </vt:vector>
  </HeadingPairs>
  <TitlesOfParts>
    <vt:vector size="23" baseType="lpstr">
      <vt:lpstr>Baocao (2)</vt:lpstr>
      <vt:lpstr>TONG SX</vt:lpstr>
      <vt:lpstr>BC_SINH</vt:lpstr>
      <vt:lpstr>Baocao</vt:lpstr>
      <vt:lpstr>Sản xuất cấp huyên</vt:lpstr>
      <vt:lpstr>Sheet3</vt:lpstr>
      <vt:lpstr>Đất sản xuất</vt:lpstr>
      <vt:lpstr>DSCKXA</vt:lpstr>
      <vt:lpstr>KeKhaiDangKy</vt:lpstr>
      <vt:lpstr>4069</vt:lpstr>
      <vt:lpstr>NQ10</vt:lpstr>
      <vt:lpstr>KODUDK</vt:lpstr>
      <vt:lpstr>KO DU ĐK NQ10</vt:lpstr>
      <vt:lpstr>KO DU ĐK 4069</vt:lpstr>
      <vt:lpstr>Sheet2</vt:lpstr>
      <vt:lpstr>Sheet1 (2)</vt:lpstr>
      <vt:lpstr>Ra Po</vt:lpstr>
      <vt:lpstr>'Baocao (2)'!Print_Area</vt:lpstr>
      <vt:lpstr>BC_SINH!Print_Area</vt:lpstr>
      <vt:lpstr>KODUDK!Print_Area</vt:lpstr>
      <vt:lpstr>'Ra Po'!Print_Area</vt:lpstr>
      <vt:lpstr>KODUDK!Print_Titles</vt:lpstr>
      <vt:lpstr>'Ra Po'!Print_Titles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TRUONGSINH</dc:creator>
  <cp:lastModifiedBy>TRUONGSINH</cp:lastModifiedBy>
  <cp:lastPrinted>2024-07-16T08:52:48Z</cp:lastPrinted>
  <dcterms:created xsi:type="dcterms:W3CDTF">2024-07-16T04:10:45Z</dcterms:created>
  <dcterms:modified xsi:type="dcterms:W3CDTF">2024-07-16T18:03:41Z</dcterms:modified>
</cp:coreProperties>
</file>