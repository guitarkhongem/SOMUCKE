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NHAP!$A$1:$AB$70</definedName>
    <definedName name="DONCX">CX!$A$1:$C$20</definedName>
  </definedNames>
  <calcPr calcId="162913"/>
</workbook>
</file>

<file path=xl/calcChain.xml><?xml version="1.0" encoding="utf-8"?>
<calcChain xmlns="http://schemas.openxmlformats.org/spreadsheetml/2006/main">
  <c r="I19" i="7" l="1"/>
  <c r="C19" i="7"/>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<sst xmlns="http://schemas.openxmlformats.org/spreadsheetml/2006/main" count="1968" uniqueCount="854">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</sst>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s>
  <cellStyleXfs count="1">
    <xf numFmtId="0" fontId="0" fillId="0" borderId="0"/>
  </cellStyleXfs>
  <cellXfs count="114">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0" fontId="0" fillId="0" borderId="0" xfId="0" quotePrefix="1"/>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133350</xdr:colOff>
      <xdr:row>0</xdr:row>
      <xdr:rowOff>114300</xdr:rowOff>
    </xdr:from>
    <xdr:to>
      <xdr:col>3</xdr:col>
      <xdr:colOff>714375</xdr:colOff>
      <xdr:row>0</xdr:row>
      <xdr:rowOff>485775</xdr:rowOff>
    </xdr:to>
    <xdr:sp macro="[0]!Form" textlink="">
      <xdr:nvSpPr>
        <xdr:cNvPr id="2" name="Rounded Rectangle 1"/>
        <xdr:cNvSpPr/>
      </xdr:nvSpPr>
      <xdr:spPr>
        <a:xfrm>
          <a:off x="1962150" y="11430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pageSetUpPr fitToPage="1"/>
  </sheetPr>
  <dimension ref="A1:AB70"/>
  <sheetViews>
    <sheetView tabSelected="1" workbookViewId="0">
      <pane xSplit="7" ySplit="12" topLeftCell="Q58" activePane="bottomRight" state="frozen"/>
      <selection pane="topRight" activeCell="H1" sqref="H1"/>
      <selection pane="bottomLeft" activeCell="A13" sqref="A13"/>
      <selection pane="bottomRight" activeCell="A68" sqref="A68"/>
    </sheetView>
  </sheetViews>
  <sheetFormatPr defaultColWidth="9.140625" defaultRowHeight="15" x14ac:dyDescent="0.25"/>
  <cols>
    <col min="3" max="3" width="9.140625" style="77"/>
    <col min="4" max="4" width="54" bestFit="1" customWidth="1"/>
    <col min="7" max="7" width="9.140625" style="81"/>
    <col min="9" max="9" width="9.140625" style="81"/>
    <col min="10" max="10" width="36.5703125" bestFit="1" customWidth="1"/>
    <col min="11" max="11" width="54" bestFit="1" customWidth="1"/>
    <col min="12" max="12" width="54" customWidth="1"/>
    <col min="13" max="13" width="14.28515625" customWidth="1"/>
    <col min="18" max="18" width="11" bestFit="1" customWidth="1"/>
  </cols>
  <sheetData>
    <row r="1" spans="1:28" s="28" customFormat="1" ht="47.25" x14ac:dyDescent="0.25">
      <c r="A1" s="58" t="s">
        <v>275</v>
      </c>
      <c r="B1" s="58" t="s">
        <v>597</v>
      </c>
      <c r="C1" s="74" t="s">
        <v>308</v>
      </c>
      <c r="D1" s="58" t="s">
        <v>273</v>
      </c>
      <c r="E1" s="58" t="s">
        <v>362</v>
      </c>
      <c r="F1" s="58" t="s">
        <v>426</v>
      </c>
      <c r="G1" s="78" t="s">
        <v>242</v>
      </c>
      <c r="H1" s="58" t="s">
        <v>570</v>
      </c>
      <c r="I1" s="78" t="s">
        <v>149</v>
      </c>
      <c r="J1" s="60" t="s">
        <v>83</v>
      </c>
      <c r="K1" s="60" t="s">
        <v>523</v>
      </c>
      <c r="L1" s="62" t="s">
        <v>584</v>
      </c>
      <c r="M1" s="62" t="s">
        <v>123</v>
      </c>
      <c r="N1" s="28" t="s">
        <v>652</v>
      </c>
      <c r="O1" s="28" t="s">
        <v>653</v>
      </c>
      <c r="P1" s="28" t="s">
        <v>655</v>
      </c>
      <c r="Q1" s="28" t="s">
        <v>657</v>
      </c>
      <c r="R1" s="28" t="s">
        <v>659</v>
      </c>
      <c r="S1" s="28" t="s">
        <v>661</v>
      </c>
      <c r="T1" s="28" t="s">
        <v>798</v>
      </c>
      <c r="U1" s="28" t="s">
        <v>799</v>
      </c>
      <c r="V1" s="28" t="s">
        <v>800</v>
      </c>
      <c r="W1" s="28" t="s">
        <v>796</v>
      </c>
      <c r="X1" s="28" t="s">
        <v>797</v>
      </c>
      <c r="Y1" s="28" t="s">
        <v>801</v>
      </c>
      <c r="Z1" s="28" t="s">
        <v>802</v>
      </c>
      <c r="AA1" s="28" t="s">
        <v>807</v>
      </c>
      <c r="AB1" s="28" t="s">
        <v>808</v>
      </c>
    </row>
    <row r="2" spans="1:28" s="2" customFormat="1" ht="15.75" hidden="1" x14ac:dyDescent="0.25">
      <c r="A2" s="1">
        <v>1</v>
      </c>
      <c r="B2" s="1">
        <v>2</v>
      </c>
      <c r="C2" s="75">
        <v>4</v>
      </c>
      <c r="D2" s="1">
        <v>8</v>
      </c>
      <c r="E2" s="1">
        <v>12</v>
      </c>
      <c r="F2" s="1">
        <v>26</v>
      </c>
      <c r="G2" s="79">
        <v>28</v>
      </c>
      <c r="H2" s="1">
        <v>33</v>
      </c>
      <c r="I2" s="79">
        <v>35</v>
      </c>
      <c r="J2" s="1">
        <v>59</v>
      </c>
      <c r="K2" s="1">
        <v>67</v>
      </c>
      <c r="L2" s="1">
        <v>101</v>
      </c>
      <c r="M2" s="1">
        <v>104</v>
      </c>
    </row>
    <row r="3" spans="1:28" s="2" customFormat="1" ht="15.75" hidden="1" x14ac:dyDescent="0.25">
      <c r="A3" s="72">
        <v>3</v>
      </c>
      <c r="B3" s="72">
        <v>4</v>
      </c>
      <c r="C3" s="76">
        <v>6</v>
      </c>
      <c r="D3" s="72">
        <v>10</v>
      </c>
      <c r="E3" s="72">
        <v>14</v>
      </c>
      <c r="F3" s="72">
        <v>28</v>
      </c>
      <c r="G3" s="80">
        <v>30</v>
      </c>
      <c r="H3" s="72">
        <v>35</v>
      </c>
      <c r="I3" s="80">
        <v>37</v>
      </c>
      <c r="J3" s="72">
        <v>61</v>
      </c>
      <c r="K3" s="72">
        <v>69</v>
      </c>
      <c r="L3" s="72"/>
      <c r="M3" s="2">
        <v>106</v>
      </c>
    </row>
    <row r="4" spans="1:28" hidden="1" x14ac:dyDescent="0.25">
      <c r="A4" t="s">
        <v>91</v>
      </c>
      <c r="B4" t="s">
        <v>238</v>
      </c>
      <c r="C4" s="77" t="s">
        <v>17</v>
      </c>
      <c r="D4" t="s">
        <v>632</v>
      </c>
      <c r="E4">
        <v>1</v>
      </c>
      <c r="F4" t="s">
        <v>634</v>
      </c>
      <c r="G4" s="81">
        <v>200</v>
      </c>
      <c r="H4" t="s">
        <v>633</v>
      </c>
      <c r="I4" s="81">
        <f t="shared" ref="I4:I17" si="0">C4-G4</f>
        <v>468.29999999999995</v>
      </c>
      <c r="J4" t="s">
        <v>635</v>
      </c>
      <c r="K4" t="s">
        <v>632</v>
      </c>
    </row>
    <row r="5" spans="1:28" hidden="1" x14ac:dyDescent="0.25">
      <c r="A5" t="s">
        <v>91</v>
      </c>
      <c r="B5" t="s">
        <v>414</v>
      </c>
      <c r="C5" s="77" t="s">
        <v>215</v>
      </c>
      <c r="D5" t="s">
        <v>632</v>
      </c>
      <c r="E5">
        <v>1</v>
      </c>
      <c r="F5" t="s">
        <v>634</v>
      </c>
      <c r="G5" s="81">
        <v>70</v>
      </c>
      <c r="H5" t="s">
        <v>633</v>
      </c>
      <c r="I5" s="81">
        <f t="shared" si="0"/>
        <v>102</v>
      </c>
      <c r="J5" t="s">
        <v>635</v>
      </c>
      <c r="K5" t="s">
        <v>632</v>
      </c>
    </row>
    <row r="6" spans="1:28" hidden="1" x14ac:dyDescent="0.25">
      <c r="A6" t="s">
        <v>91</v>
      </c>
      <c r="B6" t="s">
        <v>626</v>
      </c>
      <c r="C6" s="77" t="s">
        <v>163</v>
      </c>
      <c r="D6" t="s">
        <v>632</v>
      </c>
      <c r="E6">
        <v>1</v>
      </c>
      <c r="F6" t="s">
        <v>634</v>
      </c>
      <c r="G6" s="81">
        <v>70</v>
      </c>
      <c r="H6" t="s">
        <v>633</v>
      </c>
      <c r="I6" s="81">
        <f t="shared" si="0"/>
        <v>103.80000000000001</v>
      </c>
      <c r="J6" t="s">
        <v>635</v>
      </c>
      <c r="K6" t="s">
        <v>632</v>
      </c>
    </row>
    <row r="7" spans="1:28" hidden="1" x14ac:dyDescent="0.25">
      <c r="A7" t="s">
        <v>91</v>
      </c>
      <c r="B7" t="s">
        <v>124</v>
      </c>
      <c r="C7" s="77" t="s">
        <v>106</v>
      </c>
      <c r="D7" t="s">
        <v>636</v>
      </c>
      <c r="E7">
        <v>1</v>
      </c>
      <c r="F7" t="s">
        <v>634</v>
      </c>
      <c r="G7" s="81">
        <v>70</v>
      </c>
      <c r="H7" t="s">
        <v>633</v>
      </c>
      <c r="I7" s="81">
        <f t="shared" si="0"/>
        <v>105.69999999999999</v>
      </c>
      <c r="J7" t="s">
        <v>635</v>
      </c>
      <c r="K7" t="s">
        <v>632</v>
      </c>
    </row>
    <row r="8" spans="1:28" hidden="1" x14ac:dyDescent="0.25">
      <c r="A8">
        <v>78</v>
      </c>
      <c r="B8">
        <v>32</v>
      </c>
      <c r="C8" s="77">
        <v>4240.6000000000004</v>
      </c>
      <c r="D8" t="s">
        <v>632</v>
      </c>
      <c r="E8">
        <v>1</v>
      </c>
      <c r="F8" t="s">
        <v>634</v>
      </c>
      <c r="G8" s="81">
        <v>300</v>
      </c>
      <c r="H8" t="s">
        <v>633</v>
      </c>
      <c r="I8" s="81">
        <f t="shared" si="0"/>
        <v>3940.6000000000004</v>
      </c>
      <c r="J8" t="s">
        <v>637</v>
      </c>
      <c r="K8" t="s">
        <v>632</v>
      </c>
    </row>
    <row r="9" spans="1:28" hidden="1" x14ac:dyDescent="0.25">
      <c r="A9">
        <v>85</v>
      </c>
      <c r="B9">
        <v>369</v>
      </c>
      <c r="C9" s="77">
        <v>313.3</v>
      </c>
      <c r="D9" t="s">
        <v>638</v>
      </c>
      <c r="E9">
        <v>1</v>
      </c>
      <c r="F9" t="s">
        <v>634</v>
      </c>
      <c r="G9" s="81">
        <v>50</v>
      </c>
      <c r="H9" t="s">
        <v>633</v>
      </c>
      <c r="I9" s="81">
        <f t="shared" si="0"/>
        <v>263.3</v>
      </c>
      <c r="J9" t="s">
        <v>639</v>
      </c>
      <c r="K9" t="s">
        <v>641</v>
      </c>
    </row>
    <row r="10" spans="1:28" hidden="1" x14ac:dyDescent="0.25">
      <c r="A10">
        <v>85</v>
      </c>
      <c r="B10">
        <v>370</v>
      </c>
      <c r="C10" s="77">
        <v>308.5</v>
      </c>
      <c r="D10" t="s">
        <v>638</v>
      </c>
      <c r="E10">
        <v>1</v>
      </c>
      <c r="F10" t="s">
        <v>634</v>
      </c>
      <c r="G10" s="81">
        <v>100</v>
      </c>
      <c r="H10" t="s">
        <v>633</v>
      </c>
      <c r="I10" s="81">
        <f t="shared" si="0"/>
        <v>208.5</v>
      </c>
      <c r="J10" t="s">
        <v>640</v>
      </c>
      <c r="K10" t="s">
        <v>641</v>
      </c>
    </row>
    <row r="11" spans="1:28" hidden="1" x14ac:dyDescent="0.25">
      <c r="A11">
        <v>68</v>
      </c>
      <c r="B11">
        <v>364</v>
      </c>
      <c r="C11" s="77">
        <v>104.9</v>
      </c>
      <c r="D11" t="s">
        <v>641</v>
      </c>
      <c r="E11">
        <v>1</v>
      </c>
      <c r="F11" t="s">
        <v>634</v>
      </c>
      <c r="G11" s="81">
        <v>0</v>
      </c>
      <c r="H11" t="s">
        <v>633</v>
      </c>
      <c r="I11" s="81">
        <f t="shared" si="0"/>
        <v>104.9</v>
      </c>
      <c r="J11" t="s">
        <v>642</v>
      </c>
      <c r="K11" t="s">
        <v>641</v>
      </c>
    </row>
    <row r="12" spans="1:28" hidden="1" x14ac:dyDescent="0.25">
      <c r="A12">
        <v>68</v>
      </c>
      <c r="B12">
        <v>365</v>
      </c>
      <c r="C12" s="77">
        <v>672.8</v>
      </c>
      <c r="D12" t="s">
        <v>641</v>
      </c>
      <c r="E12">
        <v>1</v>
      </c>
      <c r="F12" t="s">
        <v>634</v>
      </c>
      <c r="G12" s="81">
        <v>110</v>
      </c>
      <c r="H12" t="s">
        <v>633</v>
      </c>
      <c r="I12" s="81">
        <f t="shared" si="0"/>
        <v>562.79999999999995</v>
      </c>
      <c r="J12" t="s">
        <v>643</v>
      </c>
      <c r="K12" t="s">
        <v>641</v>
      </c>
      <c r="L12" s="73" t="s">
        <v>670</v>
      </c>
      <c r="M12" t="s">
        <v>671</v>
      </c>
      <c r="N12">
        <v>1204</v>
      </c>
      <c r="O12" t="s">
        <v>672</v>
      </c>
      <c r="Q12" t="s">
        <v>673</v>
      </c>
      <c r="R12" s="73" t="s">
        <v>675</v>
      </c>
      <c r="S12" t="s">
        <v>674</v>
      </c>
    </row>
    <row r="13" spans="1:28" ht="45" hidden="1" x14ac:dyDescent="0.25">
      <c r="A13">
        <v>76</v>
      </c>
      <c r="B13">
        <v>303</v>
      </c>
      <c r="C13" s="77">
        <v>494.9</v>
      </c>
      <c r="D13" t="s">
        <v>644</v>
      </c>
      <c r="E13">
        <v>1</v>
      </c>
      <c r="F13" t="s">
        <v>634</v>
      </c>
      <c r="G13" s="81">
        <v>50</v>
      </c>
      <c r="H13" t="s">
        <v>633</v>
      </c>
      <c r="I13" s="81">
        <f t="shared" si="0"/>
        <v>444.9</v>
      </c>
      <c r="J13" t="s">
        <v>645</v>
      </c>
      <c r="K13" t="s">
        <v>644</v>
      </c>
      <c r="M13" s="37" t="str">
        <f>G13 &amp;" m2 ODT" &amp;
I13 &amp;" m2 CLN"</f>
        <v>50 m2 ODT444.9 m2 CLN</v>
      </c>
    </row>
    <row r="14" spans="1:28" hidden="1" x14ac:dyDescent="0.25">
      <c r="A14">
        <v>76</v>
      </c>
      <c r="B14">
        <v>304</v>
      </c>
      <c r="C14" s="77">
        <v>267.89999999999998</v>
      </c>
      <c r="D14" t="s">
        <v>644</v>
      </c>
      <c r="E14">
        <v>1</v>
      </c>
      <c r="F14" t="s">
        <v>634</v>
      </c>
      <c r="G14" s="81">
        <v>50</v>
      </c>
      <c r="H14" t="s">
        <v>633</v>
      </c>
      <c r="I14" s="81">
        <f t="shared" si="0"/>
        <v>217.89999999999998</v>
      </c>
      <c r="J14" t="s">
        <v>645</v>
      </c>
      <c r="K14" t="s">
        <v>644</v>
      </c>
    </row>
    <row r="15" spans="1:28" hidden="1" x14ac:dyDescent="0.25">
      <c r="A15">
        <v>75</v>
      </c>
      <c r="B15">
        <v>392</v>
      </c>
      <c r="C15" s="77">
        <v>165.2</v>
      </c>
      <c r="D15" t="s">
        <v>644</v>
      </c>
      <c r="E15">
        <v>1</v>
      </c>
      <c r="F15" t="s">
        <v>634</v>
      </c>
      <c r="G15" s="81">
        <v>40</v>
      </c>
      <c r="H15" t="s">
        <v>633</v>
      </c>
      <c r="I15" s="81">
        <f t="shared" si="0"/>
        <v>125.19999999999999</v>
      </c>
      <c r="J15" t="s">
        <v>646</v>
      </c>
      <c r="K15" t="s">
        <v>644</v>
      </c>
    </row>
    <row r="16" spans="1:28" hidden="1" x14ac:dyDescent="0.25">
      <c r="A16">
        <v>75</v>
      </c>
      <c r="B16">
        <v>393</v>
      </c>
      <c r="C16" s="77">
        <v>159.6</v>
      </c>
      <c r="D16" t="s">
        <v>644</v>
      </c>
      <c r="E16">
        <v>1</v>
      </c>
      <c r="F16" t="s">
        <v>634</v>
      </c>
      <c r="G16" s="81">
        <v>40</v>
      </c>
      <c r="H16" t="s">
        <v>633</v>
      </c>
      <c r="I16" s="81">
        <f t="shared" si="0"/>
        <v>119.6</v>
      </c>
      <c r="J16" t="s">
        <v>646</v>
      </c>
      <c r="K16" t="s">
        <v>644</v>
      </c>
    </row>
    <row r="17" spans="1:19" hidden="1" x14ac:dyDescent="0.25">
      <c r="A17">
        <v>75</v>
      </c>
      <c r="B17">
        <v>485</v>
      </c>
      <c r="C17" s="77">
        <v>324.8</v>
      </c>
      <c r="D17" t="s">
        <v>644</v>
      </c>
      <c r="E17">
        <v>1</v>
      </c>
      <c r="F17" t="s">
        <v>634</v>
      </c>
      <c r="G17" s="81">
        <v>80</v>
      </c>
      <c r="H17" t="s">
        <v>633</v>
      </c>
      <c r="I17" s="81">
        <f t="shared" si="0"/>
        <v>244.8</v>
      </c>
      <c r="J17" t="s">
        <v>646</v>
      </c>
      <c r="K17" t="s">
        <v>644</v>
      </c>
    </row>
    <row r="18" spans="1:19" hidden="1" x14ac:dyDescent="0.25">
      <c r="A18">
        <v>24</v>
      </c>
      <c r="B18">
        <v>22</v>
      </c>
      <c r="C18" s="77">
        <v>14138.4</v>
      </c>
      <c r="D18" t="s">
        <v>647</v>
      </c>
      <c r="H18" t="s">
        <v>633</v>
      </c>
      <c r="I18" s="81">
        <f>C18</f>
        <v>14138.4</v>
      </c>
      <c r="J18" t="s">
        <v>648</v>
      </c>
      <c r="K18" t="s">
        <v>647</v>
      </c>
    </row>
    <row r="19" spans="1:19" hidden="1" x14ac:dyDescent="0.25">
      <c r="A19">
        <v>81</v>
      </c>
      <c r="B19">
        <v>52</v>
      </c>
      <c r="C19" s="77">
        <f>ROUND(1148.1,1)</f>
        <v>1148.0999999999999</v>
      </c>
      <c r="D19" t="s">
        <v>644</v>
      </c>
      <c r="E19">
        <v>1</v>
      </c>
      <c r="F19" t="s">
        <v>634</v>
      </c>
      <c r="G19" s="81">
        <v>300</v>
      </c>
      <c r="H19" t="s">
        <v>633</v>
      </c>
      <c r="I19" s="81">
        <f>ROUND(C19-G19,1)</f>
        <v>848.1</v>
      </c>
      <c r="J19" t="s">
        <v>649</v>
      </c>
      <c r="K19" t="s">
        <v>644</v>
      </c>
      <c r="L19" s="73" t="s">
        <v>651</v>
      </c>
      <c r="M19" t="s">
        <v>650</v>
      </c>
      <c r="N19">
        <v>1163</v>
      </c>
      <c r="O19" t="s">
        <v>654</v>
      </c>
      <c r="P19" t="s">
        <v>656</v>
      </c>
      <c r="Q19" s="73" t="s">
        <v>658</v>
      </c>
      <c r="R19" s="73" t="s">
        <v>660</v>
      </c>
      <c r="S19" t="s">
        <v>662</v>
      </c>
    </row>
    <row r="20" spans="1:19" hidden="1" x14ac:dyDescent="0.25">
      <c r="A20">
        <v>78</v>
      </c>
      <c r="B20">
        <v>32</v>
      </c>
      <c r="C20" s="77">
        <v>4235</v>
      </c>
      <c r="D20" t="s">
        <v>663</v>
      </c>
      <c r="E20">
        <v>1</v>
      </c>
      <c r="F20" t="s">
        <v>634</v>
      </c>
      <c r="G20" s="81">
        <v>300</v>
      </c>
      <c r="H20" t="s">
        <v>633</v>
      </c>
      <c r="I20" s="81">
        <v>3935</v>
      </c>
      <c r="J20" t="s">
        <v>664</v>
      </c>
      <c r="K20" t="s">
        <v>665</v>
      </c>
      <c r="L20" t="s">
        <v>651</v>
      </c>
      <c r="M20" t="s">
        <v>666</v>
      </c>
      <c r="N20">
        <v>3773</v>
      </c>
      <c r="O20" t="s">
        <v>667</v>
      </c>
      <c r="Q20" t="s">
        <v>668</v>
      </c>
      <c r="R20" s="73" t="s">
        <v>669</v>
      </c>
      <c r="S20" t="s">
        <v>662</v>
      </c>
    </row>
    <row r="21" spans="1:19" hidden="1" x14ac:dyDescent="0.25">
      <c r="A21">
        <v>47</v>
      </c>
      <c r="B21">
        <v>47</v>
      </c>
      <c r="C21" s="77">
        <v>9034.9</v>
      </c>
      <c r="D21" t="s">
        <v>676</v>
      </c>
      <c r="F21" t="s">
        <v>633</v>
      </c>
      <c r="G21" s="81">
        <v>0</v>
      </c>
      <c r="I21" s="81">
        <v>9034.9</v>
      </c>
      <c r="J21" t="s">
        <v>677</v>
      </c>
      <c r="K21" t="s">
        <v>676</v>
      </c>
      <c r="P21">
        <v>2743</v>
      </c>
      <c r="Q21" t="s">
        <v>678</v>
      </c>
      <c r="R21" s="73" t="s">
        <v>679</v>
      </c>
      <c r="S21" t="s">
        <v>680</v>
      </c>
    </row>
    <row r="22" spans="1:19" hidden="1" x14ac:dyDescent="0.25">
      <c r="A22">
        <v>76</v>
      </c>
      <c r="B22">
        <v>302</v>
      </c>
      <c r="C22" s="77">
        <v>762.8</v>
      </c>
      <c r="D22" t="s">
        <v>644</v>
      </c>
      <c r="E22">
        <v>1</v>
      </c>
      <c r="F22" t="s">
        <v>634</v>
      </c>
      <c r="G22" s="81">
        <v>100</v>
      </c>
      <c r="H22" t="s">
        <v>633</v>
      </c>
      <c r="I22" s="81">
        <v>662.8</v>
      </c>
      <c r="J22" t="s">
        <v>681</v>
      </c>
      <c r="K22" t="s">
        <v>644</v>
      </c>
      <c r="L22" s="73" t="s">
        <v>682</v>
      </c>
      <c r="M22" t="s">
        <v>683</v>
      </c>
      <c r="N22">
        <v>762.8</v>
      </c>
      <c r="P22">
        <v>58.8</v>
      </c>
      <c r="Q22" t="s">
        <v>684</v>
      </c>
      <c r="R22" s="73" t="s">
        <v>685</v>
      </c>
      <c r="S22" t="s">
        <v>674</v>
      </c>
    </row>
    <row r="23" spans="1:19" hidden="1" x14ac:dyDescent="0.25">
      <c r="A23">
        <v>75</v>
      </c>
      <c r="B23">
        <v>674</v>
      </c>
      <c r="C23" s="77">
        <v>157.80000000000001</v>
      </c>
      <c r="D23" t="s">
        <v>686</v>
      </c>
      <c r="E23">
        <v>1</v>
      </c>
      <c r="F23" t="s">
        <v>634</v>
      </c>
      <c r="G23" s="81">
        <v>1</v>
      </c>
      <c r="H23" t="s">
        <v>633</v>
      </c>
      <c r="I23" s="81">
        <v>156.80000000000001</v>
      </c>
      <c r="R23" s="73" t="s">
        <v>687</v>
      </c>
      <c r="S23" t="s">
        <v>688</v>
      </c>
    </row>
    <row r="24" spans="1:19" hidden="1" x14ac:dyDescent="0.25">
      <c r="A24">
        <v>74</v>
      </c>
      <c r="B24">
        <v>675</v>
      </c>
      <c r="C24" s="77">
        <v>229.4</v>
      </c>
      <c r="D24" t="s">
        <v>686</v>
      </c>
      <c r="E24">
        <v>1</v>
      </c>
      <c r="F24" t="s">
        <v>634</v>
      </c>
      <c r="G24" s="81">
        <v>140</v>
      </c>
      <c r="H24" t="s">
        <v>633</v>
      </c>
      <c r="I24" s="81">
        <v>89.4</v>
      </c>
      <c r="J24" t="s">
        <v>689</v>
      </c>
      <c r="R24" s="73" t="s">
        <v>687</v>
      </c>
    </row>
    <row r="25" spans="1:19" hidden="1" x14ac:dyDescent="0.25">
      <c r="A25">
        <v>74</v>
      </c>
      <c r="B25">
        <v>137</v>
      </c>
      <c r="C25" s="77">
        <v>387.2</v>
      </c>
      <c r="D25" t="s">
        <v>641</v>
      </c>
      <c r="E25">
        <v>1</v>
      </c>
      <c r="F25" t="s">
        <v>634</v>
      </c>
      <c r="G25" s="81">
        <v>190</v>
      </c>
      <c r="H25" t="s">
        <v>633</v>
      </c>
      <c r="I25" s="81">
        <v>197.2</v>
      </c>
      <c r="J25" t="s">
        <v>690</v>
      </c>
      <c r="K25" t="s">
        <v>641</v>
      </c>
      <c r="L25" t="s">
        <v>651</v>
      </c>
      <c r="M25" t="s">
        <v>691</v>
      </c>
      <c r="N25">
        <v>393</v>
      </c>
      <c r="O25">
        <v>5.8</v>
      </c>
      <c r="P25">
        <v>113.3</v>
      </c>
      <c r="Q25" t="s">
        <v>692</v>
      </c>
      <c r="R25" s="73" t="s">
        <v>693</v>
      </c>
      <c r="S25" t="s">
        <v>674</v>
      </c>
    </row>
    <row r="26" spans="1:19" hidden="1" x14ac:dyDescent="0.25">
      <c r="A26">
        <v>74</v>
      </c>
      <c r="B26">
        <v>294</v>
      </c>
      <c r="C26" s="77">
        <v>252.3</v>
      </c>
      <c r="D26" t="s">
        <v>641</v>
      </c>
      <c r="E26">
        <v>1</v>
      </c>
      <c r="F26" t="s">
        <v>634</v>
      </c>
      <c r="G26" s="81">
        <v>140</v>
      </c>
      <c r="H26" t="s">
        <v>633</v>
      </c>
      <c r="I26" s="81">
        <v>112.30000000000001</v>
      </c>
      <c r="J26" t="s">
        <v>694</v>
      </c>
      <c r="K26" t="s">
        <v>641</v>
      </c>
      <c r="L26" t="s">
        <v>695</v>
      </c>
      <c r="M26" t="s">
        <v>696</v>
      </c>
      <c r="N26">
        <v>246</v>
      </c>
      <c r="O26" t="s">
        <v>697</v>
      </c>
      <c r="Q26" t="s">
        <v>698</v>
      </c>
      <c r="R26" s="73" t="s">
        <v>699</v>
      </c>
      <c r="S26" t="s">
        <v>662</v>
      </c>
    </row>
    <row r="27" spans="1:19" hidden="1" x14ac:dyDescent="0.25">
      <c r="A27">
        <v>57</v>
      </c>
      <c r="B27">
        <v>42</v>
      </c>
      <c r="C27" s="77">
        <v>3433.9</v>
      </c>
      <c r="D27" t="s">
        <v>700</v>
      </c>
      <c r="H27" t="s">
        <v>633</v>
      </c>
      <c r="J27" t="s">
        <v>701</v>
      </c>
      <c r="K27" t="s">
        <v>700</v>
      </c>
      <c r="L27" s="30">
        <v>39938</v>
      </c>
      <c r="M27" t="s">
        <v>702</v>
      </c>
      <c r="N27">
        <v>3275</v>
      </c>
      <c r="O27" t="s">
        <v>703</v>
      </c>
      <c r="P27">
        <v>968</v>
      </c>
      <c r="Q27" t="s">
        <v>704</v>
      </c>
      <c r="R27" s="73" t="s">
        <v>699</v>
      </c>
      <c r="S27" t="s">
        <v>662</v>
      </c>
    </row>
    <row r="28" spans="1:19" x14ac:dyDescent="0.25">
      <c r="A28">
        <v>56</v>
      </c>
      <c r="B28">
        <v>20</v>
      </c>
      <c r="C28" s="77">
        <v>6897.9</v>
      </c>
      <c r="D28" t="s">
        <v>700</v>
      </c>
      <c r="H28" t="s">
        <v>633</v>
      </c>
      <c r="J28" t="s">
        <v>701</v>
      </c>
      <c r="K28" t="s">
        <v>700</v>
      </c>
      <c r="L28" s="30">
        <v>39938</v>
      </c>
      <c r="M28" t="s">
        <v>702</v>
      </c>
      <c r="N28">
        <v>6648</v>
      </c>
      <c r="O28" t="s">
        <v>705</v>
      </c>
      <c r="P28">
        <v>369.7</v>
      </c>
      <c r="Q28" t="s">
        <v>704</v>
      </c>
      <c r="R28" s="73" t="s">
        <v>699</v>
      </c>
      <c r="S28" t="s">
        <v>662</v>
      </c>
    </row>
    <row r="29" spans="1:19" hidden="1" x14ac:dyDescent="0.25">
      <c r="A29">
        <v>74</v>
      </c>
      <c r="B29">
        <v>298</v>
      </c>
      <c r="C29" s="77">
        <v>382.6</v>
      </c>
      <c r="D29" t="s">
        <v>706</v>
      </c>
      <c r="E29">
        <v>1</v>
      </c>
      <c r="F29" t="s">
        <v>634</v>
      </c>
      <c r="G29" s="81">
        <v>160</v>
      </c>
      <c r="H29" t="s">
        <v>633</v>
      </c>
      <c r="I29" s="81">
        <v>222.60000000000002</v>
      </c>
      <c r="J29" t="s">
        <v>707</v>
      </c>
      <c r="K29" t="s">
        <v>706</v>
      </c>
      <c r="L29" t="s">
        <v>651</v>
      </c>
      <c r="M29" t="s">
        <v>708</v>
      </c>
      <c r="N29">
        <v>390</v>
      </c>
      <c r="O29" t="s">
        <v>709</v>
      </c>
      <c r="P29">
        <v>2.6</v>
      </c>
      <c r="Q29" t="s">
        <v>710</v>
      </c>
      <c r="R29" s="73" t="s">
        <v>711</v>
      </c>
      <c r="S29" t="s">
        <v>662</v>
      </c>
    </row>
    <row r="30" spans="1:19" hidden="1" x14ac:dyDescent="0.25">
      <c r="A30">
        <v>87</v>
      </c>
      <c r="B30">
        <v>227</v>
      </c>
      <c r="C30" s="77">
        <v>372.2</v>
      </c>
      <c r="D30" t="s">
        <v>712</v>
      </c>
      <c r="E30">
        <v>1</v>
      </c>
      <c r="F30" t="s">
        <v>634</v>
      </c>
      <c r="G30" s="81">
        <v>140</v>
      </c>
      <c r="H30" t="s">
        <v>633</v>
      </c>
      <c r="I30" s="81">
        <v>232.2</v>
      </c>
      <c r="J30" t="s">
        <v>713</v>
      </c>
      <c r="K30" t="s">
        <v>712</v>
      </c>
      <c r="M30" t="s">
        <v>714</v>
      </c>
      <c r="N30">
        <v>327</v>
      </c>
      <c r="O30" t="s">
        <v>715</v>
      </c>
      <c r="P30">
        <v>20.5</v>
      </c>
      <c r="R30" s="73" t="s">
        <v>687</v>
      </c>
    </row>
    <row r="31" spans="1:19" hidden="1" x14ac:dyDescent="0.25">
      <c r="A31">
        <v>74</v>
      </c>
      <c r="B31">
        <v>388</v>
      </c>
      <c r="C31" s="77">
        <v>623.29999999999995</v>
      </c>
      <c r="D31" t="s">
        <v>686</v>
      </c>
      <c r="E31">
        <v>1</v>
      </c>
      <c r="F31" t="s">
        <v>634</v>
      </c>
      <c r="G31" s="81">
        <v>512</v>
      </c>
      <c r="H31" t="s">
        <v>633</v>
      </c>
      <c r="I31" s="81">
        <v>111.29999999999995</v>
      </c>
      <c r="J31" t="s">
        <v>716</v>
      </c>
      <c r="K31" t="s">
        <v>686</v>
      </c>
      <c r="L31" t="s">
        <v>721</v>
      </c>
      <c r="M31" t="s">
        <v>717</v>
      </c>
      <c r="N31">
        <v>663</v>
      </c>
      <c r="O31" t="s">
        <v>720</v>
      </c>
      <c r="P31">
        <v>160.5</v>
      </c>
      <c r="Q31" t="s">
        <v>718</v>
      </c>
      <c r="R31" s="73" t="s">
        <v>719</v>
      </c>
      <c r="S31" t="s">
        <v>662</v>
      </c>
    </row>
    <row r="32" spans="1:19" hidden="1" x14ac:dyDescent="0.25">
      <c r="A32">
        <v>75</v>
      </c>
      <c r="B32">
        <v>392</v>
      </c>
      <c r="C32" s="77">
        <v>165.2</v>
      </c>
      <c r="D32" t="s">
        <v>722</v>
      </c>
      <c r="E32">
        <v>1</v>
      </c>
      <c r="F32" t="s">
        <v>634</v>
      </c>
      <c r="G32" s="81">
        <v>40</v>
      </c>
      <c r="H32" t="s">
        <v>633</v>
      </c>
      <c r="I32" s="81">
        <v>125.19999999999999</v>
      </c>
      <c r="J32" t="s">
        <v>646</v>
      </c>
      <c r="K32" t="s">
        <v>722</v>
      </c>
      <c r="L32" s="30">
        <v>43222</v>
      </c>
      <c r="M32" t="s">
        <v>723</v>
      </c>
      <c r="N32">
        <v>165</v>
      </c>
      <c r="Q32" t="s">
        <v>724</v>
      </c>
      <c r="R32" s="73" t="s">
        <v>725</v>
      </c>
      <c r="S32" t="s">
        <v>726</v>
      </c>
    </row>
    <row r="33" spans="1:19" hidden="1" x14ac:dyDescent="0.25">
      <c r="A33">
        <v>75</v>
      </c>
      <c r="B33">
        <v>393</v>
      </c>
      <c r="C33" s="77">
        <v>159.6</v>
      </c>
      <c r="D33" t="s">
        <v>722</v>
      </c>
      <c r="E33">
        <v>1</v>
      </c>
      <c r="F33" t="s">
        <v>634</v>
      </c>
      <c r="G33" s="81">
        <v>40</v>
      </c>
      <c r="H33" t="s">
        <v>633</v>
      </c>
      <c r="I33" s="81">
        <v>119.6</v>
      </c>
      <c r="J33" t="s">
        <v>727</v>
      </c>
      <c r="K33" t="s">
        <v>722</v>
      </c>
      <c r="L33" s="30">
        <v>43222</v>
      </c>
      <c r="M33" t="s">
        <v>728</v>
      </c>
      <c r="N33">
        <v>160</v>
      </c>
      <c r="Q33" t="s">
        <v>724</v>
      </c>
      <c r="R33" s="73" t="s">
        <v>725</v>
      </c>
      <c r="S33" t="s">
        <v>726</v>
      </c>
    </row>
    <row r="34" spans="1:19" hidden="1" x14ac:dyDescent="0.25">
      <c r="A34">
        <v>75</v>
      </c>
      <c r="B34">
        <v>485</v>
      </c>
      <c r="C34" s="77">
        <v>324.8</v>
      </c>
      <c r="D34" t="s">
        <v>722</v>
      </c>
      <c r="E34">
        <v>1</v>
      </c>
      <c r="F34" t="s">
        <v>634</v>
      </c>
      <c r="G34" s="81">
        <v>80</v>
      </c>
      <c r="H34" t="s">
        <v>633</v>
      </c>
      <c r="I34" s="81">
        <v>244.8</v>
      </c>
      <c r="J34" t="s">
        <v>646</v>
      </c>
      <c r="K34" t="s">
        <v>722</v>
      </c>
      <c r="L34" s="30"/>
      <c r="Q34" t="s">
        <v>724</v>
      </c>
      <c r="R34" s="73" t="s">
        <v>725</v>
      </c>
      <c r="S34" t="s">
        <v>726</v>
      </c>
    </row>
    <row r="35" spans="1:19" hidden="1" x14ac:dyDescent="0.25">
      <c r="A35">
        <v>51</v>
      </c>
      <c r="B35">
        <v>86</v>
      </c>
      <c r="C35" s="77">
        <v>4020.3</v>
      </c>
      <c r="D35" t="s">
        <v>700</v>
      </c>
      <c r="E35">
        <v>1</v>
      </c>
      <c r="F35" t="s">
        <v>634</v>
      </c>
      <c r="G35" s="81">
        <v>160</v>
      </c>
      <c r="H35" t="s">
        <v>633</v>
      </c>
      <c r="I35" s="81">
        <v>3860.3</v>
      </c>
      <c r="J35" t="s">
        <v>729</v>
      </c>
      <c r="K35" t="s">
        <v>700</v>
      </c>
      <c r="L35" t="s">
        <v>730</v>
      </c>
      <c r="M35" t="s">
        <v>731</v>
      </c>
      <c r="N35">
        <v>4021</v>
      </c>
      <c r="O35" t="s">
        <v>732</v>
      </c>
      <c r="P35">
        <v>1668.3</v>
      </c>
      <c r="Q35" t="s">
        <v>733</v>
      </c>
      <c r="R35" s="73" t="s">
        <v>734</v>
      </c>
      <c r="S35" t="s">
        <v>674</v>
      </c>
    </row>
    <row r="36" spans="1:19" hidden="1" x14ac:dyDescent="0.25">
      <c r="A36">
        <v>51</v>
      </c>
      <c r="B36">
        <v>116</v>
      </c>
      <c r="C36" s="77">
        <v>1372.1</v>
      </c>
      <c r="D36" t="s">
        <v>700</v>
      </c>
      <c r="E36">
        <v>1</v>
      </c>
      <c r="F36" t="s">
        <v>634</v>
      </c>
      <c r="G36" s="81">
        <v>100</v>
      </c>
      <c r="H36" t="s">
        <v>633</v>
      </c>
      <c r="I36" s="81">
        <v>1272.0999999999999</v>
      </c>
      <c r="J36" t="s">
        <v>735</v>
      </c>
      <c r="K36" t="s">
        <v>644</v>
      </c>
      <c r="Q36" t="s">
        <v>733</v>
      </c>
      <c r="R36" s="73" t="s">
        <v>734</v>
      </c>
      <c r="S36" t="s">
        <v>674</v>
      </c>
    </row>
    <row r="37" spans="1:19" hidden="1" x14ac:dyDescent="0.25">
      <c r="A37">
        <v>51</v>
      </c>
      <c r="B37">
        <v>117</v>
      </c>
      <c r="C37" s="77">
        <v>2648.2</v>
      </c>
      <c r="D37" t="s">
        <v>700</v>
      </c>
      <c r="E37">
        <v>1</v>
      </c>
      <c r="F37" t="s">
        <v>634</v>
      </c>
      <c r="G37" s="81">
        <v>60</v>
      </c>
      <c r="H37" t="s">
        <v>633</v>
      </c>
      <c r="I37" s="81">
        <v>2588.1999999999998</v>
      </c>
      <c r="J37" t="s">
        <v>729</v>
      </c>
      <c r="K37" t="s">
        <v>700</v>
      </c>
      <c r="L37" t="s">
        <v>730</v>
      </c>
      <c r="M37" t="s">
        <v>731</v>
      </c>
      <c r="Q37" t="s">
        <v>733</v>
      </c>
      <c r="R37" s="73" t="s">
        <v>734</v>
      </c>
      <c r="S37" t="s">
        <v>674</v>
      </c>
    </row>
    <row r="38" spans="1:19" hidden="1" x14ac:dyDescent="0.25">
      <c r="A38">
        <v>70</v>
      </c>
      <c r="B38">
        <v>208</v>
      </c>
      <c r="C38" s="77">
        <v>1453.6</v>
      </c>
      <c r="D38" t="s">
        <v>736</v>
      </c>
      <c r="E38">
        <v>1</v>
      </c>
      <c r="F38" t="s">
        <v>634</v>
      </c>
      <c r="G38" s="81">
        <v>300</v>
      </c>
      <c r="H38" t="s">
        <v>633</v>
      </c>
      <c r="I38" s="81">
        <v>1153.5999999999999</v>
      </c>
      <c r="J38" t="s">
        <v>737</v>
      </c>
      <c r="K38" t="s">
        <v>736</v>
      </c>
      <c r="L38" t="s">
        <v>738</v>
      </c>
      <c r="M38" t="s">
        <v>739</v>
      </c>
      <c r="N38">
        <v>1453.6</v>
      </c>
      <c r="P38">
        <v>54.6</v>
      </c>
      <c r="Q38" t="s">
        <v>740</v>
      </c>
      <c r="R38" s="73" t="s">
        <v>741</v>
      </c>
      <c r="S38" t="s">
        <v>742</v>
      </c>
    </row>
    <row r="39" spans="1:19" hidden="1" x14ac:dyDescent="0.25">
      <c r="A39">
        <v>70</v>
      </c>
      <c r="B39">
        <v>414</v>
      </c>
      <c r="C39" s="77">
        <v>673.6</v>
      </c>
      <c r="D39" t="s">
        <v>736</v>
      </c>
      <c r="E39">
        <v>1</v>
      </c>
      <c r="F39" t="s">
        <v>634</v>
      </c>
      <c r="G39" s="81">
        <v>150</v>
      </c>
      <c r="H39" t="s">
        <v>633</v>
      </c>
      <c r="I39" s="81">
        <v>523.6</v>
      </c>
      <c r="J39" t="s">
        <v>737</v>
      </c>
      <c r="K39" t="s">
        <v>736</v>
      </c>
      <c r="L39" t="s">
        <v>738</v>
      </c>
      <c r="M39" t="s">
        <v>739</v>
      </c>
      <c r="N39">
        <v>1453.6</v>
      </c>
      <c r="Q39" t="s">
        <v>740</v>
      </c>
      <c r="R39" s="73" t="s">
        <v>741</v>
      </c>
      <c r="S39" t="s">
        <v>674</v>
      </c>
    </row>
    <row r="40" spans="1:19" hidden="1" x14ac:dyDescent="0.25">
      <c r="A40">
        <v>70</v>
      </c>
      <c r="B40">
        <v>415</v>
      </c>
      <c r="C40" s="77">
        <v>779.9</v>
      </c>
      <c r="D40" t="s">
        <v>736</v>
      </c>
      <c r="E40">
        <v>1</v>
      </c>
      <c r="F40" t="s">
        <v>634</v>
      </c>
      <c r="G40" s="81">
        <v>150</v>
      </c>
      <c r="H40" t="s">
        <v>633</v>
      </c>
      <c r="I40" s="81">
        <v>629.9</v>
      </c>
      <c r="J40" t="s">
        <v>743</v>
      </c>
      <c r="K40" t="s">
        <v>736</v>
      </c>
      <c r="Q40" t="s">
        <v>740</v>
      </c>
      <c r="R40" s="73" t="s">
        <v>741</v>
      </c>
      <c r="S40" t="s">
        <v>742</v>
      </c>
    </row>
    <row r="41" spans="1:19" hidden="1" x14ac:dyDescent="0.25">
      <c r="A41">
        <v>70</v>
      </c>
      <c r="B41">
        <v>240</v>
      </c>
      <c r="C41" s="77">
        <v>152.9</v>
      </c>
      <c r="D41" t="s">
        <v>644</v>
      </c>
      <c r="E41">
        <v>1</v>
      </c>
      <c r="F41" t="s">
        <v>634</v>
      </c>
      <c r="G41" s="81">
        <v>100</v>
      </c>
      <c r="H41" t="s">
        <v>633</v>
      </c>
      <c r="I41" s="81">
        <v>52.900000000000006</v>
      </c>
      <c r="J41" t="s">
        <v>744</v>
      </c>
      <c r="K41" t="s">
        <v>644</v>
      </c>
      <c r="L41" t="s">
        <v>745</v>
      </c>
      <c r="M41" t="s">
        <v>746</v>
      </c>
      <c r="N41">
        <v>153</v>
      </c>
      <c r="O41" t="s">
        <v>747</v>
      </c>
      <c r="P41" t="s">
        <v>748</v>
      </c>
      <c r="R41" s="73" t="s">
        <v>687</v>
      </c>
    </row>
    <row r="42" spans="1:19" hidden="1" x14ac:dyDescent="0.25">
      <c r="A42">
        <v>60</v>
      </c>
      <c r="B42">
        <v>18</v>
      </c>
      <c r="C42" s="77">
        <v>1189.8</v>
      </c>
      <c r="D42" t="s">
        <v>632</v>
      </c>
      <c r="E42">
        <v>1</v>
      </c>
      <c r="F42" t="s">
        <v>634</v>
      </c>
      <c r="G42" s="81">
        <v>410</v>
      </c>
      <c r="H42" t="s">
        <v>633</v>
      </c>
      <c r="I42" s="81">
        <v>779.8</v>
      </c>
      <c r="J42" t="s">
        <v>635</v>
      </c>
      <c r="K42" t="s">
        <v>632</v>
      </c>
      <c r="L42" t="s">
        <v>749</v>
      </c>
      <c r="M42" t="s">
        <v>750</v>
      </c>
      <c r="N42">
        <v>1190</v>
      </c>
      <c r="O42" t="s">
        <v>751</v>
      </c>
      <c r="P42">
        <v>373.1</v>
      </c>
      <c r="Q42" t="s">
        <v>752</v>
      </c>
      <c r="R42" s="73" t="s">
        <v>753</v>
      </c>
      <c r="S42" t="s">
        <v>674</v>
      </c>
    </row>
    <row r="43" spans="1:19" hidden="1" x14ac:dyDescent="0.25">
      <c r="A43">
        <v>64</v>
      </c>
      <c r="B43">
        <v>38</v>
      </c>
      <c r="C43" s="77">
        <v>343.3</v>
      </c>
      <c r="D43" t="s">
        <v>632</v>
      </c>
      <c r="E43">
        <v>1</v>
      </c>
      <c r="F43" t="s">
        <v>634</v>
      </c>
      <c r="G43" s="81">
        <v>343.3</v>
      </c>
      <c r="I43" s="81">
        <v>0</v>
      </c>
      <c r="J43" t="s">
        <v>754</v>
      </c>
      <c r="K43" t="s">
        <v>632</v>
      </c>
      <c r="L43" s="30">
        <v>43416</v>
      </c>
      <c r="M43" t="s">
        <v>755</v>
      </c>
      <c r="N43">
        <v>344</v>
      </c>
      <c r="O43" t="s">
        <v>756</v>
      </c>
      <c r="Q43" t="s">
        <v>757</v>
      </c>
      <c r="R43" s="73" t="s">
        <v>758</v>
      </c>
      <c r="S43" t="s">
        <v>759</v>
      </c>
    </row>
    <row r="44" spans="1:19" hidden="1" x14ac:dyDescent="0.25">
      <c r="A44">
        <v>64</v>
      </c>
      <c r="B44">
        <v>158</v>
      </c>
      <c r="C44" s="77">
        <v>61.1</v>
      </c>
      <c r="D44" t="s">
        <v>632</v>
      </c>
      <c r="E44">
        <v>1</v>
      </c>
      <c r="F44" t="s">
        <v>634</v>
      </c>
      <c r="G44" s="81">
        <v>61.1</v>
      </c>
      <c r="I44" s="81">
        <v>0</v>
      </c>
      <c r="J44" t="s">
        <v>754</v>
      </c>
      <c r="K44" t="s">
        <v>632</v>
      </c>
      <c r="L44" s="30"/>
      <c r="Q44" t="s">
        <v>757</v>
      </c>
      <c r="R44" s="73" t="s">
        <v>758</v>
      </c>
      <c r="S44" t="s">
        <v>759</v>
      </c>
    </row>
    <row r="45" spans="1:19" hidden="1" x14ac:dyDescent="0.25">
      <c r="A45">
        <v>64</v>
      </c>
      <c r="B45">
        <v>159</v>
      </c>
      <c r="C45" s="77">
        <v>128.1</v>
      </c>
      <c r="D45" t="s">
        <v>632</v>
      </c>
      <c r="E45">
        <v>1</v>
      </c>
      <c r="F45" t="s">
        <v>634</v>
      </c>
      <c r="G45" s="81">
        <v>128.1</v>
      </c>
      <c r="I45" s="81">
        <v>0</v>
      </c>
      <c r="K45" t="s">
        <v>632</v>
      </c>
      <c r="L45" s="30"/>
      <c r="Q45" t="s">
        <v>757</v>
      </c>
      <c r="R45" s="73" t="s">
        <v>758</v>
      </c>
      <c r="S45" t="s">
        <v>759</v>
      </c>
    </row>
    <row r="46" spans="1:19" hidden="1" x14ac:dyDescent="0.25">
      <c r="A46">
        <v>64</v>
      </c>
      <c r="B46">
        <v>160</v>
      </c>
      <c r="C46" s="77">
        <v>154.1</v>
      </c>
      <c r="D46" t="s">
        <v>632</v>
      </c>
      <c r="E46">
        <v>1</v>
      </c>
      <c r="F46" t="s">
        <v>634</v>
      </c>
      <c r="G46" s="81">
        <v>154.1</v>
      </c>
      <c r="I46" s="81">
        <v>0</v>
      </c>
      <c r="K46" t="s">
        <v>632</v>
      </c>
      <c r="L46" s="30"/>
      <c r="Q46" t="s">
        <v>757</v>
      </c>
      <c r="R46" s="73" t="s">
        <v>758</v>
      </c>
      <c r="S46" t="s">
        <v>759</v>
      </c>
    </row>
    <row r="47" spans="1:19" hidden="1" x14ac:dyDescent="0.25">
      <c r="A47">
        <v>64</v>
      </c>
      <c r="B47">
        <v>161</v>
      </c>
      <c r="C47" s="77">
        <v>154.1</v>
      </c>
      <c r="D47" t="s">
        <v>632</v>
      </c>
      <c r="E47">
        <v>1</v>
      </c>
      <c r="F47" t="s">
        <v>634</v>
      </c>
      <c r="G47" s="81">
        <v>154.1</v>
      </c>
      <c r="I47" s="81">
        <v>0</v>
      </c>
      <c r="K47" t="s">
        <v>632</v>
      </c>
      <c r="L47" s="30"/>
      <c r="Q47" t="s">
        <v>757</v>
      </c>
      <c r="R47" s="73" t="s">
        <v>758</v>
      </c>
      <c r="S47" t="s">
        <v>759</v>
      </c>
    </row>
    <row r="48" spans="1:19" hidden="1" x14ac:dyDescent="0.25">
      <c r="A48">
        <v>64</v>
      </c>
      <c r="B48">
        <v>129</v>
      </c>
      <c r="C48" s="77">
        <v>139.19999999999999</v>
      </c>
      <c r="D48" t="s">
        <v>665</v>
      </c>
      <c r="E48">
        <v>1</v>
      </c>
      <c r="F48" t="s">
        <v>634</v>
      </c>
      <c r="G48" s="81">
        <v>139.19999999999999</v>
      </c>
      <c r="I48" s="81">
        <v>0</v>
      </c>
      <c r="J48" t="s">
        <v>760</v>
      </c>
      <c r="K48" t="s">
        <v>665</v>
      </c>
      <c r="L48" t="s">
        <v>761</v>
      </c>
      <c r="M48" t="s">
        <v>762</v>
      </c>
      <c r="R48" s="73" t="s">
        <v>687</v>
      </c>
    </row>
    <row r="49" spans="1:28" hidden="1" x14ac:dyDescent="0.25">
      <c r="A49">
        <v>73</v>
      </c>
      <c r="B49">
        <v>163</v>
      </c>
      <c r="C49" s="77">
        <v>403.2</v>
      </c>
      <c r="D49" t="s">
        <v>641</v>
      </c>
      <c r="E49">
        <v>1</v>
      </c>
      <c r="F49" t="s">
        <v>634</v>
      </c>
      <c r="G49" s="81">
        <v>100</v>
      </c>
      <c r="H49" t="s">
        <v>633</v>
      </c>
      <c r="I49" s="81">
        <v>303.2</v>
      </c>
      <c r="J49" t="s">
        <v>766</v>
      </c>
      <c r="K49" t="s">
        <v>641</v>
      </c>
      <c r="L49" s="30">
        <v>37901</v>
      </c>
      <c r="M49" t="s">
        <v>763</v>
      </c>
      <c r="N49">
        <v>475</v>
      </c>
      <c r="P49">
        <v>103.2</v>
      </c>
      <c r="Q49" t="s">
        <v>764</v>
      </c>
      <c r="R49" s="73" t="s">
        <v>765</v>
      </c>
      <c r="S49" t="s">
        <v>662</v>
      </c>
    </row>
    <row r="50" spans="1:28" hidden="1" x14ac:dyDescent="0.25">
      <c r="A50">
        <v>77</v>
      </c>
      <c r="B50">
        <v>72</v>
      </c>
      <c r="C50" s="77">
        <v>1177.4000000000001</v>
      </c>
      <c r="D50" t="s">
        <v>706</v>
      </c>
      <c r="E50">
        <v>1</v>
      </c>
      <c r="F50" t="s">
        <v>634</v>
      </c>
      <c r="G50" s="81">
        <v>150</v>
      </c>
      <c r="H50" t="s">
        <v>633</v>
      </c>
      <c r="I50" s="81">
        <v>1027.4000000000001</v>
      </c>
      <c r="J50" t="s">
        <v>767</v>
      </c>
      <c r="K50" t="s">
        <v>706</v>
      </c>
      <c r="L50" t="s">
        <v>651</v>
      </c>
      <c r="M50" t="s">
        <v>768</v>
      </c>
      <c r="N50">
        <v>1176</v>
      </c>
      <c r="Q50" t="s">
        <v>769</v>
      </c>
      <c r="R50" s="73" t="s">
        <v>770</v>
      </c>
      <c r="S50" t="s">
        <v>771</v>
      </c>
    </row>
    <row r="51" spans="1:28" hidden="1" x14ac:dyDescent="0.25">
      <c r="A51">
        <v>93</v>
      </c>
      <c r="B51">
        <v>534</v>
      </c>
      <c r="C51" s="77">
        <v>700.1</v>
      </c>
      <c r="D51" t="s">
        <v>722</v>
      </c>
      <c r="G51" s="81">
        <v>0</v>
      </c>
      <c r="H51" t="s">
        <v>633</v>
      </c>
      <c r="I51" s="81">
        <v>700.1</v>
      </c>
      <c r="J51" t="s">
        <v>772</v>
      </c>
      <c r="K51" t="s">
        <v>722</v>
      </c>
      <c r="L51" t="s">
        <v>773</v>
      </c>
      <c r="M51" t="s">
        <v>774</v>
      </c>
      <c r="N51">
        <v>824.1</v>
      </c>
      <c r="P51">
        <v>251.9</v>
      </c>
      <c r="R51" s="73" t="s">
        <v>775</v>
      </c>
      <c r="S51" t="s">
        <v>688</v>
      </c>
    </row>
    <row r="52" spans="1:28" hidden="1" x14ac:dyDescent="0.25">
      <c r="A52">
        <v>93</v>
      </c>
      <c r="B52">
        <v>535</v>
      </c>
      <c r="C52" s="77">
        <v>124</v>
      </c>
      <c r="D52" t="s">
        <v>722</v>
      </c>
      <c r="G52" s="81">
        <v>0</v>
      </c>
      <c r="H52" t="s">
        <v>633</v>
      </c>
      <c r="I52" s="81">
        <v>124</v>
      </c>
      <c r="J52" t="s">
        <v>772</v>
      </c>
      <c r="K52" t="s">
        <v>722</v>
      </c>
      <c r="L52" t="s">
        <v>773</v>
      </c>
      <c r="M52" t="s">
        <v>774</v>
      </c>
      <c r="N52">
        <v>124</v>
      </c>
      <c r="P52">
        <v>36.6</v>
      </c>
      <c r="R52" s="73" t="s">
        <v>775</v>
      </c>
      <c r="S52" t="s">
        <v>688</v>
      </c>
    </row>
    <row r="53" spans="1:28" hidden="1" x14ac:dyDescent="0.25">
      <c r="A53">
        <v>74</v>
      </c>
      <c r="B53">
        <v>298</v>
      </c>
      <c r="C53" s="77">
        <v>382.6</v>
      </c>
      <c r="D53" t="s">
        <v>686</v>
      </c>
      <c r="E53">
        <v>1</v>
      </c>
      <c r="F53" t="s">
        <v>634</v>
      </c>
      <c r="G53" s="81">
        <v>160</v>
      </c>
      <c r="H53" t="s">
        <v>633</v>
      </c>
      <c r="I53" s="81">
        <v>222.60000000000002</v>
      </c>
      <c r="J53" t="s">
        <v>707</v>
      </c>
      <c r="K53" t="s">
        <v>686</v>
      </c>
      <c r="L53" s="30">
        <v>45415</v>
      </c>
      <c r="M53" t="s">
        <v>776</v>
      </c>
      <c r="N53">
        <v>382.6</v>
      </c>
      <c r="Q53" t="s">
        <v>777</v>
      </c>
      <c r="R53" s="73" t="s">
        <v>711</v>
      </c>
      <c r="S53" t="s">
        <v>674</v>
      </c>
    </row>
    <row r="54" spans="1:28" hidden="1" x14ac:dyDescent="0.25">
      <c r="A54">
        <v>75</v>
      </c>
      <c r="B54">
        <v>99</v>
      </c>
      <c r="C54" s="77">
        <v>259</v>
      </c>
      <c r="D54" t="s">
        <v>665</v>
      </c>
      <c r="E54">
        <v>1</v>
      </c>
      <c r="F54" t="s">
        <v>634</v>
      </c>
      <c r="G54" s="81">
        <v>180</v>
      </c>
      <c r="H54" t="s">
        <v>633</v>
      </c>
      <c r="I54" s="81">
        <v>79</v>
      </c>
      <c r="J54" t="s">
        <v>778</v>
      </c>
      <c r="K54" t="s">
        <v>665</v>
      </c>
      <c r="L54" t="s">
        <v>651</v>
      </c>
      <c r="M54" t="s">
        <v>779</v>
      </c>
      <c r="N54">
        <v>244</v>
      </c>
      <c r="O54" t="s">
        <v>782</v>
      </c>
      <c r="P54" t="s">
        <v>780</v>
      </c>
      <c r="Q54" t="s">
        <v>783</v>
      </c>
      <c r="R54" s="73" t="s">
        <v>781</v>
      </c>
      <c r="S54" t="s">
        <v>662</v>
      </c>
    </row>
    <row r="55" spans="1:28" hidden="1" x14ac:dyDescent="0.25">
      <c r="A55">
        <v>57</v>
      </c>
      <c r="B55">
        <v>17</v>
      </c>
      <c r="C55" s="77">
        <v>1156.0999999999999</v>
      </c>
      <c r="D55" t="s">
        <v>700</v>
      </c>
      <c r="E55">
        <v>1</v>
      </c>
      <c r="F55" t="s">
        <v>634</v>
      </c>
      <c r="G55" s="81">
        <v>100</v>
      </c>
      <c r="H55" t="s">
        <v>633</v>
      </c>
      <c r="I55" s="81">
        <v>1056.0999999999999</v>
      </c>
      <c r="J55" t="s">
        <v>784</v>
      </c>
      <c r="K55" t="s">
        <v>700</v>
      </c>
      <c r="L55" s="30">
        <v>45505</v>
      </c>
      <c r="M55" t="s">
        <v>785</v>
      </c>
      <c r="N55">
        <v>1156.0999999999999</v>
      </c>
      <c r="R55" s="73" t="s">
        <v>687</v>
      </c>
    </row>
    <row r="56" spans="1:28" hidden="1" x14ac:dyDescent="0.25">
      <c r="A56">
        <v>75</v>
      </c>
      <c r="B56">
        <v>50</v>
      </c>
      <c r="C56" s="77">
        <v>1215.5999999999999</v>
      </c>
      <c r="D56" t="s">
        <v>644</v>
      </c>
      <c r="E56">
        <v>1</v>
      </c>
      <c r="F56" t="s">
        <v>634</v>
      </c>
      <c r="G56" s="81">
        <v>300</v>
      </c>
      <c r="H56" t="s">
        <v>633</v>
      </c>
      <c r="I56" s="81">
        <v>915.59999999999991</v>
      </c>
      <c r="J56" t="s">
        <v>786</v>
      </c>
      <c r="K56" t="s">
        <v>644</v>
      </c>
      <c r="L56" t="s">
        <v>787</v>
      </c>
      <c r="M56" t="s">
        <v>788</v>
      </c>
      <c r="N56">
        <v>1251</v>
      </c>
      <c r="O56" t="s">
        <v>789</v>
      </c>
      <c r="P56" t="s">
        <v>790</v>
      </c>
      <c r="R56" s="73" t="s">
        <v>791</v>
      </c>
      <c r="S56" t="s">
        <v>662</v>
      </c>
    </row>
    <row r="57" spans="1:28" hidden="1" x14ac:dyDescent="0.25">
      <c r="A57">
        <v>70</v>
      </c>
      <c r="B57">
        <v>284</v>
      </c>
      <c r="C57" s="77">
        <v>600.79999999999995</v>
      </c>
      <c r="D57" t="s">
        <v>792</v>
      </c>
      <c r="E57">
        <v>1</v>
      </c>
      <c r="F57" t="s">
        <v>634</v>
      </c>
      <c r="G57" s="81">
        <v>200</v>
      </c>
      <c r="H57" t="s">
        <v>633</v>
      </c>
      <c r="I57" s="81">
        <v>400.79999999999995</v>
      </c>
      <c r="J57" t="s">
        <v>793</v>
      </c>
      <c r="K57" t="s">
        <v>792</v>
      </c>
      <c r="L57" t="s">
        <v>773</v>
      </c>
      <c r="M57" t="s">
        <v>794</v>
      </c>
      <c r="N57">
        <v>614.29999999999995</v>
      </c>
      <c r="P57">
        <v>55.2</v>
      </c>
      <c r="Q57" t="s">
        <v>851</v>
      </c>
      <c r="R57" s="73" t="s">
        <v>795</v>
      </c>
      <c r="S57" t="s">
        <v>674</v>
      </c>
    </row>
    <row r="58" spans="1:28" hidden="1" x14ac:dyDescent="0.25">
      <c r="A58">
        <v>74</v>
      </c>
      <c r="B58">
        <v>294</v>
      </c>
      <c r="C58" s="77">
        <v>252.3</v>
      </c>
      <c r="D58" t="s">
        <v>686</v>
      </c>
      <c r="E58">
        <v>1</v>
      </c>
      <c r="F58" t="s">
        <v>634</v>
      </c>
      <c r="G58" s="81">
        <v>140</v>
      </c>
      <c r="H58" t="s">
        <v>633</v>
      </c>
      <c r="I58" s="81">
        <v>112.30000000000001</v>
      </c>
      <c r="J58" t="s">
        <v>694</v>
      </c>
      <c r="K58" t="s">
        <v>686</v>
      </c>
      <c r="L58" t="s">
        <v>695</v>
      </c>
      <c r="M58" t="s">
        <v>696</v>
      </c>
      <c r="N58">
        <v>246</v>
      </c>
      <c r="O58">
        <v>-6.3</v>
      </c>
      <c r="R58" s="73" t="s">
        <v>699</v>
      </c>
      <c r="S58" t="s">
        <v>662</v>
      </c>
    </row>
    <row r="59" spans="1:28" hidden="1" x14ac:dyDescent="0.25">
      <c r="A59">
        <v>48</v>
      </c>
      <c r="B59">
        <v>59</v>
      </c>
      <c r="C59" s="77">
        <v>187.1</v>
      </c>
      <c r="D59" t="s">
        <v>665</v>
      </c>
      <c r="E59">
        <v>1</v>
      </c>
      <c r="F59" t="s">
        <v>634</v>
      </c>
      <c r="G59" s="81">
        <v>55</v>
      </c>
      <c r="H59" t="s">
        <v>633</v>
      </c>
      <c r="I59" s="81">
        <v>132.1</v>
      </c>
      <c r="J59" t="s">
        <v>809</v>
      </c>
      <c r="K59" t="s">
        <v>810</v>
      </c>
      <c r="L59" t="s">
        <v>811</v>
      </c>
      <c r="M59" t="s">
        <v>812</v>
      </c>
      <c r="N59">
        <v>320</v>
      </c>
      <c r="R59" s="73" t="s">
        <v>687</v>
      </c>
      <c r="T59" s="73" t="s">
        <v>813</v>
      </c>
      <c r="U59" t="s">
        <v>814</v>
      </c>
      <c r="V59" s="73" t="s">
        <v>815</v>
      </c>
      <c r="W59">
        <v>49</v>
      </c>
      <c r="X59">
        <v>48</v>
      </c>
      <c r="Y59">
        <v>50</v>
      </c>
      <c r="Z59">
        <v>270</v>
      </c>
      <c r="AA59">
        <v>1990</v>
      </c>
      <c r="AB59">
        <v>1993</v>
      </c>
    </row>
    <row r="60" spans="1:28" hidden="1" x14ac:dyDescent="0.25">
      <c r="A60">
        <v>48</v>
      </c>
      <c r="B60">
        <v>50</v>
      </c>
      <c r="C60" s="77">
        <v>1264.3</v>
      </c>
      <c r="D60" t="s">
        <v>632</v>
      </c>
      <c r="E60">
        <v>1</v>
      </c>
      <c r="F60" t="s">
        <v>634</v>
      </c>
      <c r="G60" s="81">
        <v>75</v>
      </c>
      <c r="H60" t="s">
        <v>633</v>
      </c>
      <c r="I60" s="81">
        <v>1189.3</v>
      </c>
      <c r="J60" t="s">
        <v>816</v>
      </c>
      <c r="K60" t="s">
        <v>810</v>
      </c>
      <c r="L60" t="s">
        <v>811</v>
      </c>
      <c r="M60" t="s">
        <v>817</v>
      </c>
      <c r="N60">
        <v>1821</v>
      </c>
      <c r="O60">
        <v>-0.200000000000045</v>
      </c>
      <c r="R60" s="73" t="s">
        <v>687</v>
      </c>
      <c r="T60" s="73">
        <v>45066000419</v>
      </c>
      <c r="U60" t="s">
        <v>818</v>
      </c>
      <c r="V60" s="73">
        <v>45169002820</v>
      </c>
      <c r="W60">
        <v>50</v>
      </c>
      <c r="X60">
        <v>48</v>
      </c>
      <c r="Y60">
        <v>80</v>
      </c>
      <c r="Z60">
        <v>1741</v>
      </c>
      <c r="AA60">
        <v>1966</v>
      </c>
      <c r="AB60">
        <v>1969</v>
      </c>
    </row>
    <row r="61" spans="1:28" hidden="1" x14ac:dyDescent="0.25">
      <c r="A61">
        <v>80</v>
      </c>
      <c r="B61">
        <v>240</v>
      </c>
      <c r="C61" s="77">
        <v>227.8</v>
      </c>
      <c r="D61" t="s">
        <v>819</v>
      </c>
      <c r="E61">
        <v>1</v>
      </c>
      <c r="F61" t="s">
        <v>634</v>
      </c>
      <c r="G61" s="81">
        <v>100</v>
      </c>
      <c r="H61" t="s">
        <v>633</v>
      </c>
      <c r="I61" s="81">
        <v>127.80000000000001</v>
      </c>
      <c r="J61" t="s">
        <v>820</v>
      </c>
      <c r="K61" t="s">
        <v>819</v>
      </c>
      <c r="L61" t="s">
        <v>821</v>
      </c>
      <c r="M61" t="s">
        <v>822</v>
      </c>
      <c r="N61">
        <v>178</v>
      </c>
      <c r="O61">
        <v>-49.8</v>
      </c>
      <c r="P61">
        <v>21.9</v>
      </c>
      <c r="Q61" t="s">
        <v>823</v>
      </c>
      <c r="R61" s="73" t="s">
        <v>824</v>
      </c>
      <c r="S61" t="s">
        <v>662</v>
      </c>
      <c r="W61">
        <v>265</v>
      </c>
      <c r="X61">
        <v>20</v>
      </c>
      <c r="Y61">
        <v>100</v>
      </c>
      <c r="Z61">
        <v>78</v>
      </c>
    </row>
    <row r="62" spans="1:28" hidden="1" x14ac:dyDescent="0.25">
      <c r="A62">
        <v>69</v>
      </c>
      <c r="B62">
        <v>193</v>
      </c>
      <c r="C62" s="77">
        <v>997.6</v>
      </c>
      <c r="D62" t="s">
        <v>665</v>
      </c>
      <c r="E62">
        <v>1</v>
      </c>
      <c r="F62" t="s">
        <v>634</v>
      </c>
      <c r="G62" s="81">
        <v>300</v>
      </c>
      <c r="H62" t="s">
        <v>633</v>
      </c>
      <c r="I62" s="81">
        <v>697.6</v>
      </c>
      <c r="J62" t="s">
        <v>825</v>
      </c>
      <c r="K62" t="s">
        <v>665</v>
      </c>
      <c r="L62" t="s">
        <v>651</v>
      </c>
      <c r="M62" t="s">
        <v>826</v>
      </c>
      <c r="N62">
        <v>1036</v>
      </c>
      <c r="O62">
        <v>38.4</v>
      </c>
      <c r="P62">
        <v>103.5</v>
      </c>
      <c r="Q62" t="s">
        <v>828</v>
      </c>
      <c r="R62" s="73" t="s">
        <v>827</v>
      </c>
      <c r="S62" t="s">
        <v>662</v>
      </c>
      <c r="W62">
        <v>227</v>
      </c>
      <c r="X62">
        <v>13</v>
      </c>
      <c r="Y62">
        <v>300</v>
      </c>
      <c r="Z62">
        <v>736</v>
      </c>
    </row>
    <row r="63" spans="1:28" hidden="1" x14ac:dyDescent="0.25">
      <c r="A63">
        <v>57</v>
      </c>
      <c r="B63">
        <v>17</v>
      </c>
      <c r="C63" s="77" t="s">
        <v>829</v>
      </c>
      <c r="D63" t="s">
        <v>700</v>
      </c>
      <c r="E63">
        <v>1</v>
      </c>
      <c r="F63" t="s">
        <v>634</v>
      </c>
      <c r="G63" s="81">
        <v>100</v>
      </c>
      <c r="H63" t="s">
        <v>633</v>
      </c>
      <c r="I63" s="81">
        <v>11461</v>
      </c>
      <c r="J63" t="s">
        <v>830</v>
      </c>
      <c r="K63" t="s">
        <v>700</v>
      </c>
      <c r="L63" s="30">
        <v>45505</v>
      </c>
      <c r="M63" t="s">
        <v>785</v>
      </c>
      <c r="N63" t="s">
        <v>829</v>
      </c>
      <c r="Q63">
        <v>370</v>
      </c>
      <c r="R63" s="73" t="s">
        <v>831</v>
      </c>
      <c r="S63" t="s">
        <v>674</v>
      </c>
      <c r="Y63">
        <v>100</v>
      </c>
      <c r="Z63">
        <v>1056.0999999999999</v>
      </c>
    </row>
    <row r="64" spans="1:28" hidden="1" x14ac:dyDescent="0.25">
      <c r="A64">
        <v>51</v>
      </c>
      <c r="B64">
        <v>2</v>
      </c>
      <c r="C64" s="77">
        <v>2047.5</v>
      </c>
      <c r="D64" t="s">
        <v>665</v>
      </c>
      <c r="E64">
        <v>1</v>
      </c>
      <c r="F64" t="s">
        <v>634</v>
      </c>
      <c r="G64" s="81">
        <v>300</v>
      </c>
      <c r="H64" t="s">
        <v>633</v>
      </c>
      <c r="I64" s="81">
        <v>1747.5</v>
      </c>
      <c r="J64" t="s">
        <v>832</v>
      </c>
      <c r="K64" t="s">
        <v>665</v>
      </c>
      <c r="L64" s="30">
        <v>39700</v>
      </c>
      <c r="M64" t="s">
        <v>833</v>
      </c>
      <c r="N64">
        <v>2252</v>
      </c>
      <c r="O64">
        <v>204.5</v>
      </c>
      <c r="Q64" t="s">
        <v>834</v>
      </c>
      <c r="R64" s="73" t="s">
        <v>835</v>
      </c>
      <c r="S64" t="s">
        <v>662</v>
      </c>
    </row>
    <row r="65" spans="1:24" hidden="1" x14ac:dyDescent="0.25">
      <c r="A65">
        <v>51</v>
      </c>
      <c r="B65">
        <v>46</v>
      </c>
      <c r="C65" s="77">
        <v>7943</v>
      </c>
      <c r="D65" t="s">
        <v>676</v>
      </c>
      <c r="E65">
        <v>1</v>
      </c>
      <c r="F65" t="s">
        <v>634</v>
      </c>
      <c r="G65" s="81">
        <v>300</v>
      </c>
      <c r="H65" t="s">
        <v>633</v>
      </c>
      <c r="I65" s="81">
        <v>7643</v>
      </c>
      <c r="J65" t="s">
        <v>836</v>
      </c>
      <c r="K65" t="s">
        <v>676</v>
      </c>
      <c r="L65" t="s">
        <v>651</v>
      </c>
      <c r="M65" t="s">
        <v>837</v>
      </c>
      <c r="N65">
        <v>7932</v>
      </c>
      <c r="O65">
        <v>-11</v>
      </c>
      <c r="P65" t="s">
        <v>838</v>
      </c>
      <c r="Q65" t="s">
        <v>839</v>
      </c>
      <c r="R65" s="73" t="s">
        <v>679</v>
      </c>
      <c r="S65" t="s">
        <v>662</v>
      </c>
      <c r="W65">
        <v>66</v>
      </c>
      <c r="X65">
        <v>5</v>
      </c>
    </row>
    <row r="66" spans="1:24" hidden="1" x14ac:dyDescent="0.25">
      <c r="A66">
        <v>77</v>
      </c>
      <c r="B66">
        <v>127</v>
      </c>
      <c r="C66" s="77">
        <v>1177.4000000000001</v>
      </c>
      <c r="D66" t="s">
        <v>706</v>
      </c>
      <c r="E66">
        <v>1</v>
      </c>
      <c r="F66" t="s">
        <v>634</v>
      </c>
      <c r="G66" s="81">
        <v>150</v>
      </c>
      <c r="H66" t="s">
        <v>633</v>
      </c>
      <c r="I66" s="81">
        <v>1027.4000000000001</v>
      </c>
      <c r="J66" t="s">
        <v>767</v>
      </c>
      <c r="K66" t="s">
        <v>706</v>
      </c>
      <c r="L66" t="s">
        <v>651</v>
      </c>
      <c r="M66" t="s">
        <v>768</v>
      </c>
      <c r="N66">
        <v>1176</v>
      </c>
      <c r="O66">
        <v>-1.4000000000000901</v>
      </c>
      <c r="Q66" t="s">
        <v>840</v>
      </c>
      <c r="R66" s="73" t="s">
        <v>841</v>
      </c>
      <c r="S66" t="s">
        <v>662</v>
      </c>
      <c r="W66">
        <v>66</v>
      </c>
      <c r="X66">
        <v>16</v>
      </c>
    </row>
    <row r="67" spans="1:24" hidden="1" x14ac:dyDescent="0.25">
      <c r="A67">
        <v>85</v>
      </c>
      <c r="B67">
        <v>180</v>
      </c>
      <c r="C67" s="77">
        <v>265.8</v>
      </c>
      <c r="D67" t="s">
        <v>706</v>
      </c>
      <c r="E67">
        <v>1</v>
      </c>
      <c r="F67" t="s">
        <v>634</v>
      </c>
      <c r="G67" s="81">
        <v>100</v>
      </c>
      <c r="H67" t="s">
        <v>633</v>
      </c>
      <c r="I67" s="81">
        <v>165.8</v>
      </c>
      <c r="J67" t="s">
        <v>842</v>
      </c>
      <c r="K67" t="s">
        <v>706</v>
      </c>
      <c r="L67" s="30">
        <v>43073</v>
      </c>
      <c r="M67" t="s">
        <v>843</v>
      </c>
      <c r="N67">
        <v>284</v>
      </c>
      <c r="O67">
        <v>18.2</v>
      </c>
      <c r="Q67" t="s">
        <v>844</v>
      </c>
      <c r="R67" s="73" t="s">
        <v>845</v>
      </c>
      <c r="S67" t="s">
        <v>662</v>
      </c>
    </row>
    <row r="68" spans="1:24" x14ac:dyDescent="0.25">
      <c r="A68">
        <v>56</v>
      </c>
      <c r="B68">
        <v>28</v>
      </c>
      <c r="C68" s="77">
        <v>11958.1</v>
      </c>
      <c r="D68" t="s">
        <v>676</v>
      </c>
      <c r="H68" t="s">
        <v>633</v>
      </c>
      <c r="J68" t="s">
        <v>846</v>
      </c>
      <c r="K68" t="s">
        <v>676</v>
      </c>
      <c r="L68" t="s">
        <v>847</v>
      </c>
      <c r="M68" t="s">
        <v>848</v>
      </c>
      <c r="N68">
        <v>10330</v>
      </c>
      <c r="O68">
        <v>-1628.1</v>
      </c>
      <c r="P68">
        <v>2401.5</v>
      </c>
      <c r="Q68" t="s">
        <v>852</v>
      </c>
      <c r="R68" s="73" t="s">
        <v>853</v>
      </c>
      <c r="S68" t="s">
        <v>662</v>
      </c>
      <c r="W68">
        <v>141</v>
      </c>
      <c r="X68">
        <v>5</v>
      </c>
    </row>
    <row r="69" spans="1:24" hidden="1" x14ac:dyDescent="0.25">
      <c r="A69">
        <v>70</v>
      </c>
      <c r="B69">
        <v>417</v>
      </c>
      <c r="C69" s="77">
        <v>198.2</v>
      </c>
      <c r="D69" t="s">
        <v>792</v>
      </c>
      <c r="E69">
        <v>1</v>
      </c>
      <c r="F69" t="s">
        <v>634</v>
      </c>
      <c r="G69" s="81">
        <v>100</v>
      </c>
      <c r="H69" t="s">
        <v>633</v>
      </c>
      <c r="I69" s="81">
        <v>98.199999999999989</v>
      </c>
      <c r="J69" t="s">
        <v>849</v>
      </c>
      <c r="K69" t="s">
        <v>792</v>
      </c>
      <c r="L69" t="s">
        <v>773</v>
      </c>
      <c r="M69" t="s">
        <v>794</v>
      </c>
      <c r="R69" s="73" t="s">
        <v>795</v>
      </c>
      <c r="S69" t="s">
        <v>674</v>
      </c>
    </row>
    <row r="70" spans="1:24" hidden="1" x14ac:dyDescent="0.25">
      <c r="A70">
        <v>70</v>
      </c>
      <c r="B70">
        <v>418</v>
      </c>
      <c r="C70" s="77">
        <v>402.6</v>
      </c>
      <c r="D70" t="s">
        <v>792</v>
      </c>
      <c r="E70">
        <v>1</v>
      </c>
      <c r="F70" t="s">
        <v>634</v>
      </c>
      <c r="G70" s="81">
        <v>100</v>
      </c>
      <c r="H70" t="s">
        <v>633</v>
      </c>
      <c r="I70" s="81">
        <v>302.60000000000002</v>
      </c>
      <c r="J70" t="s">
        <v>850</v>
      </c>
      <c r="K70" t="s">
        <v>792</v>
      </c>
      <c r="L70" t="s">
        <v>773</v>
      </c>
      <c r="M70" t="s">
        <v>794</v>
      </c>
      <c r="R70" s="73" t="s">
        <v>795</v>
      </c>
      <c r="S70" t="s">
        <v>674</v>
      </c>
    </row>
  </sheetData>
  <autoFilter ref="A1:AB70">
    <filterColumn colId="0">
      <filters>
        <filter val="56"/>
      </filters>
    </filterColumn>
  </autoFilter>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83" t="s">
        <v>630</v>
      </c>
      <c r="B2" s="84"/>
      <c r="C2" s="85" t="s">
        <v>172</v>
      </c>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7"/>
      <c r="BF2" s="88" t="s">
        <v>75</v>
      </c>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90"/>
      <c r="CO2" s="55"/>
      <c r="CP2" s="91" t="s">
        <v>257</v>
      </c>
      <c r="CQ2" s="92"/>
      <c r="CR2" s="92"/>
      <c r="CS2" s="92"/>
      <c r="CT2" s="92"/>
      <c r="CU2" s="92"/>
      <c r="CV2" s="93"/>
      <c r="CW2" s="94" t="s">
        <v>568</v>
      </c>
      <c r="CX2" s="95"/>
      <c r="CY2" s="95"/>
      <c r="CZ2" s="95"/>
      <c r="DA2" s="95"/>
      <c r="DB2" s="95"/>
      <c r="DC2" s="95"/>
      <c r="DD2" s="95"/>
      <c r="DE2" s="95"/>
      <c r="DF2" s="95"/>
      <c r="DG2" s="95"/>
      <c r="DH2" s="95"/>
      <c r="DI2" s="95"/>
      <c r="DJ2" s="95"/>
      <c r="DK2" s="95"/>
      <c r="DL2" s="96"/>
      <c r="DM2" s="97" t="s">
        <v>46</v>
      </c>
      <c r="DN2" s="98"/>
      <c r="DO2" s="98"/>
      <c r="DP2" s="98"/>
      <c r="DQ2" s="98"/>
      <c r="DR2" s="98"/>
      <c r="DS2" s="98"/>
      <c r="DT2" s="98"/>
      <c r="DU2" s="98"/>
      <c r="DV2" s="98"/>
      <c r="DW2" s="98"/>
      <c r="DX2" s="98"/>
      <c r="DY2" s="98"/>
      <c r="DZ2" s="98"/>
      <c r="EA2" s="98"/>
      <c r="EB2" s="98"/>
      <c r="EC2" s="98"/>
      <c r="ED2" s="98"/>
      <c r="EE2" s="98"/>
      <c r="EF2" s="98"/>
      <c r="EG2" s="98"/>
      <c r="EH2" s="98"/>
      <c r="EI2" s="98"/>
      <c r="EJ2" s="98"/>
      <c r="EK2" s="98"/>
      <c r="EL2" s="98"/>
      <c r="EM2" s="98"/>
      <c r="EN2" s="98"/>
      <c r="EO2" s="98"/>
      <c r="EP2" s="98"/>
      <c r="EQ2" s="98"/>
      <c r="ER2" s="98"/>
      <c r="ES2" s="98"/>
      <c r="ET2" s="98"/>
      <c r="EU2" s="98"/>
      <c r="EV2" s="98"/>
      <c r="EW2" s="98"/>
      <c r="EX2" s="98"/>
      <c r="EY2" s="98"/>
      <c r="EZ2" s="98"/>
      <c r="FA2" s="98"/>
      <c r="FB2" s="98"/>
      <c r="FC2" s="82" t="s">
        <v>247</v>
      </c>
      <c r="FD2" s="82"/>
      <c r="FE2" s="82"/>
      <c r="FF2" s="82"/>
      <c r="FG2" s="82"/>
      <c r="FH2" s="82"/>
      <c r="FI2" s="82"/>
      <c r="FJ2" s="82"/>
      <c r="FK2" s="82"/>
      <c r="FL2" s="82"/>
      <c r="FM2" s="82"/>
      <c r="FN2" s="82"/>
      <c r="FO2" s="82"/>
      <c r="FP2" s="82"/>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83" t="s">
        <v>630</v>
      </c>
      <c r="B2" s="84"/>
      <c r="E2" s="100" t="s">
        <v>75</v>
      </c>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2"/>
      <c r="AN2" s="36"/>
      <c r="AO2" s="100" t="s">
        <v>257</v>
      </c>
      <c r="AP2" s="101"/>
      <c r="AQ2" s="101"/>
      <c r="AR2" s="101"/>
      <c r="AS2" s="101"/>
      <c r="AT2" s="101"/>
      <c r="AU2" s="102"/>
      <c r="AV2" s="100" t="s">
        <v>568</v>
      </c>
      <c r="AW2" s="101"/>
      <c r="AX2" s="101"/>
      <c r="AY2" s="101"/>
      <c r="AZ2" s="101"/>
      <c r="BA2" s="101"/>
      <c r="BB2" s="101"/>
      <c r="BC2" s="101"/>
      <c r="BD2" s="101"/>
      <c r="BE2" s="101"/>
      <c r="BF2" s="101"/>
      <c r="BG2" s="101"/>
      <c r="BH2" s="101"/>
      <c r="BI2" s="101"/>
      <c r="BJ2" s="101"/>
      <c r="BK2" s="102"/>
      <c r="BL2" s="103" t="s">
        <v>379</v>
      </c>
      <c r="BM2" s="104"/>
      <c r="BN2" s="104"/>
      <c r="BO2" s="104"/>
      <c r="BP2" s="104"/>
      <c r="BQ2" s="104"/>
      <c r="BR2" s="104"/>
      <c r="BS2" s="104"/>
      <c r="BT2" s="104"/>
      <c r="BU2" s="104"/>
      <c r="BV2" s="104"/>
      <c r="BW2" s="104"/>
      <c r="BX2" s="104"/>
      <c r="BY2" s="104"/>
      <c r="BZ2" s="104"/>
      <c r="CA2" s="104"/>
      <c r="CB2" s="104"/>
      <c r="CC2" s="99" t="s">
        <v>367</v>
      </c>
      <c r="CD2" s="99"/>
      <c r="CE2" s="99"/>
      <c r="CF2" s="99"/>
      <c r="CG2" s="99"/>
      <c r="CH2" s="99"/>
      <c r="CI2" s="99"/>
      <c r="CJ2" s="99"/>
      <c r="CK2" s="99"/>
      <c r="CL2" s="99"/>
      <c r="CM2" s="99"/>
      <c r="CN2" s="99"/>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83" t="s">
        <v>630</v>
      </c>
      <c r="B2" s="84"/>
      <c r="F2" s="105" t="s">
        <v>90</v>
      </c>
      <c r="G2" s="105"/>
      <c r="H2" s="105"/>
      <c r="I2" s="105"/>
      <c r="J2" s="105"/>
      <c r="K2" s="105"/>
      <c r="L2" s="105"/>
      <c r="M2" s="105"/>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06" t="s">
        <v>76</v>
      </c>
      <c r="C2" s="106"/>
      <c r="D2" s="106"/>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07" t="s">
        <v>65</v>
      </c>
    </row>
    <row r="5" spans="2:5" ht="14.25" customHeight="1" x14ac:dyDescent="0.25">
      <c r="B5" s="15">
        <v>0</v>
      </c>
      <c r="C5" s="11" t="s">
        <v>448</v>
      </c>
      <c r="D5" s="11" t="s">
        <v>383</v>
      </c>
      <c r="E5" s="107"/>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07" t="s">
        <v>246</v>
      </c>
    </row>
    <row r="20" spans="2:5" ht="14.25" customHeight="1" x14ac:dyDescent="0.25">
      <c r="B20" s="15">
        <v>15</v>
      </c>
      <c r="C20" s="11" t="s">
        <v>212</v>
      </c>
      <c r="D20" s="11" t="s">
        <v>27</v>
      </c>
      <c r="E20" s="107"/>
    </row>
    <row r="21" spans="2:5" ht="14.25" customHeight="1" x14ac:dyDescent="0.25">
      <c r="B21" s="15">
        <v>16</v>
      </c>
      <c r="C21" s="11" t="s">
        <v>454</v>
      </c>
      <c r="D21" s="11" t="s">
        <v>27</v>
      </c>
      <c r="E21" s="107" t="s">
        <v>451</v>
      </c>
    </row>
    <row r="22" spans="2:5" ht="14.25" customHeight="1" x14ac:dyDescent="0.25">
      <c r="B22" s="15">
        <v>17</v>
      </c>
      <c r="C22" s="11" t="s">
        <v>183</v>
      </c>
      <c r="D22" s="11" t="s">
        <v>383</v>
      </c>
      <c r="E22" s="107"/>
    </row>
    <row r="23" spans="2:5" ht="14.25" customHeight="1" x14ac:dyDescent="0.25">
      <c r="B23" s="15">
        <v>18</v>
      </c>
      <c r="C23" s="11" t="s">
        <v>109</v>
      </c>
      <c r="D23" s="11" t="s">
        <v>27</v>
      </c>
      <c r="E23" s="107"/>
    </row>
    <row r="24" spans="2:5" ht="14.25" customHeight="1" x14ac:dyDescent="0.25">
      <c r="B24" s="15">
        <v>19</v>
      </c>
      <c r="C24" s="11" t="s">
        <v>420</v>
      </c>
      <c r="D24" s="11" t="s">
        <v>27</v>
      </c>
      <c r="E24" s="107"/>
    </row>
    <row r="25" spans="2:5" ht="14.25" customHeight="1" x14ac:dyDescent="0.25">
      <c r="B25" s="15">
        <v>20</v>
      </c>
      <c r="C25" s="11" t="s">
        <v>177</v>
      </c>
      <c r="D25" s="11" t="s">
        <v>27</v>
      </c>
      <c r="E25" s="20" t="s">
        <v>110</v>
      </c>
    </row>
    <row r="26" spans="2:5" ht="14.25" customHeight="1" x14ac:dyDescent="0.25">
      <c r="B26" s="15">
        <v>21</v>
      </c>
      <c r="C26" s="11" t="s">
        <v>520</v>
      </c>
      <c r="D26" s="11" t="s">
        <v>383</v>
      </c>
      <c r="E26" s="107" t="s">
        <v>315</v>
      </c>
    </row>
    <row r="27" spans="2:5" ht="14.25" customHeight="1" x14ac:dyDescent="0.25">
      <c r="B27" s="15">
        <v>22</v>
      </c>
      <c r="C27" s="11" t="s">
        <v>137</v>
      </c>
      <c r="D27" s="11" t="s">
        <v>383</v>
      </c>
      <c r="E27" s="107"/>
    </row>
    <row r="28" spans="2:5" ht="27.75" customHeight="1" x14ac:dyDescent="0.25">
      <c r="B28" s="15">
        <v>23</v>
      </c>
      <c r="C28" s="11" t="s">
        <v>446</v>
      </c>
      <c r="D28" s="11" t="s">
        <v>383</v>
      </c>
      <c r="E28" s="108" t="s">
        <v>469</v>
      </c>
    </row>
    <row r="29" spans="2:5" ht="27.75" customHeight="1" x14ac:dyDescent="0.25">
      <c r="B29" s="15">
        <v>24</v>
      </c>
      <c r="C29" s="11" t="s">
        <v>624</v>
      </c>
      <c r="D29" s="11" t="s">
        <v>383</v>
      </c>
      <c r="E29" s="109"/>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07" t="s">
        <v>457</v>
      </c>
    </row>
    <row r="38" spans="2:5" ht="14.25" customHeight="1" x14ac:dyDescent="0.25">
      <c r="B38" s="15">
        <v>33</v>
      </c>
      <c r="C38" s="11" t="s">
        <v>259</v>
      </c>
      <c r="D38" s="11" t="s">
        <v>27</v>
      </c>
      <c r="E38" s="107"/>
    </row>
    <row r="39" spans="2:5" ht="14.25" customHeight="1" x14ac:dyDescent="0.25">
      <c r="B39" s="15">
        <v>34</v>
      </c>
      <c r="C39" s="11" t="s">
        <v>149</v>
      </c>
      <c r="D39" s="11" t="s">
        <v>383</v>
      </c>
      <c r="E39" s="107"/>
    </row>
    <row r="40" spans="2:5" ht="14.25" customHeight="1" x14ac:dyDescent="0.25">
      <c r="B40" s="15">
        <v>35</v>
      </c>
      <c r="C40" s="11" t="s">
        <v>410</v>
      </c>
      <c r="D40" s="11" t="s">
        <v>383</v>
      </c>
      <c r="E40" s="107"/>
    </row>
    <row r="41" spans="2:5" ht="14.25" customHeight="1" x14ac:dyDescent="0.25">
      <c r="B41" s="15">
        <v>36</v>
      </c>
      <c r="C41" s="11" t="s">
        <v>400</v>
      </c>
      <c r="D41" s="11" t="s">
        <v>27</v>
      </c>
      <c r="E41" s="107"/>
    </row>
    <row r="42" spans="2:5" ht="14.25" customHeight="1" x14ac:dyDescent="0.25">
      <c r="B42" s="15">
        <v>37</v>
      </c>
      <c r="C42" s="11" t="s">
        <v>349</v>
      </c>
      <c r="D42" s="11" t="s">
        <v>27</v>
      </c>
      <c r="E42" s="107"/>
    </row>
    <row r="43" spans="2:5" ht="14.25" customHeight="1" x14ac:dyDescent="0.25">
      <c r="B43" s="15">
        <v>38</v>
      </c>
      <c r="C43" s="11" t="s">
        <v>473</v>
      </c>
      <c r="D43" s="11" t="s">
        <v>27</v>
      </c>
      <c r="E43" s="107"/>
    </row>
    <row r="44" spans="2:5" ht="14.25" customHeight="1" x14ac:dyDescent="0.25">
      <c r="B44" s="15">
        <v>39</v>
      </c>
      <c r="C44" s="11" t="s">
        <v>571</v>
      </c>
      <c r="D44" s="11" t="s">
        <v>27</v>
      </c>
      <c r="E44" s="107" t="s">
        <v>627</v>
      </c>
    </row>
    <row r="45" spans="2:5" ht="14.25" customHeight="1" x14ac:dyDescent="0.25">
      <c r="B45" s="15">
        <v>40</v>
      </c>
      <c r="C45" s="11" t="s">
        <v>466</v>
      </c>
      <c r="D45" s="11" t="s">
        <v>27</v>
      </c>
      <c r="E45" s="107"/>
    </row>
    <row r="46" spans="2:5" ht="14.25" customHeight="1" x14ac:dyDescent="0.25">
      <c r="B46" s="15">
        <v>41</v>
      </c>
      <c r="C46" s="11" t="s">
        <v>504</v>
      </c>
      <c r="D46" s="11" t="s">
        <v>383</v>
      </c>
      <c r="E46" s="107"/>
    </row>
    <row r="47" spans="2:5" ht="14.25" customHeight="1" x14ac:dyDescent="0.25">
      <c r="B47" s="15">
        <v>42</v>
      </c>
      <c r="C47" s="11" t="s">
        <v>516</v>
      </c>
      <c r="D47" s="11" t="s">
        <v>383</v>
      </c>
      <c r="E47" s="107"/>
    </row>
    <row r="48" spans="2:5" ht="14.25" customHeight="1" x14ac:dyDescent="0.25">
      <c r="B48" s="15">
        <v>43</v>
      </c>
      <c r="C48" s="11" t="s">
        <v>303</v>
      </c>
      <c r="D48" s="11"/>
      <c r="E48" s="107"/>
    </row>
    <row r="49" spans="1:5" ht="14.25" customHeight="1" x14ac:dyDescent="0.25">
      <c r="B49" s="15">
        <v>44</v>
      </c>
      <c r="C49" s="11" t="s">
        <v>629</v>
      </c>
      <c r="D49" s="11" t="s">
        <v>27</v>
      </c>
      <c r="E49" s="107"/>
    </row>
    <row r="50" spans="1:5" ht="14.25" customHeight="1" x14ac:dyDescent="0.25">
      <c r="B50" s="15">
        <v>45</v>
      </c>
      <c r="C50" s="11" t="s">
        <v>551</v>
      </c>
      <c r="D50" s="11" t="s">
        <v>27</v>
      </c>
      <c r="E50" s="107"/>
    </row>
    <row r="51" spans="1:5" ht="14.25" customHeight="1" x14ac:dyDescent="0.25">
      <c r="B51" s="15">
        <v>46</v>
      </c>
      <c r="C51" s="11" t="s">
        <v>68</v>
      </c>
      <c r="D51" s="11" t="s">
        <v>27</v>
      </c>
      <c r="E51" s="107" t="s">
        <v>118</v>
      </c>
    </row>
    <row r="52" spans="1:5" ht="14.25" customHeight="1" x14ac:dyDescent="0.25">
      <c r="B52" s="15">
        <v>47</v>
      </c>
      <c r="C52" s="11" t="s">
        <v>15</v>
      </c>
      <c r="D52" s="11" t="s">
        <v>27</v>
      </c>
      <c r="E52" s="107"/>
    </row>
    <row r="53" spans="1:5" ht="14.25" customHeight="1" x14ac:dyDescent="0.25">
      <c r="B53" s="15">
        <v>48</v>
      </c>
      <c r="C53" s="11" t="s">
        <v>415</v>
      </c>
      <c r="D53" s="11" t="s">
        <v>383</v>
      </c>
      <c r="E53" s="107"/>
    </row>
    <row r="54" spans="1:5" ht="14.25" customHeight="1" x14ac:dyDescent="0.25">
      <c r="B54" s="15">
        <v>49</v>
      </c>
      <c r="C54" s="11" t="s">
        <v>508</v>
      </c>
      <c r="D54" s="11" t="s">
        <v>383</v>
      </c>
      <c r="E54" s="107"/>
    </row>
    <row r="55" spans="1:5" ht="14.25" customHeight="1" x14ac:dyDescent="0.25">
      <c r="B55" s="15">
        <v>50</v>
      </c>
      <c r="C55" s="11" t="s">
        <v>6</v>
      </c>
      <c r="D55" s="11"/>
      <c r="E55" s="107"/>
    </row>
    <row r="56" spans="1:5" ht="14.25" customHeight="1" x14ac:dyDescent="0.25">
      <c r="B56" s="15">
        <v>51</v>
      </c>
      <c r="C56" s="11" t="s">
        <v>139</v>
      </c>
      <c r="D56" s="11" t="s">
        <v>27</v>
      </c>
      <c r="E56" s="107"/>
    </row>
    <row r="57" spans="1:5" s="22" customFormat="1" ht="14.25" customHeight="1" x14ac:dyDescent="0.25">
      <c r="A57" s="23"/>
      <c r="B57" s="15">
        <v>52</v>
      </c>
      <c r="C57" s="24" t="s">
        <v>477</v>
      </c>
      <c r="D57" s="24" t="s">
        <v>27</v>
      </c>
      <c r="E57" s="107"/>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08" t="s">
        <v>487</v>
      </c>
    </row>
    <row r="110" spans="2:5" ht="14.25" customHeight="1" x14ac:dyDescent="0.25">
      <c r="B110" s="15">
        <v>105</v>
      </c>
      <c r="C110" s="17" t="s">
        <v>72</v>
      </c>
      <c r="D110" s="11" t="s">
        <v>27</v>
      </c>
      <c r="E110" s="112"/>
    </row>
    <row r="111" spans="2:5" ht="14.25" customHeight="1" x14ac:dyDescent="0.25">
      <c r="B111" s="15">
        <v>106</v>
      </c>
      <c r="C111" s="17" t="s">
        <v>579</v>
      </c>
      <c r="D111" s="11" t="s">
        <v>27</v>
      </c>
      <c r="E111" s="112"/>
    </row>
    <row r="112" spans="2:5" ht="14.25" customHeight="1" x14ac:dyDescent="0.25">
      <c r="B112" s="15">
        <v>107</v>
      </c>
      <c r="C112" s="17" t="s">
        <v>341</v>
      </c>
      <c r="D112" s="11" t="s">
        <v>27</v>
      </c>
      <c r="E112" s="112"/>
    </row>
    <row r="113" spans="2:5" ht="14.25" customHeight="1" x14ac:dyDescent="0.25">
      <c r="B113" s="15">
        <v>108</v>
      </c>
      <c r="C113" s="17" t="s">
        <v>412</v>
      </c>
      <c r="D113" s="11" t="s">
        <v>27</v>
      </c>
      <c r="E113" s="112"/>
    </row>
    <row r="114" spans="2:5" ht="14.25" customHeight="1" x14ac:dyDescent="0.25">
      <c r="B114" s="15">
        <v>109</v>
      </c>
      <c r="C114" s="17" t="s">
        <v>89</v>
      </c>
      <c r="D114" s="11" t="s">
        <v>27</v>
      </c>
      <c r="E114" s="112"/>
    </row>
    <row r="115" spans="2:5" ht="14.25" customHeight="1" x14ac:dyDescent="0.25">
      <c r="B115" s="15">
        <v>110</v>
      </c>
      <c r="C115" s="17" t="s">
        <v>460</v>
      </c>
      <c r="D115" s="11" t="s">
        <v>27</v>
      </c>
      <c r="E115" s="112"/>
    </row>
    <row r="116" spans="2:5" ht="14.25" customHeight="1" x14ac:dyDescent="0.25">
      <c r="B116" s="15">
        <v>111</v>
      </c>
      <c r="C116" s="17" t="s">
        <v>222</v>
      </c>
      <c r="D116" s="11" t="s">
        <v>27</v>
      </c>
      <c r="E116" s="112"/>
    </row>
    <row r="117" spans="2:5" ht="14.25" customHeight="1" x14ac:dyDescent="0.25">
      <c r="B117" s="15">
        <v>112</v>
      </c>
      <c r="C117" s="17" t="s">
        <v>595</v>
      </c>
      <c r="D117" s="11" t="s">
        <v>492</v>
      </c>
      <c r="E117" s="112"/>
    </row>
    <row r="118" spans="2:5" ht="14.25" customHeight="1" x14ac:dyDescent="0.25">
      <c r="B118" s="15">
        <v>113</v>
      </c>
      <c r="C118" s="17" t="s">
        <v>563</v>
      </c>
      <c r="D118" s="11" t="s">
        <v>510</v>
      </c>
      <c r="E118" s="112"/>
    </row>
    <row r="119" spans="2:5" ht="14.25" customHeight="1" x14ac:dyDescent="0.25">
      <c r="B119" s="15">
        <v>114</v>
      </c>
      <c r="C119" s="17" t="s">
        <v>292</v>
      </c>
      <c r="D119" s="11" t="s">
        <v>327</v>
      </c>
      <c r="E119" s="112"/>
    </row>
    <row r="120" spans="2:5" ht="14.25" customHeight="1" x14ac:dyDescent="0.25">
      <c r="B120" s="15">
        <v>115</v>
      </c>
      <c r="C120" s="17" t="s">
        <v>501</v>
      </c>
      <c r="D120" s="11" t="s">
        <v>27</v>
      </c>
      <c r="E120" s="112"/>
    </row>
    <row r="121" spans="2:5" ht="14.25" customHeight="1" x14ac:dyDescent="0.25">
      <c r="B121" s="15">
        <v>116</v>
      </c>
      <c r="C121" s="17" t="s">
        <v>281</v>
      </c>
      <c r="D121" s="11" t="s">
        <v>27</v>
      </c>
      <c r="E121" s="112"/>
    </row>
    <row r="122" spans="2:5" ht="14.25" customHeight="1" x14ac:dyDescent="0.25">
      <c r="B122" s="15">
        <v>117</v>
      </c>
      <c r="C122" s="17" t="s">
        <v>170</v>
      </c>
      <c r="D122" s="11" t="s">
        <v>408</v>
      </c>
      <c r="E122" s="112"/>
    </row>
    <row r="123" spans="2:5" ht="14.25" customHeight="1" x14ac:dyDescent="0.25">
      <c r="B123" s="15">
        <v>118</v>
      </c>
      <c r="C123" s="17" t="s">
        <v>325</v>
      </c>
      <c r="D123" s="11" t="s">
        <v>27</v>
      </c>
      <c r="E123" s="112"/>
    </row>
    <row r="124" spans="2:5" ht="14.25" customHeight="1" x14ac:dyDescent="0.25">
      <c r="B124" s="15">
        <v>119</v>
      </c>
      <c r="C124" s="17" t="s">
        <v>608</v>
      </c>
      <c r="D124" s="11" t="s">
        <v>27</v>
      </c>
      <c r="E124" s="112"/>
    </row>
    <row r="125" spans="2:5" ht="14.25" customHeight="1" x14ac:dyDescent="0.25">
      <c r="B125" s="15">
        <v>120</v>
      </c>
      <c r="C125" s="17" t="s">
        <v>224</v>
      </c>
      <c r="D125" s="11" t="s">
        <v>27</v>
      </c>
      <c r="E125" s="112"/>
    </row>
    <row r="126" spans="2:5" ht="14.25" customHeight="1" x14ac:dyDescent="0.25">
      <c r="B126" s="15">
        <v>121</v>
      </c>
      <c r="C126" s="17" t="s">
        <v>324</v>
      </c>
      <c r="D126" s="11" t="s">
        <v>327</v>
      </c>
      <c r="E126" s="112"/>
    </row>
    <row r="127" spans="2:5" ht="14.25" customHeight="1" x14ac:dyDescent="0.25">
      <c r="B127" s="15">
        <v>122</v>
      </c>
      <c r="C127" s="17" t="s">
        <v>501</v>
      </c>
      <c r="D127" s="11" t="s">
        <v>27</v>
      </c>
      <c r="E127" s="112"/>
    </row>
    <row r="128" spans="2:5" ht="14.25" customHeight="1" x14ac:dyDescent="0.25">
      <c r="B128" s="15">
        <v>123</v>
      </c>
      <c r="C128" s="17" t="s">
        <v>104</v>
      </c>
      <c r="D128" s="11" t="s">
        <v>27</v>
      </c>
      <c r="E128" s="112"/>
    </row>
    <row r="129" spans="2:5" ht="14.25" customHeight="1" x14ac:dyDescent="0.25">
      <c r="B129" s="15">
        <v>124</v>
      </c>
      <c r="C129" s="17" t="s">
        <v>170</v>
      </c>
      <c r="D129" s="11" t="s">
        <v>408</v>
      </c>
      <c r="E129" s="112"/>
    </row>
    <row r="130" spans="2:5" ht="14.25" customHeight="1" x14ac:dyDescent="0.25">
      <c r="B130" s="15">
        <v>125</v>
      </c>
      <c r="C130" s="17" t="s">
        <v>325</v>
      </c>
      <c r="D130" s="11" t="s">
        <v>27</v>
      </c>
      <c r="E130" s="112"/>
    </row>
    <row r="131" spans="2:5" ht="14.25" customHeight="1" x14ac:dyDescent="0.25">
      <c r="B131" s="15">
        <v>126</v>
      </c>
      <c r="C131" s="17" t="s">
        <v>608</v>
      </c>
      <c r="D131" s="11" t="s">
        <v>27</v>
      </c>
      <c r="E131" s="112"/>
    </row>
    <row r="132" spans="2:5" ht="14.25" customHeight="1" x14ac:dyDescent="0.25">
      <c r="B132" s="15">
        <v>127</v>
      </c>
      <c r="C132" s="17" t="s">
        <v>94</v>
      </c>
      <c r="D132" s="11" t="s">
        <v>173</v>
      </c>
      <c r="E132" s="112"/>
    </row>
    <row r="133" spans="2:5" ht="14.25" customHeight="1" x14ac:dyDescent="0.25">
      <c r="B133" s="15">
        <v>128</v>
      </c>
      <c r="C133" s="17" t="s">
        <v>432</v>
      </c>
      <c r="D133" s="11" t="s">
        <v>27</v>
      </c>
      <c r="E133" s="112"/>
    </row>
    <row r="134" spans="2:5" ht="14.25" customHeight="1" x14ac:dyDescent="0.25">
      <c r="B134" s="15">
        <v>129</v>
      </c>
      <c r="C134" s="17" t="s">
        <v>189</v>
      </c>
      <c r="D134" s="11" t="s">
        <v>27</v>
      </c>
      <c r="E134" s="112"/>
    </row>
    <row r="135" spans="2:5" ht="14.25" customHeight="1" x14ac:dyDescent="0.25">
      <c r="B135" s="15">
        <v>130</v>
      </c>
      <c r="C135" s="17" t="s">
        <v>271</v>
      </c>
      <c r="D135" s="11" t="s">
        <v>27</v>
      </c>
      <c r="E135" s="112"/>
    </row>
    <row r="136" spans="2:5" ht="14.25" customHeight="1" x14ac:dyDescent="0.25">
      <c r="B136" s="15">
        <v>131</v>
      </c>
      <c r="C136" s="17" t="s">
        <v>565</v>
      </c>
      <c r="D136" s="11" t="s">
        <v>27</v>
      </c>
      <c r="E136" s="112"/>
    </row>
    <row r="137" spans="2:5" ht="14.25" customHeight="1" x14ac:dyDescent="0.25">
      <c r="B137" s="15">
        <v>132</v>
      </c>
      <c r="C137" s="17" t="s">
        <v>48</v>
      </c>
      <c r="D137" s="11" t="s">
        <v>27</v>
      </c>
      <c r="E137" s="112"/>
    </row>
    <row r="138" spans="2:5" ht="14.25" customHeight="1" x14ac:dyDescent="0.25">
      <c r="B138" s="15">
        <v>133</v>
      </c>
      <c r="C138" s="17" t="s">
        <v>456</v>
      </c>
      <c r="D138" s="17" t="s">
        <v>383</v>
      </c>
      <c r="E138" s="112"/>
    </row>
    <row r="139" spans="2:5" ht="14.25" customHeight="1" x14ac:dyDescent="0.25">
      <c r="B139" s="15">
        <v>134</v>
      </c>
      <c r="C139" s="17" t="s">
        <v>114</v>
      </c>
      <c r="D139" s="17" t="s">
        <v>27</v>
      </c>
      <c r="E139" s="112"/>
    </row>
    <row r="140" spans="2:5" ht="14.25" customHeight="1" x14ac:dyDescent="0.25">
      <c r="B140" s="15">
        <v>135</v>
      </c>
      <c r="C140" s="17" t="s">
        <v>297</v>
      </c>
      <c r="D140" s="17" t="s">
        <v>27</v>
      </c>
      <c r="E140" s="112"/>
    </row>
    <row r="141" spans="2:5" ht="14.25" customHeight="1" x14ac:dyDescent="0.25">
      <c r="B141" s="15">
        <v>136</v>
      </c>
      <c r="C141" s="17" t="s">
        <v>354</v>
      </c>
      <c r="D141" s="17" t="s">
        <v>27</v>
      </c>
      <c r="E141" s="112"/>
    </row>
    <row r="142" spans="2:5" ht="14.25" customHeight="1" x14ac:dyDescent="0.25">
      <c r="B142" s="15">
        <v>137</v>
      </c>
      <c r="C142" s="17" t="s">
        <v>51</v>
      </c>
      <c r="D142" s="17" t="s">
        <v>27</v>
      </c>
      <c r="E142" s="112"/>
    </row>
    <row r="143" spans="2:5" ht="14.25" customHeight="1" x14ac:dyDescent="0.25">
      <c r="B143" s="15">
        <v>138</v>
      </c>
      <c r="C143" s="17" t="s">
        <v>411</v>
      </c>
      <c r="D143" s="17" t="s">
        <v>383</v>
      </c>
      <c r="E143" s="112"/>
    </row>
    <row r="144" spans="2:5" ht="14.25" customHeight="1" x14ac:dyDescent="0.25">
      <c r="B144" s="15">
        <v>139</v>
      </c>
      <c r="C144" s="17" t="s">
        <v>113</v>
      </c>
      <c r="D144" s="17" t="s">
        <v>27</v>
      </c>
      <c r="E144" s="112"/>
    </row>
    <row r="145" spans="2:5" ht="14.25" customHeight="1" x14ac:dyDescent="0.25">
      <c r="B145" s="15">
        <v>140</v>
      </c>
      <c r="C145" s="17" t="s">
        <v>473</v>
      </c>
      <c r="D145" s="17" t="s">
        <v>27</v>
      </c>
      <c r="E145" s="112"/>
    </row>
    <row r="146" spans="2:5" ht="14.25" customHeight="1" x14ac:dyDescent="0.25">
      <c r="B146" s="15">
        <v>141</v>
      </c>
      <c r="C146" s="17" t="s">
        <v>559</v>
      </c>
      <c r="D146" s="17" t="s">
        <v>27</v>
      </c>
      <c r="E146" s="112"/>
    </row>
    <row r="147" spans="2:5" ht="14.25" customHeight="1" x14ac:dyDescent="0.25">
      <c r="B147" s="15">
        <v>142</v>
      </c>
      <c r="C147" s="17" t="s">
        <v>50</v>
      </c>
      <c r="D147" s="17" t="s">
        <v>27</v>
      </c>
      <c r="E147" s="112"/>
    </row>
    <row r="148" spans="2:5" ht="14.25" customHeight="1" x14ac:dyDescent="0.25">
      <c r="B148" s="15">
        <v>143</v>
      </c>
      <c r="C148" s="17" t="s">
        <v>206</v>
      </c>
      <c r="D148" s="17" t="s">
        <v>383</v>
      </c>
      <c r="E148" s="112"/>
    </row>
    <row r="149" spans="2:5" ht="14.25" customHeight="1" x14ac:dyDescent="0.25">
      <c r="B149" s="15">
        <v>144</v>
      </c>
      <c r="C149" s="17" t="s">
        <v>88</v>
      </c>
      <c r="D149" s="17" t="s">
        <v>27</v>
      </c>
      <c r="E149" s="112"/>
    </row>
    <row r="150" spans="2:5" ht="14.25" customHeight="1" x14ac:dyDescent="0.25">
      <c r="B150" s="15">
        <v>145</v>
      </c>
      <c r="C150" s="17" t="s">
        <v>517</v>
      </c>
      <c r="D150" s="17" t="s">
        <v>27</v>
      </c>
      <c r="E150" s="109"/>
    </row>
    <row r="151" spans="2:5" ht="14.25" customHeight="1" x14ac:dyDescent="0.25">
      <c r="B151" s="15">
        <v>146</v>
      </c>
      <c r="C151" s="17" t="s">
        <v>506</v>
      </c>
      <c r="D151" s="17" t="s">
        <v>383</v>
      </c>
      <c r="E151" s="113" t="s">
        <v>484</v>
      </c>
    </row>
    <row r="152" spans="2:5" ht="14.25" customHeight="1" x14ac:dyDescent="0.25">
      <c r="B152" s="15">
        <v>147</v>
      </c>
      <c r="C152" s="11" t="s">
        <v>614</v>
      </c>
      <c r="D152" s="17" t="s">
        <v>27</v>
      </c>
      <c r="E152" s="113"/>
    </row>
    <row r="153" spans="2:5" ht="14.25" customHeight="1" x14ac:dyDescent="0.25">
      <c r="B153" s="15">
        <v>148</v>
      </c>
      <c r="C153" s="11" t="s">
        <v>148</v>
      </c>
      <c r="D153" s="17" t="s">
        <v>383</v>
      </c>
      <c r="E153" s="113"/>
    </row>
    <row r="154" spans="2:5" ht="14.25" customHeight="1" x14ac:dyDescent="0.25">
      <c r="B154" s="15">
        <v>149</v>
      </c>
      <c r="C154" s="11" t="s">
        <v>37</v>
      </c>
      <c r="D154" s="17" t="s">
        <v>383</v>
      </c>
      <c r="E154" s="113"/>
    </row>
    <row r="155" spans="2:5" ht="14.25" customHeight="1" x14ac:dyDescent="0.25">
      <c r="B155" s="15">
        <v>150</v>
      </c>
      <c r="C155" s="11" t="s">
        <v>521</v>
      </c>
      <c r="D155" s="17" t="s">
        <v>383</v>
      </c>
      <c r="E155" s="113"/>
    </row>
    <row r="156" spans="2:5" ht="14.25" customHeight="1" x14ac:dyDescent="0.25">
      <c r="B156" s="15">
        <v>151</v>
      </c>
      <c r="C156" s="11" t="s">
        <v>491</v>
      </c>
      <c r="D156" s="17" t="s">
        <v>27</v>
      </c>
      <c r="E156" s="113"/>
    </row>
    <row r="157" spans="2:5" ht="14.25" customHeight="1" x14ac:dyDescent="0.25">
      <c r="B157" s="15">
        <v>152</v>
      </c>
      <c r="C157" s="11" t="s">
        <v>625</v>
      </c>
      <c r="D157" s="17" t="s">
        <v>27</v>
      </c>
      <c r="E157" s="113"/>
    </row>
    <row r="158" spans="2:5" ht="14.25" customHeight="1" x14ac:dyDescent="0.25">
      <c r="B158" s="15">
        <v>153</v>
      </c>
      <c r="C158" s="11" t="s">
        <v>184</v>
      </c>
      <c r="D158" s="17" t="s">
        <v>27</v>
      </c>
      <c r="E158" s="113"/>
    </row>
    <row r="159" spans="2:5" ht="14.25" customHeight="1" x14ac:dyDescent="0.25">
      <c r="B159" s="15">
        <v>154</v>
      </c>
      <c r="C159" s="11" t="s">
        <v>176</v>
      </c>
      <c r="D159" s="17" t="s">
        <v>27</v>
      </c>
      <c r="E159" s="113"/>
    </row>
    <row r="160" spans="2:5" ht="14.25" customHeight="1" x14ac:dyDescent="0.25">
      <c r="B160" s="15">
        <v>155</v>
      </c>
      <c r="C160" s="11" t="s">
        <v>309</v>
      </c>
      <c r="D160" s="11" t="s">
        <v>27</v>
      </c>
      <c r="E160" s="113"/>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10" t="s">
        <v>102</v>
      </c>
    </row>
    <row r="190" spans="2:5" ht="14.25" customHeight="1" x14ac:dyDescent="0.25">
      <c r="B190" s="32">
        <v>185</v>
      </c>
      <c r="C190" s="11" t="s">
        <v>213</v>
      </c>
      <c r="D190" s="11" t="s">
        <v>566</v>
      </c>
      <c r="E190" s="111"/>
    </row>
    <row r="191" spans="2:5" ht="14.25" customHeight="1" x14ac:dyDescent="0.25">
      <c r="B191" s="32">
        <v>186</v>
      </c>
      <c r="C191" s="11" t="s">
        <v>364</v>
      </c>
      <c r="D191" s="11" t="s">
        <v>327</v>
      </c>
      <c r="E191" s="111"/>
    </row>
    <row r="192" spans="2:5" ht="14.25" customHeight="1" x14ac:dyDescent="0.25">
      <c r="B192" s="32">
        <v>187</v>
      </c>
      <c r="C192" s="11" t="s">
        <v>260</v>
      </c>
      <c r="D192" s="11" t="s">
        <v>27</v>
      </c>
      <c r="E192" s="111"/>
    </row>
    <row r="193" spans="2:5" ht="14.25" customHeight="1" x14ac:dyDescent="0.25">
      <c r="B193" s="32">
        <v>188</v>
      </c>
      <c r="C193" s="11" t="s">
        <v>419</v>
      </c>
      <c r="D193" s="11" t="s">
        <v>566</v>
      </c>
      <c r="E193" s="111"/>
    </row>
    <row r="194" spans="2:5" ht="14.25" customHeight="1" x14ac:dyDescent="0.25">
      <c r="B194" s="32">
        <v>189</v>
      </c>
      <c r="C194" s="11" t="s">
        <v>622</v>
      </c>
      <c r="D194" s="11" t="s">
        <v>327</v>
      </c>
      <c r="E194" s="111"/>
    </row>
    <row r="195" spans="2:5" ht="14.25" customHeight="1" x14ac:dyDescent="0.25">
      <c r="B195" s="32">
        <v>190</v>
      </c>
      <c r="C195" s="11" t="s">
        <v>562</v>
      </c>
      <c r="D195" s="11" t="s">
        <v>27</v>
      </c>
      <c r="E195" s="111"/>
    </row>
    <row r="196" spans="2:5" ht="14.25" customHeight="1" x14ac:dyDescent="0.25">
      <c r="B196" s="32">
        <v>191</v>
      </c>
      <c r="C196" s="11" t="s">
        <v>461</v>
      </c>
      <c r="D196" s="11" t="s">
        <v>566</v>
      </c>
      <c r="E196" s="111"/>
    </row>
    <row r="197" spans="2:5" ht="14.25" customHeight="1" x14ac:dyDescent="0.25">
      <c r="B197" s="32">
        <v>192</v>
      </c>
      <c r="C197" s="11" t="s">
        <v>321</v>
      </c>
      <c r="D197" s="11" t="s">
        <v>327</v>
      </c>
      <c r="E197" s="111"/>
    </row>
  </sheetData>
  <mergeCells count="11">
    <mergeCell ref="E4:E5"/>
    <mergeCell ref="E19:E20"/>
    <mergeCell ref="E21:E24"/>
    <mergeCell ref="E26:E27"/>
    <mergeCell ref="E37:E43"/>
    <mergeCell ref="E44:E50"/>
    <mergeCell ref="E51:E57"/>
    <mergeCell ref="E28:E29"/>
    <mergeCell ref="E189:E197"/>
    <mergeCell ref="E109:E150"/>
    <mergeCell ref="E151:E160"/>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2024-04-11T02:28:04Z</dcterms:modified>
</cp:coreProperties>
</file>