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KeKhaiDangKy" sheetId="1" r:id="rId2"/>
    <sheet name="KeKhaiCanHo" sheetId="2" r:id="rId3"/>
    <sheet name="TaiSan" sheetId="3" r:id="rId4"/>
    <sheet name="NVTC_HCQ" sheetId="4" r:id="rId5"/>
    <sheet name="NoiDungThayDoi" sheetId="5" r:id="rId6"/>
    <sheet name="HuongDan" sheetId="6" r:id="rId7"/>
  </sheet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<sst xmlns="http://schemas.openxmlformats.org/spreadsheetml/2006/main" count="1830" uniqueCount="797">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</sst>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S57"/>
  <sheetViews>
    <sheetView tabSelected="1" workbookViewId="0">
      <pane xSplit="7" ySplit="12" topLeftCell="H52" activePane="bottomRight" state="frozen"/>
      <selection pane="topRight" activeCell="H1" sqref="H1"/>
      <selection pane="bottomLeft" activeCell="A13" sqref="A13"/>
      <selection pane="bottomRight" activeCell="A57" sqref="A57"/>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19"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row>
    <row r="2" spans="1:19" s="2" customFormat="1" ht="15.75" x14ac:dyDescent="0.25">
      <c r="A2" s="1">
        <v>1</v>
      </c>
      <c r="B2" s="1">
        <v>2</v>
      </c>
      <c r="C2" s="75">
        <v>4</v>
      </c>
      <c r="D2" s="1">
        <v>8</v>
      </c>
      <c r="E2" s="1">
        <v>12</v>
      </c>
      <c r="F2" s="1">
        <v>26</v>
      </c>
      <c r="G2" s="79">
        <v>28</v>
      </c>
      <c r="H2" s="1">
        <v>33</v>
      </c>
      <c r="I2" s="79">
        <v>35</v>
      </c>
      <c r="J2" s="1">
        <v>59</v>
      </c>
      <c r="K2" s="1">
        <v>67</v>
      </c>
      <c r="L2" s="1">
        <v>101</v>
      </c>
      <c r="M2" s="1">
        <v>104</v>
      </c>
    </row>
    <row r="3" spans="1:19" s="2" customFormat="1" ht="15.75" x14ac:dyDescent="0.25">
      <c r="A3" s="72">
        <v>3</v>
      </c>
      <c r="B3" s="72">
        <v>4</v>
      </c>
      <c r="C3" s="76">
        <v>6</v>
      </c>
      <c r="D3" s="72">
        <v>10</v>
      </c>
      <c r="E3" s="72">
        <v>14</v>
      </c>
      <c r="F3" s="72">
        <v>28</v>
      </c>
      <c r="G3" s="80">
        <v>30</v>
      </c>
      <c r="H3" s="72">
        <v>35</v>
      </c>
      <c r="I3" s="80">
        <v>37</v>
      </c>
      <c r="J3" s="72">
        <v>61</v>
      </c>
      <c r="K3" s="72">
        <v>69</v>
      </c>
      <c r="L3" s="72"/>
      <c r="M3" s="2">
        <v>106</v>
      </c>
    </row>
    <row r="4" spans="1:19" x14ac:dyDescent="0.25">
      <c r="A4" t="s">
        <v>91</v>
      </c>
      <c r="B4" t="s">
        <v>238</v>
      </c>
      <c r="C4" s="77" t="s">
        <v>17</v>
      </c>
      <c r="D4" t="s">
        <v>632</v>
      </c>
      <c r="E4">
        <v>1</v>
      </c>
      <c r="F4" t="s">
        <v>634</v>
      </c>
      <c r="G4" s="81">
        <v>200</v>
      </c>
      <c r="H4" t="s">
        <v>633</v>
      </c>
      <c r="I4" s="81">
        <f t="shared" ref="I4:I17" si="0">C4-G4</f>
        <v>468.29999999999995</v>
      </c>
      <c r="J4" t="s">
        <v>635</v>
      </c>
      <c r="K4" t="s">
        <v>632</v>
      </c>
    </row>
    <row r="5" spans="1:19" x14ac:dyDescent="0.25">
      <c r="A5" t="s">
        <v>91</v>
      </c>
      <c r="B5" t="s">
        <v>414</v>
      </c>
      <c r="C5" s="77" t="s">
        <v>215</v>
      </c>
      <c r="D5" t="s">
        <v>632</v>
      </c>
      <c r="E5">
        <v>1</v>
      </c>
      <c r="F5" t="s">
        <v>634</v>
      </c>
      <c r="G5" s="81">
        <v>70</v>
      </c>
      <c r="H5" t="s">
        <v>633</v>
      </c>
      <c r="I5" s="81">
        <f t="shared" si="0"/>
        <v>102</v>
      </c>
      <c r="J5" t="s">
        <v>635</v>
      </c>
      <c r="K5" t="s">
        <v>632</v>
      </c>
    </row>
    <row r="6" spans="1:19" x14ac:dyDescent="0.25">
      <c r="A6" t="s">
        <v>91</v>
      </c>
      <c r="B6" t="s">
        <v>626</v>
      </c>
      <c r="C6" s="77" t="s">
        <v>163</v>
      </c>
      <c r="D6" t="s">
        <v>632</v>
      </c>
      <c r="E6">
        <v>1</v>
      </c>
      <c r="F6" t="s">
        <v>634</v>
      </c>
      <c r="G6" s="81">
        <v>70</v>
      </c>
      <c r="H6" t="s">
        <v>633</v>
      </c>
      <c r="I6" s="81">
        <f t="shared" si="0"/>
        <v>103.80000000000001</v>
      </c>
      <c r="J6" t="s">
        <v>635</v>
      </c>
      <c r="K6" t="s">
        <v>632</v>
      </c>
    </row>
    <row r="7" spans="1:19" x14ac:dyDescent="0.25">
      <c r="A7" t="s">
        <v>91</v>
      </c>
      <c r="B7" t="s">
        <v>124</v>
      </c>
      <c r="C7" s="77" t="s">
        <v>106</v>
      </c>
      <c r="D7" t="s">
        <v>636</v>
      </c>
      <c r="E7">
        <v>1</v>
      </c>
      <c r="F7" t="s">
        <v>634</v>
      </c>
      <c r="G7" s="81">
        <v>70</v>
      </c>
      <c r="H7" t="s">
        <v>633</v>
      </c>
      <c r="I7" s="81">
        <f t="shared" si="0"/>
        <v>105.69999999999999</v>
      </c>
      <c r="J7" t="s">
        <v>635</v>
      </c>
      <c r="K7" t="s">
        <v>632</v>
      </c>
    </row>
    <row r="8" spans="1:19" x14ac:dyDescent="0.25">
      <c r="A8">
        <v>78</v>
      </c>
      <c r="B8">
        <v>32</v>
      </c>
      <c r="C8" s="77">
        <v>4240.6000000000004</v>
      </c>
      <c r="D8" t="s">
        <v>632</v>
      </c>
      <c r="E8">
        <v>1</v>
      </c>
      <c r="F8" t="s">
        <v>634</v>
      </c>
      <c r="G8" s="81">
        <v>300</v>
      </c>
      <c r="H8" t="s">
        <v>633</v>
      </c>
      <c r="I8" s="81">
        <f t="shared" si="0"/>
        <v>3940.6000000000004</v>
      </c>
      <c r="J8" t="s">
        <v>637</v>
      </c>
      <c r="K8" t="s">
        <v>632</v>
      </c>
    </row>
    <row r="9" spans="1:19" x14ac:dyDescent="0.25">
      <c r="A9">
        <v>85</v>
      </c>
      <c r="B9">
        <v>369</v>
      </c>
      <c r="C9" s="77">
        <v>313.3</v>
      </c>
      <c r="D9" t="s">
        <v>638</v>
      </c>
      <c r="E9">
        <v>1</v>
      </c>
      <c r="F9" t="s">
        <v>634</v>
      </c>
      <c r="G9" s="81">
        <v>50</v>
      </c>
      <c r="H9" t="s">
        <v>633</v>
      </c>
      <c r="I9" s="81">
        <f t="shared" si="0"/>
        <v>263.3</v>
      </c>
      <c r="J9" t="s">
        <v>639</v>
      </c>
      <c r="K9" t="s">
        <v>641</v>
      </c>
    </row>
    <row r="10" spans="1:19" x14ac:dyDescent="0.25">
      <c r="A10">
        <v>85</v>
      </c>
      <c r="B10">
        <v>370</v>
      </c>
      <c r="C10" s="77">
        <v>308.5</v>
      </c>
      <c r="D10" t="s">
        <v>638</v>
      </c>
      <c r="E10">
        <v>1</v>
      </c>
      <c r="F10" t="s">
        <v>634</v>
      </c>
      <c r="G10" s="81">
        <v>100</v>
      </c>
      <c r="H10" t="s">
        <v>633</v>
      </c>
      <c r="I10" s="81">
        <f t="shared" si="0"/>
        <v>208.5</v>
      </c>
      <c r="J10" t="s">
        <v>640</v>
      </c>
      <c r="K10" t="s">
        <v>641</v>
      </c>
    </row>
    <row r="11" spans="1:19" x14ac:dyDescent="0.25">
      <c r="A11">
        <v>68</v>
      </c>
      <c r="B11">
        <v>364</v>
      </c>
      <c r="C11" s="77">
        <v>104.9</v>
      </c>
      <c r="D11" t="s">
        <v>641</v>
      </c>
      <c r="E11">
        <v>1</v>
      </c>
      <c r="F11" t="s">
        <v>634</v>
      </c>
      <c r="G11" s="81">
        <v>0</v>
      </c>
      <c r="H11" t="s">
        <v>633</v>
      </c>
      <c r="I11" s="81">
        <f t="shared" si="0"/>
        <v>104.9</v>
      </c>
      <c r="J11" t="s">
        <v>642</v>
      </c>
      <c r="K11" t="s">
        <v>641</v>
      </c>
    </row>
    <row r="12" spans="1:19"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19"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19" x14ac:dyDescent="0.25">
      <c r="A14">
        <v>76</v>
      </c>
      <c r="B14">
        <v>304</v>
      </c>
      <c r="C14" s="77">
        <v>267.89999999999998</v>
      </c>
      <c r="D14" t="s">
        <v>644</v>
      </c>
      <c r="E14">
        <v>1</v>
      </c>
      <c r="F14" t="s">
        <v>634</v>
      </c>
      <c r="G14" s="81">
        <v>50</v>
      </c>
      <c r="H14" t="s">
        <v>633</v>
      </c>
      <c r="I14" s="81">
        <f t="shared" si="0"/>
        <v>217.89999999999998</v>
      </c>
      <c r="J14" t="s">
        <v>645</v>
      </c>
      <c r="K14" t="s">
        <v>644</v>
      </c>
    </row>
    <row r="15" spans="1:19" x14ac:dyDescent="0.25">
      <c r="A15">
        <v>75</v>
      </c>
      <c r="B15">
        <v>392</v>
      </c>
      <c r="C15" s="77">
        <v>165.2</v>
      </c>
      <c r="D15" t="s">
        <v>644</v>
      </c>
      <c r="E15">
        <v>1</v>
      </c>
      <c r="F15" t="s">
        <v>634</v>
      </c>
      <c r="G15" s="81">
        <v>40</v>
      </c>
      <c r="H15" t="s">
        <v>633</v>
      </c>
      <c r="I15" s="81">
        <f t="shared" si="0"/>
        <v>125.19999999999999</v>
      </c>
      <c r="J15" t="s">
        <v>646</v>
      </c>
      <c r="K15" t="s">
        <v>644</v>
      </c>
    </row>
    <row r="16" spans="1:19"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19"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19"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19"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19"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19"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19"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19"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19"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19"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NHAP</vt:lpstr>
      <vt:lpstr>KeKhaiDangKy</vt:lpstr>
      <vt:lpstr>KeKhaiCanHo</vt:lpstr>
      <vt:lpstr>TaiSan</vt:lpstr>
      <vt:lpstr>NVTC_HCQ</vt:lpstr>
      <vt:lpstr>NoiDungThayDoi</vt:lpstr>
      <vt:lpstr>HuongDan</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2024-03-27T03:29:11Z</dcterms:modified>
</cp:coreProperties>
</file>