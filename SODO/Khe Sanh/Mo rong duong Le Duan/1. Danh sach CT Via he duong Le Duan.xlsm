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DS" sheetId="4" r:id="rId1"/>
    <sheet name="TongHop" sheetId="9" r:id="rId2"/>
  </sheets>
  <externalReferences>
    <externalReference r:id="rId3"/>
    <externalReference r:id="rId4"/>
  </externalReferences>
  <definedNames>
    <definedName name="_Fill" hidden="1">#REF!</definedName>
    <definedName name="_xlnm._FilterDatabase" localSheetId="0" hidden="1">DS!$A$5:$R$12</definedName>
    <definedName name="Active">[1]CAPLAI!$A$1</definedName>
    <definedName name="ADDRESS">[1]CAPLAI!$C$5</definedName>
    <definedName name="BD">[1]CAPLAI!$G$9</definedName>
    <definedName name="BD97TH">#REF!</definedName>
    <definedName name="boloc">#REF!</definedName>
    <definedName name="BX">#REF!</definedName>
    <definedName name="CMND">[1]CAPLAI!$C$7</definedName>
    <definedName name="dong1">#REF!</definedName>
    <definedName name="GCN">[1]CAPLAI!$J$5</definedName>
    <definedName name="GCNC">[1]CAPLAI!$K$5</definedName>
    <definedName name="kihieumahs">#REF!</definedName>
    <definedName name="kyho">#REF!</definedName>
    <definedName name="lbox1">#REF!</definedName>
    <definedName name="lbox2">#REF!</definedName>
    <definedName name="list05">#REF!</definedName>
    <definedName name="list1">#REF!</definedName>
    <definedName name="list1cuaprofile">#REF!</definedName>
    <definedName name="LIST3">#REF!</definedName>
    <definedName name="LIST4">#REF!</definedName>
    <definedName name="LIST5">#REF!</definedName>
    <definedName name="listdon">#REF!</definedName>
    <definedName name="listhoso">#REF!</definedName>
    <definedName name="listmaptong">#REF!</definedName>
    <definedName name="listprofile">#REF!</definedName>
    <definedName name="listttqdtk">#REF!</definedName>
    <definedName name="LNC">[1]CAPLAI!$K$6</definedName>
    <definedName name="LoaiDoiTuongSuDung">[2]DanhMuc!$B$4:$B$22</definedName>
    <definedName name="LoaiMucDichSuDungDat">[2]DanhMuc!$F$3:$F$83</definedName>
    <definedName name="LoaiNguonGocSuDung">[2]DanhMuc!$I$3:$I$38</definedName>
    <definedName name="mabx">#REF!</definedName>
    <definedName name="magcn">#REF!</definedName>
    <definedName name="mahoso">#REF!</definedName>
    <definedName name="maloaihs">#REF!</definedName>
    <definedName name="mot_cua">#REF!</definedName>
    <definedName name="nam1cua">#REF!</definedName>
    <definedName name="NAMCHET">[1]CAPLAI!$C$2</definedName>
    <definedName name="NAME">[1]CAPLAI!$C$3</definedName>
    <definedName name="ND">#REF!</definedName>
    <definedName name="NGAYCHUNGTHUCHOPDONG">[1]CAPLAI!$E$2</definedName>
    <definedName name="nguongocsd">#REF!</definedName>
    <definedName name="nhapthue">#REF!</definedName>
    <definedName name="noicongchung">#REF!</definedName>
    <definedName name="ONT">[1]CAPLAI!$J$6</definedName>
    <definedName name="pccx">#REF!</definedName>
    <definedName name="PCTT">#REF!</definedName>
    <definedName name="PHOIGCN">#REF!</definedName>
    <definedName name="_xlnm.Print_Area" localSheetId="0">DS!$A$1:$L$18</definedName>
    <definedName name="_xlnm.Print_Area" localSheetId="1">TongHop!$A$1:$F$30</definedName>
    <definedName name="QUYENSO">'[1]TANHOP - TC'!#REF!</definedName>
    <definedName name="smk">#REF!</definedName>
    <definedName name="so1cua">[1]CAPLAI!$J$9</definedName>
    <definedName name="SOCHUNGTHUCHD">[1]CAPLAI!$D$2</definedName>
    <definedName name="sodo">#REF!</definedName>
    <definedName name="sohosodagiaiquyet">#REF!</definedName>
    <definedName name="sohosodangthuly">#REF!</definedName>
    <definedName name="SOTOCU">[1]CAPLAI!$J$4</definedName>
    <definedName name="SOTOMOI">[1]CAPLAI!$K$4</definedName>
    <definedName name="TENNGUOIMAT">[1]CAPLAI!$B$2</definedName>
    <definedName name="thonxa">#REF!</definedName>
    <definedName name="thonxxa">#REF!</definedName>
    <definedName name="THUACU">[1]CAPLAI!$J$3</definedName>
    <definedName name="THUAMOI">[1]CAPLAI!$K$3</definedName>
    <definedName name="TONG">[1]CAPLAI!$L$6</definedName>
    <definedName name="TYLEBD">[1]CAPLAI!$J$1</definedName>
    <definedName name="xatthitran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4" l="1"/>
  <c r="M7" i="4"/>
  <c r="D14" i="9" s="1" a="1"/>
  <c r="D18" i="9" a="1"/>
  <c r="D13" i="9" a="1"/>
  <c r="D15" i="9" a="1"/>
  <c r="E13" i="9" a="1"/>
  <c r="M8" i="4"/>
  <c r="J9" i="4"/>
  <c r="I9" i="4"/>
  <c r="F9" i="4"/>
  <c r="H7" i="4"/>
  <c r="K7" i="4" s="1"/>
  <c r="H6" i="4"/>
  <c r="K6" i="4" s="1"/>
  <c r="I21" i="9" l="1" a="1"/>
  <c r="I21" i="9" s="1"/>
  <c r="D11" i="9" a="1"/>
  <c r="D11" i="9" s="1"/>
  <c r="D17" i="9" a="1"/>
  <c r="D17" i="9" s="1"/>
  <c r="D12" i="9" a="1"/>
  <c r="D12" i="9" s="1"/>
  <c r="D10" i="9" a="1"/>
  <c r="D16" i="9" a="1"/>
  <c r="D9" i="9" a="1"/>
  <c r="D9" i="9" s="1"/>
  <c r="E19" i="9" a="1"/>
  <c r="D8" i="9" a="1"/>
  <c r="D8" i="9" s="1"/>
  <c r="E18" i="9" a="1"/>
  <c r="E18" i="9" s="1"/>
  <c r="D7" i="9" a="1"/>
  <c r="D7" i="9" s="1"/>
  <c r="J21" i="9" a="1"/>
  <c r="J21" i="9" s="1"/>
  <c r="E12" i="9" a="1"/>
  <c r="E12" i="9" s="1"/>
  <c r="D6" i="9" a="1"/>
  <c r="D6" i="9" s="1"/>
  <c r="E17" i="9" a="1"/>
  <c r="E17" i="9" s="1"/>
  <c r="E11" i="9" a="1"/>
  <c r="D5" i="9" a="1"/>
  <c r="D5" i="9" s="1"/>
  <c r="E16" i="9" a="1"/>
  <c r="E16" i="9" s="1"/>
  <c r="E10" i="9" a="1"/>
  <c r="E10" i="9" s="1"/>
  <c r="D4" i="9" a="1"/>
  <c r="D4" i="9" s="1"/>
  <c r="E9" i="9" a="1"/>
  <c r="E8" i="9" a="1"/>
  <c r="E8" i="9" s="1"/>
  <c r="E7" i="9" a="1"/>
  <c r="E7" i="9" s="1"/>
  <c r="E6" i="9" a="1"/>
  <c r="E6" i="9" s="1"/>
  <c r="E15" i="9" a="1"/>
  <c r="E5" i="9" a="1"/>
  <c r="E14" i="9" a="1"/>
  <c r="E14" i="9" s="1"/>
  <c r="E4" i="9" a="1"/>
  <c r="E4" i="9" s="1"/>
  <c r="D19" i="9" a="1"/>
  <c r="D19" i="9" s="1"/>
  <c r="K9" i="4"/>
  <c r="E13" i="9"/>
  <c r="E5" i="9"/>
  <c r="D18" i="9"/>
  <c r="E11" i="9"/>
  <c r="E9" i="9"/>
  <c r="H9" i="4"/>
  <c r="D13" i="9"/>
  <c r="D16" i="9"/>
  <c r="E15" i="9"/>
  <c r="D10" i="9"/>
  <c r="E19" i="9"/>
  <c r="D15" i="9"/>
  <c r="D14" i="9"/>
  <c r="E20" i="9" l="1"/>
  <c r="D20" i="9"/>
  <c r="A20" i="9" l="1"/>
</calcChain>
</file>

<file path=xl/sharedStrings.xml><?xml version="1.0" encoding="utf-8"?>
<sst xmlns="http://schemas.openxmlformats.org/spreadsheetml/2006/main" count="80" uniqueCount="74">
  <si>
    <t>STT</t>
  </si>
  <si>
    <t>Họ và tên</t>
  </si>
  <si>
    <t>Số tờ BĐĐC</t>
  </si>
  <si>
    <t>Số thửa</t>
  </si>
  <si>
    <t>Loại đất</t>
  </si>
  <si>
    <t>CLN</t>
  </si>
  <si>
    <t>DGT</t>
  </si>
  <si>
    <t>LUK</t>
  </si>
  <si>
    <t>Người thực hiện</t>
  </si>
  <si>
    <t>Giám đốc</t>
  </si>
  <si>
    <t>Cán bộ địa chính</t>
  </si>
  <si>
    <t>Chủ tịch</t>
  </si>
  <si>
    <t>LUC</t>
  </si>
  <si>
    <t>NHK</t>
  </si>
  <si>
    <t>DCS</t>
  </si>
  <si>
    <t>SON</t>
  </si>
  <si>
    <t>Diện tích hiện trạng thửa đất
 (m2)</t>
  </si>
  <si>
    <t>Số giấy CN</t>
  </si>
  <si>
    <t>Diện tích thu hồi (m2)</t>
  </si>
  <si>
    <t>Diện tích còn lại
(m2)</t>
  </si>
  <si>
    <t>Tổng</t>
  </si>
  <si>
    <t>Trong GCN</t>
  </si>
  <si>
    <t>Ngoài GCN</t>
  </si>
  <si>
    <t>Ngày     tháng     năm 2023</t>
  </si>
  <si>
    <t>Ngày     tháng    năm 2023</t>
  </si>
  <si>
    <t>Đơn vị thực hiện
CHI NHÁNH VĂN PHÒNG ĐĂNG KÝ ĐẤT ĐAI HUYỆN HƯỚNG HÓA</t>
  </si>
  <si>
    <t>Trần Trường Sinh</t>
  </si>
  <si>
    <t>Nguyễn Chí Hiếu</t>
  </si>
  <si>
    <t>RPN</t>
  </si>
  <si>
    <t>RPT</t>
  </si>
  <si>
    <t>RST</t>
  </si>
  <si>
    <t>RPH</t>
  </si>
  <si>
    <t>RSN</t>
  </si>
  <si>
    <t>NTD</t>
  </si>
  <si>
    <t>DTT</t>
  </si>
  <si>
    <t>DGD</t>
  </si>
  <si>
    <t>MNC</t>
  </si>
  <si>
    <t/>
  </si>
  <si>
    <t>BẢNG TỔNG HỢP DIỆN TÍCH ĐẤT THU HỒI
TÊN DỰ ÁN: KHU TÁI ĐỊNH CƯ THÔN A XÓC - CHA LỲ
ĐỊA ĐIỂM: XÃ HƯỚNG LẬP - HUYỆN HƯỚNG HÓA - QUẢNG TRỊ</t>
  </si>
  <si>
    <t>(Kèm theo bản đo đạc chỉnh lý số              /ĐĐCLBĐ lập ngày         tháng         năm             )</t>
  </si>
  <si>
    <t>Đối tượng quản lý, sử dụng</t>
  </si>
  <si>
    <t>Diện tích thu hồi theo hiện trạng (m2)</t>
  </si>
  <si>
    <t>Diện tích thu hồi theo GCN (m2)</t>
  </si>
  <si>
    <t>Ghi chú</t>
  </si>
  <si>
    <t>GDC</t>
  </si>
  <si>
    <t>Đất trồng cây lâu năm (CLN)</t>
  </si>
  <si>
    <t>Ngày        tháng      năm 20</t>
  </si>
  <si>
    <t>Đơn vị thực hiện</t>
  </si>
  <si>
    <t>Chi nhánh Văn phòng đăng ký đất đai Hướng Hóa</t>
  </si>
  <si>
    <t>Giám Đốc</t>
  </si>
  <si>
    <t xml:space="preserve"> Đất có rừng sản xuất là rừng tự nhiên (RSN)</t>
  </si>
  <si>
    <t xml:space="preserve"> Đất rừng phòng hộ (RPH)</t>
  </si>
  <si>
    <t xml:space="preserve"> Đất có rừng phòng hộ là rừng tự nhiên  (RPN)</t>
  </si>
  <si>
    <t xml:space="preserve"> Đất xây dựng cơ sở giáo dục và đào tạo (DGD)</t>
  </si>
  <si>
    <t xml:space="preserve"> Đất xây dựng cơ sở thể dục thể thao (DTT)</t>
  </si>
  <si>
    <t>Đất có mặt nước chuyên dùng (MNC)</t>
  </si>
  <si>
    <t xml:space="preserve"> Đất trồng lúa nước còn lại (LUK)</t>
  </si>
  <si>
    <t xml:space="preserve"> Đất có rừng phòng hộ là rừng trồng  (RPT)</t>
  </si>
  <si>
    <t>Đất làm nghĩa trang, nghĩa địa, nhà tang lễ, NHT (NTD)</t>
  </si>
  <si>
    <t>Đất sông, ngòi, kênh, rạch, suối (SON)</t>
  </si>
  <si>
    <t xml:space="preserve"> Đất có rừng sản xuất là rừng trồng (RST)</t>
  </si>
  <si>
    <t xml:space="preserve"> Đất nương rẫy trồng cây hàng năm khác (NHK)</t>
  </si>
  <si>
    <t xml:space="preserve"> Đất giao thông (DGT)</t>
  </si>
  <si>
    <t xml:space="preserve"> Đất chuyên trồng lúa nước (LUC)</t>
  </si>
  <si>
    <t>TSN</t>
  </si>
  <si>
    <t>UBQ</t>
  </si>
  <si>
    <t xml:space="preserve"> Đất đồi núi chưa sử dụng (DCS)</t>
  </si>
  <si>
    <t>Ngô Thu Bảo Ngọc</t>
  </si>
  <si>
    <t>Nguyễn Phi Hải</t>
  </si>
  <si>
    <t>BA 637424</t>
  </si>
  <si>
    <t>Xác nhận của chủ sử dụng đất
(Ký và ghi đầy đủ họ tên)</t>
  </si>
  <si>
    <t>DANH SÁCH THU HỒI
TÊN DỰ ÁN: VỈA HÈ ĐƯỜNG LÊ DUẨN, THỊ TRẤN KHE SANH, GIAI ĐOẠN 1
ĐỊA ĐIỂM: THỊ TRẤN KHE SANH - HUYỆN HƯỚNG HÓA - QUẢNG TRỊ</t>
  </si>
  <si>
    <t>UBND thị trấn Khe Sanh</t>
  </si>
  <si>
    <t>O 715806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</si>
</sst>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5" x14ac:knownFonts="1"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000000"/>
      <name val="Times New Roman"/>
      <family val="1"/>
    </font>
    <font>
      <sz val="14"/>
      <name val="Times New Roman"/>
      <family val="1"/>
    </font>
    <font>
      <b/>
      <sz val="11"/>
      <color rgb="FF000000"/>
      <name val="Times New Roman"/>
      <family val="1"/>
    </font>
    <font>
      <b/>
      <sz val="12"/>
      <color theme="1"/>
      <name val="Times New Roman"/>
      <family val="1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i/>
      <sz val="11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7"/>
      <color theme="1"/>
      <name val="Times New Roman"/>
      <family val="1"/>
    </font>
    <font>
      <i/>
      <sz val="17"/>
      <color theme="1"/>
      <name val="Times New Roman"/>
      <family val="1"/>
    </font>
    <font>
      <b/>
      <sz val="15"/>
      <color theme="1"/>
      <name val="Times New Roman"/>
      <family val="1"/>
    </font>
    <font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b/>
      <sz val="15"/>
      <name val="Times New Roman"/>
      <family val="1"/>
    </font>
    <font>
      <sz val="15"/>
      <name val="Times New Roman"/>
      <family val="1"/>
    </font>
    <font>
      <sz val="15"/>
      <color indexed="8"/>
      <name val="Times New Roman"/>
      <family val="1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15" fillId="0" borderId="0"/>
    <xf numFmtId="0" fontId="14" fillId="0" borderId="0"/>
    <xf numFmtId="0" fontId="24" fillId="0" borderId="0"/>
  </cellStyleXfs>
  <cellXfs count="96">
    <xf numFmtId="0" fontId="0" fillId="0" borderId="0" xfId="0"/>
    <xf numFmtId="0" fontId="2" fillId="0" borderId="0" xfId="0" applyFont="1"/>
    <xf numFmtId="0" fontId="9" fillId="2" borderId="0" xfId="0" applyFont="1" applyFill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" fontId="5" fillId="0" borderId="0" xfId="0" applyNumberFormat="1" applyFont="1" applyAlignment="1">
      <alignment horizontal="center"/>
    </xf>
    <xf numFmtId="1" fontId="6" fillId="0" borderId="0" xfId="0" applyNumberFormat="1" applyFont="1"/>
    <xf numFmtId="2" fontId="4" fillId="0" borderId="0" xfId="0" applyNumberFormat="1" applyFont="1" applyAlignment="1">
      <alignment horizontal="center"/>
    </xf>
    <xf numFmtId="1" fontId="5" fillId="0" borderId="0" xfId="0" applyNumberFormat="1" applyFont="1"/>
    <xf numFmtId="0" fontId="5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/>
    <xf numFmtId="164" fontId="11" fillId="0" borderId="0" xfId="0" applyNumberFormat="1" applyFont="1" applyAlignment="1">
      <alignment horizontal="center"/>
    </xf>
    <xf numFmtId="1" fontId="12" fillId="0" borderId="0" xfId="0" applyNumberFormat="1" applyFont="1"/>
    <xf numFmtId="0" fontId="11" fillId="0" borderId="0" xfId="0" applyFont="1"/>
    <xf numFmtId="2" fontId="12" fillId="0" borderId="0" xfId="0" applyNumberFormat="1" applyFont="1" applyAlignment="1">
      <alignment horizont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center" vertical="center"/>
    </xf>
    <xf numFmtId="1" fontId="13" fillId="0" borderId="0" xfId="0" applyNumberFormat="1" applyFo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1" xfId="0" applyNumberFormat="1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6" fillId="0" borderId="0" xfId="0" applyFont="1"/>
    <xf numFmtId="164" fontId="9" fillId="0" borderId="0" xfId="0" applyNumberFormat="1" applyFont="1"/>
    <xf numFmtId="0" fontId="18" fillId="0" borderId="7" xfId="1" applyFont="1" applyBorder="1" applyAlignment="1">
      <alignment horizontal="center" vertical="center" wrapText="1"/>
    </xf>
    <xf numFmtId="0" fontId="18" fillId="0" borderId="8" xfId="1" applyNumberFormat="1" applyFont="1" applyBorder="1" applyAlignment="1">
      <alignment horizontal="center" vertical="center" wrapText="1"/>
    </xf>
    <xf numFmtId="0" fontId="18" fillId="0" borderId="9" xfId="1" applyNumberFormat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 wrapText="1"/>
    </xf>
    <xf numFmtId="164" fontId="18" fillId="0" borderId="0" xfId="1" applyNumberFormat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2" fillId="0" borderId="0" xfId="1" applyFont="1" applyAlignment="1">
      <alignment horizontal="center" vertical="center"/>
    </xf>
    <xf numFmtId="0" fontId="21" fillId="0" borderId="0" xfId="1" applyFont="1" applyAlignment="1">
      <alignment horizontal="center" vertical="center"/>
    </xf>
    <xf numFmtId="164" fontId="22" fillId="0" borderId="0" xfId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9" fillId="0" borderId="1" xfId="1" applyNumberFormat="1" applyFont="1" applyBorder="1" applyAlignment="1">
      <alignment horizontal="center" vertical="center" wrapText="1"/>
    </xf>
    <xf numFmtId="0" fontId="18" fillId="0" borderId="16" xfId="1" applyNumberFormat="1" applyFont="1" applyBorder="1" applyAlignment="1">
      <alignment horizontal="center" vertical="center" wrapText="1"/>
    </xf>
    <xf numFmtId="164" fontId="19" fillId="0" borderId="1" xfId="1" applyNumberFormat="1" applyFont="1" applyBorder="1" applyAlignment="1">
      <alignment horizontal="center" vertical="center" wrapText="1"/>
    </xf>
    <xf numFmtId="164" fontId="19" fillId="0" borderId="16" xfId="1" applyNumberFormat="1" applyFont="1" applyBorder="1" applyAlignment="1">
      <alignment horizontal="center" vertical="center" wrapText="1"/>
    </xf>
    <xf numFmtId="164" fontId="18" fillId="0" borderId="19" xfId="1" applyNumberFormat="1" applyFont="1" applyBorder="1" applyAlignment="1">
      <alignment horizontal="center" vertical="center" wrapText="1"/>
    </xf>
    <xf numFmtId="0" fontId="19" fillId="0" borderId="20" xfId="1" applyNumberFormat="1" applyFont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21" fillId="0" borderId="0" xfId="1" applyFont="1" applyAlignment="1">
      <alignment horizontal="center" vertical="center"/>
    </xf>
    <xf numFmtId="0" fontId="21" fillId="0" borderId="0" xfId="1" applyNumberFormat="1" applyFont="1" applyFill="1" applyBorder="1" applyAlignment="1">
      <alignment horizontal="center" vertical="center"/>
    </xf>
    <xf numFmtId="0" fontId="19" fillId="0" borderId="1" xfId="1" applyNumberFormat="1" applyFont="1" applyBorder="1" applyAlignment="1">
      <alignment horizontal="center" vertical="center" wrapText="1"/>
    </xf>
    <xf numFmtId="0" fontId="19" fillId="0" borderId="17" xfId="1" applyFont="1" applyBorder="1" applyAlignment="1">
      <alignment horizontal="center" vertical="center" wrapText="1"/>
    </xf>
    <xf numFmtId="0" fontId="16" fillId="0" borderId="0" xfId="1" applyNumberFormat="1" applyFont="1" applyAlignment="1">
      <alignment horizontal="center" vertical="center" wrapText="1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8" fillId="0" borderId="18" xfId="1" applyFont="1" applyBorder="1" applyAlignment="1">
      <alignment horizontal="center" vertical="center"/>
    </xf>
    <xf numFmtId="0" fontId="18" fillId="0" borderId="19" xfId="1" applyFont="1" applyBorder="1" applyAlignment="1">
      <alignment horizontal="center" vertical="center"/>
    </xf>
    <xf numFmtId="0" fontId="19" fillId="0" borderId="0" xfId="1" applyNumberFormat="1" applyFont="1" applyFill="1" applyBorder="1" applyAlignment="1">
      <alignment horizontal="center" vertical="center"/>
    </xf>
    <xf numFmtId="0" fontId="19" fillId="0" borderId="11" xfId="1" applyNumberFormat="1" applyFont="1" applyBorder="1" applyAlignment="1">
      <alignment horizontal="center" vertical="center" wrapText="1"/>
    </xf>
    <xf numFmtId="0" fontId="19" fillId="0" borderId="13" xfId="1" applyNumberFormat="1" applyFont="1" applyBorder="1" applyAlignment="1">
      <alignment horizontal="center" vertical="center" wrapText="1"/>
    </xf>
    <xf numFmtId="0" fontId="19" fillId="0" borderId="15" xfId="1" applyNumberFormat="1" applyFont="1" applyBorder="1" applyAlignment="1">
      <alignment horizontal="center" vertical="center" wrapText="1"/>
    </xf>
    <xf numFmtId="0" fontId="19" fillId="0" borderId="10" xfId="1" applyFont="1" applyBorder="1" applyAlignment="1">
      <alignment horizontal="center" vertical="center" wrapText="1"/>
    </xf>
    <xf numFmtId="0" fontId="19" fillId="0" borderId="12" xfId="1" applyFont="1" applyBorder="1" applyAlignment="1">
      <alignment horizontal="center" vertical="center" wrapText="1"/>
    </xf>
    <xf numFmtId="0" fontId="19" fillId="0" borderId="14" xfId="1" applyFont="1" applyBorder="1" applyAlignment="1">
      <alignment horizontal="center" vertical="center" wrapText="1"/>
    </xf>
    <xf numFmtId="0" fontId="18" fillId="0" borderId="0" xfId="1" applyNumberFormat="1" applyFont="1" applyFill="1" applyBorder="1" applyAlignment="1">
      <alignment horizontal="center" vertical="center"/>
    </xf>
    <xf numFmtId="0" fontId="21" fillId="0" borderId="0" xfId="1" applyFont="1" applyFill="1" applyBorder="1" applyAlignment="1">
      <alignment horizontal="center" vertical="center"/>
    </xf>
  </cellXfs>
  <cellStyles count="4">
    <cellStyle name="Normal" xfId="0" builtinId="0"/>
    <cellStyle name="Normal 10" xfId="2"/>
    <cellStyle name="Normal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NH-PC\Google%20Driver\ggg\1%20Ho%20so%202014\Hoso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N_HOP"/>
      <sheetName val="Hoa Thanh (2)"/>
      <sheetName val="Luong Le (2)"/>
      <sheetName val="Quyet Tam (2)"/>
      <sheetName val="Tan Xuyen (2)"/>
      <sheetName val="Hoa Thanh"/>
      <sheetName val="Luong Le"/>
      <sheetName val="Tan Xuyen"/>
      <sheetName val="Quyet Tam"/>
      <sheetName val="SOCGCNTH"/>
      <sheetName val="Tong"/>
      <sheetName val="BANGDIENTICH"/>
      <sheetName val="PROFILE"/>
      <sheetName val="TANHOP - TC"/>
      <sheetName val="TANHOP - CN"/>
      <sheetName val="DAUGIA"/>
      <sheetName val="TIENTHUE"/>
      <sheetName val="TANHOP - HTH"/>
      <sheetName val="BAOCAOTONGHOP"/>
      <sheetName val="CAPLAI"/>
      <sheetName val="SOMUCKETH"/>
      <sheetName val="MAPTH"/>
      <sheetName val="SOMUCKE97"/>
      <sheetName val="SOTHEOGIOI"/>
      <sheetName val="BCCT"/>
      <sheetName val="TT_QĐ_PCTT"/>
      <sheetName val="STGBDTH"/>
      <sheetName val="STGBDTHUAN"/>
      <sheetName val="STGBDHL"/>
      <sheetName val="SOMUCKETHUAN"/>
      <sheetName val="Ghichu"/>
      <sheetName val="Sheet1"/>
      <sheetName val="Sheet2"/>
      <sheetName val="DALN_TANHOP"/>
      <sheetName val="DANLNUPLY2_THUAN"/>
      <sheetName val="DSVINACAFE"/>
      <sheetName val="TU_2014"/>
      <sheetName val="00000000"/>
      <sheetName val="100000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>
            <v>24</v>
          </cell>
          <cell r="J1" t="str">
            <v>1/1000</v>
          </cell>
        </row>
        <row r="2">
          <cell r="B2">
            <v>0</v>
          </cell>
          <cell r="C2">
            <v>0</v>
          </cell>
          <cell r="D2">
            <v>0</v>
          </cell>
          <cell r="E2">
            <v>0</v>
          </cell>
        </row>
        <row r="3">
          <cell r="C3" t="str">
            <v>Nguyễn Xuân Tửu và bà Nguyễn Thị Gái</v>
          </cell>
          <cell r="J3" t="str">
            <v>164</v>
          </cell>
          <cell r="K3" t="str">
            <v>453</v>
          </cell>
        </row>
        <row r="4">
          <cell r="J4" t="str">
            <v>12</v>
          </cell>
          <cell r="K4" t="str">
            <v>12</v>
          </cell>
        </row>
        <row r="5">
          <cell r="C5" t="str">
            <v>Tân Xuyên</v>
          </cell>
          <cell r="J5" t="str">
            <v>BX 812835</v>
          </cell>
          <cell r="K5" t="str">
            <v>BI 204626</v>
          </cell>
        </row>
        <row r="6">
          <cell r="J6">
            <v>0</v>
          </cell>
          <cell r="K6" t="str">
            <v>880</v>
          </cell>
          <cell r="L6">
            <v>880</v>
          </cell>
        </row>
        <row r="7">
          <cell r="C7" t="str">
            <v>190270775/190270768</v>
          </cell>
        </row>
        <row r="9">
          <cell r="G9">
            <v>0</v>
          </cell>
          <cell r="J9" t="str">
            <v>64A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M18"/>
  <sheetViews>
    <sheetView tabSelected="1" view="pageBreakPreview" zoomScaleNormal="100" zoomScaleSheetLayoutView="100" workbookViewId="0">
      <selection activeCell="G7" sqref="G7"/>
    </sheetView>
  </sheetViews>
  <sheetFormatPr defaultRowHeight="15" x14ac:dyDescent="0.25"/>
  <cols>
    <col min="1" max="1" width="9.140625" style="31"/>
    <col min="2" max="2" width="26.140625" style="33" customWidth="1"/>
    <col min="3" max="3" width="11" style="31" customWidth="1"/>
    <col min="4" max="4" width="9.140625" style="31"/>
    <col min="5" max="5" width="11.7109375" style="31" customWidth="1"/>
    <col min="6" max="6" width="12.85546875" style="31" customWidth="1"/>
    <col min="7" max="7" width="13.28515625" style="31" customWidth="1"/>
    <col min="8" max="9" width="11.5703125" style="31" customWidth="1"/>
    <col min="10" max="10" width="10.140625" style="31" customWidth="1"/>
    <col min="11" max="11" width="11.7109375" style="31" bestFit="1" customWidth="1"/>
    <col min="12" max="12" width="23.7109375" style="31" customWidth="1"/>
    <col min="13" max="16384" width="9.140625" style="1"/>
  </cols>
  <sheetData>
    <row r="1" spans="1:13" ht="78" customHeight="1" x14ac:dyDescent="0.25">
      <c r="A1" s="68" t="s">
        <v>71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2"/>
    </row>
    <row r="2" spans="1:13" ht="7.5" customHeight="1" thickBot="1" x14ac:dyDescent="0.3">
      <c r="A2" s="70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2"/>
    </row>
    <row r="3" spans="1:13" ht="45" customHeight="1" thickTop="1" x14ac:dyDescent="0.25">
      <c r="A3" s="72" t="s">
        <v>0</v>
      </c>
      <c r="B3" s="74" t="s">
        <v>1</v>
      </c>
      <c r="C3" s="74" t="s">
        <v>2</v>
      </c>
      <c r="D3" s="74" t="s">
        <v>3</v>
      </c>
      <c r="E3" s="74" t="s">
        <v>4</v>
      </c>
      <c r="F3" s="74" t="s">
        <v>16</v>
      </c>
      <c r="G3" s="74" t="s">
        <v>17</v>
      </c>
      <c r="H3" s="74" t="s">
        <v>18</v>
      </c>
      <c r="I3" s="74"/>
      <c r="J3" s="74"/>
      <c r="K3" s="74" t="s">
        <v>19</v>
      </c>
      <c r="L3" s="76" t="s">
        <v>70</v>
      </c>
    </row>
    <row r="4" spans="1:13" ht="45" customHeight="1" x14ac:dyDescent="0.25">
      <c r="A4" s="73"/>
      <c r="B4" s="75"/>
      <c r="C4" s="75"/>
      <c r="D4" s="75"/>
      <c r="E4" s="75"/>
      <c r="F4" s="75"/>
      <c r="G4" s="75"/>
      <c r="H4" s="75"/>
      <c r="I4" s="75"/>
      <c r="J4" s="75"/>
      <c r="K4" s="75"/>
      <c r="L4" s="77"/>
    </row>
    <row r="5" spans="1:13" ht="45" customHeight="1" x14ac:dyDescent="0.25">
      <c r="A5" s="73"/>
      <c r="B5" s="75"/>
      <c r="C5" s="75"/>
      <c r="D5" s="75"/>
      <c r="E5" s="75"/>
      <c r="F5" s="75"/>
      <c r="G5" s="75"/>
      <c r="H5" s="26" t="s">
        <v>20</v>
      </c>
      <c r="I5" s="26" t="s">
        <v>21</v>
      </c>
      <c r="J5" s="26" t="s">
        <v>22</v>
      </c>
      <c r="K5" s="75"/>
      <c r="L5" s="77"/>
    </row>
    <row r="6" spans="1:13" ht="45" customHeight="1" x14ac:dyDescent="0.25">
      <c r="A6" s="27">
        <v>1</v>
      </c>
      <c r="B6" s="32" t="s">
        <v>67</v>
      </c>
      <c r="C6" s="29">
        <v>20</v>
      </c>
      <c r="D6" s="29">
        <v>354</v>
      </c>
      <c r="E6" s="29" t="s">
        <v>5</v>
      </c>
      <c r="F6" s="29">
        <v>110</v>
      </c>
      <c r="G6" s="28" t="s">
        <v>69</v>
      </c>
      <c r="H6" s="28">
        <f t="shared" ref="H6:H7" si="0">SUM(I6:J6)</f>
        <v>0.8</v>
      </c>
      <c r="I6" s="29">
        <v>0.8</v>
      </c>
      <c r="J6" s="29">
        <v>0</v>
      </c>
      <c r="K6" s="29">
        <f t="shared" ref="K6:K7" si="1">F6-H6</f>
        <v>109.2</v>
      </c>
      <c r="L6" s="30"/>
      <c r="M6" s="1" t="str">
        <f>IF(E6="ONT+CLN","CLN",IF(E6="ODT+CLN","CLN",E6))</f>
        <v>CLN</v>
      </c>
    </row>
    <row r="7" spans="1:13" ht="45" customHeight="1" x14ac:dyDescent="0.25">
      <c r="A7" s="27">
        <v>2</v>
      </c>
      <c r="B7" s="32" t="s">
        <v>68</v>
      </c>
      <c r="C7" s="29">
        <v>20</v>
      </c>
      <c r="D7" s="29">
        <v>99</v>
      </c>
      <c r="E7" s="29" t="s">
        <v>5</v>
      </c>
      <c r="F7" s="29">
        <v>144.4</v>
      </c>
      <c r="G7" s="28" t="s">
        <v>73</v>
      </c>
      <c r="H7" s="28">
        <f t="shared" si="0"/>
        <v>16.8</v>
      </c>
      <c r="I7" s="29">
        <v>16.8</v>
      </c>
      <c r="J7" s="29">
        <v>0</v>
      </c>
      <c r="K7" s="29">
        <f t="shared" si="1"/>
        <v>127.60000000000001</v>
      </c>
      <c r="L7" s="30"/>
      <c r="M7" s="1" t="str">
        <f t="shared" ref="M7:M8" si="2">IF(E7="ONT+CLN","CLN",IF(E7="ODT+CLN","CLN",E7))</f>
        <v>CLN</v>
      </c>
    </row>
    <row r="8" spans="1:13" ht="45" customHeight="1" thickBot="1" x14ac:dyDescent="0.3">
      <c r="A8" s="52"/>
      <c r="B8" s="53"/>
      <c r="C8" s="54"/>
      <c r="D8" s="54"/>
      <c r="E8" s="54"/>
      <c r="F8" s="54"/>
      <c r="G8" s="55"/>
      <c r="H8" s="55"/>
      <c r="I8" s="54"/>
      <c r="J8" s="54"/>
      <c r="K8" s="54"/>
      <c r="L8" s="56"/>
      <c r="M8" s="1">
        <f t="shared" si="2"/>
        <v>0</v>
      </c>
    </row>
    <row r="9" spans="1:13" ht="32.25" customHeight="1" thickTop="1" x14ac:dyDescent="0.25">
      <c r="A9" s="3"/>
      <c r="B9" s="23" t="s">
        <v>20</v>
      </c>
      <c r="C9" s="3"/>
      <c r="D9" s="3"/>
      <c r="E9" s="24"/>
      <c r="F9" s="4">
        <f>SUM(F6:F8)</f>
        <v>254.4</v>
      </c>
      <c r="G9" s="4"/>
      <c r="H9" s="57">
        <f>SUM(H6:H8)</f>
        <v>17.600000000000001</v>
      </c>
      <c r="I9" s="57">
        <f>SUM(I6:I8)</f>
        <v>17.600000000000001</v>
      </c>
      <c r="J9" s="57">
        <f>SUM(J6:J8)</f>
        <v>0</v>
      </c>
      <c r="K9" s="57">
        <f>SUM(K6:K8)</f>
        <v>236.8</v>
      </c>
      <c r="L9" s="5"/>
    </row>
    <row r="10" spans="1:13" x14ac:dyDescent="0.25">
      <c r="A10" s="6"/>
      <c r="B10" s="61" t="s">
        <v>23</v>
      </c>
      <c r="C10" s="61"/>
      <c r="D10" s="61"/>
      <c r="E10" s="61"/>
      <c r="F10" s="62" t="s">
        <v>24</v>
      </c>
      <c r="G10" s="63"/>
      <c r="H10" s="63"/>
      <c r="I10" s="63"/>
      <c r="J10" s="63"/>
      <c r="K10" s="63"/>
      <c r="L10" s="63"/>
    </row>
    <row r="11" spans="1:13" x14ac:dyDescent="0.25">
      <c r="A11" s="22"/>
      <c r="B11" s="64" t="s">
        <v>25</v>
      </c>
      <c r="C11" s="65"/>
      <c r="D11" s="65"/>
      <c r="E11" s="65"/>
      <c r="F11" s="65" t="s">
        <v>72</v>
      </c>
      <c r="G11" s="66"/>
      <c r="H11" s="66"/>
      <c r="I11" s="66"/>
      <c r="J11" s="66"/>
      <c r="K11" s="66"/>
      <c r="L11" s="66"/>
    </row>
    <row r="12" spans="1:13" x14ac:dyDescent="0.25">
      <c r="A12" s="34"/>
      <c r="B12" s="23" t="s">
        <v>8</v>
      </c>
      <c r="C12" s="67" t="s">
        <v>9</v>
      </c>
      <c r="D12" s="67"/>
      <c r="E12" s="67"/>
      <c r="F12" s="7"/>
      <c r="G12" s="58" t="s">
        <v>10</v>
      </c>
      <c r="H12" s="58"/>
      <c r="I12" s="8"/>
      <c r="J12" s="58" t="s">
        <v>11</v>
      </c>
      <c r="K12" s="58"/>
      <c r="L12" s="9"/>
    </row>
    <row r="13" spans="1:13" x14ac:dyDescent="0.25">
      <c r="A13" s="8"/>
      <c r="B13" s="8"/>
      <c r="C13" s="58"/>
      <c r="D13" s="58"/>
      <c r="E13" s="58"/>
      <c r="F13" s="7"/>
      <c r="G13" s="7"/>
      <c r="H13" s="7"/>
      <c r="I13" s="10"/>
      <c r="J13" s="10"/>
      <c r="K13" s="11"/>
      <c r="L13" s="9"/>
    </row>
    <row r="14" spans="1:13" x14ac:dyDescent="0.25">
      <c r="A14" s="8"/>
      <c r="B14" s="8"/>
      <c r="C14" s="25"/>
      <c r="D14" s="25"/>
      <c r="E14" s="25"/>
      <c r="F14" s="7"/>
      <c r="G14" s="7"/>
      <c r="H14" s="7"/>
      <c r="I14" s="10"/>
      <c r="J14" s="10"/>
      <c r="K14" s="11"/>
      <c r="L14" s="9"/>
    </row>
    <row r="15" spans="1:13" x14ac:dyDescent="0.25">
      <c r="A15" s="12"/>
      <c r="B15" s="13"/>
      <c r="C15" s="14"/>
      <c r="D15" s="12"/>
      <c r="E15" s="15"/>
      <c r="F15" s="16"/>
      <c r="G15" s="16"/>
      <c r="H15" s="16"/>
      <c r="I15" s="12"/>
      <c r="J15" s="14"/>
      <c r="K15" s="17"/>
      <c r="L15" s="18"/>
    </row>
    <row r="16" spans="1:13" x14ac:dyDescent="0.25">
      <c r="A16" s="12"/>
      <c r="B16" s="13"/>
      <c r="C16" s="14"/>
      <c r="D16" s="12"/>
      <c r="E16" s="15"/>
      <c r="F16" s="12"/>
      <c r="G16" s="12"/>
      <c r="H16" s="12"/>
      <c r="I16" s="14"/>
      <c r="J16" s="14"/>
      <c r="K16" s="17"/>
      <c r="L16" s="18"/>
    </row>
    <row r="17" spans="1:12" x14ac:dyDescent="0.25">
      <c r="A17" s="12"/>
      <c r="B17" s="13"/>
      <c r="C17" s="14"/>
      <c r="D17" s="12"/>
      <c r="E17" s="15"/>
      <c r="F17" s="12"/>
      <c r="G17" s="12"/>
      <c r="H17" s="12"/>
      <c r="I17" s="14"/>
      <c r="J17" s="14"/>
      <c r="K17" s="17"/>
      <c r="L17" s="18"/>
    </row>
    <row r="18" spans="1:12" x14ac:dyDescent="0.25">
      <c r="A18" s="19"/>
      <c r="B18" s="20" t="s">
        <v>26</v>
      </c>
      <c r="C18" s="59" t="s">
        <v>27</v>
      </c>
      <c r="D18" s="59"/>
      <c r="E18" s="59"/>
      <c r="F18" s="35"/>
      <c r="G18" s="60"/>
      <c r="H18" s="60"/>
      <c r="I18" s="21"/>
      <c r="J18" s="60"/>
      <c r="K18" s="60"/>
      <c r="L18" s="1"/>
    </row>
  </sheetData>
  <mergeCells count="23">
    <mergeCell ref="A1:L1"/>
    <mergeCell ref="A2:L2"/>
    <mergeCell ref="A3:A5"/>
    <mergeCell ref="B3:B5"/>
    <mergeCell ref="C3:C5"/>
    <mergeCell ref="D3:D5"/>
    <mergeCell ref="E3:E5"/>
    <mergeCell ref="F3:F5"/>
    <mergeCell ref="G3:G5"/>
    <mergeCell ref="H3:J4"/>
    <mergeCell ref="K3:K5"/>
    <mergeCell ref="L3:L5"/>
    <mergeCell ref="C13:E13"/>
    <mergeCell ref="C18:E18"/>
    <mergeCell ref="G18:H18"/>
    <mergeCell ref="J18:K18"/>
    <mergeCell ref="B10:E10"/>
    <mergeCell ref="F10:L10"/>
    <mergeCell ref="B11:E11"/>
    <mergeCell ref="F11:L11"/>
    <mergeCell ref="C12:E12"/>
    <mergeCell ref="G12:H12"/>
    <mergeCell ref="J12:K12"/>
  </mergeCells>
  <pageMargins left="0.7" right="0.7" top="0.75" bottom="0.75" header="0.3" footer="0.3"/>
  <pageSetup paperSize="9" scale="80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  <pageSetUpPr fitToPage="1"/>
  </sheetPr>
  <dimension ref="A1:J30"/>
  <sheetViews>
    <sheetView view="pageBreakPreview" topLeftCell="A10" zoomScaleNormal="100" zoomScaleSheetLayoutView="100" workbookViewId="0">
      <selection activeCell="D20" sqref="D20:E20"/>
    </sheetView>
  </sheetViews>
  <sheetFormatPr defaultRowHeight="15" x14ac:dyDescent="0.25"/>
  <cols>
    <col min="1" max="1" width="6.28515625" style="1" customWidth="1"/>
    <col min="2" max="2" width="36.42578125" style="1" customWidth="1"/>
    <col min="3" max="3" width="65" style="1" customWidth="1"/>
    <col min="4" max="4" width="28" style="1" customWidth="1"/>
    <col min="5" max="5" width="24.85546875" style="1" customWidth="1"/>
    <col min="6" max="6" width="36.28515625" style="1" customWidth="1"/>
    <col min="7" max="16384" width="9.140625" style="1"/>
  </cols>
  <sheetData>
    <row r="1" spans="1:7" ht="21.75" x14ac:dyDescent="0.25">
      <c r="A1" s="82" t="s">
        <v>38</v>
      </c>
      <c r="B1" s="83"/>
      <c r="C1" s="83"/>
      <c r="D1" s="83"/>
      <c r="E1" s="83"/>
      <c r="F1" s="83"/>
    </row>
    <row r="2" spans="1:7" ht="23.25" thickBot="1" x14ac:dyDescent="0.3">
      <c r="A2" s="84" t="s">
        <v>39</v>
      </c>
      <c r="B2" s="84"/>
      <c r="C2" s="84"/>
      <c r="D2" s="84"/>
      <c r="E2" s="84"/>
      <c r="F2" s="84"/>
    </row>
    <row r="3" spans="1:7" ht="39" x14ac:dyDescent="0.25">
      <c r="A3" s="36" t="s">
        <v>0</v>
      </c>
      <c r="B3" s="37" t="s">
        <v>40</v>
      </c>
      <c r="C3" s="37" t="s">
        <v>4</v>
      </c>
      <c r="D3" s="37" t="s">
        <v>41</v>
      </c>
      <c r="E3" s="37" t="s">
        <v>42</v>
      </c>
      <c r="F3" s="38" t="s">
        <v>43</v>
      </c>
    </row>
    <row r="4" spans="1:7" ht="27.95" customHeight="1" x14ac:dyDescent="0.25">
      <c r="A4" s="81">
        <v>1</v>
      </c>
      <c r="B4" s="80" t="s">
        <v>44</v>
      </c>
      <c r="C4" s="46" t="s">
        <v>50</v>
      </c>
      <c r="D4" s="46">
        <f t="array" ref="D4">SUMIFS(DS!$J$6:$J$8,DS!$M$6:$M$8,TongHop!G4)</f>
        <v>0</v>
      </c>
      <c r="E4" s="46">
        <f t="array" ref="E4">SUMIFS(DS!$I$6:$I$8,DS!$M$6:$M$8,TongHop!G4)</f>
        <v>0</v>
      </c>
      <c r="F4" s="47"/>
      <c r="G4" s="1" t="s">
        <v>32</v>
      </c>
    </row>
    <row r="5" spans="1:7" ht="27.95" customHeight="1" x14ac:dyDescent="0.25">
      <c r="A5" s="81"/>
      <c r="B5" s="80"/>
      <c r="C5" s="48" t="s">
        <v>63</v>
      </c>
      <c r="D5" s="46">
        <f t="array" ref="D5">SUMIFS(DS!$J$6:$J$8,DS!$M$6:$M$8,TongHop!G5)</f>
        <v>0</v>
      </c>
      <c r="E5" s="46">
        <f t="array" ref="E5">SUMIFS(DS!$I$6:$I$8,DS!$M$6:$M$8,TongHop!G5)</f>
        <v>0</v>
      </c>
      <c r="F5" s="49"/>
      <c r="G5" s="1" t="s">
        <v>12</v>
      </c>
    </row>
    <row r="6" spans="1:7" ht="27.95" customHeight="1" x14ac:dyDescent="0.25">
      <c r="A6" s="81"/>
      <c r="B6" s="80"/>
      <c r="C6" s="48" t="s">
        <v>60</v>
      </c>
      <c r="D6" s="46">
        <f t="array" ref="D6">SUMIFS(DS!$J$6:$J$8,DS!$M$6:$M$8,TongHop!G6)</f>
        <v>0</v>
      </c>
      <c r="E6" s="46">
        <f t="array" ref="E6">SUMIFS(DS!$I$6:$I$8,DS!$M$6:$M$8,TongHop!G6)</f>
        <v>0</v>
      </c>
      <c r="F6" s="49"/>
      <c r="G6" s="1" t="s">
        <v>30</v>
      </c>
    </row>
    <row r="7" spans="1:7" ht="27.95" customHeight="1" x14ac:dyDescent="0.25">
      <c r="A7" s="81"/>
      <c r="B7" s="80"/>
      <c r="C7" s="48" t="s">
        <v>61</v>
      </c>
      <c r="D7" s="46">
        <f t="array" ref="D7">SUMIFS(DS!$J$6:$J$8,DS!$M$6:$M$8,TongHop!G7)</f>
        <v>0</v>
      </c>
      <c r="E7" s="46">
        <f t="array" ref="E7">SUMIFS(DS!$I$6:$I$8,DS!$M$6:$M$8,TongHop!G7)</f>
        <v>0</v>
      </c>
      <c r="F7" s="49"/>
      <c r="G7" s="1" t="s">
        <v>13</v>
      </c>
    </row>
    <row r="8" spans="1:7" ht="27.95" customHeight="1" x14ac:dyDescent="0.25">
      <c r="A8" s="81"/>
      <c r="B8" s="80"/>
      <c r="C8" s="48" t="s">
        <v>56</v>
      </c>
      <c r="D8" s="46">
        <f t="array" ref="D8">SUMIFS(DS!$J$6:$J$8,DS!$M$6:$M$8,TongHop!G8)</f>
        <v>0</v>
      </c>
      <c r="E8" s="46">
        <f t="array" ref="E8">SUMIFS(DS!$I$6:$I$8,DS!$M$6:$M$8,TongHop!G8)</f>
        <v>0</v>
      </c>
      <c r="F8" s="49"/>
      <c r="G8" s="1" t="s">
        <v>7</v>
      </c>
    </row>
    <row r="9" spans="1:7" ht="27.95" customHeight="1" x14ac:dyDescent="0.25">
      <c r="A9" s="81"/>
      <c r="B9" s="80"/>
      <c r="C9" s="48" t="s">
        <v>45</v>
      </c>
      <c r="D9" s="46">
        <f t="array" ref="D9">SUMIFS(DS!$J$6:$J$8,DS!$M$6:$M$8,TongHop!G9)</f>
        <v>0</v>
      </c>
      <c r="E9" s="46">
        <f t="array" ref="E9">SUMIFS(DS!$I$6:$I$8,DS!$M$6:$M$8,TongHop!G9)</f>
        <v>17.600000000000001</v>
      </c>
      <c r="F9" s="49"/>
      <c r="G9" s="1" t="s">
        <v>5</v>
      </c>
    </row>
    <row r="10" spans="1:7" ht="27.95" customHeight="1" x14ac:dyDescent="0.25">
      <c r="A10" s="91">
        <v>2</v>
      </c>
      <c r="B10" s="88" t="s">
        <v>64</v>
      </c>
      <c r="C10" s="48" t="s">
        <v>57</v>
      </c>
      <c r="D10" s="46">
        <f t="array" ref="D10">SUMIFS(DS!$J$6:$J$8,DS!$M$6:$M$8,TongHop!G10)</f>
        <v>0</v>
      </c>
      <c r="E10" s="46">
        <f t="array" ref="E10">SUMIFS(DS!$I$6:$I$8,DS!$M$6:$M$8,TongHop!G10)</f>
        <v>0</v>
      </c>
      <c r="F10" s="49"/>
      <c r="G10" s="1" t="s">
        <v>29</v>
      </c>
    </row>
    <row r="11" spans="1:7" ht="27.95" customHeight="1" x14ac:dyDescent="0.25">
      <c r="A11" s="92"/>
      <c r="B11" s="89"/>
      <c r="C11" s="48" t="s">
        <v>51</v>
      </c>
      <c r="D11" s="46">
        <f t="array" ref="D11">SUMIFS(DS!$J$6:$J$8,DS!$M$6:$M$8,TongHop!G11)</f>
        <v>0</v>
      </c>
      <c r="E11" s="46">
        <f t="array" ref="E11">SUMIFS(DS!$I$6:$I$8,DS!$M$6:$M$8,TongHop!G11)</f>
        <v>0</v>
      </c>
      <c r="F11" s="49"/>
      <c r="G11" s="1" t="s">
        <v>31</v>
      </c>
    </row>
    <row r="12" spans="1:7" ht="27.95" customHeight="1" x14ac:dyDescent="0.25">
      <c r="A12" s="92"/>
      <c r="B12" s="89"/>
      <c r="C12" s="48" t="s">
        <v>52</v>
      </c>
      <c r="D12" s="46">
        <f t="array" ref="D12">SUMIFS(DS!$J$6:$J$8,DS!$M$6:$M$8,TongHop!G12)</f>
        <v>0</v>
      </c>
      <c r="E12" s="46">
        <f t="array" ref="E12">SUMIFS(DS!$I$6:$I$8,DS!$M$6:$M$8,TongHop!G12)</f>
        <v>0</v>
      </c>
      <c r="F12" s="49"/>
      <c r="G12" s="1" t="s">
        <v>28</v>
      </c>
    </row>
    <row r="13" spans="1:7" ht="27.95" customHeight="1" x14ac:dyDescent="0.25">
      <c r="A13" s="92"/>
      <c r="B13" s="89"/>
      <c r="C13" s="48" t="s">
        <v>53</v>
      </c>
      <c r="D13" s="46">
        <f t="array" ref="D13">SUMIFS(DS!$J$6:$J$8,DS!$M$6:$M$8,TongHop!G13)</f>
        <v>0</v>
      </c>
      <c r="E13" s="46">
        <f t="array" ref="E13">SUMIFS(DS!$I$6:$I$8,DS!$M$6:$M$8,TongHop!G13)</f>
        <v>0</v>
      </c>
      <c r="F13" s="49"/>
      <c r="G13" s="1" t="s">
        <v>35</v>
      </c>
    </row>
    <row r="14" spans="1:7" ht="27.95" customHeight="1" x14ac:dyDescent="0.25">
      <c r="A14" s="93"/>
      <c r="B14" s="90"/>
      <c r="C14" s="48" t="s">
        <v>54</v>
      </c>
      <c r="D14" s="46">
        <f t="array" ref="D14">SUMIFS(DS!$J$6:$J$8,DS!$M$6:$M$8,TongHop!G14)</f>
        <v>0</v>
      </c>
      <c r="E14" s="46">
        <f t="array" ref="E14">SUMIFS(DS!$I$6:$I$8,DS!$M$6:$M$8,TongHop!G14)</f>
        <v>0</v>
      </c>
      <c r="F14" s="49"/>
      <c r="G14" s="1" t="s">
        <v>34</v>
      </c>
    </row>
    <row r="15" spans="1:7" ht="27.95" customHeight="1" x14ac:dyDescent="0.25">
      <c r="A15" s="91">
        <v>3</v>
      </c>
      <c r="B15" s="88" t="s">
        <v>65</v>
      </c>
      <c r="C15" s="48" t="s">
        <v>66</v>
      </c>
      <c r="D15" s="46">
        <f t="array" ref="D15">SUMIFS(DS!$J$6:$J$8,DS!$M$6:$M$8,TongHop!G15)</f>
        <v>0</v>
      </c>
      <c r="E15" s="46">
        <f t="array" ref="E15">SUMIFS(DS!$I$6:$I$8,DS!$M$6:$M$8,TongHop!G15)</f>
        <v>0</v>
      </c>
      <c r="F15" s="49"/>
      <c r="G15" s="1" t="s">
        <v>14</v>
      </c>
    </row>
    <row r="16" spans="1:7" ht="27.95" customHeight="1" x14ac:dyDescent="0.25">
      <c r="A16" s="92"/>
      <c r="B16" s="89"/>
      <c r="C16" s="48" t="s">
        <v>58</v>
      </c>
      <c r="D16" s="46">
        <f t="array" ref="D16">SUMIFS(DS!$J$6:$J$8,DS!$M$6:$M$8,TongHop!G16)</f>
        <v>0</v>
      </c>
      <c r="E16" s="46">
        <f t="array" ref="E16">SUMIFS(DS!$I$6:$I$8,DS!$M$6:$M$8,TongHop!G16)</f>
        <v>0</v>
      </c>
      <c r="F16" s="49"/>
      <c r="G16" s="1" t="s">
        <v>33</v>
      </c>
    </row>
    <row r="17" spans="1:10" ht="27.95" customHeight="1" x14ac:dyDescent="0.25">
      <c r="A17" s="92"/>
      <c r="B17" s="89"/>
      <c r="C17" s="48" t="s">
        <v>59</v>
      </c>
      <c r="D17" s="46">
        <f t="array" ref="D17">SUMIFS(DS!$J$6:$J$8,DS!$M$6:$M$8,TongHop!G17)</f>
        <v>0</v>
      </c>
      <c r="E17" s="46">
        <f t="array" ref="E17">SUMIFS(DS!$I$6:$I$8,DS!$M$6:$M$8,TongHop!G17)</f>
        <v>0</v>
      </c>
      <c r="F17" s="49"/>
      <c r="G17" s="1" t="s">
        <v>15</v>
      </c>
    </row>
    <row r="18" spans="1:10" ht="27.95" customHeight="1" x14ac:dyDescent="0.25">
      <c r="A18" s="92"/>
      <c r="B18" s="89"/>
      <c r="C18" s="48" t="s">
        <v>55</v>
      </c>
      <c r="D18" s="46">
        <f t="array" ref="D18">SUMIFS(DS!$J$6:$J$8,DS!$M$6:$M$8,TongHop!G18)</f>
        <v>0</v>
      </c>
      <c r="E18" s="46">
        <f t="array" ref="E18">SUMIFS(DS!$I$6:$I$8,DS!$M$6:$M$8,TongHop!G18)</f>
        <v>0</v>
      </c>
      <c r="F18" s="49"/>
      <c r="G18" s="1" t="s">
        <v>36</v>
      </c>
    </row>
    <row r="19" spans="1:10" ht="27.95" customHeight="1" x14ac:dyDescent="0.25">
      <c r="A19" s="93"/>
      <c r="B19" s="90"/>
      <c r="C19" s="48" t="s">
        <v>62</v>
      </c>
      <c r="D19" s="46">
        <f t="array" ref="D19">SUMIFS(DS!$J$6:$J$8,DS!$M$6:$M$8,TongHop!G19)</f>
        <v>0</v>
      </c>
      <c r="E19" s="46">
        <f t="array" ref="E19">SUMIFS(DS!$I$6:$I$8,DS!$M$6:$M$8,TongHop!G19)</f>
        <v>0</v>
      </c>
      <c r="F19" s="49"/>
      <c r="G19" s="1" t="s">
        <v>6</v>
      </c>
    </row>
    <row r="20" spans="1:10" ht="27.95" customHeight="1" thickBot="1" x14ac:dyDescent="0.3">
      <c r="A20" s="85" t="str">
        <f>"Tổng cộng: "&amp;SUM(D20:E20)&amp; " m2"</f>
        <v>Tổng cộng: 17.6 m2</v>
      </c>
      <c r="B20" s="86"/>
      <c r="C20" s="86"/>
      <c r="D20" s="50">
        <f>SUM(D4:D19)</f>
        <v>0</v>
      </c>
      <c r="E20" s="50">
        <f>SUM(E4:E19)</f>
        <v>17.600000000000001</v>
      </c>
      <c r="F20" s="51"/>
      <c r="G20" s="1" t="s">
        <v>37</v>
      </c>
    </row>
    <row r="21" spans="1:10" ht="20.25" x14ac:dyDescent="0.25">
      <c r="A21" s="39"/>
      <c r="B21" s="39"/>
      <c r="C21" s="39"/>
      <c r="D21" s="40"/>
      <c r="E21" s="40"/>
      <c r="F21" s="41"/>
      <c r="I21" s="46">
        <f t="array" ref="I21">SUMIFS(DS!$J$6:$J$8,DS!$M$6:$M$8,TongHop!#REF!)</f>
        <v>0</v>
      </c>
      <c r="J21" s="46">
        <f t="array" ref="J21">SUMIFS(DS!$I$6:$I$8,DS!$M$6:$M$8,TongHop!#REF!)</f>
        <v>0</v>
      </c>
    </row>
    <row r="22" spans="1:10" ht="19.5" x14ac:dyDescent="0.25">
      <c r="A22" s="87" t="s">
        <v>46</v>
      </c>
      <c r="B22" s="87"/>
      <c r="C22" s="87"/>
      <c r="D22" s="87"/>
      <c r="E22" s="87"/>
      <c r="F22" s="87"/>
    </row>
    <row r="23" spans="1:10" ht="19.5" x14ac:dyDescent="0.25">
      <c r="A23" s="94" t="s">
        <v>47</v>
      </c>
      <c r="B23" s="94"/>
      <c r="C23" s="94"/>
      <c r="D23" s="94"/>
      <c r="E23" s="94"/>
      <c r="F23" s="94"/>
    </row>
    <row r="24" spans="1:10" ht="19.5" x14ac:dyDescent="0.25">
      <c r="A24" s="94" t="s">
        <v>48</v>
      </c>
      <c r="B24" s="94"/>
      <c r="C24" s="94"/>
      <c r="D24" s="94"/>
      <c r="E24" s="94"/>
      <c r="F24" s="94"/>
    </row>
    <row r="25" spans="1:10" ht="19.5" x14ac:dyDescent="0.25">
      <c r="A25" s="95" t="s">
        <v>49</v>
      </c>
      <c r="B25" s="95"/>
      <c r="C25" s="95"/>
      <c r="D25" s="95"/>
      <c r="E25" s="95"/>
      <c r="F25" s="95"/>
    </row>
    <row r="26" spans="1:10" ht="19.5" x14ac:dyDescent="0.25">
      <c r="A26" s="78"/>
      <c r="B26" s="78"/>
      <c r="C26" s="78"/>
      <c r="D26" s="78"/>
      <c r="E26" s="78"/>
      <c r="F26" s="78"/>
    </row>
    <row r="27" spans="1:10" ht="19.5" x14ac:dyDescent="0.25">
      <c r="A27" s="42"/>
      <c r="B27" s="42"/>
      <c r="C27" s="43"/>
      <c r="D27" s="44"/>
      <c r="E27" s="44"/>
      <c r="F27" s="42"/>
    </row>
    <row r="28" spans="1:10" ht="19.5" x14ac:dyDescent="0.25">
      <c r="A28" s="45"/>
      <c r="B28" s="45"/>
      <c r="C28" s="45"/>
      <c r="D28" s="45"/>
      <c r="E28" s="45"/>
      <c r="F28" s="45"/>
    </row>
    <row r="29" spans="1:10" ht="19.5" x14ac:dyDescent="0.25">
      <c r="A29" s="45"/>
      <c r="B29" s="45"/>
      <c r="C29" s="45"/>
      <c r="D29" s="45"/>
      <c r="E29" s="45"/>
      <c r="F29" s="45"/>
    </row>
    <row r="30" spans="1:10" ht="19.5" x14ac:dyDescent="0.25">
      <c r="A30" s="79" t="s">
        <v>27</v>
      </c>
      <c r="B30" s="79"/>
      <c r="C30" s="79"/>
      <c r="D30" s="79"/>
      <c r="E30" s="79"/>
      <c r="F30" s="79"/>
    </row>
  </sheetData>
  <mergeCells count="15">
    <mergeCell ref="A26:F26"/>
    <mergeCell ref="A30:F30"/>
    <mergeCell ref="B4:B9"/>
    <mergeCell ref="A4:A9"/>
    <mergeCell ref="A1:F1"/>
    <mergeCell ref="A2:F2"/>
    <mergeCell ref="A20:C20"/>
    <mergeCell ref="A22:F22"/>
    <mergeCell ref="B10:B14"/>
    <mergeCell ref="A10:A14"/>
    <mergeCell ref="B15:B19"/>
    <mergeCell ref="A15:A19"/>
    <mergeCell ref="A23:F23"/>
    <mergeCell ref="A24:F24"/>
    <mergeCell ref="A25:F25"/>
  </mergeCells>
  <pageMargins left="0.7" right="0.7" top="0.75" bottom="0.75" header="0.3" footer="0.3"/>
  <pageSetup paperSize="9" scale="6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DS</vt:lpstr>
      <vt:lpstr>TongHop</vt:lpstr>
      <vt:lpstr>DS!Print_Area</vt:lpstr>
      <vt:lpstr>TongHop!Print_Area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2023-08-25T08:50:21Z</dcterms:modified>
</cp:coreProperties>
</file>